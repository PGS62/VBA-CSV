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8_{0AF43C82-C0D7-46F5-BBAE-072DFBE99049}"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old" sheetId="2" state="hidden" r:id="rId2"/>
    <sheet name="ConvertTypes" sheetId="5" r:id="rId3"/>
    <sheet name="Col-by-col" sheetId="14" r:id="rId4"/>
    <sheet name="Test" sheetId="4" r:id="rId5"/>
    <sheet name="Performance" sheetId="16" r:id="rId6"/>
    <sheet name="RegExp" sheetId="11" r:id="rId7"/>
    <sheet name="Audit" sheetId="3" r:id="rId8"/>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4">Test!$AC$14</definedName>
    <definedName name="CaseNo" localSheetId="4">Test!$C$4</definedName>
    <definedName name="ConvertTypes" localSheetId="3">'Col-by-col'!$B$21:$C$27</definedName>
    <definedName name="CSVContents" localSheetId="2">ConvertTypes!$C$17</definedName>
    <definedName name="CSVContents" localSheetId="0">Demo!$E$13</definedName>
    <definedName name="Data" localSheetId="2">ConvertTypes!$B$4:$C$14</definedName>
    <definedName name="Data" localSheetId="0">Demo!$B$13:$C$52</definedName>
    <definedName name="DateFormat" localSheetId="0">Demo!$C$5</definedName>
    <definedName name="DateTimeFormat" localSheetId="0">Demo!$C$6</definedName>
    <definedName name="EOL" localSheetId="0">Demo!$C$8</definedName>
    <definedName name="FileName" localSheetId="4">Test!$C$3</definedName>
    <definedName name="FileTable" localSheetId="4">Test!$B$14:$U$187</definedName>
    <definedName name="Folder" localSheetId="4">Test!$C$2</definedName>
    <definedName name="FormattedRange1">Test!$AA$14:$AA$49</definedName>
    <definedName name="FormattedRange2">Test!$AC$12:$AQ$12</definedName>
    <definedName name="FormattedRange3">Test!$AC$14:$AQ$49</definedName>
    <definedName name="FunctionNames" localSheetId="5">Performance!$E$6:$H$6</definedName>
    <definedName name="HeaderRow" localSheetId="4">Test!$AC$12</definedName>
    <definedName name="Headers" localSheetId="7">Audit!$B$5:$F$5</definedName>
    <definedName name="IncludeLargeFiles" localSheetId="4">Test!$O$3</definedName>
    <definedName name="JuliaResultsFile" localSheetId="5">Performance!$B$5</definedName>
    <definedName name="NumFailed" localSheetId="4">Test!$O$5</definedName>
    <definedName name="NumPassed" localSheetId="4">Test!$O$4</definedName>
    <definedName name="NumSkipped" localSheetId="4">Test!$O$6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PutFormulasHere1" localSheetId="1">Performance_old!$E$6:$E$27</definedName>
    <definedName name="PutFormulasHere2" localSheetId="1">Performance_old!$E$33:$E$53</definedName>
    <definedName name="PutFormulasHere3" localSheetId="1">Performance_old!$E$60:$E$80</definedName>
    <definedName name="PutFormulasHere4" localSheetId="1">Performance_old!$E$87:$E$105</definedName>
    <definedName name="PutFormulasHere5" localSheetId="1">Performance_old!$E$114:$E$127</definedName>
    <definedName name="PutFormulasHere6" localSheetId="1">Performance_old!$E$141:$E$155</definedName>
    <definedName name="PutFormulasHere7" localSheetId="1">Performance_old!$E$168:$E$182</definedName>
    <definedName name="QuoteAllStrings" localSheetId="0">Demo!$C$4</definedName>
    <definedName name="RowNo" localSheetId="4">Test!$C$5</definedName>
    <definedName name="rxNoNo">RegExp!$K$11</definedName>
    <definedName name="rxNoYes">RegExp!$K$13</definedName>
    <definedName name="rxYesNo">RegExp!$K$12</definedName>
    <definedName name="rxYesYes">RegExp!$K$14</definedName>
    <definedName name="Test_Failures" localSheetId="4">Test!$W$14:$W$17</definedName>
    <definedName name="Unicode" localSheetId="0">Demo!$C$7</definedName>
    <definedName name="Windows" localSheetId="0">Demo!$C$4:$C$7</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2" i="3" l="1" a="1"/>
  <c r="I72" i="3"/>
  <c r="T25" i="3" a="1"/>
  <c r="T25" i="3"/>
  <c r="T26" i="3"/>
  <c r="T27" i="3"/>
  <c r="T28" i="3"/>
  <c r="T29" i="3"/>
  <c r="T30" i="3"/>
  <c r="T31" i="3"/>
  <c r="T32" i="3"/>
  <c r="T33" i="3"/>
  <c r="T34" i="3"/>
  <c r="T35" i="3"/>
  <c r="T36" i="3"/>
  <c r="T37" i="3"/>
  <c r="T38" i="3"/>
  <c r="T39" i="3"/>
  <c r="T40" i="3"/>
  <c r="K5" i="14" l="1" a="1"/>
  <c r="K5" i="14"/>
  <c r="I168" i="16" a="1"/>
  <c r="I168" i="16" s="1"/>
  <c r="I141" i="16" a="1"/>
  <c r="I141" i="16" s="1"/>
  <c r="I114" i="16" a="1"/>
  <c r="I114" i="16" s="1"/>
  <c r="I87" i="16" a="1"/>
  <c r="I87" i="16" s="1"/>
  <c r="I60" i="16" a="1"/>
  <c r="I60" i="16" s="1"/>
  <c r="I33" i="16" a="1"/>
  <c r="I33" i="16" s="1"/>
  <c r="I6" i="16" a="1"/>
  <c r="I6" i="16" s="1"/>
  <c r="A142" i="16" a="1"/>
  <c r="A142" i="16" s="1"/>
  <c r="B128" i="16"/>
  <c r="A128" i="16" s="1"/>
  <c r="B127" i="16"/>
  <c r="A127" i="16" s="1"/>
  <c r="B126" i="16"/>
  <c r="A126" i="16" s="1"/>
  <c r="B125" i="16"/>
  <c r="A125" i="16" s="1"/>
  <c r="B124" i="16"/>
  <c r="A124" i="16" s="1"/>
  <c r="B123" i="16"/>
  <c r="A123" i="16" s="1"/>
  <c r="B122" i="16"/>
  <c r="A122" i="16" s="1"/>
  <c r="B121" i="16"/>
  <c r="A121" i="16" s="1"/>
  <c r="B120" i="16"/>
  <c r="A120" i="16" s="1"/>
  <c r="B119" i="16"/>
  <c r="A119" i="16" s="1"/>
  <c r="B118" i="16"/>
  <c r="A118" i="16" s="1"/>
  <c r="B117" i="16"/>
  <c r="A117" i="16" s="1"/>
  <c r="B116" i="16"/>
  <c r="A116" i="16" s="1"/>
  <c r="B115" i="16"/>
  <c r="A115" i="16" s="1"/>
  <c r="A106" i="16"/>
  <c r="A105" i="16"/>
  <c r="A104" i="16"/>
  <c r="A103" i="16"/>
  <c r="A102" i="16"/>
  <c r="A101" i="16"/>
  <c r="A100" i="16"/>
  <c r="A99" i="16"/>
  <c r="A98" i="16"/>
  <c r="A97" i="16"/>
  <c r="A96" i="16"/>
  <c r="A95" i="16"/>
  <c r="A94" i="16"/>
  <c r="A93" i="16"/>
  <c r="A92" i="16"/>
  <c r="A91" i="16"/>
  <c r="A90" i="16"/>
  <c r="A89" i="16"/>
  <c r="A88" i="16"/>
  <c r="B81" i="16"/>
  <c r="A81" i="16" s="1"/>
  <c r="B80" i="16"/>
  <c r="A80" i="16" s="1"/>
  <c r="B79" i="16"/>
  <c r="A79" i="16" s="1"/>
  <c r="B78" i="16"/>
  <c r="A78" i="16" s="1"/>
  <c r="B77" i="16"/>
  <c r="A77" i="16" s="1"/>
  <c r="B76" i="16"/>
  <c r="A76" i="16" s="1"/>
  <c r="B75" i="16"/>
  <c r="A75" i="16" s="1"/>
  <c r="B74" i="16"/>
  <c r="A74" i="16" s="1"/>
  <c r="B73" i="16"/>
  <c r="A73" i="16" s="1"/>
  <c r="B72" i="16"/>
  <c r="A72" i="16" s="1"/>
  <c r="B71" i="16"/>
  <c r="A71" i="16" s="1"/>
  <c r="B70" i="16"/>
  <c r="A70" i="16" s="1"/>
  <c r="B69" i="16"/>
  <c r="A69" i="16" s="1"/>
  <c r="B68" i="16"/>
  <c r="A68" i="16" s="1"/>
  <c r="B67" i="16"/>
  <c r="A67" i="16" s="1"/>
  <c r="B66" i="16"/>
  <c r="A66" i="16" s="1"/>
  <c r="B65" i="16"/>
  <c r="A65" i="16" s="1"/>
  <c r="B64" i="16"/>
  <c r="A64" i="16" s="1"/>
  <c r="B63" i="16"/>
  <c r="A63" i="16" s="1"/>
  <c r="B62" i="16"/>
  <c r="A62" i="16" s="1"/>
  <c r="B61" i="16"/>
  <c r="A61" i="16" s="1"/>
  <c r="B54" i="16"/>
  <c r="A54" i="16" s="1"/>
  <c r="B53" i="16"/>
  <c r="A53" i="16" s="1"/>
  <c r="B52" i="16"/>
  <c r="A52" i="16" s="1"/>
  <c r="B51" i="16"/>
  <c r="A51" i="16" s="1"/>
  <c r="B50" i="16"/>
  <c r="A50" i="16" s="1"/>
  <c r="B49" i="16"/>
  <c r="A49" i="16" s="1"/>
  <c r="B48" i="16"/>
  <c r="A48" i="16" s="1"/>
  <c r="B47" i="16"/>
  <c r="A47" i="16" s="1"/>
  <c r="B46" i="16"/>
  <c r="A46" i="16" s="1"/>
  <c r="B45" i="16"/>
  <c r="A45" i="16" s="1"/>
  <c r="B44" i="16"/>
  <c r="A44" i="16" s="1"/>
  <c r="B43" i="16"/>
  <c r="A43" i="16" s="1"/>
  <c r="B42" i="16"/>
  <c r="A42" i="16" s="1"/>
  <c r="B41" i="16"/>
  <c r="A41" i="16" s="1"/>
  <c r="B40" i="16"/>
  <c r="A40" i="16" s="1"/>
  <c r="B39" i="16"/>
  <c r="A39" i="16" s="1"/>
  <c r="B38" i="16"/>
  <c r="A38" i="16" s="1"/>
  <c r="B37" i="16"/>
  <c r="A37" i="16" s="1"/>
  <c r="B36" i="16"/>
  <c r="A36" i="16" s="1"/>
  <c r="B35" i="16"/>
  <c r="A35" i="16" s="1"/>
  <c r="B34" i="16"/>
  <c r="A34" i="16" s="1"/>
  <c r="A28" i="16"/>
  <c r="A27" i="16"/>
  <c r="A26" i="16"/>
  <c r="A25" i="16"/>
  <c r="A24" i="16"/>
  <c r="A23" i="16"/>
  <c r="A22" i="16"/>
  <c r="A21" i="16"/>
  <c r="A20" i="16"/>
  <c r="A19" i="16"/>
  <c r="A18" i="16"/>
  <c r="A17" i="16"/>
  <c r="A16" i="16"/>
  <c r="A15" i="16"/>
  <c r="A14" i="16"/>
  <c r="A13" i="16"/>
  <c r="A12" i="16"/>
  <c r="A11" i="16"/>
  <c r="A10" i="16"/>
  <c r="A9" i="16"/>
  <c r="A8" i="16"/>
  <c r="A7" i="16"/>
  <c r="H17" i="11" a="1"/>
  <c r="B17" i="11" a="1"/>
  <c r="H17" i="11" l="1"/>
  <c r="B17" i="11"/>
  <c r="C8" i="4" l="1"/>
  <c r="D8" i="4"/>
  <c r="E8" i="4"/>
  <c r="F8" i="4"/>
  <c r="G8" i="4"/>
  <c r="H8" i="4"/>
  <c r="I8" i="4"/>
  <c r="J8" i="4"/>
  <c r="K8" i="4"/>
  <c r="L8" i="4"/>
  <c r="M8" i="4"/>
  <c r="N8" i="4"/>
  <c r="O8" i="4"/>
  <c r="P8" i="4"/>
  <c r="Q8" i="4"/>
  <c r="R8" i="4"/>
  <c r="S8" i="4"/>
  <c r="T8" i="4"/>
  <c r="U8" i="4"/>
  <c r="B8" i="4"/>
  <c r="I9" i="14"/>
  <c r="H9" i="14"/>
  <c r="G9" i="14"/>
  <c r="F9" i="14"/>
  <c r="E9" i="14"/>
  <c r="D9" i="14"/>
  <c r="B16" i="14" a="1"/>
  <c r="B16" i="14" s="1"/>
  <c r="B14" i="14" a="1"/>
  <c r="B14" i="14" s="1"/>
  <c r="B13" i="14" a="1"/>
  <c r="B13" i="14" s="1"/>
  <c r="B12" i="14" a="1"/>
  <c r="B12" i="14" s="1"/>
  <c r="B10" i="14" a="1"/>
  <c r="B10" i="14" s="1"/>
  <c r="C9" i="14"/>
  <c r="B9" i="14" s="1" a="1"/>
  <c r="B9" i="14" s="1"/>
  <c r="B8" i="14" a="1"/>
  <c r="B8" i="14" s="1"/>
  <c r="B6" i="14" a="1"/>
  <c r="B6" i="14" s="1"/>
  <c r="B3" i="14" a="1"/>
  <c r="V8" i="4" a="1"/>
  <c r="V8" i="4" l="1"/>
  <c r="B3" i="14"/>
  <c r="I48" i="5"/>
  <c r="G48" i="5"/>
  <c r="E48" i="5"/>
  <c r="C48" i="5"/>
  <c r="Y13" i="4"/>
  <c r="I16" i="11"/>
  <c r="I16" i="11" a="1"/>
  <c r="C16" i="11" a="1"/>
  <c r="C16" i="11" s="1"/>
  <c r="K11" i="11"/>
  <c r="B13" i="1" a="1"/>
  <c r="B108" i="4" a="1"/>
  <c r="B92" i="4" a="1"/>
  <c r="B114" i="4" a="1"/>
  <c r="B139" i="4" a="1"/>
  <c r="B113" i="4" a="1"/>
  <c r="B137" i="4" a="1"/>
  <c r="B112" i="4" a="1"/>
  <c r="B182" i="4" a="1"/>
  <c r="B143" i="4" a="1"/>
  <c r="B110" i="4" a="1"/>
  <c r="B89" i="4" a="1"/>
  <c r="B109" i="4" a="1"/>
  <c r="B140" i="4" a="1"/>
  <c r="B138" i="4" a="1"/>
  <c r="B13" i="1" l="1"/>
  <c r="B92" i="4"/>
  <c r="B89" i="4"/>
  <c r="B143" i="4"/>
  <c r="B108" i="4"/>
  <c r="B113" i="4"/>
  <c r="B112" i="4"/>
  <c r="B138" i="4"/>
  <c r="B110" i="4"/>
  <c r="B182" i="4"/>
  <c r="B137" i="4"/>
  <c r="B140" i="4"/>
  <c r="B109" i="4"/>
  <c r="B114" i="4"/>
  <c r="B139" i="4"/>
  <c r="K6" i="11"/>
  <c r="K9" i="11" s="1"/>
  <c r="K13" i="11" s="1"/>
  <c r="K8" i="11" l="1"/>
  <c r="K14" i="11" s="1"/>
  <c r="K12" i="11"/>
  <c r="D117" i="4"/>
  <c r="D118" i="4"/>
  <c r="D119" i="4"/>
  <c r="D120" i="4"/>
  <c r="F17" i="11" a="1"/>
  <c r="L17" i="11" a="1"/>
  <c r="E17" i="11" a="1"/>
  <c r="D17" i="11" a="1"/>
  <c r="J17" i="11" a="1"/>
  <c r="I17" i="11" a="1"/>
  <c r="C17" i="11" a="1"/>
  <c r="K17" i="11" a="1"/>
  <c r="B119" i="4" a="1"/>
  <c r="B120" i="4" a="1"/>
  <c r="I17" i="11" l="1"/>
  <c r="J17" i="11"/>
  <c r="L17" i="11"/>
  <c r="D17" i="11"/>
  <c r="E17" i="11"/>
  <c r="F17" i="11"/>
  <c r="K17" i="11"/>
  <c r="C17" i="11"/>
  <c r="B120" i="4"/>
  <c r="B119" i="4"/>
  <c r="D116" i="4"/>
  <c r="D115" i="4"/>
  <c r="B117" i="4" a="1"/>
  <c r="B118" i="4" a="1"/>
  <c r="B115" i="4" a="1"/>
  <c r="B116" i="4" a="1"/>
  <c r="B117" i="4" l="1"/>
  <c r="B115" i="4"/>
  <c r="B118" i="4"/>
  <c r="B116" i="4"/>
  <c r="Z14" i="4" l="1" a="1"/>
  <c r="Z59" i="4" s="1"/>
  <c r="X14" i="4" a="1"/>
  <c r="X14" i="4" s="1"/>
  <c r="B88" i="4" a="1"/>
  <c r="B175" i="4" a="1"/>
  <c r="B25" i="4" a="1"/>
  <c r="B179" i="4" a="1"/>
  <c r="B19" i="4" a="1"/>
  <c r="B183" i="4" a="1"/>
  <c r="B131" i="4" a="1"/>
  <c r="B86" i="4" a="1"/>
  <c r="B73" i="4" a="1"/>
  <c r="B147" i="4" a="1"/>
  <c r="B96" i="4" a="1"/>
  <c r="B132" i="4" a="1"/>
  <c r="B47" i="4" a="1"/>
  <c r="B129" i="4" a="1"/>
  <c r="B72" i="4" a="1"/>
  <c r="B176" i="4" a="1"/>
  <c r="B18" i="4" a="1"/>
  <c r="B177" i="4" a="1"/>
  <c r="B16" i="4" a="1"/>
  <c r="B59" i="4" a="1"/>
  <c r="B178" i="4" a="1"/>
  <c r="B66" i="4" a="1"/>
  <c r="B71" i="4" a="1"/>
  <c r="B53" i="4" a="1"/>
  <c r="B63" i="4" a="1"/>
  <c r="B51" i="4" a="1"/>
  <c r="B111" i="4" a="1"/>
  <c r="B136" i="4" a="1"/>
  <c r="B21" i="4" a="1"/>
  <c r="B103" i="4" a="1"/>
  <c r="B174" i="4" a="1"/>
  <c r="B94" i="4" a="1"/>
  <c r="B69" i="4" a="1"/>
  <c r="B17" i="4" a="1"/>
  <c r="B87" i="4" a="1"/>
  <c r="B29" i="4" a="1"/>
  <c r="B74" i="4" a="1"/>
  <c r="B100" i="4" a="1"/>
  <c r="B122" i="4" a="1"/>
  <c r="B60" i="4" a="1"/>
  <c r="B39" i="4" a="1"/>
  <c r="B50" i="4" a="1"/>
  <c r="B84" i="4" a="1"/>
  <c r="B99" i="4" a="1"/>
  <c r="B142" i="4" a="1"/>
  <c r="B83" i="4" a="1"/>
  <c r="B32" i="4" a="1"/>
  <c r="B67" i="4" a="1"/>
  <c r="B141" i="4" a="1"/>
  <c r="B48" i="4" a="1"/>
  <c r="B106" i="4" a="1"/>
  <c r="B38" i="4" a="1"/>
  <c r="B130" i="4" a="1"/>
  <c r="B91" i="4" a="1"/>
  <c r="B34" i="4" a="1"/>
  <c r="B128" i="4" a="1"/>
  <c r="B105" i="4" a="1"/>
  <c r="B56" i="4" a="1"/>
  <c r="B133" i="4" a="1"/>
  <c r="B186" i="4" a="1"/>
  <c r="B70" i="4" a="1"/>
  <c r="B65" i="4" a="1"/>
  <c r="B185" i="4" a="1"/>
  <c r="B104" i="4" a="1"/>
  <c r="B75" i="4" a="1"/>
  <c r="B45" i="4" a="1"/>
  <c r="B28" i="4" a="1"/>
  <c r="B64" i="4" a="1"/>
  <c r="B98" i="4" a="1"/>
  <c r="B26" i="4" a="1"/>
  <c r="B37" i="4" a="1"/>
  <c r="B31" i="4" a="1"/>
  <c r="B148" i="4" a="1"/>
  <c r="B61" i="4" a="1"/>
  <c r="B54" i="4" a="1"/>
  <c r="B22" i="4" a="1"/>
  <c r="B27" i="4" a="1"/>
  <c r="B49" i="4" a="1"/>
  <c r="B82" i="4" a="1"/>
  <c r="B81" i="4" a="1"/>
  <c r="B41" i="4" a="1"/>
  <c r="B79" i="4" a="1"/>
  <c r="B102" i="4" a="1"/>
  <c r="B40" i="4" a="1"/>
  <c r="B127" i="4" a="1"/>
  <c r="B181" i="4" a="1"/>
  <c r="B180" i="4" a="1"/>
  <c r="B24" i="4" a="1"/>
  <c r="B169" i="4" a="1"/>
  <c r="B172" i="4" a="1"/>
  <c r="B52" i="4" a="1"/>
  <c r="B101" i="4" a="1"/>
  <c r="B57" i="4" a="1"/>
  <c r="B93" i="4" a="1"/>
  <c r="B184" i="4" a="1"/>
  <c r="B20" i="4" a="1"/>
  <c r="B23" i="4" a="1"/>
  <c r="B78" i="4" a="1"/>
  <c r="B36" i="4" a="1"/>
  <c r="B170" i="4" a="1"/>
  <c r="B15" i="4" a="1"/>
  <c r="B171" i="4" a="1"/>
  <c r="B55" i="4" a="1"/>
  <c r="B146" i="4" a="1"/>
  <c r="B68" i="4" a="1"/>
  <c r="B35" i="4" a="1"/>
  <c r="B30" i="4" a="1"/>
  <c r="B77" i="4" a="1"/>
  <c r="B62" i="4" a="1"/>
  <c r="B124" i="4" a="1"/>
  <c r="B107" i="4" a="1"/>
  <c r="B43" i="4" a="1"/>
  <c r="B46" i="4" a="1"/>
  <c r="B123" i="4" a="1"/>
  <c r="B125" i="4" a="1"/>
  <c r="B134" i="4" a="1"/>
  <c r="B85" i="4" a="1"/>
  <c r="B121" i="4" a="1"/>
  <c r="B33" i="4" a="1"/>
  <c r="B58" i="4" a="1"/>
  <c r="B144" i="4" a="1"/>
  <c r="B14" i="4" a="1"/>
  <c r="B44" i="4" a="1"/>
  <c r="B126" i="4" a="1"/>
  <c r="B97" i="4" a="1"/>
  <c r="B42" i="4" a="1"/>
  <c r="B135" i="4" a="1"/>
  <c r="B173" i="4" a="1"/>
  <c r="B76" i="4" a="1"/>
  <c r="B80" i="4" a="1"/>
  <c r="B95" i="4" a="1"/>
  <c r="X29" i="4" l="1"/>
  <c r="X36" i="4"/>
  <c r="X28" i="4"/>
  <c r="X53" i="4"/>
  <c r="X21" i="4"/>
  <c r="X52" i="4"/>
  <c r="X20" i="4"/>
  <c r="X45" i="4"/>
  <c r="X44" i="4"/>
  <c r="X37" i="4"/>
  <c r="Z20" i="4"/>
  <c r="Z28" i="4"/>
  <c r="Z36" i="4"/>
  <c r="Z44" i="4"/>
  <c r="Z52" i="4"/>
  <c r="Z53" i="4"/>
  <c r="Z21" i="4"/>
  <c r="Z29" i="4"/>
  <c r="Z37" i="4"/>
  <c r="Z45" i="4"/>
  <c r="X59" i="4"/>
  <c r="X51" i="4"/>
  <c r="X43" i="4"/>
  <c r="X35" i="4"/>
  <c r="X27" i="4"/>
  <c r="X19" i="4"/>
  <c r="Z14" i="4"/>
  <c r="Z22" i="4"/>
  <c r="Z30" i="4"/>
  <c r="Z38" i="4"/>
  <c r="Z46" i="4"/>
  <c r="Z54" i="4"/>
  <c r="X58" i="4"/>
  <c r="X50" i="4"/>
  <c r="X42" i="4"/>
  <c r="X34" i="4"/>
  <c r="X26" i="4"/>
  <c r="X18" i="4"/>
  <c r="Z15" i="4"/>
  <c r="Z23" i="4"/>
  <c r="Z31" i="4"/>
  <c r="Z39" i="4"/>
  <c r="Z47" i="4"/>
  <c r="Z55" i="4"/>
  <c r="X57" i="4"/>
  <c r="X49" i="4"/>
  <c r="X41" i="4"/>
  <c r="X33" i="4"/>
  <c r="X25" i="4"/>
  <c r="X17" i="4"/>
  <c r="Z16" i="4"/>
  <c r="Z24" i="4"/>
  <c r="Z32" i="4"/>
  <c r="Z40" i="4"/>
  <c r="Z48" i="4"/>
  <c r="Z56" i="4"/>
  <c r="X56" i="4"/>
  <c r="X48" i="4"/>
  <c r="X40" i="4"/>
  <c r="X32" i="4"/>
  <c r="X24" i="4"/>
  <c r="X16" i="4"/>
  <c r="Z17" i="4"/>
  <c r="Z25" i="4"/>
  <c r="Z33" i="4"/>
  <c r="Z41" i="4"/>
  <c r="Z49" i="4"/>
  <c r="Z57" i="4"/>
  <c r="X55" i="4"/>
  <c r="X47" i="4"/>
  <c r="X39" i="4"/>
  <c r="X31" i="4"/>
  <c r="X23" i="4"/>
  <c r="X15" i="4"/>
  <c r="Z18" i="4"/>
  <c r="Z26" i="4"/>
  <c r="Z34" i="4"/>
  <c r="Z42" i="4"/>
  <c r="Z50" i="4"/>
  <c r="Z58" i="4"/>
  <c r="X54" i="4"/>
  <c r="X46" i="4"/>
  <c r="X38" i="4"/>
  <c r="X30" i="4"/>
  <c r="X22" i="4"/>
  <c r="Z19" i="4"/>
  <c r="Z27" i="4"/>
  <c r="Z35" i="4"/>
  <c r="Z43" i="4"/>
  <c r="Z51" i="4"/>
  <c r="B102" i="4"/>
  <c r="B101" i="4"/>
  <c r="B142" i="4"/>
  <c r="B95" i="4"/>
  <c r="B79" i="4"/>
  <c r="B104" i="4"/>
  <c r="B184" i="4"/>
  <c r="B131" i="4"/>
  <c r="B130" i="4"/>
  <c r="B74" i="4"/>
  <c r="B69" i="4"/>
  <c r="B66" i="4"/>
  <c r="B181" i="4"/>
  <c r="B61" i="4"/>
  <c r="B179" i="4"/>
  <c r="B178" i="4"/>
  <c r="B54" i="4"/>
  <c r="B51" i="4"/>
  <c r="B47" i="4"/>
  <c r="B43" i="4"/>
  <c r="B39" i="4"/>
  <c r="B35" i="4"/>
  <c r="B125" i="4"/>
  <c r="B30" i="4"/>
  <c r="B29" i="4"/>
  <c r="B25" i="4"/>
  <c r="B22" i="4"/>
  <c r="B18" i="4"/>
  <c r="B127" i="4"/>
  <c r="B171" i="4"/>
  <c r="B103" i="4"/>
  <c r="B83" i="4"/>
  <c r="B136" i="4"/>
  <c r="B99" i="4"/>
  <c r="B98" i="4"/>
  <c r="B148" i="4"/>
  <c r="B82" i="4"/>
  <c r="B91" i="4"/>
  <c r="B135" i="4"/>
  <c r="B72" i="4"/>
  <c r="B73" i="4"/>
  <c r="B121" i="4"/>
  <c r="B63" i="4"/>
  <c r="B58" i="4"/>
  <c r="B53" i="4"/>
  <c r="B50" i="4"/>
  <c r="B42" i="4"/>
  <c r="B38" i="4"/>
  <c r="B93" i="4"/>
  <c r="B128" i="4"/>
  <c r="B28" i="4"/>
  <c r="B21" i="4"/>
  <c r="B173" i="4"/>
  <c r="B124" i="4"/>
  <c r="B105" i="4"/>
  <c r="B86" i="4"/>
  <c r="B141" i="4"/>
  <c r="B94" i="4"/>
  <c r="B85" i="4"/>
  <c r="B78" i="4"/>
  <c r="B185" i="4"/>
  <c r="B169" i="4"/>
  <c r="B111" i="4"/>
  <c r="B60" i="4"/>
  <c r="B177" i="4"/>
  <c r="B46" i="4"/>
  <c r="B34" i="4"/>
  <c r="B126" i="4"/>
  <c r="B87" i="4"/>
  <c r="B132" i="4"/>
  <c r="B97" i="4"/>
  <c r="B146" i="4"/>
  <c r="B81" i="4"/>
  <c r="B186" i="4"/>
  <c r="B144" i="4"/>
  <c r="B183" i="4"/>
  <c r="B71" i="4"/>
  <c r="B65" i="4"/>
  <c r="B59" i="4"/>
  <c r="B176" i="4"/>
  <c r="B49" i="4"/>
  <c r="B45" i="4"/>
  <c r="B37" i="4"/>
  <c r="B33" i="4"/>
  <c r="B129" i="4"/>
  <c r="B174" i="4"/>
  <c r="B27" i="4"/>
  <c r="B24" i="4"/>
  <c r="B20" i="4"/>
  <c r="B17" i="4"/>
  <c r="B14" i="4"/>
  <c r="B96" i="4"/>
  <c r="B107" i="4"/>
  <c r="B147" i="4"/>
  <c r="B88" i="4"/>
  <c r="B84" i="4"/>
  <c r="B77" i="4"/>
  <c r="B106" i="4"/>
  <c r="B134" i="4"/>
  <c r="B76" i="4"/>
  <c r="B68" i="4"/>
  <c r="B180" i="4"/>
  <c r="B57" i="4"/>
  <c r="B175" i="4"/>
  <c r="B41" i="4"/>
  <c r="B16" i="4"/>
  <c r="B100" i="4"/>
  <c r="B75" i="4"/>
  <c r="B67" i="4"/>
  <c r="B64" i="4"/>
  <c r="B123" i="4"/>
  <c r="B55" i="4"/>
  <c r="B48" i="4"/>
  <c r="B40" i="4"/>
  <c r="B32" i="4"/>
  <c r="B122" i="4"/>
  <c r="B23" i="4"/>
  <c r="B172" i="4"/>
  <c r="B170" i="4"/>
  <c r="B80" i="4"/>
  <c r="B133" i="4"/>
  <c r="B70" i="4"/>
  <c r="B62" i="4"/>
  <c r="B56" i="4"/>
  <c r="B52" i="4"/>
  <c r="B44" i="4"/>
  <c r="B36" i="4"/>
  <c r="B31" i="4"/>
  <c r="B26" i="4"/>
  <c r="B19" i="4"/>
  <c r="B15" i="4"/>
  <c r="F74" i="4" l="1"/>
  <c r="F182" i="4"/>
  <c r="B4" i="5" l="1" a="1"/>
  <c r="B4" i="5" s="1"/>
  <c r="B6" i="5" a="1"/>
  <c r="B6" i="5" s="1"/>
  <c r="B8" i="5" a="1"/>
  <c r="B8" i="5" s="1"/>
  <c r="B10" i="5" a="1"/>
  <c r="B10" i="5" s="1"/>
  <c r="B11" i="5" a="1"/>
  <c r="B11" i="5" s="1"/>
  <c r="B12" i="5" a="1"/>
  <c r="B12" i="5" s="1"/>
  <c r="B14" i="5" a="1"/>
  <c r="B14" i="5" s="1"/>
  <c r="C7" i="5"/>
  <c r="B7" i="5" l="1" a="1"/>
  <c r="B7" i="5" s="1"/>
  <c r="A141" i="2" a="1"/>
  <c r="A141" i="2" s="1"/>
  <c r="B127" i="2"/>
  <c r="A127" i="2" s="1"/>
  <c r="B126" i="2"/>
  <c r="A126" i="2" s="1"/>
  <c r="B125" i="2"/>
  <c r="A125" i="2" s="1"/>
  <c r="B124" i="2"/>
  <c r="A124" i="2"/>
  <c r="B123" i="2"/>
  <c r="A123" i="2"/>
  <c r="B122" i="2"/>
  <c r="A122" i="2" s="1"/>
  <c r="B121" i="2"/>
  <c r="A121" i="2" s="1"/>
  <c r="B120" i="2"/>
  <c r="A120" i="2"/>
  <c r="B119" i="2"/>
  <c r="A119" i="2"/>
  <c r="B118" i="2"/>
  <c r="A118" i="2" s="1"/>
  <c r="B117" i="2"/>
  <c r="A117" i="2" s="1"/>
  <c r="B116" i="2"/>
  <c r="A116" i="2"/>
  <c r="B115" i="2"/>
  <c r="A115" i="2"/>
  <c r="B114" i="2"/>
  <c r="A114" i="2" s="1"/>
  <c r="A105" i="2"/>
  <c r="A104" i="2"/>
  <c r="A103" i="2"/>
  <c r="A102" i="2"/>
  <c r="A101" i="2"/>
  <c r="A100" i="2"/>
  <c r="A99" i="2"/>
  <c r="A98" i="2"/>
  <c r="A97" i="2"/>
  <c r="A96" i="2"/>
  <c r="A95" i="2"/>
  <c r="A94" i="2"/>
  <c r="A93" i="2"/>
  <c r="A92" i="2"/>
  <c r="A91" i="2"/>
  <c r="A90" i="2"/>
  <c r="A89" i="2"/>
  <c r="A88" i="2"/>
  <c r="A87" i="2"/>
  <c r="B80" i="2"/>
  <c r="A80" i="2" s="1"/>
  <c r="B79" i="2"/>
  <c r="A79" i="2" s="1"/>
  <c r="B78" i="2"/>
  <c r="A78" i="2"/>
  <c r="B77" i="2"/>
  <c r="A77" i="2"/>
  <c r="B76" i="2"/>
  <c r="A76" i="2" s="1"/>
  <c r="B75" i="2"/>
  <c r="A75" i="2" s="1"/>
  <c r="B74" i="2"/>
  <c r="A74" i="2" s="1"/>
  <c r="B73" i="2"/>
  <c r="A73" i="2"/>
  <c r="B72" i="2"/>
  <c r="A72" i="2" s="1"/>
  <c r="B71" i="2"/>
  <c r="A71" i="2" s="1"/>
  <c r="B70" i="2"/>
  <c r="A70" i="2"/>
  <c r="B69" i="2"/>
  <c r="A69" i="2" s="1"/>
  <c r="B68" i="2"/>
  <c r="A68" i="2" s="1"/>
  <c r="B67" i="2"/>
  <c r="A67" i="2" s="1"/>
  <c r="B66" i="2"/>
  <c r="A66" i="2"/>
  <c r="B65" i="2"/>
  <c r="A65" i="2"/>
  <c r="B64" i="2"/>
  <c r="A64" i="2" s="1"/>
  <c r="B63" i="2"/>
  <c r="A63" i="2" s="1"/>
  <c r="B62" i="2"/>
  <c r="A62" i="2"/>
  <c r="B61" i="2"/>
  <c r="A61" i="2" s="1"/>
  <c r="B60" i="2"/>
  <c r="A60" i="2" s="1"/>
  <c r="B53" i="2"/>
  <c r="A53" i="2" s="1"/>
  <c r="B52" i="2"/>
  <c r="A52" i="2" s="1"/>
  <c r="B51" i="2"/>
  <c r="A51" i="2" s="1"/>
  <c r="B50" i="2"/>
  <c r="A50" i="2" s="1"/>
  <c r="B49" i="2"/>
  <c r="A49" i="2" s="1"/>
  <c r="B48" i="2"/>
  <c r="A48" i="2" s="1"/>
  <c r="B47" i="2"/>
  <c r="A47" i="2" s="1"/>
  <c r="B46" i="2"/>
  <c r="A46" i="2" s="1"/>
  <c r="B45" i="2"/>
  <c r="A45" i="2" s="1"/>
  <c r="B44" i="2"/>
  <c r="A44" i="2" s="1"/>
  <c r="B43" i="2"/>
  <c r="A43" i="2"/>
  <c r="B42" i="2"/>
  <c r="A42" i="2" s="1"/>
  <c r="B41" i="2"/>
  <c r="A41" i="2" s="1"/>
  <c r="B40" i="2"/>
  <c r="A40" i="2"/>
  <c r="B39" i="2"/>
  <c r="A39" i="2" s="1"/>
  <c r="B38" i="2"/>
  <c r="A38" i="2" s="1"/>
  <c r="B37" i="2"/>
  <c r="A37" i="2" s="1"/>
  <c r="B36" i="2"/>
  <c r="A36" i="2" s="1"/>
  <c r="B35" i="2"/>
  <c r="A35" i="2" s="1"/>
  <c r="B34" i="2"/>
  <c r="A34" i="2" s="1"/>
  <c r="B33" i="2"/>
  <c r="A33" i="2" s="1"/>
  <c r="A27" i="2"/>
  <c r="A26" i="2"/>
  <c r="A25" i="2"/>
  <c r="A24" i="2"/>
  <c r="A23" i="2"/>
  <c r="A22" i="2"/>
  <c r="A21" i="2"/>
  <c r="A20" i="2"/>
  <c r="A19" i="2"/>
  <c r="A18" i="2"/>
  <c r="A17" i="2"/>
  <c r="A16" i="2"/>
  <c r="A15" i="2"/>
  <c r="A14" i="2"/>
  <c r="A13" i="2"/>
  <c r="A12" i="2"/>
  <c r="A11" i="2"/>
  <c r="A10" i="2"/>
  <c r="A9" i="2"/>
  <c r="A8" i="2"/>
  <c r="A7" i="2"/>
  <c r="A6" i="2"/>
  <c r="C17" i="5" a="1"/>
  <c r="C17" i="5" l="1"/>
  <c r="E50" i="5" a="1"/>
  <c r="G36" i="5" a="1"/>
  <c r="C36" i="5" a="1"/>
  <c r="G50" i="5" a="1"/>
  <c r="E13" i="1" a="1"/>
  <c r="I22" i="5" a="1"/>
  <c r="I36" i="5" a="1"/>
  <c r="I50" i="5" a="1"/>
  <c r="C22" i="5" a="1"/>
  <c r="C50" i="5" a="1"/>
  <c r="E22" i="5" a="1"/>
  <c r="E36" i="5" a="1"/>
  <c r="G22" i="5" a="1"/>
  <c r="G36" i="5" l="1"/>
  <c r="E50" i="5"/>
  <c r="E36" i="5"/>
  <c r="I36" i="5"/>
  <c r="G50" i="5"/>
  <c r="C50" i="5"/>
  <c r="C36" i="5"/>
  <c r="I50" i="5"/>
  <c r="E22" i="5"/>
  <c r="G22" i="5"/>
  <c r="I22" i="5"/>
  <c r="C22" i="5"/>
  <c r="E13" i="1"/>
  <c r="G13" i="1" a="1"/>
  <c r="L13" i="1" a="1"/>
  <c r="I13" i="1" a="1"/>
  <c r="L13" i="1" l="1"/>
  <c r="G13" i="1"/>
  <c r="I13" i="1"/>
  <c r="O13" i="1" a="1"/>
  <c r="O13" i="1" l="1"/>
  <c r="O11" i="1" s="1"/>
  <c r="C5" i="4" l="1"/>
  <c r="AC14" i="4" a="1"/>
  <c r="AC14" i="4" l="1"/>
  <c r="AC13" i="4"/>
  <c r="C3" i="4" a="1"/>
  <c r="C3" i="4" s="1"/>
  <c r="AC12" i="4" a="1"/>
  <c r="AA14" i="4" a="1"/>
  <c r="AC12" i="4" l="1"/>
  <c r="AA14" i="4"/>
  <c r="Y14" i="4" a="1"/>
  <c r="Y1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the null string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19" authorId="0" shapeId="0" xr:uid="{FE9E2DB7-33FD-455F-8E57-9B8C3340E57F}">
      <text>
        <r>
          <rPr>
            <b/>
            <sz val="9"/>
            <color indexed="81"/>
            <rFont val="Tahoma"/>
            <family val="2"/>
          </rPr>
          <t>Philip Swannell:</t>
        </r>
        <r>
          <rPr>
            <sz val="9"/>
            <color indexed="81"/>
            <rFont val="Tahoma"/>
            <family val="2"/>
          </rPr>
          <t xml:space="preserve">
single space char!</t>
        </r>
      </text>
    </comment>
    <comment ref="F31" authorId="0" shapeId="0" xr:uid="{9D8EB399-FA6B-4A2E-910E-1974EC40C6E1}">
      <text>
        <r>
          <rPr>
            <b/>
            <sz val="9"/>
            <color indexed="81"/>
            <rFont val="Tahoma"/>
            <family val="2"/>
          </rPr>
          <t>Philip Swannell:</t>
        </r>
        <r>
          <rPr>
            <sz val="9"/>
            <color indexed="81"/>
            <rFont val="Tahoma"/>
            <family val="2"/>
          </rPr>
          <t xml:space="preserve">
single space char!</t>
        </r>
      </text>
    </comment>
    <comment ref="F39" authorId="0" shapeId="0" xr:uid="{5D167A18-1A0C-4668-9485-38173841330B}">
      <text>
        <r>
          <rPr>
            <b/>
            <sz val="9"/>
            <color indexed="81"/>
            <rFont val="Tahoma"/>
            <family val="2"/>
          </rPr>
          <t>Philip Swannell:</t>
        </r>
        <r>
          <rPr>
            <sz val="9"/>
            <color indexed="81"/>
            <rFont val="Tahoma"/>
            <family val="2"/>
          </rPr>
          <t xml:space="preserve">
single space char!</t>
        </r>
      </text>
    </comment>
    <comment ref="F68" authorId="0" shapeId="0" xr:uid="{38563D09-FDC2-4BD4-BE76-196F392D5CAE}">
      <text>
        <r>
          <rPr>
            <b/>
            <sz val="9"/>
            <color indexed="81"/>
            <rFont val="Tahoma"/>
            <family val="2"/>
          </rPr>
          <t>Philip Swannell:</t>
        </r>
        <r>
          <rPr>
            <sz val="9"/>
            <color indexed="81"/>
            <rFont val="Tahoma"/>
            <family val="2"/>
          </rPr>
          <t xml:space="preserve">
single space
</t>
        </r>
      </text>
    </comment>
    <comment ref="F71"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<sst xmlns="http://schemas.openxmlformats.org/spreadsheetml/2006/main" count="1758" uniqueCount="779">
  <si>
    <t>VBA-CSV functions CSVWrite and CSVRead</t>
  </si>
  <si>
    <t>Inputs to CSVWrite</t>
  </si>
  <si>
    <t>Colour key</t>
  </si>
  <si>
    <t>FileName</t>
  </si>
  <si>
    <t>Number (or Date, according to cell's NumberFormat)</t>
  </si>
  <si>
    <t>QuoteAllStrings</t>
  </si>
  <si>
    <t>String</t>
  </si>
  <si>
    <t>DateFormat</t>
  </si>
  <si>
    <t>yyyy-mmm-dd</t>
  </si>
  <si>
    <t>DateTimeFormat</t>
  </si>
  <si>
    <t>yyyy-mmm-dd hh:mm:ss</t>
  </si>
  <si>
    <t>Error</t>
  </si>
  <si>
    <t>Unicode</t>
  </si>
  <si>
    <t>EOL</t>
  </si>
  <si>
    <t>Windows</t>
  </si>
  <si>
    <t>All equal, i.e. "round trip" worked?</t>
  </si>
  <si>
    <t>3) Example calls to CSVRead: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</si>
  <si>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</si>
  <si>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</si>
  <si>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</si>
  <si>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</si>
  <si>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</si>
  <si>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</si>
  <si>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</si>
  <si>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</si>
  <si>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</si>
  <si>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</si>
  <si>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</si>
  <si>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</si>
  <si>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</si>
  <si>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</si>
  <si>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</si>
  <si>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</si>
  <si>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</si>
  <si>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</si>
  <si>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</si>
  <si>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</si>
  <si>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</si>
  <si>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</si>
  <si>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</si>
  <si>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</si>
  <si>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</si>
  <si>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</si>
  <si>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</si>
  <si>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</si>
  <si>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</si>
  <si>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</si>
  <si>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</si>
  <si>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</si>
  <si>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</si>
  <si>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</si>
  <si>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</si>
  <si>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</si>
  <si>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</si>
  <si>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</si>
  <si>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</si>
  <si>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</si>
  <si>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</si>
  <si>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</si>
  <si>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</si>
  <si>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</si>
  <si>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</si>
  <si>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</si>
  <si>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</si>
  <si>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</si>
  <si>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</si>
  <si>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</si>
  <si>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</si>
  <si>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</si>
  <si>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</si>
  <si>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</si>
  <si>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</si>
  <si>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</si>
  <si>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</si>
  <si>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</si>
  <si>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</si>
  <si>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</si>
  <si>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</si>
  <si>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</si>
  <si>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</si>
  <si>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</si>
  <si>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</si>
  <si>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</si>
  <si>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</si>
  <si>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</si>
  <si>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</si>
  <si>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</si>
  <si>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</si>
  <si>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</si>
  <si>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</si>
  <si>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</si>
  <si>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</si>
  <si>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</si>
  <si>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</si>
  <si>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</si>
  <si>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</si>
  <si>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</si>
  <si>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</si>
  <si>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</si>
  <si>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</si>
  <si>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</si>
  <si>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</si>
  <si>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</si>
  <si>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</si>
  <si>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</si>
  <si>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</si>
  <si>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</si>
  <si>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</si>
  <si>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</si>
  <si>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</si>
  <si>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</si>
  <si>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</si>
  <si>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</si>
  <si>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</si>
  <si>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</si>
  <si>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</si>
  <si>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</si>
  <si>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</si>
  <si>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</si>
  <si>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</si>
  <si>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</si>
  <si>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</si>
  <si>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</si>
  <si>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</si>
  <si>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</si>
  <si>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</si>
  <si>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</si>
  <si>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</si>
  <si>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</si>
  <si>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</si>
  <si>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</si>
  <si>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</si>
  <si>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</si>
  <si>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</si>
  <si>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</si>
  <si>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</si>
  <si>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</si>
  <si>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</si>
  <si>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</si>
  <si>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</si>
  <si>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</si>
  <si>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</si>
  <si>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</si>
  <si>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</si>
  <si>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</si>
  <si>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</si>
  <si>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</si>
  <si>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</si>
  <si>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</si>
  <si>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</si>
  <si>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</si>
  <si>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</si>
  <si>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</si>
  <si>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</si>
  <si>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</si>
  <si>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</si>
  <si>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</si>
  <si>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</si>
  <si>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</si>
  <si>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</si>
  <si>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</si>
  <si>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</si>
  <si>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</si>
  <si>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</si>
  <si>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</si>
  <si>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</si>
  <si>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</si>
  <si>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</si>
  <si>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</si>
  <si>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</si>
  <si>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</si>
  <si>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</si>
  <si>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</si>
  <si>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</si>
  <si>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</si>
  <si>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</si>
  <si>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</si>
  <si>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</si>
  <si>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</si>
  <si>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</si>
  <si>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</si>
  <si>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</si>
  <si>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</si>
  <si>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</si>
  <si>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</si>
  <si>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</si>
  <si>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</si>
  <si>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</si>
  <si>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</si>
  <si>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</si>
  <si>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</si>
  <si>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</si>
  <si>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</si>
  <si>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</si>
  <si>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</si>
  <si>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</si>
  <si>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</si>
  <si>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</si>
  <si>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</si>
  <si>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</si>
  <si>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</si>
  <si>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</si>
  <si>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</si>
  <si>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Write checklist for releases</t>
  </si>
  <si>
    <t>https://github.com/ws-garcia/VBA-CSV-interface</t>
  </si>
  <si>
    <t>Philip Swannell</t>
  </si>
  <si>
    <t>More work on IgnoreRepeated.</t>
  </si>
  <si>
    <t>Added argument IgnoreRepeated.</t>
  </si>
  <si>
    <t>Check out CSV.jl's test suite</t>
  </si>
  <si>
    <t>Reinstated conditional formatting on sheet Demo.</t>
  </si>
  <si>
    <t>Added a bunch of functions to modCSVTestDeps so that we no longer have dependency on SAI for testing.</t>
  </si>
  <si>
    <t>Removed Help sheet - broken out to separate workbook</t>
  </si>
  <si>
    <t>dep on sai has crept back in</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</si>
  <si>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</si>
  <si>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</si>
  <si>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</si>
  <si>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</si>
  <si>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</si>
  <si>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</si>
  <si>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</si>
  <si>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</si>
  <si>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</si>
  <si>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</si>
  <si>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</si>
  <si>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</si>
  <si>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</si>
  <si>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</si>
  <si>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</si>
  <si>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</si>
  <si>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</si>
  <si>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</si>
  <si>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</si>
  <si>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</si>
  <si>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</si>
  <si>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</si>
  <si>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</si>
  <si>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</si>
  <si>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</si>
  <si>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</si>
  <si>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</si>
  <si>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</si>
  <si>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</si>
  <si>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</si>
  <si>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</si>
  <si>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</si>
  <si>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</si>
  <si>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</si>
  <si>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</si>
  <si>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</si>
  <si>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</si>
  <si>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OK</t>
  </si>
  <si>
    <t>Not relevant to us, we don't distinguish between Floats and Ints.</t>
  </si>
  <si>
    <t>Not relevant to us?</t>
  </si>
  <si>
    <t>D/M/Y</t>
  </si>
  <si>
    <t>Not sure what this is supposed to test</t>
  </si>
  <si>
    <t>Colnames have no special meaning in my world</t>
  </si>
  <si>
    <t>I don't support mixed date formats</t>
  </si>
  <si>
    <t>I don't support different leading and trailing quote chars</t>
  </si>
  <si>
    <t>I don't support zipped input</t>
  </si>
  <si>
    <t>I don't support headerrange</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</si>
  <si>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</si>
  <si>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</si>
  <si>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</si>
  <si>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</si>
  <si>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</si>
  <si>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</si>
  <si>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</si>
  <si>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</si>
  <si>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</si>
  <si>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</si>
  <si>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</si>
  <si>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</si>
  <si>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</si>
  <si>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</si>
  <si>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</si>
  <si>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</si>
  <si>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</si>
  <si>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</si>
  <si>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</si>
  <si>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</si>
  <si>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</si>
  <si>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</si>
  <si>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</si>
  <si>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</si>
  <si>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</si>
  <si>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</si>
  <si>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</si>
  <si>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</si>
  <si>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</si>
  <si>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</si>
  <si>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</si>
  <si>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</si>
  <si>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</si>
  <si>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</si>
  <si>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</si>
  <si>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</si>
  <si>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</si>
  <si>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</si>
  <si>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</si>
  <si>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</si>
  <si>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</si>
  <si>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</si>
  <si>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</si>
  <si>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</si>
  <si>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</si>
  <si>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</si>
  <si>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</si>
  <si>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</si>
  <si>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</si>
  <si>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</si>
  <si>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</si>
  <si>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</si>
  <si>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</si>
  <si>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</si>
  <si>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</si>
  <si>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</si>
  <si>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</si>
  <si>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</si>
  <si>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</si>
  <si>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</si>
  <si>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</si>
  <si>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</si>
  <si>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</si>
  <si>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</si>
  <si>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</si>
  <si>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</si>
  <si>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</si>
  <si>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</si>
  <si>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</si>
  <si>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</si>
  <si>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</si>
  <si>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</si>
  <si>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</si>
  <si>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</si>
  <si>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</si>
  <si>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</si>
  <si>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</si>
  <si>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</si>
  <si>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</si>
  <si>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</si>
  <si>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</si>
  <si>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</si>
  <si>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</si>
  <si>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</si>
  <si>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</si>
  <si>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</si>
  <si>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</si>
  <si>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</si>
  <si>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</si>
  <si>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</si>
  <si>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</si>
  <si>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</si>
  <si>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</si>
  <si>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</si>
  <si>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</si>
  <si>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</si>
  <si>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</si>
  <si>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</si>
  <si>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</si>
  <si>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</si>
  <si>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</si>
  <si>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</si>
  <si>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</si>
  <si>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</si>
  <si>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</si>
  <si>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</si>
  <si>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</si>
  <si>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</si>
  <si>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</si>
  <si>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</si>
  <si>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</si>
  <si>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</si>
  <si>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</si>
  <si>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</si>
  <si>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</si>
  <si>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</si>
  <si>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</si>
  <si>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</si>
  <si>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</si>
  <si>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</si>
  <si>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</si>
  <si>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</si>
  <si>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</si>
  <si>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I don't handle zipped files</t>
  </si>
  <si>
    <t>N</t>
  </si>
  <si>
    <t>This file does not have footer rows! Instead it has 3 empty rows at the start, which Excel seems to ignore as if SkipToRow = 4</t>
  </si>
  <si>
    <t>option to convert quoted strings to numbers etc.</t>
  </si>
  <si>
    <t>1</t>
  </si>
  <si>
    <t>TRUE</t>
  </si>
  <si>
    <t>abc</t>
  </si>
  <si>
    <t>#DIV/0!</t>
  </si>
  <si>
    <t>NDBE</t>
  </si>
  <si>
    <t>NDBEQ</t>
  </si>
  <si>
    <t>abc"def</t>
  </si>
  <si>
    <t>D</t>
  </si>
  <si>
    <t>B</t>
  </si>
  <si>
    <t>E</t>
  </si>
  <si>
    <t>R</t>
  </si>
  <si>
    <t>NQ</t>
  </si>
  <si>
    <t>DQ</t>
  </si>
  <si>
    <t>BQ</t>
  </si>
  <si>
    <t>EQ</t>
  </si>
  <si>
    <t>Data</t>
  </si>
  <si>
    <t>Testing ConvertTypes argument</t>
  </si>
  <si>
    <t>Call CSVRead with a variety of ConvertTypes arguments</t>
  </si>
  <si>
    <t>String containing quotes</t>
  </si>
  <si>
    <t>Boolean</t>
  </si>
  <si>
    <t>Performance</t>
  </si>
  <si>
    <t>Changes to type conversion code. Now possible to convert quoted strings.</t>
  </si>
  <si>
    <t>Amend readmorefromfile to cope with ignore repeated. Have to ensure last characters of chunk read are not delimiter (I think, would at least be safer bet)</t>
  </si>
  <si>
    <t>Add Comment as argument</t>
  </si>
  <si>
    <t>Cleaner way of testing...</t>
  </si>
  <si>
    <t>cope with delimiters as last characters of line when ignorerepeated is true.</t>
  </si>
  <si>
    <t>New argument "Comment" to CSVRead.</t>
  </si>
  <si>
    <t>#</t>
  </si>
  <si>
    <t>//</t>
  </si>
  <si>
    <t>We do not support transpose</t>
  </si>
  <si>
    <t>test_converttypes_arg.csv</t>
  </si>
  <si>
    <t>C:\Projects\VBA-CSV\testfiles\</t>
  </si>
  <si>
    <t>test_skip_args.csv</t>
  </si>
  <si>
    <t>test_skip_args_with_comments.csv</t>
  </si>
  <si>
    <t>New module modCSVTest</t>
  </si>
  <si>
    <t>Removed modCVSTestAgainstExcel.</t>
  </si>
  <si>
    <t>Test to test the tests</t>
  </si>
  <si>
    <t>"Triangular" test</t>
  </si>
  <si>
    <t>test strange delimiter</t>
  </si>
  <si>
    <t>test ignore repeated delimiter with delimiter length &gt; 1</t>
  </si>
  <si>
    <t>simplify round trip testing, no longer need to test ragged and make use of sArraysIdentical.</t>
  </si>
  <si>
    <t>test_triangular.csv</t>
  </si>
  <si>
    <t>OK but maybe some of the accented characters not coming through correctly?</t>
  </si>
  <si>
    <t>Test Files</t>
  </si>
  <si>
    <t>{"}</t>
  </si>
  <si>
    <t>test_strange_delimiter.csv</t>
  </si>
  <si>
    <t>test_ignoring_repeated_multicharacter_delimiter.csv</t>
  </si>
  <si>
    <t>Delim</t>
  </si>
  <si>
    <t>RowNo</t>
  </si>
  <si>
    <t>CaseNo</t>
  </si>
  <si>
    <t>More work on tests</t>
  </si>
  <si>
    <t>NumPassed</t>
  </si>
  <si>
    <t>NumFailed</t>
  </si>
  <si>
    <t>File Size</t>
  </si>
  <si>
    <t>Test Failures</t>
  </si>
  <si>
    <t>T option to trim</t>
  </si>
  <si>
    <t>column-by-column type conversion.</t>
  </si>
  <si>
    <t>NT</t>
  </si>
  <si>
    <t>T</t>
  </si>
  <si>
    <t>Now support "T" as a ConvertTypes option.</t>
  </si>
  <si>
    <t>Measure speed of Julia CSV</t>
  </si>
  <si>
    <t>re-do performance tests</t>
  </si>
  <si>
    <t>handle UTF8 with BOM</t>
  </si>
  <si>
    <t>Double-click cell to examine file!</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</si>
  <si>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</si>
  <si>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</si>
  <si>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</si>
  <si>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</si>
  <si>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</si>
  <si>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</si>
  <si>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</si>
  <si>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</si>
  <si>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</si>
  <si>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change order of arguments of CSVWrite?</t>
  </si>
  <si>
    <t>CSV write to string</t>
  </si>
  <si>
    <t>CSVRead from URL and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</si>
  <si>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</si>
  <si>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</si>
  <si>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</si>
  <si>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</si>
  <si>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</si>
  <si>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</si>
  <si>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</si>
  <si>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</si>
  <si>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</si>
  <si>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</si>
  <si>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</si>
  <si>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</si>
  <si>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</si>
  <si>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</si>
  <si>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</si>
  <si>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</si>
  <si>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</si>
  <si>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</si>
  <si>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Documentation of all fns in all modules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</si>
  <si>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</si>
  <si>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</si>
  <si>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</si>
  <si>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</si>
  <si>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</si>
  <si>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</si>
  <si>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</si>
  <si>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</si>
  <si>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</si>
  <si>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</si>
  <si>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</si>
  <si>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</si>
  <si>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</si>
  <si>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</si>
  <si>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</si>
  <si>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</si>
  <si>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</si>
  <si>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</si>
  <si>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</si>
  <si>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Call CSVWrite , but without FileName argument</t>
  </si>
  <si>
    <t>CSVContents</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</si>
  <si>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</si>
  <si>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</si>
  <si>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</si>
  <si>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</si>
  <si>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</si>
  <si>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</si>
  <si>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</si>
  <si>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</si>
  <si>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</si>
  <si>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</si>
  <si>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</si>
  <si>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</si>
  <si>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</si>
  <si>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</si>
  <si>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</si>
  <si>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</si>
  <si>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</si>
  <si>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</si>
  <si>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</si>
  <si>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</si>
  <si>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</si>
  <si>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</si>
  <si>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</si>
  <si>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incorrect doc-string "case insensitive"</t>
  </si>
  <si>
    <t>doc of ConvertField does not document ISO8601</t>
  </si>
  <si>
    <t>make all methods private unless must not be</t>
  </si>
  <si>
    <t>improve method TestSentinelSpeed to be more automatic</t>
  </si>
  <si>
    <t>Stop having fns start with s</t>
  </si>
  <si>
    <t>merge in module modCSVISO8601</t>
  </si>
  <si>
    <t>test_empty_lines.csv</t>
  </si>
  <si>
    <t>IgnoreEmptyLines</t>
  </si>
  <si>
    <t>tests - padding, string input, not delimited files</t>
  </si>
  <si>
    <t>(Z|((\+|\-)[0-2][0-9]:[0-5][0-9]))</t>
  </si>
  <si>
    <t>test_padding.csv</t>
  </si>
  <si>
    <t>test_not_delimited.csv</t>
  </si>
  <si>
    <t>a)  Delimiter = FALSE. Shows contents not delimited.</t>
  </si>
  <si>
    <t>b) ConvertTypes = FALSE. All fields returned as strings</t>
  </si>
  <si>
    <t>c) ConvertTypes = TRUE. Fields revert to their original types</t>
  </si>
  <si>
    <t>ISO vs ISOZ  idea</t>
  </si>
  <si>
    <t>Time Zone</t>
  </si>
  <si>
    <t>(Time part and optional fractional second) and timezone</t>
  </si>
  <si>
    <t>The expressions do not necessarily reject strings for which elements are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</si>
  <si>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</si>
  <si>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</si>
  <si>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</si>
  <si>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</si>
  <si>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</si>
  <si>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</si>
  <si>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</si>
  <si>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</si>
  <si>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</si>
  <si>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</si>
  <si>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</si>
  <si>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</si>
  <si>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</si>
  <si>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</si>
  <si>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</si>
  <si>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</si>
  <si>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</si>
  <si>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</si>
  <si>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</si>
  <si>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</si>
  <si>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</si>
  <si>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</si>
  <si>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</si>
  <si>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</si>
  <si>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This file does not have windows line endings, despite its naem.</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</si>
  <si>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</si>
  <si>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</si>
  <si>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</si>
  <si>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</si>
  <si>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</si>
  <si>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</si>
  <si>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</si>
  <si>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</si>
  <si>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</si>
  <si>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</si>
  <si>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Enhance GenerateTestCode to create both a case statement and a separate fn.</t>
  </si>
  <si>
    <t>More refactoring.</t>
  </si>
  <si>
    <t>Changes to sheet Demo.</t>
  </si>
  <si>
    <t>Backports to SAI</t>
  </si>
  <si>
    <t>Improve code for VBA header generation</t>
  </si>
  <si>
    <t>Hstack and VStack treatment of 1-d arrays</t>
  </si>
  <si>
    <t>C:\Projects\VBA-CSV\workbook\VBA-CSV.xlsm</t>
  </si>
  <si>
    <t>C:\Projects\VBA-CSV\src\modCSVReadWrite.bas</t>
  </si>
  <si>
    <t>C:\Projects\VBA-CSV\dev\modCSVTest.bas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</si>
  <si>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</si>
  <si>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</si>
  <si>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</si>
  <si>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</si>
  <si>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</si>
  <si>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</si>
  <si>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</si>
  <si>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</si>
  <si>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</si>
  <si>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</si>
  <si>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</si>
  <si>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</si>
  <si>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</si>
  <si>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</si>
  <si>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</si>
  <si>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</si>
  <si>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</si>
  <si>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</si>
  <si>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</si>
  <si>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</si>
  <si>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</si>
  <si>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</si>
  <si>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C:\Projects\VBA-CSV\testfiles\test_column-by-column.csv</t>
  </si>
  <si>
    <t>test_column-by-column.csv</t>
  </si>
  <si>
    <t xml:space="preserve">0,True
"Col B","N"
"Col C","D"
"Col D","BE"
"Col E","NQ"
"Col F","DQ"
"Col G","BEQ"
</t>
  </si>
  <si>
    <t>Testing Column-by-Column formatting</t>
  </si>
  <si>
    <t>Size:</t>
  </si>
  <si>
    <t>Raw: CSVRead with Delimiter = FALSE</t>
  </si>
  <si>
    <t>More tests and fixes to column-by-column formatting.</t>
  </si>
  <si>
    <t>CSVRead
v0.1</t>
  </si>
  <si>
    <t>sdkn104
v1.9</t>
  </si>
  <si>
    <t>ws_garcia
v3.1.5</t>
  </si>
  <si>
    <t>CSV.jl
v0.8.5+</t>
  </si>
  <si>
    <t>JuliaResultsFile</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</si>
  <si>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</si>
  <si>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</si>
  <si>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</si>
  <si>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</si>
  <si>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</si>
  <si>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</si>
  <si>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</si>
  <si>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</si>
  <si>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</si>
  <si>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</si>
  <si>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</si>
  <si>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</si>
  <si>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</si>
  <si>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</si>
  <si>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</si>
  <si>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</si>
  <si>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</si>
  <si>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</si>
  <si>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</si>
  <si>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</si>
  <si>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</si>
  <si>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</si>
  <si>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</si>
  <si>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</si>
  <si>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</si>
  <si>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</si>
  <si>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</si>
  <si>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</si>
  <si>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</si>
  <si>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</si>
  <si>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</si>
  <si>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</si>
  <si>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</si>
  <si>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</si>
  <si>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</si>
  <si>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</si>
  <si>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</si>
  <si>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</si>
  <si>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</si>
  <si>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</si>
  <si>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</si>
  <si>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</si>
  <si>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</si>
  <si>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</si>
  <si>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</si>
  <si>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</si>
  <si>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</si>
  <si>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</si>
  <si>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</si>
  <si>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</si>
  <si>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</si>
  <si>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</si>
  <si>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</si>
  <si>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</si>
  <si>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</si>
  <si>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</si>
  <si>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</si>
  <si>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</si>
  <si>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</si>
  <si>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</si>
  <si>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</si>
  <si>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</si>
  <si>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</si>
  <si>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</si>
  <si>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</si>
  <si>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</si>
  <si>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</si>
  <si>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</si>
  <si>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</si>
  <si>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</si>
  <si>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</si>
  <si>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</si>
  <si>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</si>
  <si>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</si>
  <si>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</si>
  <si>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</si>
  <si>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</si>
  <si>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</si>
  <si>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</si>
  <si>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</si>
  <si>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</si>
  <si>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</si>
  <si>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</si>
  <si>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</si>
  <si>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</si>
  <si>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</si>
  <si>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</si>
  <si>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</si>
  <si>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</si>
  <si>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</si>
  <si>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</si>
  <si>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</si>
  <si>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</si>
  <si>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</si>
  <si>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</si>
  <si>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</si>
  <si>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</si>
  <si>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</si>
  <si>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</si>
  <si>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</si>
  <si>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</si>
  <si>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</si>
  <si>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</si>
  <si>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</si>
  <si>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</si>
  <si>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</si>
  <si>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</si>
  <si>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</si>
  <si>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</si>
  <si>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</si>
  <si>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</si>
  <si>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</si>
  <si>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</si>
  <si>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</si>
  <si>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</si>
  <si>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</si>
  <si>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</si>
  <si>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</si>
  <si>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</si>
  <si>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</si>
  <si>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</si>
  <si>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</si>
  <si>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</si>
  <si>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</si>
  <si>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</si>
  <si>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</si>
  <si>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</si>
  <si>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C:\Users\phili\AppData\Local\Temp\VBA-CSV\Performance\JuliaResults.txt</t>
  </si>
  <si>
    <t>This data generated 4-Aug-2021 18:20</t>
  </si>
  <si>
    <t>Parse Time v Num Rows. Log Scales.
One column of 1-char fields.</t>
  </si>
  <si>
    <t>Parse Time vs Num Rows. Log Scales.
One column of 32-char fields.</t>
  </si>
  <si>
    <t>Parse Time vs Num Rows. Log Scales.
One column of 20-char fields with embedded breaks.</t>
  </si>
  <si>
    <t>Parse Time vs Num Rows. Log Scales.
10 columns of 17-char numeric fields (no quotes).</t>
  </si>
  <si>
    <t>Parse Time vs Num Cols. Log Scales.
8 rows of 16-char fields (no quotes).</t>
  </si>
  <si>
    <t>Parse Time vs Field Length. Log Scales.
1024 rows, 8 columns. Fields not quoted.</t>
  </si>
  <si>
    <t>Parse Time vs Field Length. Log Scales.
1024 rows, 8 columns. Fields quoted.</t>
  </si>
  <si>
    <t>Reworked performance testing to include comparison with Julia.</t>
  </si>
  <si>
    <t>Test results on separate sheet</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</si>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</sst>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0;[Red]\-#,##0"/>
    <numFmt numFmtId="168" formatCode="hh:mm"/>
    <numFmt numFmtId="169" formatCode="dd\-mmm\-yyyy\ hh:mm:ss"/>
  </numFmts>
  <fonts count="18"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trike/>
      <sz val="11"/>
      <color theme="1"/>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i/>
      <sz val="11"/>
      <color rgb="FFFF0000"/>
      <name val="Calibri"/>
      <family val="2"/>
      <scheme val="minor"/>
    </font>
    <font>
      <sz val="11"/>
      <color rgb="FF000000"/>
      <name val="Calibri"/>
      <family val="2"/>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4" fillId="4" borderId="0" xfId="0" quotePrefix="1" applyFont="1" applyFill="1" applyAlignment="1">
      <alignment horizontal="left"/>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7"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8" fillId="7" borderId="6" xfId="0" applyNumberFormat="1" applyFont="1" applyFill="1" applyBorder="1" applyAlignment="1">
      <alignment horizontal="left" vertical="center"/>
    </xf>
    <xf numFmtId="0" fontId="8" fillId="7" borderId="6" xfId="0" applyFont="1" applyFill="1" applyBorder="1" applyAlignment="1">
      <alignment horizontal="left" vertical="center"/>
    </xf>
    <xf numFmtId="0" fontId="8" fillId="7" borderId="7" xfId="0" applyFont="1" applyFill="1" applyBorder="1" applyAlignment="1">
      <alignment horizontal="left" vertical="center" wrapText="1"/>
    </xf>
    <xf numFmtId="0" fontId="8" fillId="7" borderId="7" xfId="0" quotePrefix="1" applyFont="1" applyFill="1" applyBorder="1" applyAlignment="1">
      <alignment horizontal="left" vertical="center" wrapText="1"/>
    </xf>
    <xf numFmtId="38" fontId="8" fillId="7" borderId="8" xfId="0" applyNumberFormat="1" applyFont="1" applyFill="1" applyBorder="1" applyAlignment="1">
      <alignment horizontal="center" vertical="center"/>
    </xf>
    <xf numFmtId="164" fontId="8" fillId="7" borderId="9" xfId="0" applyNumberFormat="1" applyFont="1" applyFill="1" applyBorder="1" applyAlignment="1">
      <alignment horizontal="left" vertical="center"/>
    </xf>
    <xf numFmtId="0" fontId="8" fillId="7" borderId="9" xfId="0" applyFont="1" applyFill="1" applyBorder="1" applyAlignment="1">
      <alignment horizontal="left" vertical="center"/>
    </xf>
    <xf numFmtId="0" fontId="8"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8"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0" fillId="0" borderId="1" xfId="0" applyNumberFormat="1" applyBorder="1" applyAlignment="1">
      <alignment horizontal="left"/>
    </xf>
    <xf numFmtId="0" fontId="12" fillId="0" borderId="0" xfId="0" quotePrefix="1" applyFont="1" applyAlignment="1">
      <alignment horizontal="left"/>
    </xf>
    <xf numFmtId="0" fontId="6" fillId="0" borderId="0" xfId="1" quotePrefix="1" applyAlignment="1">
      <alignment horizontal="left"/>
    </xf>
    <xf numFmtId="0" fontId="7" fillId="0" borderId="0" xfId="0" quotePrefix="1" applyFont="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38" fontId="8" fillId="7" borderId="5" xfId="0" applyNumberFormat="1" applyFont="1" applyFill="1" applyBorder="1" applyAlignment="1">
      <alignment horizontal="center" vertical="center"/>
    </xf>
    <xf numFmtId="0" fontId="5" fillId="0" borderId="0" xfId="0" applyFont="1" applyProtection="1">
      <protection locked="0"/>
    </xf>
    <xf numFmtId="38" fontId="14" fillId="0" borderId="1" xfId="0" applyNumberFormat="1" applyFont="1" applyBorder="1" applyAlignment="1">
      <alignment horizontal="center" vertical="center"/>
    </xf>
    <xf numFmtId="38" fontId="14"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167" fontId="8"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8" fillId="7" borderId="6" xfId="0" applyNumberFormat="1" applyFont="1" applyFill="1" applyBorder="1" applyAlignment="1">
      <alignment horizontal="left" vertical="center"/>
    </xf>
    <xf numFmtId="168" fontId="8" fillId="7" borderId="9" xfId="0" applyNumberFormat="1" applyFont="1" applyFill="1" applyBorder="1" applyAlignment="1">
      <alignment horizontal="left" vertical="center"/>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9" borderId="0" xfId="0" applyFill="1"/>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0" borderId="0" xfId="0" applyAlignment="1">
      <alignment horizontal="center" wrapText="1"/>
    </xf>
    <xf numFmtId="0" fontId="2" fillId="0" borderId="1" xfId="0" applyFont="1" applyBorder="1" applyAlignment="1">
      <alignment horizontal="center"/>
    </xf>
    <xf numFmtId="0" fontId="2" fillId="0" borderId="1" xfId="0" quotePrefix="1" applyFont="1" applyBorder="1" applyAlignment="1">
      <alignment horizontal="center"/>
    </xf>
    <xf numFmtId="0" fontId="0" fillId="9" borderId="0" xfId="0" quotePrefix="1" applyFill="1" applyAlignment="1">
      <alignment horizontal="left"/>
    </xf>
    <xf numFmtId="0" fontId="0" fillId="4" borderId="0" xfId="0" quotePrefix="1" applyFont="1" applyFill="1" applyAlignment="1">
      <alignment horizontal="left"/>
    </xf>
    <xf numFmtId="0" fontId="17" fillId="0" borderId="0" xfId="0" applyFont="1"/>
    <xf numFmtId="0" fontId="0" fillId="0" borderId="1" xfId="0" applyNumberFormat="1" applyBorder="1" applyAlignment="1"/>
    <xf numFmtId="0" fontId="0" fillId="0" borderId="0" xfId="0" quotePrefix="1"/>
    <xf numFmtId="167"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9" fontId="0" fillId="0" borderId="0" xfId="0" applyNumberFormat="1"/>
    <xf numFmtId="0" fontId="11" fillId="8" borderId="1" xfId="0" applyFont="1" applyFill="1" applyBorder="1" applyAlignment="1">
      <alignment horizontal="center" vertical="center" textRotation="90"/>
    </xf>
  </cellXfs>
  <cellStyles count="2">
    <cellStyle name="Hyperlink" xfId="1" builtinId="8"/>
    <cellStyle name="Normal" xfId="0" builtinId="0"/>
  </cellStyles>
  <dxfs count="378">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Performance_old!$F$32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Performance_old!$G$32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Performance_old!$F$59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Performance_old!$G$59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Performance_old!$F$86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Performance_old!$G$86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Performance_old!$F$113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Performance_old!$G$113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Performance_old!$F$140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Performance_old!$G$140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Performance_old!$F$167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Performance_old!$G$167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Performance_old!$F$5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Performance_old!$G$5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CA3A-4164-99FD-9AF78B492559}"/>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CA3A-4164-99FD-9AF78B492559}"/>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CA3A-4164-99FD-9AF78B492559}"/>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CA3A-4164-99FD-9AF78B492559}"/>
            </c:ext>
          </c:extLst>
        </c:ser>
        <c:dLbls>
          <c:showLegendKey val="0"/>
          <c:showVal val="0"/>
          <c:showCatName val="0"/>
          <c:showSerName val="0"/>
          <c:showPercent val="0"/>
          <c:showBubbleSize val="0"/>
        </c:dLbls>
        <c:axId val="1001350032"/>
        <c:axId val="1001330064"/>
      </c:scatterChart>
      <c:valAx>
        <c:axId val="1001350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30064"/>
        <c:crosses val="autoZero"/>
        <c:crossBetween val="midCat"/>
      </c:valAx>
      <c:valAx>
        <c:axId val="10013300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50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vs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6671-4FE9-A593-975B3DE4A75E}"/>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6671-4FE9-A593-975B3DE4A75E}"/>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6671-4FE9-A593-975B3DE4A75E}"/>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6671-4FE9-A593-975B3DE4A75E}"/>
            </c:ext>
          </c:extLst>
        </c:ser>
        <c:dLbls>
          <c:showLegendKey val="0"/>
          <c:showVal val="0"/>
          <c:showCatName val="0"/>
          <c:showSerName val="0"/>
          <c:showPercent val="0"/>
          <c:showBubbleSize val="0"/>
        </c:dLbls>
        <c:axId val="205100879"/>
        <c:axId val="205115023"/>
      </c:scatterChart>
      <c:valAx>
        <c:axId val="20510087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15023"/>
        <c:crosses val="autoZero"/>
        <c:crossBetween val="midCat"/>
      </c:valAx>
      <c:valAx>
        <c:axId val="205115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008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vs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7A7B-4BBE-9D84-77289D84876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7A7B-4BBE-9D84-77289D84876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7A7B-4BBE-9D84-77289D84876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7A7B-4BBE-9D84-77289D848760}"/>
            </c:ext>
          </c:extLst>
        </c:ser>
        <c:dLbls>
          <c:showLegendKey val="0"/>
          <c:showVal val="0"/>
          <c:showCatName val="0"/>
          <c:showSerName val="0"/>
          <c:showPercent val="0"/>
          <c:showBubbleSize val="0"/>
        </c:dLbls>
        <c:axId val="1001344208"/>
        <c:axId val="1001340880"/>
      </c:scatterChart>
      <c:valAx>
        <c:axId val="100134420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0880"/>
        <c:crosses val="autoZero"/>
        <c:crossBetween val="midCat"/>
      </c:valAx>
      <c:valAx>
        <c:axId val="100134088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4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vs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9D0D-4762-BA83-3CB379F3FC30}"/>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9D0D-4762-BA83-3CB379F3FC30}"/>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9D0D-4762-BA83-3CB379F3FC30}"/>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D0D-4762-BA83-3CB379F3FC30}"/>
            </c:ext>
          </c:extLst>
        </c:ser>
        <c:dLbls>
          <c:showLegendKey val="0"/>
          <c:showVal val="0"/>
          <c:showCatName val="0"/>
          <c:showSerName val="0"/>
          <c:showPercent val="0"/>
          <c:showBubbleSize val="0"/>
        </c:dLbls>
        <c:axId val="1001344208"/>
        <c:axId val="1001341296"/>
      </c:scatterChart>
      <c:valAx>
        <c:axId val="100134420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1296"/>
        <c:crosses val="autoZero"/>
        <c:crossBetween val="midCat"/>
      </c:valAx>
      <c:valAx>
        <c:axId val="1001341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4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vs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87FD-415A-9135-8295D8529FFD}"/>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87FD-415A-9135-8295D8529FFD}"/>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87FD-415A-9135-8295D8529FFD}"/>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87FD-415A-9135-8295D8529FFD}"/>
            </c:ext>
          </c:extLst>
        </c:ser>
        <c:dLbls>
          <c:showLegendKey val="0"/>
          <c:showVal val="0"/>
          <c:showCatName val="0"/>
          <c:showSerName val="0"/>
          <c:showPercent val="0"/>
          <c:showBubbleSize val="0"/>
        </c:dLbls>
        <c:axId val="1001341712"/>
        <c:axId val="1001328816"/>
      </c:scatterChart>
      <c:valAx>
        <c:axId val="1001341712"/>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28816"/>
        <c:crosses val="autoZero"/>
        <c:crossBetween val="midCat"/>
      </c:valAx>
      <c:valAx>
        <c:axId val="10013288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1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vs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93A3-4AA1-8690-EA0AC0E2C09B}"/>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93A3-4AA1-8690-EA0AC0E2C09B}"/>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93A3-4AA1-8690-EA0AC0E2C09B}"/>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93A3-4AA1-8690-EA0AC0E2C09B}"/>
            </c:ext>
          </c:extLst>
        </c:ser>
        <c:dLbls>
          <c:showLegendKey val="0"/>
          <c:showVal val="0"/>
          <c:showCatName val="0"/>
          <c:showSerName val="0"/>
          <c:showPercent val="0"/>
          <c:showBubbleSize val="0"/>
        </c:dLbls>
        <c:axId val="1239959344"/>
        <c:axId val="1239965168"/>
      </c:scatterChart>
      <c:valAx>
        <c:axId val="123995934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965168"/>
        <c:crosses val="autoZero"/>
        <c:crossBetween val="midCat"/>
      </c:valAx>
      <c:valAx>
        <c:axId val="1239965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959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vs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3BC4-4C63-BA3E-4E2E529108F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3BC4-4C63-BA3E-4E2E529108F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3BC4-4C63-BA3E-4E2E529108F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3BC4-4C63-BA3E-4E2E529108F0}"/>
            </c:ext>
          </c:extLst>
        </c:ser>
        <c:dLbls>
          <c:showLegendKey val="0"/>
          <c:showVal val="0"/>
          <c:showCatName val="0"/>
          <c:showSerName val="0"/>
          <c:showPercent val="0"/>
          <c:showBubbleSize val="0"/>
        </c:dLbls>
        <c:axId val="1001350864"/>
        <c:axId val="1001348368"/>
      </c:scatterChart>
      <c:valAx>
        <c:axId val="10013508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8368"/>
        <c:crosses val="autoZero"/>
        <c:crossBetween val="midCat"/>
      </c:valAx>
      <c:valAx>
        <c:axId val="10013483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50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52388</xdr:colOff>
          <xdr:row>0</xdr:row>
          <xdr:rowOff>114300</xdr:rowOff>
        </xdr:from>
        <xdr:to>
          <xdr:col>13</xdr:col>
          <xdr:colOff>404813</xdr:colOff>
          <xdr:row>2</xdr:row>
          <xdr:rowOff>9525</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15</xdr:col>
      <xdr:colOff>0</xdr:colOff>
      <xdr:row>5</xdr:row>
      <xdr:rowOff>0</xdr:rowOff>
    </xdr:from>
    <xdr:to>
      <xdr:col>26</xdr:col>
      <xdr:colOff>0</xdr:colOff>
      <xdr:row>30</xdr:row>
      <xdr:rowOff>117475</xdr:rowOff>
    </xdr:to>
    <xdr:graphicFrame macro="">
      <xdr:nvGraphicFramePr>
        <xdr:cNvPr id="16479" name="Chart 16478">
          <a:extLst>
            <a:ext uri="{FF2B5EF4-FFF2-40B4-BE49-F238E27FC236}">
              <a16:creationId xmlns:a16="http://schemas.microsoft.com/office/drawing/2014/main" id="{00000000-0008-0000-0500-00005F4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32</xdr:row>
      <xdr:rowOff>0</xdr:rowOff>
    </xdr:from>
    <xdr:to>
      <xdr:col>26</xdr:col>
      <xdr:colOff>0</xdr:colOff>
      <xdr:row>57</xdr:row>
      <xdr:rowOff>117475</xdr:rowOff>
    </xdr:to>
    <xdr:graphicFrame macro="">
      <xdr:nvGraphicFramePr>
        <xdr:cNvPr id="16480" name="Chart 16479">
          <a:extLst>
            <a:ext uri="{FF2B5EF4-FFF2-40B4-BE49-F238E27FC236}">
              <a16:creationId xmlns:a16="http://schemas.microsoft.com/office/drawing/2014/main" id="{00000000-0008-0000-0500-0000604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59</xdr:row>
      <xdr:rowOff>0</xdr:rowOff>
    </xdr:from>
    <xdr:to>
      <xdr:col>26</xdr:col>
      <xdr:colOff>0</xdr:colOff>
      <xdr:row>84</xdr:row>
      <xdr:rowOff>117475</xdr:rowOff>
    </xdr:to>
    <xdr:graphicFrame macro="">
      <xdr:nvGraphicFramePr>
        <xdr:cNvPr id="16481" name="Chart 16480">
          <a:extLst>
            <a:ext uri="{FF2B5EF4-FFF2-40B4-BE49-F238E27FC236}">
              <a16:creationId xmlns:a16="http://schemas.microsoft.com/office/drawing/2014/main" id="{00000000-0008-0000-0500-0000614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86</xdr:row>
      <xdr:rowOff>0</xdr:rowOff>
    </xdr:from>
    <xdr:to>
      <xdr:col>26</xdr:col>
      <xdr:colOff>0</xdr:colOff>
      <xdr:row>111</xdr:row>
      <xdr:rowOff>117475</xdr:rowOff>
    </xdr:to>
    <xdr:graphicFrame macro="">
      <xdr:nvGraphicFramePr>
        <xdr:cNvPr id="16482" name="Chart 16481">
          <a:extLst>
            <a:ext uri="{FF2B5EF4-FFF2-40B4-BE49-F238E27FC236}">
              <a16:creationId xmlns:a16="http://schemas.microsoft.com/office/drawing/2014/main" id="{00000000-0008-0000-0500-0000624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113</xdr:row>
      <xdr:rowOff>0</xdr:rowOff>
    </xdr:from>
    <xdr:to>
      <xdr:col>26</xdr:col>
      <xdr:colOff>0</xdr:colOff>
      <xdr:row>138</xdr:row>
      <xdr:rowOff>117475</xdr:rowOff>
    </xdr:to>
    <xdr:graphicFrame macro="">
      <xdr:nvGraphicFramePr>
        <xdr:cNvPr id="16483" name="Chart 16482">
          <a:extLst>
            <a:ext uri="{FF2B5EF4-FFF2-40B4-BE49-F238E27FC236}">
              <a16:creationId xmlns:a16="http://schemas.microsoft.com/office/drawing/2014/main" id="{00000000-0008-0000-0500-0000634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140</xdr:row>
      <xdr:rowOff>0</xdr:rowOff>
    </xdr:from>
    <xdr:to>
      <xdr:col>26</xdr:col>
      <xdr:colOff>0</xdr:colOff>
      <xdr:row>165</xdr:row>
      <xdr:rowOff>117475</xdr:rowOff>
    </xdr:to>
    <xdr:graphicFrame macro="">
      <xdr:nvGraphicFramePr>
        <xdr:cNvPr id="16484" name="Chart 16483">
          <a:extLst>
            <a:ext uri="{FF2B5EF4-FFF2-40B4-BE49-F238E27FC236}">
              <a16:creationId xmlns:a16="http://schemas.microsoft.com/office/drawing/2014/main" id="{00000000-0008-0000-0500-0000644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167</xdr:row>
      <xdr:rowOff>0</xdr:rowOff>
    </xdr:from>
    <xdr:to>
      <xdr:col>26</xdr:col>
      <xdr:colOff>0</xdr:colOff>
      <xdr:row>192</xdr:row>
      <xdr:rowOff>117475</xdr:rowOff>
    </xdr:to>
    <xdr:graphicFrame macro="">
      <xdr:nvGraphicFramePr>
        <xdr:cNvPr id="16485" name="Chart 16484">
          <a:extLst>
            <a:ext uri="{FF2B5EF4-FFF2-40B4-BE49-F238E27FC236}">
              <a16:creationId xmlns:a16="http://schemas.microsoft.com/office/drawing/2014/main" id="{00000000-0008-0000-0500-0000654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3:U187" totalsRowShown="0" dataDxfId="53" tableBorderDxfId="52">
  <autoFilter ref="B13:U187" xr:uid="{AA7B04EB-66A0-4341-9771-1FD43653C50C}"/>
  <sortState xmlns:xlrd2="http://schemas.microsoft.com/office/spreadsheetml/2017/richdata2" ref="B14:U187">
    <sortCondition ref="C13:C187"/>
  </sortState>
  <tableColumns count="20">
    <tableColumn id="2" xr3:uid="{7BD45304-7DCD-4FE1-87D6-ED5FE38F64B3}" name="File Size" dataDxfId="51"/>
    <tableColumn id="17" xr3:uid="{0274EA37-179C-4B3B-A1C9-4FF870F07628}" name="Case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P78"/>
  <sheetViews>
    <sheetView showGridLines="0" showRowColHeaders="0" tabSelected="1" zoomScale="99" zoomScaleNormal="99" workbookViewId="0">
      <selection activeCell="E19" sqref="E19"/>
    </sheetView>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8" width="6.59765625" customWidth="1"/>
    <col min="9" max="10" width="30.59765625" customWidth="1"/>
    <col min="11" max="11" width="6.59765625" customWidth="1"/>
    <col min="12" max="13" width="23.59765625" customWidth="1"/>
    <col min="14" max="14" width="6.59765625" customWidth="1"/>
  </cols>
  <sheetData>
    <row r="1" spans="1:16" ht="28.5" x14ac:dyDescent="0.85">
      <c r="A1" s="1" t="s">
        <v>0</v>
      </c>
    </row>
    <row r="3" spans="1:16" x14ac:dyDescent="0.45">
      <c r="B3" s="2" t="s">
        <v>1</v>
      </c>
      <c r="G3" s="3" t="s">
        <v>2</v>
      </c>
    </row>
    <row r="4" spans="1:16" x14ac:dyDescent="0.45">
      <c r="B4" t="s">
        <v>5</v>
      </c>
      <c r="C4" s="5" t="b">
        <v>1</v>
      </c>
      <c r="G4" s="4" t="s">
        <v>4</v>
      </c>
    </row>
    <row r="5" spans="1:16" x14ac:dyDescent="0.45">
      <c r="B5" t="s">
        <v>7</v>
      </c>
      <c r="C5" s="7" t="s">
        <v>8</v>
      </c>
      <c r="G5" s="10" t="s">
        <v>406</v>
      </c>
    </row>
    <row r="6" spans="1:16" x14ac:dyDescent="0.45">
      <c r="B6" t="s">
        <v>9</v>
      </c>
      <c r="C6" s="7" t="s">
        <v>10</v>
      </c>
      <c r="G6" s="9" t="s">
        <v>11</v>
      </c>
    </row>
    <row r="7" spans="1:16" x14ac:dyDescent="0.45">
      <c r="B7" t="s">
        <v>12</v>
      </c>
      <c r="C7" s="5" t="b">
        <v>0</v>
      </c>
      <c r="G7" s="6" t="s">
        <v>6</v>
      </c>
    </row>
    <row r="8" spans="1:16" x14ac:dyDescent="0.45">
      <c r="B8" t="s">
        <v>13</v>
      </c>
      <c r="C8" s="5" t="s">
        <v>14</v>
      </c>
      <c r="G8" s="84" t="s">
        <v>405</v>
      </c>
    </row>
    <row r="9" spans="1:16" x14ac:dyDescent="0.45">
      <c r="G9" s="83" t="s">
        <v>558</v>
      </c>
    </row>
    <row r="10" spans="1:16" x14ac:dyDescent="0.45">
      <c r="C10" s="5"/>
      <c r="O10" s="3" t="s">
        <v>15</v>
      </c>
    </row>
    <row r="11" spans="1:16" x14ac:dyDescent="0.45">
      <c r="B11" s="2" t="s">
        <v>17</v>
      </c>
      <c r="E11" s="3" t="s">
        <v>18</v>
      </c>
      <c r="G11" s="2" t="s">
        <v>16</v>
      </c>
      <c r="O11" s="12" t="b">
        <f ca="1">AND(ROWS(B13:C52)=ROWS(_xlfn.ANCHORARRAY(I13)),COLUMNS(B13:C52)=COLUMNS(_xlfn.ANCHORARRAY(I13)),AND(_xlfn.ANCHORARRAY(O13)))</f>
        <v>1</v>
      </c>
    </row>
    <row r="12" spans="1:16" x14ac:dyDescent="0.45">
      <c r="F12" s="3"/>
      <c r="G12" s="2" t="s">
        <v>538</v>
      </c>
      <c r="I12" s="2" t="s">
        <v>539</v>
      </c>
      <c r="L12" s="2" t="s">
        <v>540</v>
      </c>
      <c r="O12" t="s">
        <v>19</v>
      </c>
    </row>
    <row r="13" spans="1:16" x14ac:dyDescent="0.45">
      <c r="B13" s="86" t="str" cm="1">
        <f t="array" aca="1" ref="B13:C52" ca="1">RandomVariants(40,2,TRUE,Unicode,EOL)</f>
        <v>-1.38284497110512E-07</v>
      </c>
      <c r="C13" s="86" t="str">
        <f ca="1"/>
        <v>FALSE</v>
      </c>
      <c r="E13" s="11" t="str" cm="1">
        <f t="array" aca="1" ref="E13" ca="1">CSVWrite(Data,"",QuoteAllStrings,DateFormat,DateTimeFormat,",",Unicode,EOL)</f>
        <v xml:space="preserve">"-1.38284497110512E-07","FALSE"_x000D_
58555,"TRUE"_x000D_
"-17648.9685761915",40251_x000D_
"i_Gc:AHu-[A+2)HvRNx5C",".PwSr\I_(e`"_x000D_
-552525,"&amp;Peh?xi_x000D_
oG-vh_E#"_x000D_
19440,29446_x000D_
"mN3qC&gt;f5I7oXCD","14708079.2666333"_x000D_
"992A""cl;`FicI)F@a=",185982_x000D_
#DIV/0!,#CALC!_x000D_
#NULL!,"16853938.9139216"_x000D_
-13574330.241664,53327_x000D_
-7.67296208936338E-04,""_x000D_
-24.4009406429432,False_x000D_
304753,0_x000D_
689368703.418071,43540_x000D_
"FALSE",32711_x000D_
"/Y+_x000D_
N2yK",36114_x000D_
"FALSE",0_x000D_
-782428,True_x000D_
32441,#UNKNOWN!_x000D_
"-27509.050268035",2.40829034156152E-10_x000D_
"FALSE","SiT44BT@PG"_x000D_
False,1552871143.32658_x000D_
#SPILL!,54982_x000D_
#DIV/0!,389215_x000D_
True,"1981-Jan-15"_x000D_
-418845,45987_x000D_
"i=CElFb",60280_x000D_
"2021-Aug-11",22.4686676488531_x000D_
"",0_x000D_
"p;B#&lt;yeUW:Ohm*",28249_x000D_
51096,""_x000D_
60088,#NULL!_x000D_
"","-3.83004081341457E-09"_x000D_
"/",45600_x000D_
"-381177.605851047",27724_x000D_
"PV?rfUHb0'7ev","2049-Feb-23"_x000D_
False,""_x000D_
"Here's a carriage return (ascii 13):_x000D_and here's a line feed (ascii 10):
and here's both together:_x000D_
",#NUM!_x000D_
False,#BLOCKED!_x000D_
</v>
      </c>
      <c r="F13" t="s">
        <v>249</v>
      </c>
      <c r="G13" s="86" t="str" cm="1">
        <f t="array" aca="1" ref="G13:G57" ca="1">csvread(CSVContents,FALSE,FALSE)</f>
        <v>"-1.38284497110512E-07","FALSE"</v>
      </c>
      <c r="I13" s="86" t="str" cm="1">
        <f t="array" aca="1" ref="I13:J52" ca="1">csvread(CSVContents,FALSE)</f>
        <v>-1.38284497110512E-07</v>
      </c>
      <c r="J13" s="86" t="str">
        <f ca="1"/>
        <v>FALSE</v>
      </c>
      <c r="L13" s="86" t="str" cm="1">
        <f t="array" aca="1" ref="L13:M52" ca="1">csvread(CSVContents,"NDBE",,,DateFormat)</f>
        <v>-1.38284497110512E-07</v>
      </c>
      <c r="M13" s="86" t="str">
        <f ca="1"/>
        <v>FALSE</v>
      </c>
      <c r="O13" s="12" t="b" cm="1">
        <f t="array" aca="1" ref="O13:P52" ca="1">ArrayEquals(Data,_xlfn.ANCHORARRAY(L13))</f>
        <v>1</v>
      </c>
      <c r="P13" s="13" t="b">
        <f ca="1"/>
        <v>1</v>
      </c>
    </row>
    <row r="14" spans="1:16" x14ac:dyDescent="0.45">
      <c r="B14" s="86">
        <f ca="1"/>
        <v>58555</v>
      </c>
      <c r="C14" s="86" t="str">
        <f ca="1"/>
        <v>TRUE</v>
      </c>
      <c r="G14" s="86" t="str">
        <f ca="1"/>
        <v>58555,"TRUE"</v>
      </c>
      <c r="I14" s="86" t="str">
        <f ca="1"/>
        <v>58555</v>
      </c>
      <c r="J14" s="86" t="str">
        <f ca="1"/>
        <v>TRUE</v>
      </c>
      <c r="L14" s="86">
        <f ca="1"/>
        <v>58555</v>
      </c>
      <c r="M14" s="86" t="str">
        <f ca="1"/>
        <v>TRUE</v>
      </c>
      <c r="O14" s="13" t="b">
        <f ca="1"/>
        <v>1</v>
      </c>
      <c r="P14" s="13" t="b">
        <f ca="1"/>
        <v>1</v>
      </c>
    </row>
    <row r="15" spans="1:16" x14ac:dyDescent="0.45">
      <c r="B15" s="86" t="str">
        <f ca="1"/>
        <v>-17648.9685761915</v>
      </c>
      <c r="C15" s="86">
        <f ca="1"/>
        <v>40251</v>
      </c>
      <c r="G15" s="86" t="str">
        <f ca="1"/>
        <v>"-17648.9685761915",40251</v>
      </c>
      <c r="I15" s="86" t="str">
        <f ca="1"/>
        <v>-17648.9685761915</v>
      </c>
      <c r="J15" s="86" t="str">
        <f ca="1"/>
        <v>40251</v>
      </c>
      <c r="L15" s="86" t="str">
        <f ca="1"/>
        <v>-17648.9685761915</v>
      </c>
      <c r="M15" s="86">
        <f ca="1"/>
        <v>40251</v>
      </c>
      <c r="O15" s="13" t="b">
        <f ca="1"/>
        <v>1</v>
      </c>
      <c r="P15" s="13" t="b">
        <f ca="1"/>
        <v>1</v>
      </c>
    </row>
    <row r="16" spans="1:16" x14ac:dyDescent="0.45">
      <c r="B16" s="86" t="str">
        <f ca="1"/>
        <v>i_Gc:AHu-[A+2)HvRNx5C</v>
      </c>
      <c r="C16" s="86" t="str">
        <f ca="1"/>
        <v>.PwSr\I_(e`</v>
      </c>
      <c r="G16" s="86" t="str">
        <f ca="1"/>
        <v>"i_Gc:AHu-[A+2)HvRNx5C",".PwSr\I_(e`"</v>
      </c>
      <c r="I16" s="86" t="str">
        <f ca="1"/>
        <v>i_Gc:AHu-[A+2)HvRNx5C</v>
      </c>
      <c r="J16" s="86" t="str">
        <f ca="1"/>
        <v>.PwSr\I_(e`</v>
      </c>
      <c r="L16" s="86" t="str">
        <f ca="1"/>
        <v>i_Gc:AHu-[A+2)HvRNx5C</v>
      </c>
      <c r="M16" s="86" t="str">
        <f ca="1"/>
        <v>.PwSr\I_(e`</v>
      </c>
      <c r="O16" s="13" t="b">
        <f ca="1"/>
        <v>1</v>
      </c>
      <c r="P16" s="13" t="b">
        <f ca="1"/>
        <v>1</v>
      </c>
    </row>
    <row r="17" spans="2:16" x14ac:dyDescent="0.45">
      <c r="B17" s="86">
        <f ca="1"/>
        <v>-552525</v>
      </c>
      <c r="C17" s="86" t="str">
        <f ca="1"/>
        <v>&amp;Peh?xi_x000D_
oG-vh_E#</v>
      </c>
      <c r="G17" s="86" t="str">
        <f ca="1"/>
        <v>-552525,"&amp;Peh?xi</v>
      </c>
      <c r="I17" s="86" t="str">
        <f ca="1"/>
        <v>-552525</v>
      </c>
      <c r="J17" s="86" t="str">
        <f ca="1"/>
        <v>&amp;Peh?xi_x000D_
oG-vh_E#</v>
      </c>
      <c r="L17" s="86">
        <f ca="1"/>
        <v>-552525</v>
      </c>
      <c r="M17" s="86" t="str">
        <f ca="1"/>
        <v>&amp;Peh?xi_x000D_
oG-vh_E#</v>
      </c>
      <c r="O17" s="13" t="b">
        <f ca="1"/>
        <v>1</v>
      </c>
      <c r="P17" s="13" t="b">
        <f ca="1"/>
        <v>1</v>
      </c>
    </row>
    <row r="18" spans="2:16" x14ac:dyDescent="0.45">
      <c r="B18" s="86">
        <f ca="1"/>
        <v>19440</v>
      </c>
      <c r="C18" s="86">
        <f ca="1"/>
        <v>29446</v>
      </c>
      <c r="G18" s="86" t="str">
        <f ca="1"/>
        <v>oG-vh_E#"</v>
      </c>
      <c r="I18" s="86" t="str">
        <f ca="1"/>
        <v>19440</v>
      </c>
      <c r="J18" s="86" t="str">
        <f ca="1"/>
        <v>29446</v>
      </c>
      <c r="L18" s="86">
        <f ca="1"/>
        <v>19440</v>
      </c>
      <c r="M18" s="86">
        <f ca="1"/>
        <v>29446</v>
      </c>
      <c r="O18" s="13" t="b">
        <f ca="1"/>
        <v>1</v>
      </c>
      <c r="P18" s="13" t="b">
        <f ca="1"/>
        <v>1</v>
      </c>
    </row>
    <row r="19" spans="2:16" x14ac:dyDescent="0.45">
      <c r="B19" s="86" t="str">
        <f ca="1"/>
        <v>mN3qC&gt;f5I7oXCD</v>
      </c>
      <c r="C19" s="86" t="str">
        <f ca="1"/>
        <v>14708079.2666333</v>
      </c>
      <c r="G19" s="86" t="str">
        <f ca="1"/>
        <v>19440,29446</v>
      </c>
      <c r="I19" s="86" t="str">
        <f ca="1"/>
        <v>mN3qC&gt;f5I7oXCD</v>
      </c>
      <c r="J19" s="86" t="str">
        <f ca="1"/>
        <v>14708079.2666333</v>
      </c>
      <c r="L19" s="86" t="str">
        <f ca="1"/>
        <v>mN3qC&gt;f5I7oXCD</v>
      </c>
      <c r="M19" s="86" t="str">
        <f ca="1"/>
        <v>14708079.2666333</v>
      </c>
      <c r="O19" s="13" t="b">
        <f ca="1"/>
        <v>1</v>
      </c>
      <c r="P19" s="13" t="b">
        <f ca="1"/>
        <v>1</v>
      </c>
    </row>
    <row r="20" spans="2:16" x14ac:dyDescent="0.45">
      <c r="B20" s="86" t="str">
        <f ca="1"/>
        <v>992A"cl;`FicI)F@a=</v>
      </c>
      <c r="C20" s="86">
        <f ca="1"/>
        <v>185982</v>
      </c>
      <c r="G20" s="86" t="str">
        <f ca="1"/>
        <v>"mN3qC&gt;f5I7oXCD","14708079.2666333"</v>
      </c>
      <c r="I20" s="86" t="str">
        <f ca="1"/>
        <v>992A"cl;`FicI)F@a=</v>
      </c>
      <c r="J20" s="86" t="str">
        <f ca="1"/>
        <v>185982</v>
      </c>
      <c r="L20" s="86" t="str">
        <f ca="1"/>
        <v>992A"cl;`FicI)F@a=</v>
      </c>
      <c r="M20" s="86">
        <f ca="1"/>
        <v>185982</v>
      </c>
      <c r="O20" s="13" t="b">
        <f ca="1"/>
        <v>1</v>
      </c>
      <c r="P20" s="13" t="b">
        <f ca="1"/>
        <v>1</v>
      </c>
    </row>
    <row r="21" spans="2:16" x14ac:dyDescent="0.45">
      <c r="B21" s="86" t="e">
        <f ca="1"/>
        <v>#DIV/0!</v>
      </c>
      <c r="C21" s="86" t="str">
        <f ca="1"/>
        <v/>
      </c>
      <c r="G21" s="86" t="str">
        <f ca="1"/>
        <v>"992A""cl;`FicI)F@a=",185982</v>
      </c>
      <c r="I21" s="86" t="str">
        <f ca="1"/>
        <v>#DIV/0!</v>
      </c>
      <c r="J21" s="86" t="str">
        <f ca="1"/>
        <v>#CALC!</v>
      </c>
      <c r="L21" s="86" t="e">
        <f ca="1"/>
        <v>#DIV/0!</v>
      </c>
      <c r="M21" s="86" t="str">
        <f ca="1"/>
        <v/>
      </c>
      <c r="O21" s="13" t="b">
        <f ca="1"/>
        <v>1</v>
      </c>
      <c r="P21" s="13" t="b">
        <f ca="1"/>
        <v>1</v>
      </c>
    </row>
    <row r="22" spans="2:16" x14ac:dyDescent="0.45">
      <c r="B22" s="86" t="e">
        <f ca="1"/>
        <v>#NULL!</v>
      </c>
      <c r="C22" s="86" t="str">
        <f ca="1"/>
        <v>16853938.9139216</v>
      </c>
      <c r="G22" s="86" t="str">
        <f ca="1"/>
        <v>#DIV/0!,#CALC!</v>
      </c>
      <c r="I22" s="86" t="str">
        <f ca="1"/>
        <v>#NULL!</v>
      </c>
      <c r="J22" s="86" t="str">
        <f ca="1"/>
        <v>16853938.9139216</v>
      </c>
      <c r="L22" s="86" t="e">
        <f ca="1"/>
        <v>#NULL!</v>
      </c>
      <c r="M22" s="86" t="str">
        <f ca="1"/>
        <v>16853938.9139216</v>
      </c>
      <c r="O22" s="13" t="b">
        <f ca="1"/>
        <v>1</v>
      </c>
      <c r="P22" s="13" t="b">
        <f ca="1"/>
        <v>1</v>
      </c>
    </row>
    <row r="23" spans="2:16" x14ac:dyDescent="0.45">
      <c r="B23" s="86">
        <f ca="1"/>
        <v>-13574330.241664</v>
      </c>
      <c r="C23" s="86">
        <f ca="1"/>
        <v>53327</v>
      </c>
      <c r="G23" s="86" t="str">
        <f ca="1"/>
        <v>#NULL!,"16853938.9139216"</v>
      </c>
      <c r="I23" s="86" t="str">
        <f ca="1"/>
        <v>-13574330.241664</v>
      </c>
      <c r="J23" s="86" t="str">
        <f ca="1"/>
        <v>53327</v>
      </c>
      <c r="L23" s="86">
        <f ca="1"/>
        <v>-13574330.241664</v>
      </c>
      <c r="M23" s="86">
        <f ca="1"/>
        <v>53327</v>
      </c>
      <c r="O23" s="13" t="b">
        <f ca="1"/>
        <v>1</v>
      </c>
      <c r="P23" s="13" t="b">
        <f ca="1"/>
        <v>1</v>
      </c>
    </row>
    <row r="24" spans="2:16" x14ac:dyDescent="0.45">
      <c r="B24" s="86">
        <f ca="1"/>
        <v>-7.6729620893633795E-4</v>
      </c>
      <c r="C24" s="86" t="str">
        <f ca="1"/>
        <v/>
      </c>
      <c r="G24" s="86" t="str">
        <f ca="1"/>
        <v>-13574330.241664,53327</v>
      </c>
      <c r="I24" s="86" t="str">
        <f ca="1"/>
        <v>-7.67296208936338E-04</v>
      </c>
      <c r="J24" s="86" t="str">
        <f ca="1"/>
        <v/>
      </c>
      <c r="L24" s="86">
        <f ca="1"/>
        <v>-7.6729620893633795E-4</v>
      </c>
      <c r="M24" s="86" t="str">
        <f ca="1"/>
        <v/>
      </c>
      <c r="O24" s="13" t="b">
        <f ca="1"/>
        <v>1</v>
      </c>
      <c r="P24" s="13" t="b">
        <f ca="1"/>
        <v>1</v>
      </c>
    </row>
    <row r="25" spans="2:16" x14ac:dyDescent="0.45">
      <c r="B25" s="86">
        <f ca="1"/>
        <v>-24.400940642943201</v>
      </c>
      <c r="C25" s="86" t="b">
        <f ca="1"/>
        <v>0</v>
      </c>
      <c r="G25" s="86" t="str">
        <f ca="1"/>
        <v>-7.67296208936338E-04,""</v>
      </c>
      <c r="I25" s="86" t="str">
        <f ca="1"/>
        <v>-24.4009406429432</v>
      </c>
      <c r="J25" s="86" t="str">
        <f ca="1"/>
        <v>False</v>
      </c>
      <c r="L25" s="86">
        <f ca="1"/>
        <v>-24.400940642943201</v>
      </c>
      <c r="M25" s="86" t="b">
        <f ca="1"/>
        <v>0</v>
      </c>
      <c r="O25" s="13" t="b">
        <f ca="1"/>
        <v>1</v>
      </c>
      <c r="P25" s="13" t="b">
        <f ca="1"/>
        <v>1</v>
      </c>
    </row>
    <row r="26" spans="2:16" x14ac:dyDescent="0.45">
      <c r="B26" s="86">
        <f ca="1"/>
        <v>304753</v>
      </c>
      <c r="C26" s="86">
        <f ca="1"/>
        <v>0</v>
      </c>
      <c r="G26" s="86" t="str">
        <f ca="1"/>
        <v>-24.4009406429432,False</v>
      </c>
      <c r="I26" s="86" t="str">
        <f ca="1"/>
        <v>304753</v>
      </c>
      <c r="J26" s="86" t="str">
        <f ca="1"/>
        <v>0</v>
      </c>
      <c r="L26" s="86">
        <f ca="1"/>
        <v>304753</v>
      </c>
      <c r="M26" s="86">
        <f ca="1"/>
        <v>0</v>
      </c>
      <c r="O26" s="13" t="b">
        <f ca="1"/>
        <v>1</v>
      </c>
      <c r="P26" s="13" t="b">
        <f ca="1"/>
        <v>1</v>
      </c>
    </row>
    <row r="27" spans="2:16" x14ac:dyDescent="0.45">
      <c r="B27" s="86">
        <f ca="1"/>
        <v>689368703.41807103</v>
      </c>
      <c r="C27" s="86">
        <f ca="1"/>
        <v>43540</v>
      </c>
      <c r="G27" s="86" t="str">
        <f ca="1"/>
        <v>304753,0</v>
      </c>
      <c r="I27" s="86" t="str">
        <f ca="1"/>
        <v>689368703.418071</v>
      </c>
      <c r="J27" s="86" t="str">
        <f ca="1"/>
        <v>43540</v>
      </c>
      <c r="L27" s="86">
        <f ca="1"/>
        <v>689368703.41807103</v>
      </c>
      <c r="M27" s="86">
        <f ca="1"/>
        <v>43540</v>
      </c>
      <c r="O27" s="13" t="b">
        <f ca="1"/>
        <v>1</v>
      </c>
      <c r="P27" s="13" t="b">
        <f ca="1"/>
        <v>1</v>
      </c>
    </row>
    <row r="28" spans="2:16" x14ac:dyDescent="0.45">
      <c r="B28" s="86" t="str">
        <f ca="1"/>
        <v>FALSE</v>
      </c>
      <c r="C28" s="86">
        <f ca="1"/>
        <v>32711</v>
      </c>
      <c r="G28" s="86" t="str">
        <f ca="1"/>
        <v>689368703.418071,43540</v>
      </c>
      <c r="I28" s="86" t="str">
        <f ca="1"/>
        <v>FALSE</v>
      </c>
      <c r="J28" s="86" t="str">
        <f ca="1"/>
        <v>32711</v>
      </c>
      <c r="L28" s="86" t="str">
        <f ca="1"/>
        <v>FALSE</v>
      </c>
      <c r="M28" s="86">
        <f ca="1"/>
        <v>32711</v>
      </c>
      <c r="O28" s="13" t="b">
        <f ca="1"/>
        <v>1</v>
      </c>
      <c r="P28" s="13" t="b">
        <f ca="1"/>
        <v>1</v>
      </c>
    </row>
    <row r="29" spans="2:16" x14ac:dyDescent="0.45">
      <c r="B29" s="86" t="str">
        <f ca="1"/>
        <v>/Y+_x000D_
N2yK</v>
      </c>
      <c r="C29" s="86">
        <f ca="1"/>
        <v>36114</v>
      </c>
      <c r="G29" s="86" t="str">
        <f ca="1"/>
        <v>"FALSE",32711</v>
      </c>
      <c r="I29" s="86" t="str">
        <f ca="1"/>
        <v>/Y+_x000D_
N2yK</v>
      </c>
      <c r="J29" s="86" t="str">
        <f ca="1"/>
        <v>36114</v>
      </c>
      <c r="L29" s="86" t="str">
        <f ca="1"/>
        <v>/Y+_x000D_
N2yK</v>
      </c>
      <c r="M29" s="86">
        <f ca="1"/>
        <v>36114</v>
      </c>
      <c r="O29" s="13" t="b">
        <f ca="1"/>
        <v>1</v>
      </c>
      <c r="P29" s="13" t="b">
        <f ca="1"/>
        <v>1</v>
      </c>
    </row>
    <row r="30" spans="2:16" x14ac:dyDescent="0.45">
      <c r="B30" s="86" t="str">
        <f ca="1"/>
        <v>FALSE</v>
      </c>
      <c r="C30" s="86">
        <f ca="1"/>
        <v>0</v>
      </c>
      <c r="G30" s="86" t="str">
        <f ca="1"/>
        <v>"/Y+</v>
      </c>
      <c r="I30" s="86" t="str">
        <f ca="1"/>
        <v>FALSE</v>
      </c>
      <c r="J30" s="86" t="str">
        <f ca="1"/>
        <v>0</v>
      </c>
      <c r="L30" s="86" t="str">
        <f ca="1"/>
        <v>FALSE</v>
      </c>
      <c r="M30" s="86">
        <f ca="1"/>
        <v>0</v>
      </c>
      <c r="O30" s="13" t="b">
        <f ca="1"/>
        <v>1</v>
      </c>
      <c r="P30" s="13" t="b">
        <f ca="1"/>
        <v>1</v>
      </c>
    </row>
    <row r="31" spans="2:16" x14ac:dyDescent="0.45">
      <c r="B31" s="86">
        <f ca="1"/>
        <v>-782428</v>
      </c>
      <c r="C31" s="86" t="b">
        <f ca="1"/>
        <v>1</v>
      </c>
      <c r="G31" s="86" t="str">
        <f ca="1"/>
        <v>N2yK",36114</v>
      </c>
      <c r="I31" s="86" t="str">
        <f ca="1"/>
        <v>-782428</v>
      </c>
      <c r="J31" s="86" t="str">
        <f ca="1"/>
        <v>True</v>
      </c>
      <c r="L31" s="86">
        <f ca="1"/>
        <v>-782428</v>
      </c>
      <c r="M31" s="86" t="b">
        <f ca="1"/>
        <v>1</v>
      </c>
      <c r="O31" s="13" t="b">
        <f ca="1"/>
        <v>1</v>
      </c>
      <c r="P31" s="13" t="b">
        <f ca="1"/>
        <v>1</v>
      </c>
    </row>
    <row r="32" spans="2:16" x14ac:dyDescent="0.45">
      <c r="B32" s="86">
        <f ca="1"/>
        <v>32441</v>
      </c>
      <c r="C32" s="86" t="str">
        <f ca="1"/>
        <v/>
      </c>
      <c r="G32" s="86" t="str">
        <f ca="1"/>
        <v>"FALSE",0</v>
      </c>
      <c r="I32" s="86" t="str">
        <f ca="1"/>
        <v>32441</v>
      </c>
      <c r="J32" s="86" t="str">
        <f ca="1"/>
        <v>#UNKNOWN!</v>
      </c>
      <c r="L32" s="86">
        <f ca="1"/>
        <v>32441</v>
      </c>
      <c r="M32" s="86" t="str">
        <f ca="1"/>
        <v/>
      </c>
      <c r="O32" s="13" t="b">
        <f ca="1"/>
        <v>1</v>
      </c>
      <c r="P32" s="13" t="b">
        <f ca="1"/>
        <v>1</v>
      </c>
    </row>
    <row r="33" spans="2:16" x14ac:dyDescent="0.45">
      <c r="B33" s="86" t="str">
        <f ca="1"/>
        <v>-27509.050268035</v>
      </c>
      <c r="C33" s="86">
        <f ca="1"/>
        <v>2.4082903415615198E-10</v>
      </c>
      <c r="G33" s="86" t="str">
        <f ca="1"/>
        <v>-782428,True</v>
      </c>
      <c r="I33" s="86" t="str">
        <f ca="1"/>
        <v>-27509.050268035</v>
      </c>
      <c r="J33" s="86" t="str">
        <f ca="1"/>
        <v>2.40829034156152E-10</v>
      </c>
      <c r="L33" s="86" t="str">
        <f ca="1"/>
        <v>-27509.050268035</v>
      </c>
      <c r="M33" s="86">
        <f ca="1"/>
        <v>2.4082903415615198E-10</v>
      </c>
      <c r="O33" s="13" t="b">
        <f ca="1"/>
        <v>1</v>
      </c>
      <c r="P33" s="13" t="b">
        <f ca="1"/>
        <v>1</v>
      </c>
    </row>
    <row r="34" spans="2:16" x14ac:dyDescent="0.45">
      <c r="B34" s="86" t="str">
        <f ca="1"/>
        <v>FALSE</v>
      </c>
      <c r="C34" s="86" t="str">
        <f ca="1"/>
        <v>SiT44BT@PG</v>
      </c>
      <c r="G34" s="86" t="str">
        <f ca="1"/>
        <v>32441,#UNKNOWN!</v>
      </c>
      <c r="I34" s="86" t="str">
        <f ca="1"/>
        <v>FALSE</v>
      </c>
      <c r="J34" s="86" t="str">
        <f ca="1"/>
        <v>SiT44BT@PG</v>
      </c>
      <c r="L34" s="86" t="str">
        <f ca="1"/>
        <v>FALSE</v>
      </c>
      <c r="M34" s="86" t="str">
        <f ca="1"/>
        <v>SiT44BT@PG</v>
      </c>
      <c r="O34" s="13" t="b">
        <f ca="1"/>
        <v>1</v>
      </c>
      <c r="P34" s="13" t="b">
        <f ca="1"/>
        <v>1</v>
      </c>
    </row>
    <row r="35" spans="2:16" x14ac:dyDescent="0.45">
      <c r="B35" s="86" t="b">
        <f ca="1"/>
        <v>0</v>
      </c>
      <c r="C35" s="86">
        <f ca="1"/>
        <v>1552871143.32658</v>
      </c>
      <c r="G35" s="86" t="str">
        <f ca="1"/>
        <v>"-27509.050268035",2.40829034156152E-10</v>
      </c>
      <c r="I35" s="86" t="str">
        <f ca="1"/>
        <v>False</v>
      </c>
      <c r="J35" s="86" t="str">
        <f ca="1"/>
        <v>1552871143.32658</v>
      </c>
      <c r="L35" s="86" t="b">
        <f ca="1"/>
        <v>0</v>
      </c>
      <c r="M35" s="86">
        <f ca="1"/>
        <v>1552871143.32658</v>
      </c>
      <c r="O35" s="13" t="b">
        <f ca="1"/>
        <v>1</v>
      </c>
      <c r="P35" s="13" t="b">
        <f ca="1"/>
        <v>1</v>
      </c>
    </row>
    <row r="36" spans="2:16" x14ac:dyDescent="0.45">
      <c r="B36" s="86" t="str">
        <f ca="1"/>
        <v/>
      </c>
      <c r="C36" s="86">
        <f ca="1"/>
        <v>54982</v>
      </c>
      <c r="G36" s="86" t="str">
        <f ca="1"/>
        <v>"FALSE","SiT44BT@PG"</v>
      </c>
      <c r="I36" s="86" t="str">
        <f ca="1"/>
        <v>#SPILL!</v>
      </c>
      <c r="J36" s="86" t="str">
        <f ca="1"/>
        <v>54982</v>
      </c>
      <c r="L36" s="86" t="str">
        <f ca="1"/>
        <v/>
      </c>
      <c r="M36" s="86">
        <f ca="1"/>
        <v>54982</v>
      </c>
      <c r="O36" s="13" t="b">
        <f ca="1"/>
        <v>1</v>
      </c>
      <c r="P36" s="13" t="b">
        <f ca="1"/>
        <v>1</v>
      </c>
    </row>
    <row r="37" spans="2:16" x14ac:dyDescent="0.45">
      <c r="B37" s="86" t="e">
        <f ca="1"/>
        <v>#DIV/0!</v>
      </c>
      <c r="C37" s="86">
        <f ca="1"/>
        <v>389215</v>
      </c>
      <c r="G37" s="86" t="str">
        <f ca="1"/>
        <v>False,1552871143.32658</v>
      </c>
      <c r="I37" s="86" t="str">
        <f ca="1"/>
        <v>#DIV/0!</v>
      </c>
      <c r="J37" s="86" t="str">
        <f ca="1"/>
        <v>389215</v>
      </c>
      <c r="L37" s="86" t="e">
        <f ca="1"/>
        <v>#DIV/0!</v>
      </c>
      <c r="M37" s="86">
        <f ca="1"/>
        <v>389215</v>
      </c>
      <c r="O37" s="13" t="b">
        <f ca="1"/>
        <v>1</v>
      </c>
      <c r="P37" s="13" t="b">
        <f ca="1"/>
        <v>1</v>
      </c>
    </row>
    <row r="38" spans="2:16" x14ac:dyDescent="0.45">
      <c r="B38" s="86" t="b">
        <f ca="1"/>
        <v>1</v>
      </c>
      <c r="C38" s="86" t="str">
        <f ca="1"/>
        <v>1981-Jan-15</v>
      </c>
      <c r="G38" s="86" t="str">
        <f ca="1"/>
        <v>#SPILL!,54982</v>
      </c>
      <c r="I38" s="86" t="str">
        <f ca="1"/>
        <v>True</v>
      </c>
      <c r="J38" s="86" t="str">
        <f ca="1"/>
        <v>1981-Jan-15</v>
      </c>
      <c r="L38" s="86" t="b">
        <f ca="1"/>
        <v>1</v>
      </c>
      <c r="M38" s="86" t="str">
        <f ca="1"/>
        <v>1981-Jan-15</v>
      </c>
      <c r="O38" s="13" t="b">
        <f ca="1"/>
        <v>1</v>
      </c>
      <c r="P38" s="13" t="b">
        <f ca="1"/>
        <v>1</v>
      </c>
    </row>
    <row r="39" spans="2:16" x14ac:dyDescent="0.45">
      <c r="B39" s="86">
        <f ca="1"/>
        <v>-418845</v>
      </c>
      <c r="C39" s="86">
        <f ca="1"/>
        <v>45987</v>
      </c>
      <c r="G39" s="86" t="str">
        <f ca="1"/>
        <v>#DIV/0!,389215</v>
      </c>
      <c r="I39" s="86" t="str">
        <f ca="1"/>
        <v>-418845</v>
      </c>
      <c r="J39" s="86" t="str">
        <f ca="1"/>
        <v>45987</v>
      </c>
      <c r="L39" s="86">
        <f ca="1"/>
        <v>-418845</v>
      </c>
      <c r="M39" s="86">
        <f ca="1"/>
        <v>45987</v>
      </c>
      <c r="O39" s="13" t="b">
        <f ca="1"/>
        <v>1</v>
      </c>
      <c r="P39" s="13" t="b">
        <f ca="1"/>
        <v>1</v>
      </c>
    </row>
    <row r="40" spans="2:16" x14ac:dyDescent="0.45">
      <c r="B40" s="86" t="str">
        <f ca="1"/>
        <v>i=CElFb</v>
      </c>
      <c r="C40" s="86">
        <f ca="1"/>
        <v>60280</v>
      </c>
      <c r="G40" s="86" t="str">
        <f ca="1"/>
        <v>True,"1981-Jan-15"</v>
      </c>
      <c r="I40" s="86" t="str">
        <f ca="1"/>
        <v>i=CElFb</v>
      </c>
      <c r="J40" s="86" t="str">
        <f ca="1"/>
        <v>60280</v>
      </c>
      <c r="L40" s="86" t="str">
        <f ca="1"/>
        <v>i=CElFb</v>
      </c>
      <c r="M40" s="86">
        <f ca="1"/>
        <v>60280</v>
      </c>
      <c r="O40" s="13" t="b">
        <f ca="1"/>
        <v>1</v>
      </c>
      <c r="P40" s="13" t="b">
        <f ca="1"/>
        <v>1</v>
      </c>
    </row>
    <row r="41" spans="2:16" x14ac:dyDescent="0.45">
      <c r="B41" s="86" t="str">
        <f ca="1"/>
        <v>2021-Aug-11</v>
      </c>
      <c r="C41" s="86">
        <f ca="1"/>
        <v>22.468667648853099</v>
      </c>
      <c r="G41" s="86" t="str">
        <f ca="1"/>
        <v>-418845,45987</v>
      </c>
      <c r="I41" s="86" t="str">
        <f ca="1"/>
        <v>2021-Aug-11</v>
      </c>
      <c r="J41" s="86" t="str">
        <f ca="1"/>
        <v>22.4686676488531</v>
      </c>
      <c r="L41" s="86" t="str">
        <f ca="1"/>
        <v>2021-Aug-11</v>
      </c>
      <c r="M41" s="86">
        <f ca="1"/>
        <v>22.468667648853099</v>
      </c>
      <c r="O41" s="13" t="b">
        <f ca="1"/>
        <v>1</v>
      </c>
      <c r="P41" s="13" t="b">
        <f ca="1"/>
        <v>1</v>
      </c>
    </row>
    <row r="42" spans="2:16" x14ac:dyDescent="0.45">
      <c r="B42" s="86" t="str">
        <f ca="1"/>
        <v/>
      </c>
      <c r="C42" s="86">
        <f ca="1"/>
        <v>0</v>
      </c>
      <c r="G42" s="86" t="str">
        <f ca="1"/>
        <v>"i=CElFb",60280</v>
      </c>
      <c r="I42" s="86" t="str">
        <f ca="1"/>
        <v/>
      </c>
      <c r="J42" s="86" t="str">
        <f ca="1"/>
        <v>0</v>
      </c>
      <c r="L42" s="86" t="str">
        <f ca="1"/>
        <v/>
      </c>
      <c r="M42" s="86">
        <f ca="1"/>
        <v>0</v>
      </c>
      <c r="O42" s="13" t="b">
        <f ca="1"/>
        <v>1</v>
      </c>
      <c r="P42" s="13" t="b">
        <f ca="1"/>
        <v>1</v>
      </c>
    </row>
    <row r="43" spans="2:16" x14ac:dyDescent="0.45">
      <c r="B43" s="86" t="str">
        <f ca="1"/>
        <v>p;B#&lt;yeUW:Ohm*</v>
      </c>
      <c r="C43" s="86">
        <f ca="1"/>
        <v>28249</v>
      </c>
      <c r="G43" s="86" t="str">
        <f ca="1"/>
        <v>"2021-Aug-11",22.4686676488531</v>
      </c>
      <c r="I43" s="86" t="str">
        <f ca="1"/>
        <v>p;B#&lt;yeUW:Ohm*</v>
      </c>
      <c r="J43" s="86" t="str">
        <f ca="1"/>
        <v>28249</v>
      </c>
      <c r="L43" s="86" t="str">
        <f ca="1"/>
        <v>p;B#&lt;yeUW:Ohm*</v>
      </c>
      <c r="M43" s="86">
        <f ca="1"/>
        <v>28249</v>
      </c>
      <c r="O43" s="13" t="b">
        <f ca="1"/>
        <v>1</v>
      </c>
      <c r="P43" s="13" t="b">
        <f ca="1"/>
        <v>1</v>
      </c>
    </row>
    <row r="44" spans="2:16" x14ac:dyDescent="0.45">
      <c r="B44" s="86">
        <f ca="1"/>
        <v>51096</v>
      </c>
      <c r="C44" s="86" t="str">
        <f ca="1"/>
        <v/>
      </c>
      <c r="G44" s="86" t="str">
        <f ca="1"/>
        <v>"",0</v>
      </c>
      <c r="I44" s="86" t="str">
        <f ca="1"/>
        <v>51096</v>
      </c>
      <c r="J44" s="86" t="str">
        <f ca="1"/>
        <v/>
      </c>
      <c r="L44" s="86">
        <f ca="1"/>
        <v>51096</v>
      </c>
      <c r="M44" s="86" t="str">
        <f ca="1"/>
        <v/>
      </c>
      <c r="O44" s="13" t="b">
        <f ca="1"/>
        <v>1</v>
      </c>
      <c r="P44" s="13" t="b">
        <f ca="1"/>
        <v>1</v>
      </c>
    </row>
    <row r="45" spans="2:16" x14ac:dyDescent="0.45">
      <c r="B45" s="86">
        <f ca="1"/>
        <v>60088</v>
      </c>
      <c r="C45" s="86" t="e">
        <f ca="1"/>
        <v>#NULL!</v>
      </c>
      <c r="G45" s="86" t="str">
        <f ca="1"/>
        <v>"p;B#&lt;yeUW:Ohm*",28249</v>
      </c>
      <c r="I45" s="86" t="str">
        <f ca="1"/>
        <v>60088</v>
      </c>
      <c r="J45" s="86" t="str">
        <f ca="1"/>
        <v>#NULL!</v>
      </c>
      <c r="L45" s="86">
        <f ca="1"/>
        <v>60088</v>
      </c>
      <c r="M45" s="86" t="e">
        <f ca="1"/>
        <v>#NULL!</v>
      </c>
      <c r="O45" s="13" t="b">
        <f ca="1"/>
        <v>1</v>
      </c>
      <c r="P45" s="13" t="b">
        <f ca="1"/>
        <v>1</v>
      </c>
    </row>
    <row r="46" spans="2:16" x14ac:dyDescent="0.45">
      <c r="B46" s="86" t="str">
        <f ca="1"/>
        <v/>
      </c>
      <c r="C46" s="86" t="str">
        <f ca="1"/>
        <v>-3.83004081341457E-09</v>
      </c>
      <c r="G46" s="86" t="str">
        <f ca="1"/>
        <v>51096,""</v>
      </c>
      <c r="I46" s="86" t="str">
        <f ca="1"/>
        <v/>
      </c>
      <c r="J46" s="86" t="str">
        <f ca="1"/>
        <v>-3.83004081341457E-09</v>
      </c>
      <c r="L46" s="86" t="str">
        <f ca="1"/>
        <v/>
      </c>
      <c r="M46" s="86" t="str">
        <f ca="1"/>
        <v>-3.83004081341457E-09</v>
      </c>
      <c r="O46" s="13" t="b">
        <f ca="1"/>
        <v>1</v>
      </c>
      <c r="P46" s="13" t="b">
        <f ca="1"/>
        <v>1</v>
      </c>
    </row>
    <row r="47" spans="2:16" x14ac:dyDescent="0.45">
      <c r="B47" s="86" t="str">
        <f ca="1"/>
        <v>/</v>
      </c>
      <c r="C47" s="86">
        <f ca="1"/>
        <v>45600</v>
      </c>
      <c r="G47" s="86" t="str">
        <f ca="1"/>
        <v>60088,#NULL!</v>
      </c>
      <c r="I47" s="86" t="str">
        <f ca="1"/>
        <v>/</v>
      </c>
      <c r="J47" s="86" t="str">
        <f ca="1"/>
        <v>45600</v>
      </c>
      <c r="L47" s="86" t="str">
        <f ca="1"/>
        <v>/</v>
      </c>
      <c r="M47" s="86">
        <f ca="1"/>
        <v>45600</v>
      </c>
      <c r="O47" s="13" t="b">
        <f ca="1"/>
        <v>1</v>
      </c>
      <c r="P47" s="13" t="b">
        <f ca="1"/>
        <v>1</v>
      </c>
    </row>
    <row r="48" spans="2:16" x14ac:dyDescent="0.45">
      <c r="B48" s="86" t="str">
        <f ca="1"/>
        <v>-381177.605851047</v>
      </c>
      <c r="C48" s="86">
        <f ca="1"/>
        <v>27724</v>
      </c>
      <c r="G48" s="86" t="str">
        <f ca="1"/>
        <v>"","-3.83004081341457E-09"</v>
      </c>
      <c r="I48" s="86" t="str">
        <f ca="1"/>
        <v>-381177.605851047</v>
      </c>
      <c r="J48" s="86" t="str">
        <f ca="1"/>
        <v>27724</v>
      </c>
      <c r="L48" s="86" t="str">
        <f ca="1"/>
        <v>-381177.605851047</v>
      </c>
      <c r="M48" s="86">
        <f ca="1"/>
        <v>27724</v>
      </c>
      <c r="O48" s="13" t="b">
        <f ca="1"/>
        <v>1</v>
      </c>
      <c r="P48" s="13" t="b">
        <f ca="1"/>
        <v>1</v>
      </c>
    </row>
    <row r="49" spans="2:16" x14ac:dyDescent="0.45">
      <c r="B49" s="86" t="str">
        <f ca="1"/>
        <v>PV?rfUHb0'7ev</v>
      </c>
      <c r="C49" s="86" t="str">
        <f ca="1"/>
        <v>2049-Feb-23</v>
      </c>
      <c r="G49" s="86" t="str">
        <f ca="1"/>
        <v>"/",45600</v>
      </c>
      <c r="I49" s="86" t="str">
        <f ca="1"/>
        <v>PV?rfUHb0'7ev</v>
      </c>
      <c r="J49" s="86" t="str">
        <f ca="1"/>
        <v>2049-Feb-23</v>
      </c>
      <c r="L49" s="86" t="str">
        <f ca="1"/>
        <v>PV?rfUHb0'7ev</v>
      </c>
      <c r="M49" s="86" t="str">
        <f ca="1"/>
        <v>2049-Feb-23</v>
      </c>
      <c r="O49" s="13" t="b">
        <f ca="1"/>
        <v>1</v>
      </c>
      <c r="P49" s="13" t="b">
        <f ca="1"/>
        <v>1</v>
      </c>
    </row>
    <row r="50" spans="2:16" x14ac:dyDescent="0.45">
      <c r="B50" s="86" t="b">
        <f ca="1"/>
        <v>0</v>
      </c>
      <c r="C50" s="86" t="str">
        <f ca="1"/>
        <v/>
      </c>
      <c r="G50" s="86" t="str">
        <f ca="1"/>
        <v>"-381177.605851047",27724</v>
      </c>
      <c r="I50" s="86" t="str">
        <f ca="1"/>
        <v>False</v>
      </c>
      <c r="J50" s="86" t="str">
        <f ca="1"/>
        <v/>
      </c>
      <c r="L50" s="86" t="b">
        <f ca="1"/>
        <v>0</v>
      </c>
      <c r="M50" s="86" t="str">
        <f ca="1"/>
        <v/>
      </c>
      <c r="O50" s="13" t="b">
        <f ca="1"/>
        <v>1</v>
      </c>
      <c r="P50" s="13" t="b">
        <f ca="1"/>
        <v>1</v>
      </c>
    </row>
    <row r="51" spans="2:16" x14ac:dyDescent="0.45">
      <c r="B51" s="86" t="str">
        <f ca="1"/>
        <v xml:space="preserve">Here's a carriage return (ascii 13):_x000D_and here's a line feed (ascii 10):
and here's both together:_x000D_
</v>
      </c>
      <c r="C51" s="86" t="e">
        <f ca="1"/>
        <v>#NUM!</v>
      </c>
      <c r="G51" s="86" t="str">
        <f ca="1"/>
        <v>"PV?rfUHb0'7ev","2049-Feb-23"</v>
      </c>
      <c r="I51" s="86" t="str">
        <f ca="1"/>
        <v xml:space="preserve">Here's a carriage return (ascii 13):_x000D_and here's a line feed (ascii 10):
and here's both together:_x000D_
</v>
      </c>
      <c r="J51" s="86" t="str">
        <f ca="1"/>
        <v>#NUM!</v>
      </c>
      <c r="L51" s="86" t="str">
        <f ca="1"/>
        <v xml:space="preserve">Here's a carriage return (ascii 13):_x000D_and here's a line feed (ascii 10):
and here's both together:_x000D_
</v>
      </c>
      <c r="M51" s="86" t="e">
        <f ca="1"/>
        <v>#NUM!</v>
      </c>
      <c r="O51" s="13" t="b">
        <f ca="1"/>
        <v>1</v>
      </c>
      <c r="P51" s="13" t="b">
        <f ca="1"/>
        <v>1</v>
      </c>
    </row>
    <row r="52" spans="2:16" x14ac:dyDescent="0.45">
      <c r="B52" s="86" t="b">
        <f ca="1"/>
        <v>0</v>
      </c>
      <c r="C52" s="86" t="str">
        <f ca="1"/>
        <v/>
      </c>
      <c r="G52" s="86" t="str">
        <f ca="1"/>
        <v>False,""</v>
      </c>
      <c r="I52" s="86" t="str">
        <f ca="1"/>
        <v>False</v>
      </c>
      <c r="J52" s="86" t="str">
        <f ca="1"/>
        <v>#BLOCKED!</v>
      </c>
      <c r="L52" s="86" t="b">
        <f ca="1"/>
        <v>0</v>
      </c>
      <c r="M52" s="86" t="str">
        <f ca="1"/>
        <v/>
      </c>
      <c r="O52" s="13" t="b">
        <f ca="1"/>
        <v>1</v>
      </c>
      <c r="P52" s="13" t="b">
        <f ca="1"/>
        <v>1</v>
      </c>
    </row>
    <row r="53" spans="2:16" x14ac:dyDescent="0.45">
      <c r="G53" s="86" t="str">
        <f ca="1"/>
        <v>"Here's a carriage return (ascii 13):</v>
      </c>
    </row>
    <row r="54" spans="2:16" x14ac:dyDescent="0.45">
      <c r="G54" s="86" t="str">
        <f ca="1"/>
        <v>and here's a line feed (ascii 10):</v>
      </c>
    </row>
    <row r="55" spans="2:16" x14ac:dyDescent="0.45">
      <c r="G55" s="86" t="str">
        <f ca="1"/>
        <v>and here's both together:</v>
      </c>
    </row>
    <row r="56" spans="2:16" x14ac:dyDescent="0.45">
      <c r="G56" s="86" t="str">
        <f ca="1"/>
        <v>",#NUM!</v>
      </c>
    </row>
    <row r="57" spans="2:16" x14ac:dyDescent="0.45">
      <c r="G57" s="86" t="str">
        <f ca="1"/>
        <v>False,#BLOCKED!</v>
      </c>
    </row>
    <row r="58" spans="2:16" x14ac:dyDescent="0.45">
      <c r="G58" s="86"/>
    </row>
    <row r="59" spans="2:16" x14ac:dyDescent="0.45">
      <c r="G59" s="86"/>
    </row>
    <row r="60" spans="2:16" x14ac:dyDescent="0.45">
      <c r="G60" s="86"/>
    </row>
    <row r="61" spans="2:16" x14ac:dyDescent="0.45">
      <c r="G61" s="86"/>
    </row>
    <row r="62" spans="2:16" x14ac:dyDescent="0.45">
      <c r="G62" s="86"/>
    </row>
    <row r="63" spans="2:16" x14ac:dyDescent="0.45">
      <c r="G63" s="86"/>
    </row>
    <row r="64" spans="2:16" x14ac:dyDescent="0.45">
      <c r="G64" s="86"/>
    </row>
    <row r="65" spans="7:7" x14ac:dyDescent="0.45">
      <c r="G65" s="86"/>
    </row>
    <row r="66" spans="7:7" x14ac:dyDescent="0.45">
      <c r="G66" s="86"/>
    </row>
    <row r="67" spans="7:7" x14ac:dyDescent="0.45">
      <c r="G67" s="86"/>
    </row>
    <row r="68" spans="7:7" x14ac:dyDescent="0.45">
      <c r="G68" s="86"/>
    </row>
    <row r="69" spans="7:7" x14ac:dyDescent="0.45">
      <c r="G69" s="86"/>
    </row>
    <row r="70" spans="7:7" x14ac:dyDescent="0.45">
      <c r="G70" s="86"/>
    </row>
    <row r="71" spans="7:7" x14ac:dyDescent="0.45">
      <c r="G71" s="86"/>
    </row>
    <row r="72" spans="7:7" x14ac:dyDescent="0.45">
      <c r="G72" s="86"/>
    </row>
    <row r="73" spans="7:7" x14ac:dyDescent="0.45">
      <c r="G73" s="86"/>
    </row>
    <row r="74" spans="7:7" x14ac:dyDescent="0.45">
      <c r="G74" s="86"/>
    </row>
    <row r="75" spans="7:7" x14ac:dyDescent="0.45">
      <c r="G75" s="86"/>
    </row>
    <row r="76" spans="7:7" x14ac:dyDescent="0.45">
      <c r="G76" s="86"/>
    </row>
    <row r="77" spans="7:7" x14ac:dyDescent="0.45">
      <c r="G77" s="86"/>
    </row>
    <row r="78" spans="7:7" x14ac:dyDescent="0.45">
      <c r="G78" s="86"/>
    </row>
  </sheetData>
  <sheetProtection sheet="1" objects="1" scenarios="1"/>
  <conditionalFormatting sqref="O13:P52">
    <cfRule type="cellIs" dxfId="377" priority="27" operator="equal">
      <formula>FALSE</formula>
    </cfRule>
    <cfRule type="cellIs" dxfId="376" priority="28" operator="equal">
      <formula>TRUE</formula>
    </cfRule>
  </conditionalFormatting>
  <conditionalFormatting sqref="O11">
    <cfRule type="cellIs" dxfId="375" priority="25" operator="equal">
      <formula>FALSE</formula>
    </cfRule>
    <cfRule type="cellIs" dxfId="374" priority="26" operator="equal">
      <formula>TRUE</formula>
    </cfRule>
  </conditionalFormatting>
  <conditionalFormatting sqref="B13:C52">
    <cfRule type="expression" dxfId="373" priority="19">
      <formula>ISNUMBER(B13)</formula>
    </cfRule>
    <cfRule type="expression" dxfId="372" priority="20">
      <formula>ISLOGICAL(B13)</formula>
    </cfRule>
    <cfRule type="expression" dxfId="371" priority="21">
      <formula>ISERROR(B13)</formula>
    </cfRule>
    <cfRule type="expression" dxfId="370" priority="22">
      <formula>ISNUMBER(SEARCH(CHAR(10),B13))</formula>
    </cfRule>
    <cfRule type="expression" dxfId="369" priority="23">
      <formula>ISNUMBER(SEARCH("""",B13))</formula>
    </cfRule>
    <cfRule type="expression" dxfId="368" priority="24">
      <formula>ISTEXT(B13)</formula>
    </cfRule>
  </conditionalFormatting>
  <conditionalFormatting sqref="I13:J52">
    <cfRule type="expression" dxfId="367" priority="13">
      <formula>ISNUMBER(I13)</formula>
    </cfRule>
    <cfRule type="expression" dxfId="366" priority="14">
      <formula>ISLOGICAL(I13)</formula>
    </cfRule>
    <cfRule type="expression" dxfId="365" priority="15">
      <formula>ISERROR(I13)</formula>
    </cfRule>
    <cfRule type="expression" dxfId="364" priority="16">
      <formula>ISNUMBER(SEARCH(CHAR(10),I13))</formula>
    </cfRule>
    <cfRule type="expression" dxfId="363" priority="17">
      <formula>ISNUMBER(SEARCH("""",I13))</formula>
    </cfRule>
    <cfRule type="expression" dxfId="362" priority="18">
      <formula>ISTEXT(I13)</formula>
    </cfRule>
  </conditionalFormatting>
  <conditionalFormatting sqref="L13:M52">
    <cfRule type="expression" dxfId="361" priority="7">
      <formula>ISNUMBER(L13)</formula>
    </cfRule>
    <cfRule type="expression" dxfId="360" priority="8">
      <formula>ISLOGICAL(L13)</formula>
    </cfRule>
    <cfRule type="expression" dxfId="359" priority="9">
      <formula>ISERROR(L13)</formula>
    </cfRule>
    <cfRule type="expression" dxfId="358" priority="10">
      <formula>ISNUMBER(SEARCH(CHAR(10),L13))</formula>
    </cfRule>
    <cfRule type="expression" dxfId="357" priority="11">
      <formula>ISNUMBER(SEARCH("""",L13))</formula>
    </cfRule>
    <cfRule type="expression" dxfId="356" priority="12">
      <formula>ISTEXT(L13)</formula>
    </cfRule>
  </conditionalFormatting>
  <conditionalFormatting sqref="G13:G78">
    <cfRule type="expression" dxfId="355" priority="1">
      <formula>ISNUMBER(G13)</formula>
    </cfRule>
    <cfRule type="expression" dxfId="354" priority="2">
      <formula>ISLOGICAL(G13)</formula>
    </cfRule>
    <cfRule type="expression" dxfId="353" priority="3">
      <formula>ISERROR(G13)</formula>
    </cfRule>
    <cfRule type="expression" dxfId="352" priority="4">
      <formula>ISNUMBER(SEARCH(CHAR(10),G13))</formula>
    </cfRule>
    <cfRule type="expression" dxfId="351" priority="5">
      <formula>ISNUMBER(SEARCH("""",G13))</formula>
    </cfRule>
    <cfRule type="expression" dxfId="350" priority="6">
      <formula>ISTEXT(G13)</formula>
    </cfRule>
  </conditionalFormatting>
  <dataValidations count="2">
    <dataValidation type="list" allowBlank="1" showInputMessage="1" showErrorMessage="1" sqref="C7 C4" xr:uid="{B180CABF-770B-4835-A634-63AC838C9ABE}">
      <formula1>"TRUE,FALSE"</formula1>
    </dataValidation>
    <dataValidation type="list" allowBlank="1" showInputMessage="1" showErrorMessage="1" sqref="C8" xr:uid="{E832DF84-C3DA-446B-B25C-6D6054FE89D2}">
      <formula1>"Windows,Unix,Mac"</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407</v>
      </c>
    </row>
    <row r="2" spans="1:12" x14ac:dyDescent="0.45">
      <c r="L2" s="15"/>
    </row>
    <row r="3" spans="1:12" x14ac:dyDescent="0.45">
      <c r="A3" t="s">
        <v>751</v>
      </c>
      <c r="G3" s="96"/>
    </row>
    <row r="4" spans="1:12" x14ac:dyDescent="0.45">
      <c r="K4" t="s">
        <v>20</v>
      </c>
    </row>
    <row r="5" spans="1:12" ht="28.5" x14ac:dyDescent="0.45">
      <c r="A5" s="16" t="s">
        <v>21</v>
      </c>
      <c r="B5" s="16" t="s">
        <v>22</v>
      </c>
      <c r="C5" s="16" t="s">
        <v>23</v>
      </c>
      <c r="D5" s="16" t="s">
        <v>24</v>
      </c>
      <c r="E5" s="16" t="s">
        <v>25</v>
      </c>
      <c r="F5" s="16" t="s">
        <v>26</v>
      </c>
      <c r="G5" s="16" t="s">
        <v>27</v>
      </c>
      <c r="H5" s="17" t="s">
        <v>28</v>
      </c>
      <c r="I5" s="17" t="s">
        <v>29</v>
      </c>
      <c r="J5" s="17" t="s">
        <v>30</v>
      </c>
      <c r="K5" s="16" t="s">
        <v>31</v>
      </c>
      <c r="L5" s="16" t="s">
        <v>32</v>
      </c>
    </row>
    <row r="6" spans="1:12" x14ac:dyDescent="0.45">
      <c r="A6">
        <f>LEN(B6)</f>
        <v>1</v>
      </c>
      <c r="B6" t="s">
        <v>33</v>
      </c>
      <c r="C6" s="15">
        <v>1</v>
      </c>
      <c r="D6">
        <v>1</v>
      </c>
      <c r="E6">
        <v>1.2643180438956866E-4</v>
      </c>
      <c r="F6">
        <v>1.1968546329319686E-4</v>
      </c>
      <c r="G6">
        <v>1.6876894026323923E-3</v>
      </c>
      <c r="H6" s="15">
        <v>39548</v>
      </c>
      <c r="I6" s="15">
        <v>41777</v>
      </c>
      <c r="J6" s="15">
        <v>2963</v>
      </c>
      <c r="K6" s="18" t="s">
        <v>34</v>
      </c>
      <c r="L6" s="15">
        <v>3</v>
      </c>
    </row>
    <row r="7" spans="1:12" x14ac:dyDescent="0.45">
      <c r="A7">
        <f t="shared" ref="A7:A27" si="0">LEN(B7)</f>
        <v>1</v>
      </c>
      <c r="B7" t="s">
        <v>33</v>
      </c>
      <c r="C7" s="15">
        <v>2</v>
      </c>
      <c r="D7">
        <v>1</v>
      </c>
      <c r="E7">
        <v>1.4797941045904668E-4</v>
      </c>
      <c r="F7">
        <v>1.2625614221143511E-4</v>
      </c>
      <c r="G7">
        <v>1.8431641725024123E-3</v>
      </c>
      <c r="H7" s="15">
        <v>33789</v>
      </c>
      <c r="I7" s="15">
        <v>39603</v>
      </c>
      <c r="J7" s="15">
        <v>2713</v>
      </c>
      <c r="K7" s="15" t="s">
        <v>35</v>
      </c>
      <c r="L7" s="15">
        <v>6</v>
      </c>
    </row>
    <row r="8" spans="1:12" x14ac:dyDescent="0.45">
      <c r="A8">
        <f t="shared" si="0"/>
        <v>1</v>
      </c>
      <c r="B8" t="s">
        <v>33</v>
      </c>
      <c r="C8" s="15">
        <v>4</v>
      </c>
      <c r="D8">
        <v>1</v>
      </c>
      <c r="E8">
        <v>1.292141616704593E-4</v>
      </c>
      <c r="F8">
        <v>1.2471045569053014E-4</v>
      </c>
      <c r="G8">
        <v>1.8424781503317443E-3</v>
      </c>
      <c r="H8" s="15">
        <v>38696</v>
      </c>
      <c r="I8" s="15">
        <v>40093</v>
      </c>
      <c r="J8" s="15">
        <v>2714</v>
      </c>
      <c r="K8" s="15" t="s">
        <v>36</v>
      </c>
      <c r="L8" s="15">
        <v>12</v>
      </c>
    </row>
    <row r="9" spans="1:12" x14ac:dyDescent="0.45">
      <c r="A9">
        <f t="shared" si="0"/>
        <v>1</v>
      </c>
      <c r="B9" t="s">
        <v>33</v>
      </c>
      <c r="C9" s="15">
        <v>8</v>
      </c>
      <c r="D9">
        <v>1</v>
      </c>
      <c r="E9">
        <v>1.3715430656137051E-4</v>
      </c>
      <c r="F9">
        <v>1.3015298175285137E-4</v>
      </c>
      <c r="G9">
        <v>1.8824117049306499E-3</v>
      </c>
      <c r="H9" s="15">
        <v>36456</v>
      </c>
      <c r="I9" s="15">
        <v>38417</v>
      </c>
      <c r="J9" s="15">
        <v>2657</v>
      </c>
      <c r="K9" s="15" t="s">
        <v>37</v>
      </c>
      <c r="L9" s="15">
        <v>24</v>
      </c>
    </row>
    <row r="10" spans="1:12" x14ac:dyDescent="0.45">
      <c r="A10">
        <f t="shared" si="0"/>
        <v>1</v>
      </c>
      <c r="B10" t="s">
        <v>33</v>
      </c>
      <c r="C10" s="15">
        <v>16</v>
      </c>
      <c r="D10">
        <v>1</v>
      </c>
      <c r="E10">
        <v>1.4700231081318508E-4</v>
      </c>
      <c r="F10">
        <v>1.4004114665022588E-4</v>
      </c>
      <c r="G10">
        <v>1.9195820345489028E-3</v>
      </c>
      <c r="H10" s="15">
        <v>34014</v>
      </c>
      <c r="I10" s="15">
        <v>35704</v>
      </c>
      <c r="J10" s="15">
        <v>2605</v>
      </c>
      <c r="K10" s="15" t="s">
        <v>38</v>
      </c>
      <c r="L10" s="15">
        <v>48</v>
      </c>
    </row>
    <row r="11" spans="1:12" x14ac:dyDescent="0.45">
      <c r="A11">
        <f t="shared" si="0"/>
        <v>1</v>
      </c>
      <c r="B11" t="s">
        <v>33</v>
      </c>
      <c r="C11" s="15">
        <v>32</v>
      </c>
      <c r="D11">
        <v>1</v>
      </c>
      <c r="E11">
        <v>1.6461627707910469E-4</v>
      </c>
      <c r="F11">
        <v>1.5876684342552464E-4</v>
      </c>
      <c r="G11">
        <v>1.9947821300360445E-3</v>
      </c>
      <c r="H11" s="15">
        <v>30374</v>
      </c>
      <c r="I11" s="15">
        <v>31493</v>
      </c>
      <c r="J11" s="15">
        <v>2507</v>
      </c>
      <c r="K11" s="15" t="s">
        <v>39</v>
      </c>
      <c r="L11" s="15">
        <v>96</v>
      </c>
    </row>
    <row r="12" spans="1:12" x14ac:dyDescent="0.45">
      <c r="A12">
        <f t="shared" si="0"/>
        <v>1</v>
      </c>
      <c r="B12" t="s">
        <v>33</v>
      </c>
      <c r="C12" s="15">
        <v>64</v>
      </c>
      <c r="D12">
        <v>1</v>
      </c>
      <c r="E12">
        <v>2.1162555974095501E-4</v>
      </c>
      <c r="F12">
        <v>1.9906098415477263E-4</v>
      </c>
      <c r="G12">
        <v>2.1753947803391212E-3</v>
      </c>
      <c r="H12" s="15">
        <v>23627</v>
      </c>
      <c r="I12" s="15">
        <v>25118</v>
      </c>
      <c r="J12" s="15">
        <v>2299</v>
      </c>
      <c r="K12" s="15" t="s">
        <v>40</v>
      </c>
      <c r="L12" s="15">
        <v>192</v>
      </c>
    </row>
    <row r="13" spans="1:12" x14ac:dyDescent="0.45">
      <c r="A13">
        <f t="shared" si="0"/>
        <v>1</v>
      </c>
      <c r="B13" t="s">
        <v>33</v>
      </c>
      <c r="C13" s="15">
        <v>128</v>
      </c>
      <c r="D13">
        <v>1</v>
      </c>
      <c r="E13">
        <v>2.8521796817065567E-4</v>
      </c>
      <c r="F13">
        <v>2.8026636959805896E-4</v>
      </c>
      <c r="G13">
        <v>2.4698897283950052E-3</v>
      </c>
      <c r="H13" s="15">
        <v>17531</v>
      </c>
      <c r="I13" s="15">
        <v>17841</v>
      </c>
      <c r="J13" s="15">
        <v>2025</v>
      </c>
      <c r="K13" s="15" t="s">
        <v>41</v>
      </c>
      <c r="L13" s="15">
        <v>384</v>
      </c>
    </row>
    <row r="14" spans="1:12" x14ac:dyDescent="0.45">
      <c r="A14">
        <f t="shared" si="0"/>
        <v>1</v>
      </c>
      <c r="B14" t="s">
        <v>33</v>
      </c>
      <c r="C14" s="15">
        <v>256</v>
      </c>
      <c r="D14">
        <v>1</v>
      </c>
      <c r="E14">
        <v>4.4585392777531113E-4</v>
      </c>
      <c r="F14">
        <v>4.4391376065339665E-4</v>
      </c>
      <c r="G14">
        <v>3.1271550343968655E-3</v>
      </c>
      <c r="H14" s="15">
        <v>11215</v>
      </c>
      <c r="I14" s="15">
        <v>11264</v>
      </c>
      <c r="J14" s="15">
        <v>1599</v>
      </c>
      <c r="K14" s="15" t="s">
        <v>42</v>
      </c>
      <c r="L14" s="15">
        <v>768</v>
      </c>
    </row>
    <row r="15" spans="1:12" x14ac:dyDescent="0.45">
      <c r="A15">
        <f t="shared" si="0"/>
        <v>1</v>
      </c>
      <c r="B15" t="s">
        <v>33</v>
      </c>
      <c r="C15" s="15">
        <v>512</v>
      </c>
      <c r="D15">
        <v>1</v>
      </c>
      <c r="E15">
        <v>7.5756594455389363E-4</v>
      </c>
      <c r="F15">
        <v>7.8470524168252893E-4</v>
      </c>
      <c r="G15">
        <v>4.3505461739123744E-3</v>
      </c>
      <c r="H15" s="15">
        <v>6601</v>
      </c>
      <c r="I15" s="15">
        <v>6372</v>
      </c>
      <c r="J15" s="15">
        <v>1150</v>
      </c>
      <c r="K15" s="15" t="s">
        <v>43</v>
      </c>
      <c r="L15" s="15">
        <v>1536</v>
      </c>
    </row>
    <row r="16" spans="1:12" x14ac:dyDescent="0.45">
      <c r="A16">
        <f t="shared" si="0"/>
        <v>1</v>
      </c>
      <c r="B16" t="s">
        <v>33</v>
      </c>
      <c r="C16" s="15">
        <v>1024</v>
      </c>
      <c r="D16">
        <v>1</v>
      </c>
      <c r="E16">
        <v>1.4202277193978592E-3</v>
      </c>
      <c r="F16">
        <v>1.450245011600919E-3</v>
      </c>
      <c r="G16">
        <v>6.9350496532593316E-3</v>
      </c>
      <c r="H16" s="15">
        <v>3521</v>
      </c>
      <c r="I16" s="15">
        <v>3448</v>
      </c>
      <c r="J16" s="15">
        <v>721</v>
      </c>
      <c r="K16" s="15" t="s">
        <v>44</v>
      </c>
      <c r="L16" s="15">
        <v>3072</v>
      </c>
    </row>
    <row r="17" spans="1:12" x14ac:dyDescent="0.45">
      <c r="A17">
        <f t="shared" si="0"/>
        <v>1</v>
      </c>
      <c r="B17" t="s">
        <v>33</v>
      </c>
      <c r="C17" s="15">
        <v>2048</v>
      </c>
      <c r="D17">
        <v>1</v>
      </c>
      <c r="E17">
        <v>2.8257352542366038E-3</v>
      </c>
      <c r="F17">
        <v>3.0353459951451777E-3</v>
      </c>
      <c r="G17">
        <v>1.2143817475726324E-2</v>
      </c>
      <c r="H17" s="15">
        <v>1770</v>
      </c>
      <c r="I17" s="15">
        <v>1648</v>
      </c>
      <c r="J17" s="15">
        <v>412</v>
      </c>
      <c r="K17" s="15" t="s">
        <v>45</v>
      </c>
      <c r="L17" s="15">
        <v>6144</v>
      </c>
    </row>
    <row r="18" spans="1:12" x14ac:dyDescent="0.45">
      <c r="A18">
        <f t="shared" si="0"/>
        <v>1</v>
      </c>
      <c r="B18" t="s">
        <v>33</v>
      </c>
      <c r="C18" s="15">
        <v>4096</v>
      </c>
      <c r="D18">
        <v>1</v>
      </c>
      <c r="E18">
        <v>5.492938748627392E-3</v>
      </c>
      <c r="F18">
        <v>5.5376767441871928E-3</v>
      </c>
      <c r="G18">
        <v>2.5072455500003345E-2</v>
      </c>
      <c r="H18" s="15">
        <v>911</v>
      </c>
      <c r="I18" s="15">
        <v>903</v>
      </c>
      <c r="J18" s="15">
        <v>200</v>
      </c>
      <c r="K18" s="15" t="s">
        <v>46</v>
      </c>
      <c r="L18" s="15">
        <v>12288</v>
      </c>
    </row>
    <row r="19" spans="1:12" x14ac:dyDescent="0.45">
      <c r="A19">
        <f t="shared" si="0"/>
        <v>1</v>
      </c>
      <c r="B19" t="s">
        <v>33</v>
      </c>
      <c r="C19" s="15">
        <v>8192</v>
      </c>
      <c r="D19">
        <v>1</v>
      </c>
      <c r="E19">
        <v>1.1117214666668991E-2</v>
      </c>
      <c r="F19">
        <v>1.0839643506494814E-2</v>
      </c>
      <c r="G19">
        <v>4.6924121495330581E-2</v>
      </c>
      <c r="H19" s="15">
        <v>450</v>
      </c>
      <c r="I19" s="15">
        <v>462</v>
      </c>
      <c r="J19" s="15">
        <v>107</v>
      </c>
      <c r="K19" s="15" t="s">
        <v>47</v>
      </c>
      <c r="L19" s="15">
        <v>24576</v>
      </c>
    </row>
    <row r="20" spans="1:12" x14ac:dyDescent="0.45">
      <c r="A20">
        <f t="shared" si="0"/>
        <v>1</v>
      </c>
      <c r="B20" t="s">
        <v>33</v>
      </c>
      <c r="C20" s="15">
        <v>16384</v>
      </c>
      <c r="D20">
        <v>1</v>
      </c>
      <c r="E20">
        <v>2.2051429074895268E-2</v>
      </c>
      <c r="F20">
        <v>2.1504316309013165E-2</v>
      </c>
      <c r="G20">
        <v>8.8240175438585811E-2</v>
      </c>
      <c r="H20" s="15">
        <v>227</v>
      </c>
      <c r="I20" s="15">
        <v>233</v>
      </c>
      <c r="J20" s="15">
        <v>57</v>
      </c>
      <c r="K20" s="15" t="s">
        <v>48</v>
      </c>
      <c r="L20" s="15">
        <v>49152</v>
      </c>
    </row>
    <row r="21" spans="1:12" x14ac:dyDescent="0.45">
      <c r="A21">
        <f t="shared" si="0"/>
        <v>1</v>
      </c>
      <c r="B21" t="s">
        <v>33</v>
      </c>
      <c r="C21" s="15">
        <v>32768</v>
      </c>
      <c r="D21">
        <v>1</v>
      </c>
      <c r="E21">
        <v>4.4927449107149187E-2</v>
      </c>
      <c r="F21">
        <v>4.3666169565229847E-2</v>
      </c>
      <c r="G21">
        <v>0.16928570000000037</v>
      </c>
      <c r="H21" s="15">
        <v>112</v>
      </c>
      <c r="I21" s="15">
        <v>115</v>
      </c>
      <c r="J21" s="15">
        <v>30</v>
      </c>
      <c r="K21" s="15" t="s">
        <v>49</v>
      </c>
      <c r="L21" s="15">
        <v>98304</v>
      </c>
    </row>
    <row r="22" spans="1:12" x14ac:dyDescent="0.45">
      <c r="A22">
        <f t="shared" si="0"/>
        <v>1</v>
      </c>
      <c r="B22" t="s">
        <v>33</v>
      </c>
      <c r="C22" s="15">
        <v>65536</v>
      </c>
      <c r="D22">
        <v>1</v>
      </c>
      <c r="E22">
        <v>0.10542577291668447</v>
      </c>
      <c r="F22">
        <v>0.10038517058823274</v>
      </c>
      <c r="G22">
        <v>0.33775663999998262</v>
      </c>
      <c r="H22" s="15">
        <v>48</v>
      </c>
      <c r="I22" s="15">
        <v>51</v>
      </c>
      <c r="J22" s="15">
        <v>15</v>
      </c>
      <c r="K22" s="15" t="s">
        <v>50</v>
      </c>
      <c r="L22" s="15">
        <v>196608</v>
      </c>
    </row>
    <row r="23" spans="1:12" x14ac:dyDescent="0.45">
      <c r="A23">
        <f t="shared" si="0"/>
        <v>1</v>
      </c>
      <c r="B23" t="s">
        <v>33</v>
      </c>
      <c r="C23" s="15">
        <v>131072</v>
      </c>
      <c r="D23">
        <v>1</v>
      </c>
      <c r="E23">
        <v>0.17805527931033857</v>
      </c>
      <c r="F23">
        <v>0.17777406551719871</v>
      </c>
      <c r="G23">
        <v>0.65007098750015757</v>
      </c>
      <c r="H23" s="15">
        <v>29</v>
      </c>
      <c r="I23" s="15">
        <v>29</v>
      </c>
      <c r="J23" s="15">
        <v>8</v>
      </c>
      <c r="K23" s="15" t="s">
        <v>51</v>
      </c>
      <c r="L23" s="15">
        <v>393216</v>
      </c>
    </row>
    <row r="24" spans="1:12" x14ac:dyDescent="0.45">
      <c r="A24">
        <f t="shared" si="0"/>
        <v>1</v>
      </c>
      <c r="B24" t="s">
        <v>33</v>
      </c>
      <c r="C24" s="15">
        <v>262144</v>
      </c>
      <c r="D24">
        <v>1</v>
      </c>
      <c r="E24">
        <v>0.36705025000005015</v>
      </c>
      <c r="F24">
        <v>0.34604212666660411</v>
      </c>
      <c r="G24">
        <v>1.3880589749996943</v>
      </c>
      <c r="H24" s="15">
        <v>14</v>
      </c>
      <c r="I24" s="15">
        <v>15</v>
      </c>
      <c r="J24" s="15">
        <v>4</v>
      </c>
      <c r="K24" s="15" t="s">
        <v>52</v>
      </c>
      <c r="L24" s="15">
        <v>786432</v>
      </c>
    </row>
    <row r="25" spans="1:12" x14ac:dyDescent="0.45">
      <c r="A25">
        <f t="shared" si="0"/>
        <v>1</v>
      </c>
      <c r="B25" t="s">
        <v>33</v>
      </c>
      <c r="C25" s="15">
        <v>524288</v>
      </c>
      <c r="D25">
        <v>1</v>
      </c>
      <c r="E25">
        <v>0.75120355714300657</v>
      </c>
      <c r="F25">
        <v>0.74830622857137186</v>
      </c>
      <c r="G25">
        <v>2.5181865499998821</v>
      </c>
      <c r="H25" s="15">
        <v>7</v>
      </c>
      <c r="I25" s="15">
        <v>7</v>
      </c>
      <c r="J25" s="15">
        <v>2</v>
      </c>
      <c r="K25" s="15" t="s">
        <v>53</v>
      </c>
      <c r="L25" s="15">
        <v>1572864</v>
      </c>
    </row>
    <row r="26" spans="1:12" x14ac:dyDescent="0.45">
      <c r="A26">
        <f t="shared" si="0"/>
        <v>1</v>
      </c>
      <c r="B26" t="s">
        <v>33</v>
      </c>
      <c r="C26" s="15">
        <v>1048576</v>
      </c>
      <c r="D26">
        <v>1</v>
      </c>
      <c r="E26">
        <v>1.4548350499999287</v>
      </c>
      <c r="F26">
        <v>1.4545715249996647</v>
      </c>
      <c r="G26">
        <v>4.9294864499997857</v>
      </c>
      <c r="H26" s="15">
        <v>4</v>
      </c>
      <c r="I26" s="15">
        <v>4</v>
      </c>
      <c r="J26" s="15">
        <v>2</v>
      </c>
      <c r="K26" s="15" t="s">
        <v>54</v>
      </c>
      <c r="L26" s="15">
        <v>3145728</v>
      </c>
    </row>
    <row r="27" spans="1:12" x14ac:dyDescent="0.45">
      <c r="A27">
        <f t="shared" si="0"/>
        <v>1</v>
      </c>
      <c r="B27" t="s">
        <v>33</v>
      </c>
      <c r="C27" s="15">
        <v>2097152</v>
      </c>
      <c r="D27">
        <v>1</v>
      </c>
      <c r="E27">
        <v>2.977490599999328</v>
      </c>
      <c r="F27">
        <v>3.0704576999996789</v>
      </c>
      <c r="G27">
        <v>10.497115999998641</v>
      </c>
      <c r="H27" s="15">
        <v>2</v>
      </c>
      <c r="I27" s="15">
        <v>2</v>
      </c>
      <c r="J27" s="15">
        <v>1</v>
      </c>
      <c r="K27" s="15" t="s">
        <v>55</v>
      </c>
      <c r="L27" s="15">
        <v>6291456</v>
      </c>
    </row>
    <row r="28" spans="1:12" x14ac:dyDescent="0.45">
      <c r="H28" s="15"/>
      <c r="I28" s="15"/>
      <c r="J28" s="15"/>
    </row>
    <row r="30" spans="1:12" x14ac:dyDescent="0.45">
      <c r="H30" s="15"/>
      <c r="I30" s="15"/>
      <c r="J30" s="15"/>
    </row>
    <row r="31" spans="1:12" x14ac:dyDescent="0.45">
      <c r="H31" s="15"/>
      <c r="I31" s="15"/>
      <c r="J31" s="15"/>
      <c r="K31" s="19" t="s">
        <v>56</v>
      </c>
    </row>
    <row r="32" spans="1:12" ht="28.5" x14ac:dyDescent="0.45">
      <c r="A32" s="16" t="s">
        <v>21</v>
      </c>
      <c r="B32" s="16" t="s">
        <v>22</v>
      </c>
      <c r="C32" s="16" t="s">
        <v>23</v>
      </c>
      <c r="D32" s="16" t="s">
        <v>24</v>
      </c>
      <c r="E32" s="16" t="s">
        <v>25</v>
      </c>
      <c r="F32" s="16" t="s">
        <v>26</v>
      </c>
      <c r="G32" s="16" t="s">
        <v>27</v>
      </c>
      <c r="H32" s="17" t="s">
        <v>28</v>
      </c>
      <c r="I32" s="17" t="s">
        <v>29</v>
      </c>
      <c r="J32" s="17" t="s">
        <v>30</v>
      </c>
      <c r="K32" s="16" t="s">
        <v>31</v>
      </c>
      <c r="L32" s="16" t="s">
        <v>32</v>
      </c>
    </row>
    <row r="33" spans="1:12" x14ac:dyDescent="0.45">
      <c r="A33">
        <f>LEN(B33)</f>
        <v>32</v>
      </c>
      <c r="B33" t="str">
        <f>REPT("x",32)</f>
        <v>xxxxxxxxxxxxxxxxxxxxxxxxxxxxxxxx</v>
      </c>
      <c r="C33" s="15">
        <v>1</v>
      </c>
      <c r="D33">
        <v>1</v>
      </c>
      <c r="E33">
        <v>1.34479874129294E-4</v>
      </c>
      <c r="F33">
        <v>1.3239526293493193E-4</v>
      </c>
      <c r="G33">
        <v>2.0403903304768351E-3</v>
      </c>
      <c r="H33" s="15">
        <v>37181</v>
      </c>
      <c r="I33" s="15">
        <v>37766</v>
      </c>
      <c r="J33" s="15">
        <v>2451</v>
      </c>
      <c r="K33" s="15" t="s">
        <v>57</v>
      </c>
      <c r="L33" s="15">
        <v>34</v>
      </c>
    </row>
    <row r="34" spans="1:12" x14ac:dyDescent="0.45">
      <c r="A34">
        <f t="shared" ref="A34:A53" si="1">LEN(B34)</f>
        <v>32</v>
      </c>
      <c r="B34" t="str">
        <f t="shared" ref="B34:B53" si="2">REPT("x",32)</f>
        <v>xxxxxxxxxxxxxxxxxxxxxxxxxxxxxxxx</v>
      </c>
      <c r="C34" s="15">
        <v>2</v>
      </c>
      <c r="D34">
        <v>1</v>
      </c>
      <c r="E34">
        <v>1.4183739645978871E-4</v>
      </c>
      <c r="F34">
        <v>1.3560162991890296E-4</v>
      </c>
      <c r="G34">
        <v>2.0671608515911172E-3</v>
      </c>
      <c r="H34" s="15">
        <v>35252</v>
      </c>
      <c r="I34" s="15">
        <v>36873</v>
      </c>
      <c r="J34" s="15">
        <v>2419</v>
      </c>
      <c r="K34" s="15" t="s">
        <v>58</v>
      </c>
      <c r="L34" s="15">
        <v>68</v>
      </c>
    </row>
    <row r="35" spans="1:12" x14ac:dyDescent="0.45">
      <c r="A35">
        <f t="shared" si="1"/>
        <v>32</v>
      </c>
      <c r="B35" t="str">
        <f t="shared" si="2"/>
        <v>xxxxxxxxxxxxxxxxxxxxxxxxxxxxxxxx</v>
      </c>
      <c r="C35" s="15">
        <v>4</v>
      </c>
      <c r="D35">
        <v>1</v>
      </c>
      <c r="E35">
        <v>1.494449249805769E-4</v>
      </c>
      <c r="F35">
        <v>1.4331502479289084E-4</v>
      </c>
      <c r="G35">
        <v>2.0889627401837886E-3</v>
      </c>
      <c r="H35" s="15">
        <v>33458</v>
      </c>
      <c r="I35" s="15">
        <v>34889</v>
      </c>
      <c r="J35" s="15">
        <v>2394</v>
      </c>
      <c r="K35" s="15" t="s">
        <v>59</v>
      </c>
      <c r="L35" s="15">
        <v>136</v>
      </c>
    </row>
    <row r="36" spans="1:12" x14ac:dyDescent="0.45">
      <c r="A36">
        <f t="shared" si="1"/>
        <v>32</v>
      </c>
      <c r="B36" t="str">
        <f t="shared" si="2"/>
        <v>xxxxxxxxxxxxxxxxxxxxxxxxxxxxxxxx</v>
      </c>
      <c r="C36" s="15">
        <v>8</v>
      </c>
      <c r="D36">
        <v>1</v>
      </c>
      <c r="E36">
        <v>1.6171222509704975E-4</v>
      </c>
      <c r="F36">
        <v>1.619906761265919E-4</v>
      </c>
      <c r="G36">
        <v>2.1437495499359743E-3</v>
      </c>
      <c r="H36" s="15">
        <v>30920</v>
      </c>
      <c r="I36" s="15">
        <v>30867</v>
      </c>
      <c r="J36" s="15">
        <v>2333</v>
      </c>
      <c r="K36" s="15" t="s">
        <v>60</v>
      </c>
      <c r="L36" s="15">
        <v>272</v>
      </c>
    </row>
    <row r="37" spans="1:12" x14ac:dyDescent="0.45">
      <c r="A37">
        <f t="shared" si="1"/>
        <v>32</v>
      </c>
      <c r="B37" t="str">
        <f t="shared" si="2"/>
        <v>xxxxxxxxxxxxxxxxxxxxxxxxxxxxxxxx</v>
      </c>
      <c r="C37" s="15">
        <v>16</v>
      </c>
      <c r="D37">
        <v>1</v>
      </c>
      <c r="E37">
        <v>2.0189477913267227E-4</v>
      </c>
      <c r="F37">
        <v>1.8643100298283477E-4</v>
      </c>
      <c r="G37">
        <v>2.1701710069442649E-3</v>
      </c>
      <c r="H37" s="15">
        <v>24766</v>
      </c>
      <c r="I37" s="15">
        <v>26820</v>
      </c>
      <c r="J37" s="15">
        <v>2304</v>
      </c>
      <c r="K37" s="15" t="s">
        <v>61</v>
      </c>
      <c r="L37" s="15">
        <v>544</v>
      </c>
    </row>
    <row r="38" spans="1:12" x14ac:dyDescent="0.45">
      <c r="A38">
        <f t="shared" si="1"/>
        <v>32</v>
      </c>
      <c r="B38" t="str">
        <f t="shared" si="2"/>
        <v>xxxxxxxxxxxxxxxxxxxxxxxxxxxxxxxx</v>
      </c>
      <c r="C38" s="15">
        <v>32</v>
      </c>
      <c r="D38">
        <v>1</v>
      </c>
      <c r="E38">
        <v>2.413951385536163E-4</v>
      </c>
      <c r="F38">
        <v>2.3752324355138786E-4</v>
      </c>
      <c r="G38">
        <v>2.2608000904157507E-3</v>
      </c>
      <c r="H38" s="15">
        <v>20714</v>
      </c>
      <c r="I38" s="15">
        <v>21051</v>
      </c>
      <c r="J38" s="15">
        <v>2212</v>
      </c>
      <c r="K38" s="15" t="s">
        <v>62</v>
      </c>
      <c r="L38" s="15">
        <v>1088</v>
      </c>
    </row>
    <row r="39" spans="1:12" x14ac:dyDescent="0.45">
      <c r="A39">
        <f t="shared" si="1"/>
        <v>32</v>
      </c>
      <c r="B39" t="str">
        <f t="shared" si="2"/>
        <v>xxxxxxxxxxxxxxxxxxxxxxxxxxxxxxxx</v>
      </c>
      <c r="C39" s="15">
        <v>64</v>
      </c>
      <c r="D39">
        <v>1</v>
      </c>
      <c r="E39">
        <v>3.5599028905026244E-4</v>
      </c>
      <c r="F39">
        <v>3.2940519138286811E-4</v>
      </c>
      <c r="G39">
        <v>2.4749920336468671E-3</v>
      </c>
      <c r="H39" s="15">
        <v>14046</v>
      </c>
      <c r="I39" s="15">
        <v>15179</v>
      </c>
      <c r="J39" s="15">
        <v>2021</v>
      </c>
      <c r="K39" s="15" t="s">
        <v>63</v>
      </c>
      <c r="L39" s="15">
        <v>2176</v>
      </c>
    </row>
    <row r="40" spans="1:12" x14ac:dyDescent="0.45">
      <c r="A40">
        <f t="shared" si="1"/>
        <v>32</v>
      </c>
      <c r="B40" t="str">
        <f t="shared" si="2"/>
        <v>xxxxxxxxxxxxxxxxxxxxxxxxxxxxxxxx</v>
      </c>
      <c r="C40" s="15">
        <v>128</v>
      </c>
      <c r="D40">
        <v>1</v>
      </c>
      <c r="E40">
        <v>5.4607597466429841E-4</v>
      </c>
      <c r="F40">
        <v>5.2124734702384029E-4</v>
      </c>
      <c r="G40">
        <v>2.8558099942885542E-3</v>
      </c>
      <c r="H40" s="15">
        <v>9157</v>
      </c>
      <c r="I40" s="15">
        <v>9593</v>
      </c>
      <c r="J40" s="15">
        <v>1751</v>
      </c>
      <c r="K40" s="15" t="s">
        <v>64</v>
      </c>
      <c r="L40" s="15">
        <v>4352</v>
      </c>
    </row>
    <row r="41" spans="1:12" x14ac:dyDescent="0.45">
      <c r="A41">
        <f t="shared" si="1"/>
        <v>32</v>
      </c>
      <c r="B41" t="str">
        <f t="shared" si="2"/>
        <v>xxxxxxxxxxxxxxxxxxxxxxxxxxxxxxxx</v>
      </c>
      <c r="C41" s="15">
        <v>256</v>
      </c>
      <c r="D41">
        <v>1</v>
      </c>
      <c r="E41">
        <v>1.0993258298530621E-3</v>
      </c>
      <c r="F41">
        <v>8.9574706198481649E-4</v>
      </c>
      <c r="G41">
        <v>3.6949522895118789E-3</v>
      </c>
      <c r="H41" s="15">
        <v>4549</v>
      </c>
      <c r="I41" s="15">
        <v>5582</v>
      </c>
      <c r="J41" s="15">
        <v>1354</v>
      </c>
      <c r="K41" s="15" t="s">
        <v>65</v>
      </c>
      <c r="L41" s="15">
        <v>8704</v>
      </c>
    </row>
    <row r="42" spans="1:12" x14ac:dyDescent="0.45">
      <c r="A42">
        <f t="shared" si="1"/>
        <v>32</v>
      </c>
      <c r="B42" t="str">
        <f t="shared" si="2"/>
        <v>xxxxxxxxxxxxxxxxxxxxxxxxxxxxxxxx</v>
      </c>
      <c r="C42" s="15">
        <v>512</v>
      </c>
      <c r="D42">
        <v>1</v>
      </c>
      <c r="E42">
        <v>1.7651133074481529E-3</v>
      </c>
      <c r="F42">
        <v>1.6841131020543982E-3</v>
      </c>
      <c r="G42">
        <v>5.2559193277317692E-3</v>
      </c>
      <c r="H42" s="15">
        <v>2833</v>
      </c>
      <c r="I42" s="15">
        <v>2969</v>
      </c>
      <c r="J42" s="15">
        <v>952</v>
      </c>
      <c r="K42" s="15" t="s">
        <v>66</v>
      </c>
      <c r="L42" s="15">
        <v>17408</v>
      </c>
    </row>
    <row r="43" spans="1:12" x14ac:dyDescent="0.45">
      <c r="A43">
        <f t="shared" si="1"/>
        <v>32</v>
      </c>
      <c r="B43" t="str">
        <f t="shared" si="2"/>
        <v>xxxxxxxxxxxxxxxxxxxxxxxxxxxxxxxx</v>
      </c>
      <c r="C43" s="15">
        <v>1024</v>
      </c>
      <c r="D43">
        <v>1</v>
      </c>
      <c r="E43">
        <v>3.6095994227991839E-3</v>
      </c>
      <c r="F43">
        <v>3.3403356045416653E-3</v>
      </c>
      <c r="G43">
        <v>8.641772711571901E-3</v>
      </c>
      <c r="H43" s="15">
        <v>1386</v>
      </c>
      <c r="I43" s="15">
        <v>1497</v>
      </c>
      <c r="J43" s="15">
        <v>579</v>
      </c>
      <c r="K43" s="15" t="s">
        <v>67</v>
      </c>
      <c r="L43" s="15">
        <v>34816</v>
      </c>
    </row>
    <row r="44" spans="1:12" x14ac:dyDescent="0.45">
      <c r="A44">
        <f t="shared" si="1"/>
        <v>32</v>
      </c>
      <c r="B44" t="str">
        <f t="shared" si="2"/>
        <v>xxxxxxxxxxxxxxxxxxxxxxxxxxxxxxxx</v>
      </c>
      <c r="C44" s="15">
        <v>2048</v>
      </c>
      <c r="D44">
        <v>1</v>
      </c>
      <c r="E44">
        <v>6.6196644179904573E-3</v>
      </c>
      <c r="F44">
        <v>6.4426679536677776E-3</v>
      </c>
      <c r="G44">
        <v>1.5512091950461162E-2</v>
      </c>
      <c r="H44" s="15">
        <v>756</v>
      </c>
      <c r="I44" s="15">
        <v>777</v>
      </c>
      <c r="J44" s="15">
        <v>323</v>
      </c>
      <c r="K44" s="15" t="s">
        <v>68</v>
      </c>
      <c r="L44" s="15">
        <v>69632</v>
      </c>
    </row>
    <row r="45" spans="1:12" x14ac:dyDescent="0.45">
      <c r="A45">
        <f t="shared" si="1"/>
        <v>32</v>
      </c>
      <c r="B45" t="str">
        <f t="shared" si="2"/>
        <v>xxxxxxxxxxxxxxxxxxxxxxxxxxxxxxxx</v>
      </c>
      <c r="C45" s="15">
        <v>4096</v>
      </c>
      <c r="D45">
        <v>1</v>
      </c>
      <c r="E45">
        <v>1.2783892346941666E-2</v>
      </c>
      <c r="F45">
        <v>1.2523153749998527E-2</v>
      </c>
      <c r="G45">
        <v>3.0566157926819514E-2</v>
      </c>
      <c r="H45" s="15">
        <v>392</v>
      </c>
      <c r="I45" s="15">
        <v>400</v>
      </c>
      <c r="J45" s="15">
        <v>164</v>
      </c>
      <c r="K45" s="15" t="s">
        <v>69</v>
      </c>
      <c r="L45" s="15">
        <v>139264</v>
      </c>
    </row>
    <row r="46" spans="1:12" x14ac:dyDescent="0.45">
      <c r="A46">
        <f t="shared" si="1"/>
        <v>32</v>
      </c>
      <c r="B46" t="str">
        <f t="shared" si="2"/>
        <v>xxxxxxxxxxxxxxxxxxxxxxxxxxxxxxxx</v>
      </c>
      <c r="C46" s="15">
        <v>8192</v>
      </c>
      <c r="D46">
        <v>1</v>
      </c>
      <c r="E46">
        <v>2.7055212432438764E-2</v>
      </c>
      <c r="F46">
        <v>2.6463665079361855E-2</v>
      </c>
      <c r="G46">
        <v>5.0198493000007144E-2</v>
      </c>
      <c r="H46" s="15">
        <v>185</v>
      </c>
      <c r="I46" s="15">
        <v>189</v>
      </c>
      <c r="J46" s="15">
        <v>100</v>
      </c>
      <c r="K46" s="15" t="s">
        <v>70</v>
      </c>
      <c r="L46" s="15">
        <v>278528</v>
      </c>
    </row>
    <row r="47" spans="1:12" x14ac:dyDescent="0.45">
      <c r="A47">
        <f t="shared" si="1"/>
        <v>32</v>
      </c>
      <c r="B47" t="str">
        <f t="shared" si="2"/>
        <v>xxxxxxxxxxxxxxxxxxxxxxxxxxxxxxxx</v>
      </c>
      <c r="C47" s="15">
        <v>16384</v>
      </c>
      <c r="D47">
        <v>1</v>
      </c>
      <c r="E47">
        <v>5.6172302222229416E-2</v>
      </c>
      <c r="F47">
        <v>5.0571818181821861E-2</v>
      </c>
      <c r="G47">
        <v>9.6531917307682027E-2</v>
      </c>
      <c r="H47" s="15">
        <v>90</v>
      </c>
      <c r="I47" s="15">
        <v>99</v>
      </c>
      <c r="J47" s="15">
        <v>52</v>
      </c>
      <c r="K47" s="15" t="s">
        <v>71</v>
      </c>
      <c r="L47" s="15">
        <v>557056</v>
      </c>
    </row>
    <row r="48" spans="1:12" x14ac:dyDescent="0.45">
      <c r="A48">
        <f t="shared" si="1"/>
        <v>32</v>
      </c>
      <c r="B48" t="str">
        <f t="shared" si="2"/>
        <v>xxxxxxxxxxxxxxxxxxxxxxxxxxxxxxxx</v>
      </c>
      <c r="C48" s="15">
        <v>32768</v>
      </c>
      <c r="D48">
        <v>1</v>
      </c>
      <c r="E48">
        <v>0.1080429361702161</v>
      </c>
      <c r="F48">
        <v>0.10883963404256142</v>
      </c>
      <c r="G48">
        <v>0.18798502962959496</v>
      </c>
      <c r="H48" s="15">
        <v>47</v>
      </c>
      <c r="I48" s="15">
        <v>47</v>
      </c>
      <c r="J48" s="15">
        <v>27</v>
      </c>
      <c r="K48" s="15" t="s">
        <v>72</v>
      </c>
      <c r="L48" s="15">
        <v>1114112</v>
      </c>
    </row>
    <row r="49" spans="1:12" x14ac:dyDescent="0.45">
      <c r="A49">
        <f t="shared" si="1"/>
        <v>32</v>
      </c>
      <c r="B49" t="str">
        <f t="shared" si="2"/>
        <v>xxxxxxxxxxxxxxxxxxxxxxxxxxxxxxxx</v>
      </c>
      <c r="C49" s="15">
        <v>65536</v>
      </c>
      <c r="D49">
        <v>1</v>
      </c>
      <c r="E49">
        <v>0.21789429999997714</v>
      </c>
      <c r="F49">
        <v>0.20836787500002174</v>
      </c>
      <c r="G49">
        <v>0.3881295384615861</v>
      </c>
      <c r="H49" s="15">
        <v>23</v>
      </c>
      <c r="I49" s="15">
        <v>24</v>
      </c>
      <c r="J49" s="15">
        <v>13</v>
      </c>
      <c r="K49" s="15" t="s">
        <v>73</v>
      </c>
      <c r="L49" s="15">
        <v>2228224</v>
      </c>
    </row>
    <row r="50" spans="1:12" x14ac:dyDescent="0.45">
      <c r="A50">
        <f t="shared" si="1"/>
        <v>32</v>
      </c>
      <c r="B50" t="str">
        <f t="shared" si="2"/>
        <v>xxxxxxxxxxxxxxxxxxxxxxxxxxxxxxxx</v>
      </c>
      <c r="C50" s="15">
        <v>131072</v>
      </c>
      <c r="D50">
        <v>1</v>
      </c>
      <c r="E50">
        <v>0.42822090833336307</v>
      </c>
      <c r="F50">
        <v>0.41175323076920622</v>
      </c>
      <c r="G50">
        <v>0.75083692857151618</v>
      </c>
      <c r="H50" s="15">
        <v>12</v>
      </c>
      <c r="I50" s="15">
        <v>13</v>
      </c>
      <c r="J50" s="15">
        <v>7</v>
      </c>
      <c r="K50" s="15" t="s">
        <v>74</v>
      </c>
      <c r="L50" s="15">
        <v>4456448</v>
      </c>
    </row>
    <row r="51" spans="1:12" x14ac:dyDescent="0.45">
      <c r="A51">
        <f t="shared" si="1"/>
        <v>32</v>
      </c>
      <c r="B51" t="str">
        <f t="shared" si="2"/>
        <v>xxxxxxxxxxxxxxxxxxxxxxxxxxxxxxxx</v>
      </c>
      <c r="C51" s="15">
        <v>262144</v>
      </c>
      <c r="D51">
        <v>1</v>
      </c>
      <c r="E51">
        <v>0.86779139999998733</v>
      </c>
      <c r="F51">
        <v>0.8477728499998799</v>
      </c>
      <c r="G51">
        <v>1.5137419750003573</v>
      </c>
      <c r="H51" s="15">
        <v>6</v>
      </c>
      <c r="I51" s="15">
        <v>6</v>
      </c>
      <c r="J51" s="15">
        <v>4</v>
      </c>
      <c r="K51" s="15" t="s">
        <v>75</v>
      </c>
      <c r="L51" s="15">
        <v>8912896</v>
      </c>
    </row>
    <row r="52" spans="1:12" x14ac:dyDescent="0.45">
      <c r="A52">
        <f t="shared" si="1"/>
        <v>32</v>
      </c>
      <c r="B52" t="str">
        <f t="shared" si="2"/>
        <v>xxxxxxxxxxxxxxxxxxxxxxxxxxxxxxxx</v>
      </c>
      <c r="C52" s="15">
        <v>524288</v>
      </c>
      <c r="D52">
        <v>1</v>
      </c>
      <c r="E52">
        <v>1.7959464333331805</v>
      </c>
      <c r="F52">
        <v>1.8226661000001816</v>
      </c>
      <c r="G52">
        <v>2.8933888500005196</v>
      </c>
      <c r="H52" s="15">
        <v>3</v>
      </c>
      <c r="I52" s="15">
        <v>3</v>
      </c>
      <c r="J52" s="15">
        <v>2</v>
      </c>
      <c r="K52" s="15" t="s">
        <v>76</v>
      </c>
      <c r="L52" s="15">
        <v>17825792</v>
      </c>
    </row>
    <row r="53" spans="1:12" x14ac:dyDescent="0.45">
      <c r="A53">
        <f t="shared" si="1"/>
        <v>32</v>
      </c>
      <c r="B53" t="str">
        <f t="shared" si="2"/>
        <v>xxxxxxxxxxxxxxxxxxxxxxxxxxxxxxxx</v>
      </c>
      <c r="C53" s="15">
        <v>1048576</v>
      </c>
      <c r="D53">
        <v>1</v>
      </c>
      <c r="E53">
        <v>3.582008549999955</v>
      </c>
      <c r="F53">
        <v>3.4363585999999486</v>
      </c>
      <c r="G53">
        <v>5.8959924000009778</v>
      </c>
      <c r="H53" s="15">
        <v>2</v>
      </c>
      <c r="I53" s="15">
        <v>2</v>
      </c>
      <c r="J53" s="15">
        <v>1</v>
      </c>
      <c r="K53" s="15" t="s">
        <v>77</v>
      </c>
      <c r="L53" s="15">
        <v>35651584</v>
      </c>
    </row>
    <row r="54" spans="1:12" x14ac:dyDescent="0.45">
      <c r="C54" s="15"/>
      <c r="H54" s="15"/>
      <c r="I54" s="15"/>
      <c r="J54" s="15"/>
    </row>
    <row r="55" spans="1:12" x14ac:dyDescent="0.45">
      <c r="H55" s="15"/>
      <c r="I55" s="15"/>
      <c r="J55" s="15"/>
    </row>
    <row r="56" spans="1:12" x14ac:dyDescent="0.45">
      <c r="H56" s="15"/>
      <c r="I56" s="15"/>
      <c r="J56" s="15"/>
    </row>
    <row r="57" spans="1:12" x14ac:dyDescent="0.45">
      <c r="H57" s="15"/>
      <c r="I57" s="15"/>
      <c r="J57" s="15"/>
    </row>
    <row r="58" spans="1:12" x14ac:dyDescent="0.45">
      <c r="H58" s="15"/>
      <c r="I58" s="15"/>
      <c r="J58" s="15"/>
      <c r="K58" s="19" t="s">
        <v>78</v>
      </c>
    </row>
    <row r="59" spans="1:12" ht="28.5" x14ac:dyDescent="0.45">
      <c r="A59" s="16" t="s">
        <v>21</v>
      </c>
      <c r="B59" s="16" t="s">
        <v>22</v>
      </c>
      <c r="C59" s="16" t="s">
        <v>23</v>
      </c>
      <c r="D59" s="16" t="s">
        <v>24</v>
      </c>
      <c r="E59" s="16" t="s">
        <v>25</v>
      </c>
      <c r="F59" s="16" t="s">
        <v>26</v>
      </c>
      <c r="G59" s="16" t="s">
        <v>27</v>
      </c>
      <c r="H59" s="17" t="s">
        <v>28</v>
      </c>
      <c r="I59" s="17" t="s">
        <v>29</v>
      </c>
      <c r="J59" s="17" t="s">
        <v>30</v>
      </c>
      <c r="K59" s="16" t="s">
        <v>31</v>
      </c>
      <c r="L59" s="16" t="s">
        <v>32</v>
      </c>
    </row>
    <row r="60" spans="1:12" x14ac:dyDescent="0.45">
      <c r="A60">
        <f>LEN(B60)</f>
        <v>20</v>
      </c>
      <c r="B60" t="str">
        <f>"""xxxxxxxx"&amp;CHAR(13)&amp;CHAR(10)&amp;"yyyyyyyy"""</f>
        <v>"xxxxxxxx_x000D_
yyyyyyyy"</v>
      </c>
      <c r="C60" s="15">
        <v>1</v>
      </c>
      <c r="D60">
        <v>1</v>
      </c>
      <c r="E60">
        <v>1.3567349812775112E-4</v>
      </c>
      <c r="F60">
        <v>1.3170781813871631E-4</v>
      </c>
      <c r="G60">
        <v>2.1205321882948533E-3</v>
      </c>
      <c r="H60" s="15">
        <v>36854</v>
      </c>
      <c r="I60" s="15">
        <v>37963</v>
      </c>
      <c r="J60" s="15">
        <v>2358</v>
      </c>
      <c r="K60" s="15" t="s">
        <v>79</v>
      </c>
      <c r="L60" s="15">
        <v>22</v>
      </c>
    </row>
    <row r="61" spans="1:12" x14ac:dyDescent="0.45">
      <c r="A61">
        <f t="shared" ref="A61:A80" si="3">LEN(B61)</f>
        <v>20</v>
      </c>
      <c r="B61" t="str">
        <f t="shared" ref="B61:B80" si="4">"""xxxxxxxx"&amp;CHAR(13)&amp;CHAR(10)&amp;"yyyyyyyy"""</f>
        <v>"xxxxxxxx_x000D_
yyyyyyyy"</v>
      </c>
      <c r="C61" s="15">
        <v>2</v>
      </c>
      <c r="D61">
        <v>1</v>
      </c>
      <c r="E61">
        <v>1.3225410638238616E-4</v>
      </c>
      <c r="F61">
        <v>1.3077067608213924E-4</v>
      </c>
      <c r="G61">
        <v>2.1399235772357511E-3</v>
      </c>
      <c r="H61" s="15">
        <v>37807</v>
      </c>
      <c r="I61" s="15">
        <v>38235</v>
      </c>
      <c r="J61" s="15">
        <v>2337</v>
      </c>
      <c r="K61" s="15" t="s">
        <v>80</v>
      </c>
      <c r="L61" s="15">
        <v>44</v>
      </c>
    </row>
    <row r="62" spans="1:12" x14ac:dyDescent="0.45">
      <c r="A62">
        <f t="shared" si="3"/>
        <v>20</v>
      </c>
      <c r="B62" t="str">
        <f t="shared" si="4"/>
        <v>"xxxxxxxx_x000D_
yyyyyyyy"</v>
      </c>
      <c r="C62" s="15">
        <v>4</v>
      </c>
      <c r="D62">
        <v>1</v>
      </c>
      <c r="E62">
        <v>1.3949159157486467E-4</v>
      </c>
      <c r="F62">
        <v>1.3916558768685533E-4</v>
      </c>
      <c r="G62">
        <v>2.2125548230090002E-3</v>
      </c>
      <c r="H62" s="15">
        <v>35845</v>
      </c>
      <c r="I62" s="15">
        <v>35929</v>
      </c>
      <c r="J62" s="15">
        <v>2260</v>
      </c>
      <c r="K62" s="15" t="s">
        <v>81</v>
      </c>
      <c r="L62" s="15">
        <v>88</v>
      </c>
    </row>
    <row r="63" spans="1:12" x14ac:dyDescent="0.45">
      <c r="A63">
        <f t="shared" si="3"/>
        <v>20</v>
      </c>
      <c r="B63" t="str">
        <f t="shared" si="4"/>
        <v>"xxxxxxxx_x000D_
yyyyyyyy"</v>
      </c>
      <c r="C63" s="15">
        <v>8</v>
      </c>
      <c r="D63">
        <v>1</v>
      </c>
      <c r="E63">
        <v>1.7221753117033228E-4</v>
      </c>
      <c r="F63">
        <v>1.9038297985759768E-4</v>
      </c>
      <c r="G63">
        <v>2.4365383341457764E-3</v>
      </c>
      <c r="H63" s="15">
        <v>29034</v>
      </c>
      <c r="I63" s="15">
        <v>26263</v>
      </c>
      <c r="J63" s="15">
        <v>2053</v>
      </c>
      <c r="K63" s="15" t="s">
        <v>82</v>
      </c>
      <c r="L63" s="15">
        <v>176</v>
      </c>
    </row>
    <row r="64" spans="1:12" x14ac:dyDescent="0.45">
      <c r="A64">
        <f t="shared" si="3"/>
        <v>20</v>
      </c>
      <c r="B64" t="str">
        <f t="shared" si="4"/>
        <v>"xxxxxxxx_x000D_
yyyyyyyy"</v>
      </c>
      <c r="C64" s="15">
        <v>16</v>
      </c>
      <c r="D64">
        <v>1</v>
      </c>
      <c r="E64">
        <v>1.8136480467190202E-4</v>
      </c>
      <c r="F64">
        <v>1.8695294447563797E-4</v>
      </c>
      <c r="G64">
        <v>2.7876381270908641E-3</v>
      </c>
      <c r="H64" s="15">
        <v>27569</v>
      </c>
      <c r="I64" s="15">
        <v>26745</v>
      </c>
      <c r="J64" s="15">
        <v>1794</v>
      </c>
      <c r="K64" s="15" t="s">
        <v>83</v>
      </c>
      <c r="L64" s="15">
        <v>352</v>
      </c>
    </row>
    <row r="65" spans="1:12" x14ac:dyDescent="0.45">
      <c r="A65">
        <f t="shared" si="3"/>
        <v>20</v>
      </c>
      <c r="B65" t="str">
        <f t="shared" si="4"/>
        <v>"xxxxxxxx_x000D_
yyyyyyyy"</v>
      </c>
      <c r="C65" s="15">
        <v>32</v>
      </c>
      <c r="D65">
        <v>1</v>
      </c>
      <c r="E65">
        <v>2.1690347041472587E-4</v>
      </c>
      <c r="F65">
        <v>2.4684732424956412E-4</v>
      </c>
      <c r="G65">
        <v>3.4859562369333442E-3</v>
      </c>
      <c r="H65" s="15">
        <v>23052</v>
      </c>
      <c r="I65" s="15">
        <v>20256</v>
      </c>
      <c r="J65" s="15">
        <v>1435</v>
      </c>
      <c r="K65" s="15" t="s">
        <v>84</v>
      </c>
      <c r="L65" s="15">
        <v>704</v>
      </c>
    </row>
    <row r="66" spans="1:12" x14ac:dyDescent="0.45">
      <c r="A66">
        <f t="shared" si="3"/>
        <v>20</v>
      </c>
      <c r="B66" t="str">
        <f t="shared" si="4"/>
        <v>"xxxxxxxx_x000D_
yyyyyyyy"</v>
      </c>
      <c r="C66" s="15">
        <v>64</v>
      </c>
      <c r="D66">
        <v>1</v>
      </c>
      <c r="E66">
        <v>3.0753628759459334E-4</v>
      </c>
      <c r="F66">
        <v>3.5893744885506535E-4</v>
      </c>
      <c r="G66">
        <v>4.9010044074429392E-3</v>
      </c>
      <c r="H66" s="15">
        <v>16259</v>
      </c>
      <c r="I66" s="15">
        <v>13931</v>
      </c>
      <c r="J66" s="15">
        <v>1021</v>
      </c>
      <c r="K66" s="15" t="s">
        <v>85</v>
      </c>
      <c r="L66" s="15">
        <v>1408</v>
      </c>
    </row>
    <row r="67" spans="1:12" x14ac:dyDescent="0.45">
      <c r="A67">
        <f t="shared" si="3"/>
        <v>20</v>
      </c>
      <c r="B67" t="str">
        <f t="shared" si="4"/>
        <v>"xxxxxxxx_x000D_
yyyyyyyy"</v>
      </c>
      <c r="C67" s="15">
        <v>128</v>
      </c>
      <c r="D67">
        <v>1</v>
      </c>
      <c r="E67">
        <v>4.7192518168947672E-4</v>
      </c>
      <c r="F67">
        <v>6.4075115325486686E-4</v>
      </c>
      <c r="G67">
        <v>7.7835065318822318E-3</v>
      </c>
      <c r="H67" s="15">
        <v>10595</v>
      </c>
      <c r="I67" s="15">
        <v>7804</v>
      </c>
      <c r="J67" s="15">
        <v>643</v>
      </c>
      <c r="K67" s="15" t="s">
        <v>86</v>
      </c>
      <c r="L67" s="15">
        <v>2816</v>
      </c>
    </row>
    <row r="68" spans="1:12" x14ac:dyDescent="0.45">
      <c r="A68">
        <f t="shared" si="3"/>
        <v>20</v>
      </c>
      <c r="B68" t="str">
        <f t="shared" si="4"/>
        <v>"xxxxxxxx_x000D_
yyyyyyyy"</v>
      </c>
      <c r="C68" s="15">
        <v>256</v>
      </c>
      <c r="D68">
        <v>1</v>
      </c>
      <c r="E68">
        <v>8.5133971739877223E-4</v>
      </c>
      <c r="F68">
        <v>1.0669829528483189E-3</v>
      </c>
      <c r="G68">
        <v>1.3360757866665759E-2</v>
      </c>
      <c r="H68" s="15">
        <v>5874</v>
      </c>
      <c r="I68" s="15">
        <v>4687</v>
      </c>
      <c r="J68" s="15">
        <v>375</v>
      </c>
      <c r="K68" s="15" t="s">
        <v>87</v>
      </c>
      <c r="L68" s="15">
        <v>5632</v>
      </c>
    </row>
    <row r="69" spans="1:12" x14ac:dyDescent="0.45">
      <c r="A69">
        <f t="shared" si="3"/>
        <v>20</v>
      </c>
      <c r="B69" t="str">
        <f t="shared" si="4"/>
        <v>"xxxxxxxx_x000D_
yyyyyyyy"</v>
      </c>
      <c r="C69" s="15">
        <v>512</v>
      </c>
      <c r="D69">
        <v>1</v>
      </c>
      <c r="E69">
        <v>1.5580145794395484E-3</v>
      </c>
      <c r="F69">
        <v>2.0273659910822733E-3</v>
      </c>
      <c r="G69">
        <v>2.465726600984915E-2</v>
      </c>
      <c r="H69" s="15">
        <v>3210</v>
      </c>
      <c r="I69" s="15">
        <v>2467</v>
      </c>
      <c r="J69" s="15">
        <v>203</v>
      </c>
      <c r="K69" s="15" t="s">
        <v>88</v>
      </c>
      <c r="L69" s="15">
        <v>11264</v>
      </c>
    </row>
    <row r="70" spans="1:12" x14ac:dyDescent="0.45">
      <c r="A70">
        <f t="shared" si="3"/>
        <v>20</v>
      </c>
      <c r="B70" t="str">
        <f t="shared" si="4"/>
        <v>"xxxxxxxx_x000D_
yyyyyyyy"</v>
      </c>
      <c r="C70" s="15">
        <v>1024</v>
      </c>
      <c r="D70">
        <v>1</v>
      </c>
      <c r="E70">
        <v>2.9377303760288248E-3</v>
      </c>
      <c r="F70">
        <v>3.9924034317649817E-3</v>
      </c>
      <c r="G70">
        <v>4.7666095238084724E-2</v>
      </c>
      <c r="H70" s="15">
        <v>1702</v>
      </c>
      <c r="I70" s="15">
        <v>1253</v>
      </c>
      <c r="J70" s="15">
        <v>105</v>
      </c>
      <c r="K70" s="15" t="s">
        <v>89</v>
      </c>
      <c r="L70" s="15">
        <v>22528</v>
      </c>
    </row>
    <row r="71" spans="1:12" x14ac:dyDescent="0.45">
      <c r="A71">
        <f t="shared" si="3"/>
        <v>20</v>
      </c>
      <c r="B71" t="str">
        <f t="shared" si="4"/>
        <v>"xxxxxxxx_x000D_
yyyyyyyy"</v>
      </c>
      <c r="C71" s="15">
        <v>2048</v>
      </c>
      <c r="D71">
        <v>1</v>
      </c>
      <c r="E71">
        <v>6.0274114457833233E-3</v>
      </c>
      <c r="F71">
        <v>7.977871451356134E-3</v>
      </c>
      <c r="G71">
        <v>9.0674260714260005E-2</v>
      </c>
      <c r="H71" s="15">
        <v>830</v>
      </c>
      <c r="I71" s="15">
        <v>627</v>
      </c>
      <c r="J71" s="15">
        <v>56</v>
      </c>
      <c r="K71" s="15" t="s">
        <v>90</v>
      </c>
      <c r="L71" s="15">
        <v>45056</v>
      </c>
    </row>
    <row r="72" spans="1:12" x14ac:dyDescent="0.45">
      <c r="A72">
        <f t="shared" si="3"/>
        <v>20</v>
      </c>
      <c r="B72" t="str">
        <f t="shared" si="4"/>
        <v>"xxxxxxxx_x000D_
yyyyyyyy"</v>
      </c>
      <c r="C72" s="15">
        <v>4096</v>
      </c>
      <c r="D72">
        <v>1</v>
      </c>
      <c r="E72">
        <v>1.1897668408548568E-2</v>
      </c>
      <c r="F72">
        <v>1.7183045205481355E-2</v>
      </c>
      <c r="G72">
        <v>0.17943677857140625</v>
      </c>
      <c r="H72" s="15">
        <v>421</v>
      </c>
      <c r="I72" s="15">
        <v>292</v>
      </c>
      <c r="J72" s="15">
        <v>28</v>
      </c>
      <c r="K72" s="15" t="s">
        <v>91</v>
      </c>
      <c r="L72" s="15">
        <v>90112</v>
      </c>
    </row>
    <row r="73" spans="1:12" x14ac:dyDescent="0.45">
      <c r="A73">
        <f t="shared" si="3"/>
        <v>20</v>
      </c>
      <c r="B73" t="str">
        <f t="shared" si="4"/>
        <v>"xxxxxxxx_x000D_
yyyyyyyy"</v>
      </c>
      <c r="C73" s="15">
        <v>8192</v>
      </c>
      <c r="D73">
        <v>1</v>
      </c>
      <c r="E73">
        <v>2.4520391219514905E-2</v>
      </c>
      <c r="F73">
        <v>3.929657265625508E-2</v>
      </c>
      <c r="G73">
        <v>0.36980856428570924</v>
      </c>
      <c r="H73" s="15">
        <v>205</v>
      </c>
      <c r="I73" s="15">
        <v>128</v>
      </c>
      <c r="J73" s="15">
        <v>14</v>
      </c>
      <c r="K73" s="15" t="s">
        <v>92</v>
      </c>
      <c r="L73" s="15">
        <v>180224</v>
      </c>
    </row>
    <row r="74" spans="1:12" x14ac:dyDescent="0.45">
      <c r="A74">
        <f t="shared" si="3"/>
        <v>20</v>
      </c>
      <c r="B74" t="str">
        <f t="shared" si="4"/>
        <v>"xxxxxxxx_x000D_
yyyyyyyy"</v>
      </c>
      <c r="C74" s="15">
        <v>16384</v>
      </c>
      <c r="D74">
        <v>1</v>
      </c>
      <c r="E74">
        <v>4.9144540196079216E-2</v>
      </c>
      <c r="F74">
        <v>6.6956312000014201E-2</v>
      </c>
      <c r="G74">
        <v>0.68389747499986697</v>
      </c>
      <c r="H74" s="15">
        <v>102</v>
      </c>
      <c r="I74" s="15">
        <v>75</v>
      </c>
      <c r="J74" s="15">
        <v>8</v>
      </c>
      <c r="K74" s="15" t="s">
        <v>93</v>
      </c>
      <c r="L74" s="15">
        <v>360448</v>
      </c>
    </row>
    <row r="75" spans="1:12" x14ac:dyDescent="0.45">
      <c r="A75">
        <f t="shared" si="3"/>
        <v>20</v>
      </c>
      <c r="B75" t="str">
        <f t="shared" si="4"/>
        <v>"xxxxxxxx_x000D_
yyyyyyyy"</v>
      </c>
      <c r="C75" s="15">
        <v>32768</v>
      </c>
      <c r="D75">
        <v>1</v>
      </c>
      <c r="E75">
        <v>9.8250663461525473E-2</v>
      </c>
      <c r="F75">
        <v>0.12941028205130303</v>
      </c>
      <c r="G75">
        <v>1.3799760750002861</v>
      </c>
      <c r="H75" s="15">
        <v>52</v>
      </c>
      <c r="I75" s="15">
        <v>39</v>
      </c>
      <c r="J75" s="15">
        <v>4</v>
      </c>
      <c r="K75" s="15" t="s">
        <v>94</v>
      </c>
      <c r="L75" s="15">
        <v>720896</v>
      </c>
    </row>
    <row r="76" spans="1:12" x14ac:dyDescent="0.45">
      <c r="A76">
        <f t="shared" si="3"/>
        <v>20</v>
      </c>
      <c r="B76" t="str">
        <f t="shared" si="4"/>
        <v>"xxxxxxxx_x000D_
yyyyyyyy"</v>
      </c>
      <c r="C76" s="15">
        <v>65536</v>
      </c>
      <c r="D76">
        <v>1</v>
      </c>
      <c r="E76">
        <v>0.18622684444441498</v>
      </c>
      <c r="F76">
        <v>0.24686819523811296</v>
      </c>
      <c r="G76">
        <v>2.6827184499998111</v>
      </c>
      <c r="H76" s="15">
        <v>27</v>
      </c>
      <c r="I76" s="15">
        <v>21</v>
      </c>
      <c r="J76" s="15">
        <v>2</v>
      </c>
      <c r="K76" s="15" t="s">
        <v>95</v>
      </c>
      <c r="L76" s="15">
        <v>1441792</v>
      </c>
    </row>
    <row r="77" spans="1:12" x14ac:dyDescent="0.45">
      <c r="A77">
        <f t="shared" si="3"/>
        <v>20</v>
      </c>
      <c r="B77" t="str">
        <f t="shared" si="4"/>
        <v>"xxxxxxxx_x000D_
yyyyyyyy"</v>
      </c>
      <c r="C77" s="15">
        <v>131072</v>
      </c>
      <c r="D77">
        <v>1</v>
      </c>
      <c r="E77">
        <v>0.37313579285702353</v>
      </c>
      <c r="F77">
        <v>0.51129760999992868</v>
      </c>
      <c r="G77">
        <v>5.3784223999991809</v>
      </c>
      <c r="H77" s="15">
        <v>14</v>
      </c>
      <c r="I77" s="15">
        <v>10</v>
      </c>
      <c r="J77" s="15">
        <v>1</v>
      </c>
      <c r="K77" s="15" t="s">
        <v>96</v>
      </c>
      <c r="L77" s="15">
        <v>2883584</v>
      </c>
    </row>
    <row r="78" spans="1:12" x14ac:dyDescent="0.45">
      <c r="A78">
        <f t="shared" si="3"/>
        <v>20</v>
      </c>
      <c r="B78" t="str">
        <f t="shared" si="4"/>
        <v>"xxxxxxxx_x000D_
yyyyyyyy"</v>
      </c>
      <c r="C78" s="15">
        <v>262144</v>
      </c>
      <c r="D78">
        <v>1</v>
      </c>
      <c r="E78">
        <v>0.75582249999985962</v>
      </c>
      <c r="F78">
        <v>1.0205561999999191</v>
      </c>
      <c r="G78">
        <v>10.586581199999273</v>
      </c>
      <c r="H78" s="15">
        <v>7</v>
      </c>
      <c r="I78" s="15">
        <v>5</v>
      </c>
      <c r="J78" s="15">
        <v>1</v>
      </c>
      <c r="K78" s="15" t="s">
        <v>97</v>
      </c>
      <c r="L78" s="15">
        <v>5767168</v>
      </c>
    </row>
    <row r="79" spans="1:12" x14ac:dyDescent="0.45">
      <c r="A79">
        <f t="shared" si="3"/>
        <v>20</v>
      </c>
      <c r="B79" t="str">
        <f t="shared" si="4"/>
        <v>"xxxxxxxx_x000D_
yyyyyyyy"</v>
      </c>
      <c r="C79" s="15">
        <v>524288</v>
      </c>
      <c r="D79">
        <v>1</v>
      </c>
      <c r="E79">
        <v>1.4738968249998834</v>
      </c>
      <c r="F79">
        <v>1.9751824999996945</v>
      </c>
      <c r="G79">
        <v>21.460097799999858</v>
      </c>
      <c r="H79" s="15">
        <v>4</v>
      </c>
      <c r="I79" s="15">
        <v>3</v>
      </c>
      <c r="J79" s="15">
        <v>1</v>
      </c>
      <c r="K79" s="15" t="s">
        <v>98</v>
      </c>
      <c r="L79" s="15">
        <v>11534336</v>
      </c>
    </row>
    <row r="80" spans="1:12" x14ac:dyDescent="0.45">
      <c r="A80">
        <f t="shared" si="3"/>
        <v>20</v>
      </c>
      <c r="B80" t="str">
        <f t="shared" si="4"/>
        <v>"xxxxxxxx_x000D_
yyyyyyyy"</v>
      </c>
      <c r="C80" s="15">
        <v>1048576</v>
      </c>
      <c r="D80">
        <v>1</v>
      </c>
      <c r="E80">
        <v>3.044153599999845</v>
      </c>
      <c r="F80">
        <v>4.3303928499999529</v>
      </c>
      <c r="G80">
        <v>45.975075800000923</v>
      </c>
      <c r="H80" s="15">
        <v>2</v>
      </c>
      <c r="I80" s="15">
        <v>2</v>
      </c>
      <c r="J80" s="15">
        <v>1</v>
      </c>
      <c r="K80" s="15" t="s">
        <v>99</v>
      </c>
      <c r="L80" s="15">
        <v>23068672</v>
      </c>
    </row>
    <row r="81" spans="1:12" x14ac:dyDescent="0.45">
      <c r="C81" s="15"/>
      <c r="H81" s="15"/>
      <c r="I81" s="15"/>
      <c r="J81" s="15"/>
    </row>
    <row r="82" spans="1:12" x14ac:dyDescent="0.45">
      <c r="H82" s="15"/>
      <c r="I82" s="15"/>
      <c r="J82" s="15"/>
    </row>
    <row r="83" spans="1:12" x14ac:dyDescent="0.45">
      <c r="H83" s="15"/>
      <c r="I83" s="15"/>
      <c r="J83" s="15"/>
    </row>
    <row r="84" spans="1:12" x14ac:dyDescent="0.45">
      <c r="H84" s="15"/>
      <c r="I84" s="15"/>
      <c r="J84" s="15"/>
    </row>
    <row r="85" spans="1:12" x14ac:dyDescent="0.45">
      <c r="H85" s="15"/>
      <c r="I85" s="15"/>
      <c r="J85" s="15"/>
      <c r="K85" s="19" t="s">
        <v>100</v>
      </c>
    </row>
    <row r="86" spans="1:12" ht="28.5" x14ac:dyDescent="0.45">
      <c r="A86" s="16" t="s">
        <v>21</v>
      </c>
      <c r="B86" s="16" t="s">
        <v>22</v>
      </c>
      <c r="C86" s="16" t="s">
        <v>23</v>
      </c>
      <c r="D86" s="16" t="s">
        <v>24</v>
      </c>
      <c r="E86" s="16" t="s">
        <v>25</v>
      </c>
      <c r="F86" s="16" t="s">
        <v>26</v>
      </c>
      <c r="G86" s="16" t="s">
        <v>27</v>
      </c>
      <c r="H86" s="17" t="s">
        <v>28</v>
      </c>
      <c r="I86" s="17" t="s">
        <v>29</v>
      </c>
      <c r="J86" s="17" t="s">
        <v>30</v>
      </c>
      <c r="K86" s="16" t="s">
        <v>31</v>
      </c>
      <c r="L86" s="16" t="s">
        <v>32</v>
      </c>
    </row>
    <row r="87" spans="1:12" x14ac:dyDescent="0.45">
      <c r="A87">
        <f>LEN(B87)</f>
        <v>17</v>
      </c>
      <c r="B87">
        <v>0.71905720709757637</v>
      </c>
      <c r="C87" s="20">
        <v>1</v>
      </c>
      <c r="D87" s="21">
        <v>10</v>
      </c>
      <c r="E87">
        <v>1.4908748285526142E-4</v>
      </c>
      <c r="F87">
        <v>1.4728784906324128E-4</v>
      </c>
      <c r="G87">
        <v>2.2751768425840783E-3</v>
      </c>
      <c r="H87" s="15">
        <v>33538</v>
      </c>
      <c r="I87" s="15">
        <v>33948</v>
      </c>
      <c r="J87" s="15">
        <v>2198</v>
      </c>
      <c r="K87" s="15" t="s">
        <v>101</v>
      </c>
      <c r="L87" s="15">
        <v>181</v>
      </c>
    </row>
    <row r="88" spans="1:12" x14ac:dyDescent="0.45">
      <c r="A88">
        <f t="shared" ref="A88:A105" si="5">LEN(B88)</f>
        <v>17</v>
      </c>
      <c r="B88">
        <v>0.71905720709757637</v>
      </c>
      <c r="C88" s="20">
        <v>2</v>
      </c>
      <c r="D88" s="21">
        <v>10</v>
      </c>
      <c r="E88">
        <v>1.716066101520495E-4</v>
      </c>
      <c r="F88">
        <v>1.7214758478225641E-4</v>
      </c>
      <c r="G88">
        <v>2.1500276870164048E-3</v>
      </c>
      <c r="H88" s="15">
        <v>29137</v>
      </c>
      <c r="I88" s="15">
        <v>29045</v>
      </c>
      <c r="J88" s="15">
        <v>2326</v>
      </c>
      <c r="K88" s="15" t="s">
        <v>102</v>
      </c>
      <c r="L88" s="15">
        <v>362</v>
      </c>
    </row>
    <row r="89" spans="1:12" x14ac:dyDescent="0.45">
      <c r="A89">
        <f t="shared" si="5"/>
        <v>17</v>
      </c>
      <c r="B89">
        <v>0.71905720709757637</v>
      </c>
      <c r="C89" s="20">
        <v>4</v>
      </c>
      <c r="D89" s="21">
        <v>10</v>
      </c>
      <c r="E89">
        <v>2.1159209936095759E-4</v>
      </c>
      <c r="F89">
        <v>2.0275161185675589E-4</v>
      </c>
      <c r="G89">
        <v>2.2272576391978893E-3</v>
      </c>
      <c r="H89" s="15">
        <v>23631</v>
      </c>
      <c r="I89" s="15">
        <v>24661</v>
      </c>
      <c r="J89" s="15">
        <v>2245</v>
      </c>
      <c r="K89" s="15" t="s">
        <v>103</v>
      </c>
      <c r="L89" s="15">
        <v>724</v>
      </c>
    </row>
    <row r="90" spans="1:12" x14ac:dyDescent="0.45">
      <c r="A90">
        <f t="shared" si="5"/>
        <v>17</v>
      </c>
      <c r="B90">
        <v>0.71905720709757637</v>
      </c>
      <c r="C90" s="20">
        <v>8</v>
      </c>
      <c r="D90" s="21">
        <v>10</v>
      </c>
      <c r="E90">
        <v>2.9114004891115486E-4</v>
      </c>
      <c r="F90">
        <v>2.8029233701441937E-4</v>
      </c>
      <c r="G90">
        <v>2.3697644549761144E-3</v>
      </c>
      <c r="H90" s="15">
        <v>17174</v>
      </c>
      <c r="I90" s="15">
        <v>17839</v>
      </c>
      <c r="J90" s="15">
        <v>2110</v>
      </c>
      <c r="K90" s="15" t="s">
        <v>104</v>
      </c>
      <c r="L90" s="15">
        <v>1448</v>
      </c>
    </row>
    <row r="91" spans="1:12" x14ac:dyDescent="0.45">
      <c r="A91">
        <f t="shared" si="5"/>
        <v>17</v>
      </c>
      <c r="B91">
        <v>0.71905720709757637</v>
      </c>
      <c r="C91" s="20">
        <v>16</v>
      </c>
      <c r="D91" s="21">
        <v>10</v>
      </c>
      <c r="E91">
        <v>4.4315184791271126E-4</v>
      </c>
      <c r="F91">
        <v>4.447645258851006E-4</v>
      </c>
      <c r="G91">
        <v>2.6333427066884884E-3</v>
      </c>
      <c r="H91" s="15">
        <v>11283</v>
      </c>
      <c r="I91" s="15">
        <v>11242</v>
      </c>
      <c r="J91" s="15">
        <v>1899</v>
      </c>
      <c r="K91" s="15" t="s">
        <v>105</v>
      </c>
      <c r="L91" s="15">
        <v>2896</v>
      </c>
    </row>
    <row r="92" spans="1:12" x14ac:dyDescent="0.45">
      <c r="A92">
        <f t="shared" si="5"/>
        <v>17</v>
      </c>
      <c r="B92">
        <v>0.71905720709757637</v>
      </c>
      <c r="C92" s="20">
        <v>32</v>
      </c>
      <c r="D92" s="21">
        <v>10</v>
      </c>
      <c r="E92">
        <v>7.8184856160086165E-4</v>
      </c>
      <c r="F92">
        <v>7.591890980869091E-4</v>
      </c>
      <c r="G92">
        <v>3.3135860172295488E-3</v>
      </c>
      <c r="H92" s="15">
        <v>6396</v>
      </c>
      <c r="I92" s="15">
        <v>6586</v>
      </c>
      <c r="J92" s="15">
        <v>1509</v>
      </c>
      <c r="K92" s="15" t="s">
        <v>106</v>
      </c>
      <c r="L92" s="15">
        <v>5792</v>
      </c>
    </row>
    <row r="93" spans="1:12" x14ac:dyDescent="0.45">
      <c r="A93">
        <f t="shared" si="5"/>
        <v>17</v>
      </c>
      <c r="B93">
        <v>0.71905720709757637</v>
      </c>
      <c r="C93" s="20">
        <v>64</v>
      </c>
      <c r="D93" s="21">
        <v>10</v>
      </c>
      <c r="E93">
        <v>1.3699836712326593E-3</v>
      </c>
      <c r="F93">
        <v>1.3565876831253055E-3</v>
      </c>
      <c r="G93">
        <v>4.5541735883411448E-3</v>
      </c>
      <c r="H93" s="15">
        <v>3650</v>
      </c>
      <c r="I93" s="15">
        <v>3686</v>
      </c>
      <c r="J93" s="15">
        <v>1098</v>
      </c>
      <c r="K93" s="15" t="s">
        <v>107</v>
      </c>
      <c r="L93" s="15">
        <v>11584</v>
      </c>
    </row>
    <row r="94" spans="1:12" x14ac:dyDescent="0.45">
      <c r="A94">
        <f t="shared" si="5"/>
        <v>17</v>
      </c>
      <c r="B94">
        <v>0.71905720709757637</v>
      </c>
      <c r="C94" s="20">
        <v>128</v>
      </c>
      <c r="D94" s="21">
        <v>10</v>
      </c>
      <c r="E94">
        <v>2.7140311448727548E-3</v>
      </c>
      <c r="F94">
        <v>2.7553950413222424E-3</v>
      </c>
      <c r="G94">
        <v>7.027487780901078E-3</v>
      </c>
      <c r="H94" s="15">
        <v>1843</v>
      </c>
      <c r="I94" s="15">
        <v>1815</v>
      </c>
      <c r="J94" s="15">
        <v>712</v>
      </c>
      <c r="K94" s="15" t="s">
        <v>108</v>
      </c>
      <c r="L94" s="15">
        <v>23168</v>
      </c>
    </row>
    <row r="95" spans="1:12" x14ac:dyDescent="0.45">
      <c r="A95">
        <f t="shared" si="5"/>
        <v>17</v>
      </c>
      <c r="B95">
        <v>0.71905720709757637</v>
      </c>
      <c r="C95" s="20">
        <v>256</v>
      </c>
      <c r="D95" s="21">
        <v>10</v>
      </c>
      <c r="E95">
        <v>5.4469502178651008E-3</v>
      </c>
      <c r="F95">
        <v>5.3792437634402508E-3</v>
      </c>
      <c r="G95">
        <v>1.2420081141438461E-2</v>
      </c>
      <c r="H95" s="15">
        <v>918</v>
      </c>
      <c r="I95" s="15">
        <v>930</v>
      </c>
      <c r="J95" s="15">
        <v>403</v>
      </c>
      <c r="K95" s="15" t="s">
        <v>109</v>
      </c>
      <c r="L95" s="15">
        <v>46336</v>
      </c>
    </row>
    <row r="96" spans="1:12" x14ac:dyDescent="0.45">
      <c r="A96">
        <f t="shared" si="5"/>
        <v>17</v>
      </c>
      <c r="B96">
        <v>0.71905720709757637</v>
      </c>
      <c r="C96" s="20">
        <v>512</v>
      </c>
      <c r="D96" s="21">
        <v>10</v>
      </c>
      <c r="E96">
        <v>1.16097552204179E-2</v>
      </c>
      <c r="F96">
        <v>1.0368268737058567E-2</v>
      </c>
      <c r="G96">
        <v>2.3272099999997218E-2</v>
      </c>
      <c r="H96" s="15">
        <v>431</v>
      </c>
      <c r="I96" s="15">
        <v>483</v>
      </c>
      <c r="J96" s="15">
        <v>215</v>
      </c>
      <c r="K96" s="15" t="s">
        <v>110</v>
      </c>
      <c r="L96" s="15">
        <v>92672</v>
      </c>
    </row>
    <row r="97" spans="1:12" x14ac:dyDescent="0.45">
      <c r="A97">
        <f t="shared" si="5"/>
        <v>17</v>
      </c>
      <c r="B97">
        <v>0.71905720709757637</v>
      </c>
      <c r="C97" s="20">
        <v>1024</v>
      </c>
      <c r="D97" s="21">
        <v>10</v>
      </c>
      <c r="E97">
        <v>2.3379114953271388E-2</v>
      </c>
      <c r="F97">
        <v>2.1248462711864088E-2</v>
      </c>
      <c r="G97">
        <v>4.2885149572658779E-2</v>
      </c>
      <c r="H97" s="15">
        <v>214</v>
      </c>
      <c r="I97" s="15">
        <v>236</v>
      </c>
      <c r="J97" s="15">
        <v>117</v>
      </c>
      <c r="K97" s="15" t="s">
        <v>111</v>
      </c>
      <c r="L97" s="15">
        <v>185344</v>
      </c>
    </row>
    <row r="98" spans="1:12" x14ac:dyDescent="0.45">
      <c r="A98">
        <f t="shared" si="5"/>
        <v>17</v>
      </c>
      <c r="B98">
        <v>0.71905720709757637</v>
      </c>
      <c r="C98" s="20">
        <v>2048</v>
      </c>
      <c r="D98" s="21">
        <v>10</v>
      </c>
      <c r="E98">
        <v>4.2608741525435694E-2</v>
      </c>
      <c r="F98">
        <v>4.1864097499986506E-2</v>
      </c>
      <c r="G98">
        <v>7.7602578461525046E-2</v>
      </c>
      <c r="H98" s="15">
        <v>118</v>
      </c>
      <c r="I98" s="15">
        <v>120</v>
      </c>
      <c r="J98" s="15">
        <v>65</v>
      </c>
      <c r="K98" s="15" t="s">
        <v>112</v>
      </c>
      <c r="L98" s="15">
        <v>370688</v>
      </c>
    </row>
    <row r="99" spans="1:12" x14ac:dyDescent="0.45">
      <c r="A99">
        <f t="shared" si="5"/>
        <v>17</v>
      </c>
      <c r="B99">
        <v>0.71905720709757637</v>
      </c>
      <c r="C99" s="20">
        <v>4096</v>
      </c>
      <c r="D99" s="21">
        <v>10</v>
      </c>
      <c r="E99">
        <v>8.7385989655182322E-2</v>
      </c>
      <c r="F99">
        <v>9.0400624999996834E-2</v>
      </c>
      <c r="G99">
        <v>0.15297396666667765</v>
      </c>
      <c r="H99" s="15">
        <v>58</v>
      </c>
      <c r="I99" s="15">
        <v>56</v>
      </c>
      <c r="J99" s="15">
        <v>33</v>
      </c>
      <c r="K99" s="15" t="s">
        <v>113</v>
      </c>
      <c r="L99" s="15">
        <v>741376</v>
      </c>
    </row>
    <row r="100" spans="1:12" x14ac:dyDescent="0.45">
      <c r="A100">
        <f t="shared" si="5"/>
        <v>17</v>
      </c>
      <c r="B100">
        <v>0.71905720709757637</v>
      </c>
      <c r="C100" s="20">
        <v>8192</v>
      </c>
      <c r="D100" s="21">
        <v>10</v>
      </c>
      <c r="E100">
        <v>0.19905589999997084</v>
      </c>
      <c r="F100">
        <v>0.17310248620686189</v>
      </c>
      <c r="G100">
        <v>0.30184307058816023</v>
      </c>
      <c r="H100" s="15">
        <v>26</v>
      </c>
      <c r="I100" s="15">
        <v>29</v>
      </c>
      <c r="J100" s="15">
        <v>17</v>
      </c>
      <c r="K100" s="15" t="s">
        <v>114</v>
      </c>
      <c r="L100" s="15">
        <v>1482752</v>
      </c>
    </row>
    <row r="101" spans="1:12" x14ac:dyDescent="0.45">
      <c r="A101">
        <f t="shared" si="5"/>
        <v>17</v>
      </c>
      <c r="B101">
        <v>0.71905720709757637</v>
      </c>
      <c r="C101" s="20">
        <v>16384</v>
      </c>
      <c r="D101" s="21">
        <v>10</v>
      </c>
      <c r="E101">
        <v>0.36150306428563844</v>
      </c>
      <c r="F101">
        <v>0.3449957066666684</v>
      </c>
      <c r="G101">
        <v>0.63830669999993006</v>
      </c>
      <c r="H101" s="15">
        <v>14</v>
      </c>
      <c r="I101" s="15">
        <v>15</v>
      </c>
      <c r="J101" s="15">
        <v>8</v>
      </c>
      <c r="K101" s="15" t="s">
        <v>115</v>
      </c>
      <c r="L101" s="15">
        <v>2965504</v>
      </c>
    </row>
    <row r="102" spans="1:12" x14ac:dyDescent="0.45">
      <c r="A102">
        <f t="shared" si="5"/>
        <v>17</v>
      </c>
      <c r="B102">
        <v>0.71905720709757637</v>
      </c>
      <c r="C102" s="20">
        <v>32768</v>
      </c>
      <c r="D102" s="21">
        <v>10</v>
      </c>
      <c r="E102">
        <v>0.75963551428581666</v>
      </c>
      <c r="F102">
        <v>0.70787203750001026</v>
      </c>
      <c r="G102">
        <v>1.281009350000204</v>
      </c>
      <c r="H102" s="15">
        <v>7</v>
      </c>
      <c r="I102" s="15">
        <v>8</v>
      </c>
      <c r="J102" s="15">
        <v>4</v>
      </c>
      <c r="K102" s="15" t="s">
        <v>116</v>
      </c>
      <c r="L102" s="15">
        <v>5931008</v>
      </c>
    </row>
    <row r="103" spans="1:12" x14ac:dyDescent="0.45">
      <c r="A103">
        <f t="shared" si="5"/>
        <v>17</v>
      </c>
      <c r="B103">
        <v>0.71905720709757637</v>
      </c>
      <c r="C103" s="20">
        <v>65536</v>
      </c>
      <c r="D103" s="21">
        <v>10</v>
      </c>
      <c r="E103">
        <v>1.456787175000045</v>
      </c>
      <c r="F103">
        <v>1.4634674750000158</v>
      </c>
      <c r="G103">
        <v>2.3865486666666889</v>
      </c>
      <c r="H103" s="15">
        <v>4</v>
      </c>
      <c r="I103" s="15">
        <v>4</v>
      </c>
      <c r="J103" s="15">
        <v>3</v>
      </c>
      <c r="K103" s="15" t="s">
        <v>117</v>
      </c>
      <c r="L103" s="15">
        <v>11862016</v>
      </c>
    </row>
    <row r="104" spans="1:12" x14ac:dyDescent="0.45">
      <c r="A104">
        <f t="shared" si="5"/>
        <v>17</v>
      </c>
      <c r="B104">
        <v>0.71905720709757637</v>
      </c>
      <c r="C104" s="20">
        <v>131072</v>
      </c>
      <c r="D104" s="21">
        <v>10</v>
      </c>
      <c r="E104">
        <v>2.9693039999992834</v>
      </c>
      <c r="F104">
        <v>2.8707864999996673</v>
      </c>
      <c r="G104">
        <v>5.1312687000008737</v>
      </c>
      <c r="H104" s="15">
        <v>2</v>
      </c>
      <c r="I104" s="15">
        <v>2</v>
      </c>
      <c r="J104" s="15">
        <v>1</v>
      </c>
      <c r="K104" s="15" t="s">
        <v>118</v>
      </c>
      <c r="L104" s="15">
        <v>23724032</v>
      </c>
    </row>
    <row r="105" spans="1:12" x14ac:dyDescent="0.45">
      <c r="A105">
        <f t="shared" si="5"/>
        <v>17</v>
      </c>
      <c r="B105">
        <v>0.71905720709757637</v>
      </c>
      <c r="C105" s="20">
        <v>262144</v>
      </c>
      <c r="D105" s="21">
        <v>10</v>
      </c>
      <c r="E105">
        <v>6.0965317000009236</v>
      </c>
      <c r="F105">
        <v>6.1190550000010262</v>
      </c>
      <c r="G105">
        <v>10.362777500000448</v>
      </c>
      <c r="H105" s="15">
        <v>1</v>
      </c>
      <c r="I105" s="15">
        <v>1</v>
      </c>
      <c r="J105" s="15">
        <v>1</v>
      </c>
      <c r="K105" s="15" t="s">
        <v>119</v>
      </c>
      <c r="L105" s="15">
        <v>47448064</v>
      </c>
    </row>
    <row r="106" spans="1:12" x14ac:dyDescent="0.45">
      <c r="C106" s="15"/>
      <c r="H106" s="15"/>
      <c r="I106" s="15"/>
      <c r="J106" s="15"/>
      <c r="K106" s="15"/>
    </row>
    <row r="107" spans="1:12" x14ac:dyDescent="0.45">
      <c r="C107" s="15"/>
      <c r="H107" s="15"/>
      <c r="I107" s="15"/>
      <c r="J107" s="15"/>
      <c r="K107" s="15"/>
    </row>
    <row r="108" spans="1:12" x14ac:dyDescent="0.45">
      <c r="H108" s="15"/>
      <c r="I108" s="15"/>
      <c r="J108" s="15"/>
    </row>
    <row r="109" spans="1:12" x14ac:dyDescent="0.45">
      <c r="C109" s="20"/>
      <c r="D109" s="21"/>
      <c r="H109" s="15"/>
      <c r="I109" s="15"/>
      <c r="J109" s="15"/>
      <c r="K109" s="15"/>
    </row>
    <row r="110" spans="1:12" x14ac:dyDescent="0.45">
      <c r="H110" s="15"/>
      <c r="I110" s="15"/>
      <c r="J110" s="15"/>
    </row>
    <row r="111" spans="1:12" x14ac:dyDescent="0.45">
      <c r="H111" s="15"/>
      <c r="I111" s="15"/>
      <c r="J111" s="15"/>
    </row>
    <row r="112" spans="1:12" x14ac:dyDescent="0.45">
      <c r="H112" s="15"/>
      <c r="I112" s="15"/>
      <c r="J112" s="15"/>
      <c r="K112" t="s">
        <v>484</v>
      </c>
    </row>
    <row r="113" spans="1:12" ht="28.5" x14ac:dyDescent="0.45">
      <c r="A113" s="16" t="s">
        <v>21</v>
      </c>
      <c r="B113" s="16" t="s">
        <v>22</v>
      </c>
      <c r="C113" s="16" t="s">
        <v>23</v>
      </c>
      <c r="D113" s="16" t="s">
        <v>24</v>
      </c>
      <c r="E113" s="16" t="s">
        <v>25</v>
      </c>
      <c r="F113" s="16" t="s">
        <v>26</v>
      </c>
      <c r="G113" s="16" t="s">
        <v>27</v>
      </c>
      <c r="H113" s="17" t="s">
        <v>28</v>
      </c>
      <c r="I113" s="17" t="s">
        <v>29</v>
      </c>
      <c r="J113" s="17" t="s">
        <v>30</v>
      </c>
      <c r="K113" s="16" t="s">
        <v>31</v>
      </c>
      <c r="L113" s="16" t="s">
        <v>32</v>
      </c>
    </row>
    <row r="114" spans="1:12" x14ac:dyDescent="0.45">
      <c r="A114">
        <f>LEN(B114)</f>
        <v>16</v>
      </c>
      <c r="B114" t="str">
        <f>REPT("x",16)</f>
        <v>xxxxxxxxxxxxxxxx</v>
      </c>
      <c r="C114" s="20">
        <v>8</v>
      </c>
      <c r="D114" s="20">
        <v>1</v>
      </c>
      <c r="E114">
        <v>1.4573020022734889E-4</v>
      </c>
      <c r="F114">
        <v>1.4187597820846661E-4</v>
      </c>
      <c r="G114">
        <v>2.0586885137915192E-3</v>
      </c>
      <c r="H114" s="15">
        <v>34311</v>
      </c>
      <c r="I114" s="15">
        <v>35243</v>
      </c>
      <c r="J114" s="15">
        <v>2429</v>
      </c>
      <c r="K114" s="15" t="s">
        <v>120</v>
      </c>
      <c r="L114" s="15">
        <v>144</v>
      </c>
    </row>
    <row r="115" spans="1:12" x14ac:dyDescent="0.45">
      <c r="A115">
        <f t="shared" ref="A115:A127" si="6">LEN(B115)</f>
        <v>16</v>
      </c>
      <c r="B115" t="str">
        <f t="shared" ref="B115:B127" si="7">REPT("x",16)</f>
        <v>xxxxxxxxxxxxxxxx</v>
      </c>
      <c r="C115" s="20">
        <v>8</v>
      </c>
      <c r="D115" s="20">
        <v>2</v>
      </c>
      <c r="E115">
        <v>1.6701056147505055E-4</v>
      </c>
      <c r="F115">
        <v>1.6037493665198115E-4</v>
      </c>
      <c r="G115">
        <v>2.0618650721652811E-3</v>
      </c>
      <c r="H115" s="15">
        <v>29939</v>
      </c>
      <c r="I115" s="15">
        <v>31177</v>
      </c>
      <c r="J115" s="15">
        <v>2425</v>
      </c>
      <c r="K115" s="15" t="s">
        <v>121</v>
      </c>
      <c r="L115" s="15">
        <v>280</v>
      </c>
    </row>
    <row r="116" spans="1:12" x14ac:dyDescent="0.45">
      <c r="A116">
        <f t="shared" si="6"/>
        <v>16</v>
      </c>
      <c r="B116" t="str">
        <f t="shared" si="7"/>
        <v>xxxxxxxxxxxxxxxx</v>
      </c>
      <c r="C116" s="20">
        <v>8</v>
      </c>
      <c r="D116" s="20">
        <v>4</v>
      </c>
      <c r="E116">
        <v>1.9822696241673961E-4</v>
      </c>
      <c r="F116">
        <v>1.8787608777333709E-4</v>
      </c>
      <c r="G116">
        <v>2.066795289256559E-3</v>
      </c>
      <c r="H116" s="15">
        <v>25224</v>
      </c>
      <c r="I116" s="15">
        <v>26614</v>
      </c>
      <c r="J116" s="15">
        <v>2420</v>
      </c>
      <c r="K116" s="15" t="s">
        <v>122</v>
      </c>
      <c r="L116" s="15">
        <v>552</v>
      </c>
    </row>
    <row r="117" spans="1:12" x14ac:dyDescent="0.45">
      <c r="A117">
        <f t="shared" si="6"/>
        <v>16</v>
      </c>
      <c r="B117" t="str">
        <f t="shared" si="7"/>
        <v>xxxxxxxxxxxxxxxx</v>
      </c>
      <c r="C117" s="20">
        <v>8</v>
      </c>
      <c r="D117" s="20">
        <v>8</v>
      </c>
      <c r="E117">
        <v>3.7782687018287974E-4</v>
      </c>
      <c r="F117">
        <v>3.1016623658581329E-4</v>
      </c>
      <c r="G117">
        <v>2.2343689901694439E-3</v>
      </c>
      <c r="H117" s="15">
        <v>13234</v>
      </c>
      <c r="I117" s="15">
        <v>16121</v>
      </c>
      <c r="J117" s="15">
        <v>2238</v>
      </c>
      <c r="K117" s="15" t="s">
        <v>123</v>
      </c>
      <c r="L117" s="15">
        <v>1096</v>
      </c>
    </row>
    <row r="118" spans="1:12" x14ac:dyDescent="0.45">
      <c r="A118">
        <f t="shared" si="6"/>
        <v>16</v>
      </c>
      <c r="B118" t="str">
        <f t="shared" si="7"/>
        <v>xxxxxxxxxxxxxxxx</v>
      </c>
      <c r="C118" s="20">
        <v>8</v>
      </c>
      <c r="D118" s="20">
        <v>16</v>
      </c>
      <c r="E118">
        <v>3.9033631537868836E-4</v>
      </c>
      <c r="F118">
        <v>3.8011823019610977E-4</v>
      </c>
      <c r="G118">
        <v>2.6368918292046118E-3</v>
      </c>
      <c r="H118" s="15">
        <v>12810</v>
      </c>
      <c r="I118" s="15">
        <v>13154</v>
      </c>
      <c r="J118" s="15">
        <v>1897</v>
      </c>
      <c r="K118" s="15" t="s">
        <v>124</v>
      </c>
      <c r="L118" s="15">
        <v>2184</v>
      </c>
    </row>
    <row r="119" spans="1:12" x14ac:dyDescent="0.45">
      <c r="A119">
        <f t="shared" si="6"/>
        <v>16</v>
      </c>
      <c r="B119" t="str">
        <f t="shared" si="7"/>
        <v>xxxxxxxxxxxxxxxx</v>
      </c>
      <c r="C119" s="20">
        <v>8</v>
      </c>
      <c r="D119" s="20">
        <v>32</v>
      </c>
      <c r="E119">
        <v>6.8188388108559456E-4</v>
      </c>
      <c r="F119">
        <v>6.378927924481526E-4</v>
      </c>
      <c r="G119">
        <v>3.7947398330796587E-3</v>
      </c>
      <c r="H119" s="15">
        <v>7333</v>
      </c>
      <c r="I119" s="15">
        <v>7839</v>
      </c>
      <c r="J119" s="15">
        <v>1318</v>
      </c>
      <c r="K119" s="15" t="s">
        <v>125</v>
      </c>
      <c r="L119" s="15">
        <v>4360</v>
      </c>
    </row>
    <row r="120" spans="1:12" x14ac:dyDescent="0.45">
      <c r="A120">
        <f t="shared" si="6"/>
        <v>16</v>
      </c>
      <c r="B120" t="str">
        <f t="shared" si="7"/>
        <v>xxxxxxxxxxxxxxxx</v>
      </c>
      <c r="C120" s="20">
        <v>8</v>
      </c>
      <c r="D120" s="20">
        <v>64</v>
      </c>
      <c r="E120">
        <v>1.1489073759190995E-3</v>
      </c>
      <c r="F120">
        <v>1.1395088195079361E-3</v>
      </c>
      <c r="G120">
        <v>7.9031323854674759E-3</v>
      </c>
      <c r="H120" s="15">
        <v>4352</v>
      </c>
      <c r="I120" s="15">
        <v>4388</v>
      </c>
      <c r="J120" s="15">
        <v>633</v>
      </c>
      <c r="K120" s="15" t="s">
        <v>126</v>
      </c>
      <c r="L120" s="15">
        <v>8712</v>
      </c>
    </row>
    <row r="121" spans="1:12" x14ac:dyDescent="0.45">
      <c r="A121">
        <f t="shared" si="6"/>
        <v>16</v>
      </c>
      <c r="B121" t="str">
        <f t="shared" si="7"/>
        <v>xxxxxxxxxxxxxxxx</v>
      </c>
      <c r="C121" s="20">
        <v>8</v>
      </c>
      <c r="D121" s="20">
        <v>128</v>
      </c>
      <c r="E121">
        <v>2.1573956859359399E-3</v>
      </c>
      <c r="F121">
        <v>2.1160725042304361E-3</v>
      </c>
      <c r="G121">
        <v>2.2487971748875266E-2</v>
      </c>
      <c r="H121" s="15">
        <v>2318</v>
      </c>
      <c r="I121" s="15">
        <v>2364</v>
      </c>
      <c r="J121" s="15">
        <v>223</v>
      </c>
      <c r="K121" s="15" t="s">
        <v>127</v>
      </c>
      <c r="L121" s="15">
        <v>17416</v>
      </c>
    </row>
    <row r="122" spans="1:12" x14ac:dyDescent="0.45">
      <c r="A122">
        <f t="shared" si="6"/>
        <v>16</v>
      </c>
      <c r="B122" t="str">
        <f t="shared" si="7"/>
        <v>xxxxxxxxxxxxxxxx</v>
      </c>
      <c r="C122" s="20">
        <v>8</v>
      </c>
      <c r="D122" s="20">
        <v>256</v>
      </c>
      <c r="E122">
        <v>4.3243195332763025E-3</v>
      </c>
      <c r="F122">
        <v>4.1303000825769435E-3</v>
      </c>
      <c r="G122">
        <v>7.9334281249998639E-2</v>
      </c>
      <c r="H122" s="15">
        <v>1157</v>
      </c>
      <c r="I122" s="15">
        <v>1211</v>
      </c>
      <c r="J122" s="15">
        <v>64</v>
      </c>
      <c r="K122" s="15" t="s">
        <v>128</v>
      </c>
      <c r="L122" s="15">
        <v>34824</v>
      </c>
    </row>
    <row r="123" spans="1:12" x14ac:dyDescent="0.45">
      <c r="A123">
        <f t="shared" si="6"/>
        <v>16</v>
      </c>
      <c r="B123" t="str">
        <f t="shared" si="7"/>
        <v>xxxxxxxxxxxxxxxx</v>
      </c>
      <c r="C123" s="20">
        <v>8</v>
      </c>
      <c r="D123" s="20">
        <v>512</v>
      </c>
      <c r="E123">
        <v>8.0859657512127037E-3</v>
      </c>
      <c r="F123">
        <v>7.8943682965301135E-3</v>
      </c>
      <c r="G123">
        <v>0.29469721176471519</v>
      </c>
      <c r="H123" s="15">
        <v>619</v>
      </c>
      <c r="I123" s="15">
        <v>634</v>
      </c>
      <c r="J123" s="15">
        <v>17</v>
      </c>
      <c r="K123" s="15" t="s">
        <v>129</v>
      </c>
      <c r="L123" s="15">
        <v>69640</v>
      </c>
    </row>
    <row r="124" spans="1:12" x14ac:dyDescent="0.45">
      <c r="A124">
        <f t="shared" si="6"/>
        <v>16</v>
      </c>
      <c r="B124" t="str">
        <f t="shared" si="7"/>
        <v>xxxxxxxxxxxxxxxx</v>
      </c>
      <c r="C124" s="20">
        <v>8</v>
      </c>
      <c r="D124" s="20">
        <v>1024</v>
      </c>
      <c r="E124">
        <v>1.674072976588847E-2</v>
      </c>
      <c r="F124">
        <v>1.5669506562500147E-2</v>
      </c>
      <c r="G124">
        <v>1.0933015000002342</v>
      </c>
      <c r="H124" s="15">
        <v>299</v>
      </c>
      <c r="I124" s="15">
        <v>320</v>
      </c>
      <c r="J124" s="15">
        <v>5</v>
      </c>
      <c r="K124" s="15" t="s">
        <v>130</v>
      </c>
      <c r="L124" s="15">
        <v>139272</v>
      </c>
    </row>
    <row r="125" spans="1:12" x14ac:dyDescent="0.45">
      <c r="A125">
        <f t="shared" si="6"/>
        <v>16</v>
      </c>
      <c r="B125" t="str">
        <f t="shared" si="7"/>
        <v>xxxxxxxxxxxxxxxx</v>
      </c>
      <c r="C125" s="20">
        <v>8</v>
      </c>
      <c r="D125" s="20">
        <v>2048</v>
      </c>
      <c r="E125">
        <v>3.3222623178806206E-2</v>
      </c>
      <c r="F125">
        <v>3.1313824999995174E-2</v>
      </c>
      <c r="G125">
        <v>4.0480279499997778</v>
      </c>
      <c r="H125" s="15">
        <v>151</v>
      </c>
      <c r="I125" s="15">
        <v>160</v>
      </c>
      <c r="J125" s="15">
        <v>2</v>
      </c>
      <c r="K125" s="15" t="s">
        <v>131</v>
      </c>
      <c r="L125" s="15">
        <v>278536</v>
      </c>
    </row>
    <row r="126" spans="1:12" x14ac:dyDescent="0.45">
      <c r="A126">
        <f t="shared" si="6"/>
        <v>16</v>
      </c>
      <c r="B126" t="str">
        <f t="shared" si="7"/>
        <v>xxxxxxxxxxxxxxxx</v>
      </c>
      <c r="C126" s="20">
        <v>8</v>
      </c>
      <c r="D126" s="20">
        <v>4096</v>
      </c>
      <c r="E126">
        <v>6.6979869333323824E-2</v>
      </c>
      <c r="F126">
        <v>6.7954608108118777E-2</v>
      </c>
      <c r="G126">
        <v>16.529796200000419</v>
      </c>
      <c r="H126" s="15">
        <v>75</v>
      </c>
      <c r="I126" s="15">
        <v>74</v>
      </c>
      <c r="J126" s="15">
        <v>1</v>
      </c>
      <c r="K126" s="15" t="s">
        <v>132</v>
      </c>
      <c r="L126" s="15">
        <v>557064</v>
      </c>
    </row>
    <row r="127" spans="1:12" x14ac:dyDescent="0.45">
      <c r="A127">
        <f t="shared" si="6"/>
        <v>16</v>
      </c>
      <c r="B127" t="str">
        <f t="shared" si="7"/>
        <v>xxxxxxxxxxxxxxxx</v>
      </c>
      <c r="C127" s="20">
        <v>8</v>
      </c>
      <c r="D127" s="20">
        <v>8192</v>
      </c>
      <c r="E127">
        <v>0.13736128648648643</v>
      </c>
      <c r="F127">
        <v>0.13063880512821086</v>
      </c>
      <c r="G127">
        <v>63.28988599999866</v>
      </c>
      <c r="H127" s="15">
        <v>37</v>
      </c>
      <c r="I127" s="15">
        <v>39</v>
      </c>
      <c r="J127" s="15">
        <v>1</v>
      </c>
      <c r="K127" s="15" t="s">
        <v>133</v>
      </c>
      <c r="L127" s="15">
        <v>1114120</v>
      </c>
    </row>
    <row r="128" spans="1:12" x14ac:dyDescent="0.45">
      <c r="H128" s="15"/>
      <c r="I128" s="15"/>
      <c r="J128" s="15"/>
    </row>
    <row r="129" spans="1:12" x14ac:dyDescent="0.45">
      <c r="H129" s="15"/>
      <c r="I129" s="15"/>
      <c r="J129" s="15"/>
    </row>
    <row r="130" spans="1:12" x14ac:dyDescent="0.45">
      <c r="H130" s="15"/>
      <c r="I130" s="15"/>
      <c r="J130" s="15"/>
    </row>
    <row r="131" spans="1:12" x14ac:dyDescent="0.45">
      <c r="H131" s="15"/>
      <c r="I131" s="15"/>
      <c r="J131" s="15"/>
    </row>
    <row r="132" spans="1:12" x14ac:dyDescent="0.45">
      <c r="H132" s="15"/>
      <c r="I132" s="15"/>
      <c r="J132" s="15"/>
    </row>
    <row r="133" spans="1:12" x14ac:dyDescent="0.45">
      <c r="H133" s="15"/>
      <c r="I133" s="15"/>
      <c r="J133" s="15"/>
    </row>
    <row r="134" spans="1:12" x14ac:dyDescent="0.45">
      <c r="H134" s="15"/>
      <c r="I134" s="15"/>
      <c r="J134" s="15"/>
    </row>
    <row r="135" spans="1:12" x14ac:dyDescent="0.45">
      <c r="H135" s="15"/>
      <c r="I135" s="15"/>
      <c r="J135" s="15"/>
    </row>
    <row r="136" spans="1:12" x14ac:dyDescent="0.45">
      <c r="H136" s="15"/>
      <c r="I136" s="15"/>
      <c r="J136" s="15"/>
    </row>
    <row r="137" spans="1:12" x14ac:dyDescent="0.45">
      <c r="H137" s="15"/>
      <c r="I137" s="15"/>
      <c r="J137" s="15"/>
    </row>
    <row r="138" spans="1:12" x14ac:dyDescent="0.45">
      <c r="H138" s="15"/>
      <c r="I138" s="15"/>
      <c r="J138" s="15"/>
    </row>
    <row r="139" spans="1:12" x14ac:dyDescent="0.45">
      <c r="H139" s="15"/>
      <c r="I139" s="15"/>
      <c r="J139" s="15"/>
      <c r="K139" s="19" t="s">
        <v>134</v>
      </c>
    </row>
    <row r="140" spans="1:12" ht="28.5" x14ac:dyDescent="0.45">
      <c r="A140" s="16" t="s">
        <v>21</v>
      </c>
      <c r="B140" s="16" t="s">
        <v>22</v>
      </c>
      <c r="C140" s="16" t="s">
        <v>23</v>
      </c>
      <c r="D140" s="16" t="s">
        <v>24</v>
      </c>
      <c r="E140" s="16" t="s">
        <v>25</v>
      </c>
      <c r="F140" s="16" t="s">
        <v>26</v>
      </c>
      <c r="G140" s="16" t="s">
        <v>27</v>
      </c>
      <c r="H140" s="17" t="s">
        <v>28</v>
      </c>
      <c r="I140" s="17" t="s">
        <v>29</v>
      </c>
      <c r="J140" s="17" t="s">
        <v>30</v>
      </c>
      <c r="K140" s="16" t="s">
        <v>31</v>
      </c>
      <c r="L140" s="16" t="s">
        <v>32</v>
      </c>
    </row>
    <row r="141" spans="1:12" x14ac:dyDescent="0.45">
      <c r="A141" cm="1">
        <f t="array" ref="A141:A155">LEN(B141:B155)</f>
        <v>1</v>
      </c>
      <c r="B141" t="s">
        <v>33</v>
      </c>
      <c r="C141" s="15">
        <v>1024</v>
      </c>
      <c r="D141">
        <v>8</v>
      </c>
      <c r="E141">
        <v>9.1886755963293473E-3</v>
      </c>
      <c r="F141">
        <v>1.0550611603374884E-2</v>
      </c>
      <c r="G141">
        <v>3.1076334782607452E-2</v>
      </c>
      <c r="H141" s="15">
        <v>545</v>
      </c>
      <c r="I141" s="15">
        <v>474</v>
      </c>
      <c r="J141" s="15">
        <v>161</v>
      </c>
      <c r="K141" s="15" t="s">
        <v>135</v>
      </c>
      <c r="L141" s="15">
        <v>17408</v>
      </c>
    </row>
    <row r="142" spans="1:12" x14ac:dyDescent="0.45">
      <c r="A142">
        <v>2</v>
      </c>
      <c r="B142" t="s">
        <v>136</v>
      </c>
      <c r="C142" s="15">
        <v>1024</v>
      </c>
      <c r="D142">
        <v>8</v>
      </c>
      <c r="E142">
        <v>1.0247036809816678E-2</v>
      </c>
      <c r="F142">
        <v>9.7153322330113152E-3</v>
      </c>
      <c r="G142">
        <v>2.8119816292131505E-2</v>
      </c>
      <c r="H142" s="15">
        <v>489</v>
      </c>
      <c r="I142" s="15">
        <v>515</v>
      </c>
      <c r="J142" s="15">
        <v>178</v>
      </c>
      <c r="K142" s="15" t="s">
        <v>137</v>
      </c>
      <c r="L142" s="15">
        <v>25600</v>
      </c>
    </row>
    <row r="143" spans="1:12" x14ac:dyDescent="0.45">
      <c r="A143">
        <v>4</v>
      </c>
      <c r="B143" t="s">
        <v>138</v>
      </c>
      <c r="C143" s="15">
        <v>1024</v>
      </c>
      <c r="D143">
        <v>8</v>
      </c>
      <c r="E143">
        <v>1.1837764622639026E-2</v>
      </c>
      <c r="F143">
        <v>1.1505235402297727E-2</v>
      </c>
      <c r="G143">
        <v>2.9976407784423047E-2</v>
      </c>
      <c r="H143" s="15">
        <v>424</v>
      </c>
      <c r="I143" s="15">
        <v>435</v>
      </c>
      <c r="J143" s="15">
        <v>167</v>
      </c>
      <c r="K143" s="15" t="s">
        <v>139</v>
      </c>
      <c r="L143" s="15">
        <v>41984</v>
      </c>
    </row>
    <row r="144" spans="1:12" x14ac:dyDescent="0.45">
      <c r="A144">
        <v>8</v>
      </c>
      <c r="B144" t="s">
        <v>140</v>
      </c>
      <c r="C144" s="15">
        <v>1024</v>
      </c>
      <c r="D144">
        <v>8</v>
      </c>
      <c r="E144">
        <v>1.2954919430052107E-2</v>
      </c>
      <c r="F144">
        <v>1.2973464766841004E-2</v>
      </c>
      <c r="G144">
        <v>2.9248878362570969E-2</v>
      </c>
      <c r="H144" s="15">
        <v>386</v>
      </c>
      <c r="I144" s="15">
        <v>386</v>
      </c>
      <c r="J144" s="15">
        <v>171</v>
      </c>
      <c r="K144" s="15" t="s">
        <v>141</v>
      </c>
      <c r="L144" s="15">
        <v>74752</v>
      </c>
    </row>
    <row r="145" spans="1:12" x14ac:dyDescent="0.45">
      <c r="A145">
        <v>16</v>
      </c>
      <c r="B145" t="s">
        <v>142</v>
      </c>
      <c r="C145" s="15">
        <v>1024</v>
      </c>
      <c r="D145">
        <v>8</v>
      </c>
      <c r="E145">
        <v>1.6040917891371988E-2</v>
      </c>
      <c r="F145">
        <v>1.5989127476039141E-2</v>
      </c>
      <c r="G145">
        <v>3.1679584177220048E-2</v>
      </c>
      <c r="H145" s="15">
        <v>313</v>
      </c>
      <c r="I145" s="15">
        <v>313</v>
      </c>
      <c r="J145" s="15">
        <v>158</v>
      </c>
      <c r="K145" s="15" t="s">
        <v>143</v>
      </c>
      <c r="L145" s="15">
        <v>140288</v>
      </c>
    </row>
    <row r="146" spans="1:12" x14ac:dyDescent="0.45">
      <c r="A146">
        <v>32</v>
      </c>
      <c r="B146" t="s">
        <v>144</v>
      </c>
      <c r="C146" s="15">
        <v>1024</v>
      </c>
      <c r="D146">
        <v>8</v>
      </c>
      <c r="E146">
        <v>2.4064823076925607E-2</v>
      </c>
      <c r="F146">
        <v>2.3891418095237375E-2</v>
      </c>
      <c r="G146">
        <v>3.214446217949584E-2</v>
      </c>
      <c r="H146" s="15">
        <v>208</v>
      </c>
      <c r="I146" s="15">
        <v>210</v>
      </c>
      <c r="J146" s="15">
        <v>156</v>
      </c>
      <c r="K146" s="15" t="s">
        <v>145</v>
      </c>
      <c r="L146" s="15">
        <v>271360</v>
      </c>
    </row>
    <row r="147" spans="1:12" x14ac:dyDescent="0.45">
      <c r="A147">
        <v>64</v>
      </c>
      <c r="B147" t="s">
        <v>146</v>
      </c>
      <c r="C147" s="15">
        <v>1024</v>
      </c>
      <c r="D147">
        <v>8</v>
      </c>
      <c r="E147">
        <v>3.909713643410806E-2</v>
      </c>
      <c r="F147">
        <v>3.7652818045119475E-2</v>
      </c>
      <c r="G147">
        <v>3.328897152317685E-2</v>
      </c>
      <c r="H147" s="15">
        <v>129</v>
      </c>
      <c r="I147" s="15">
        <v>133</v>
      </c>
      <c r="J147" s="15">
        <v>151</v>
      </c>
      <c r="K147" s="15" t="s">
        <v>147</v>
      </c>
      <c r="L147" s="15">
        <v>533504</v>
      </c>
    </row>
    <row r="148" spans="1:12" x14ac:dyDescent="0.45">
      <c r="A148">
        <v>128</v>
      </c>
      <c r="B148" t="s">
        <v>148</v>
      </c>
      <c r="C148" s="15">
        <v>1024</v>
      </c>
      <c r="D148">
        <v>8</v>
      </c>
      <c r="E148">
        <v>6.8527932876711259E-2</v>
      </c>
      <c r="F148">
        <v>6.7095161333345463E-2</v>
      </c>
      <c r="G148">
        <v>4.1202611475410614E-2</v>
      </c>
      <c r="H148" s="15">
        <v>73</v>
      </c>
      <c r="I148" s="15">
        <v>75</v>
      </c>
      <c r="J148" s="15">
        <v>122</v>
      </c>
      <c r="K148" s="15" t="s">
        <v>149</v>
      </c>
      <c r="L148" s="15">
        <v>1057792</v>
      </c>
    </row>
    <row r="149" spans="1:12" x14ac:dyDescent="0.45">
      <c r="A149">
        <v>256</v>
      </c>
      <c r="B149" t="s">
        <v>150</v>
      </c>
      <c r="C149" s="15">
        <v>1024</v>
      </c>
      <c r="D149">
        <v>8</v>
      </c>
      <c r="E149">
        <v>0.12943471538463386</v>
      </c>
      <c r="F149">
        <v>0.12067578333331073</v>
      </c>
      <c r="G149">
        <v>4.8883220388357518E-2</v>
      </c>
      <c r="H149" s="15">
        <v>39</v>
      </c>
      <c r="I149" s="15">
        <v>42</v>
      </c>
      <c r="J149" s="15">
        <v>103</v>
      </c>
      <c r="K149" s="15" t="s">
        <v>151</v>
      </c>
      <c r="L149" s="15">
        <v>2106368</v>
      </c>
    </row>
    <row r="150" spans="1:12" x14ac:dyDescent="0.45">
      <c r="A150">
        <v>512</v>
      </c>
      <c r="B150" t="s">
        <v>152</v>
      </c>
      <c r="C150" s="15">
        <v>1024</v>
      </c>
      <c r="D150">
        <v>8</v>
      </c>
      <c r="E150">
        <v>0.25547054999997271</v>
      </c>
      <c r="F150">
        <v>0.22876205454543774</v>
      </c>
      <c r="G150">
        <v>8.2865080327866936E-2</v>
      </c>
      <c r="H150" s="15">
        <v>20</v>
      </c>
      <c r="I150" s="15">
        <v>22</v>
      </c>
      <c r="J150" s="15">
        <v>61</v>
      </c>
      <c r="K150" s="15" t="s">
        <v>153</v>
      </c>
      <c r="L150" s="15">
        <v>4203520</v>
      </c>
    </row>
    <row r="151" spans="1:12" x14ac:dyDescent="0.45">
      <c r="A151">
        <v>1024</v>
      </c>
      <c r="B151" t="s">
        <v>154</v>
      </c>
      <c r="C151" s="15">
        <v>1024</v>
      </c>
      <c r="D151">
        <v>8</v>
      </c>
      <c r="E151">
        <v>0.51128527999990181</v>
      </c>
      <c r="F151">
        <v>0.44841162500006249</v>
      </c>
      <c r="G151">
        <v>0.19417215769233456</v>
      </c>
      <c r="H151" s="15">
        <v>10</v>
      </c>
      <c r="I151" s="15">
        <v>12</v>
      </c>
      <c r="J151" s="15">
        <v>26</v>
      </c>
      <c r="K151" s="15" t="s">
        <v>155</v>
      </c>
      <c r="L151" s="15">
        <v>8397824</v>
      </c>
    </row>
    <row r="152" spans="1:12" x14ac:dyDescent="0.45">
      <c r="A152">
        <v>2048</v>
      </c>
      <c r="B152" t="s">
        <v>156</v>
      </c>
      <c r="C152" s="15">
        <v>1024</v>
      </c>
      <c r="D152">
        <v>8</v>
      </c>
      <c r="E152">
        <v>0.98530250000021624</v>
      </c>
      <c r="F152">
        <v>0.8878271166668128</v>
      </c>
      <c r="G152">
        <v>0.58207654444453916</v>
      </c>
      <c r="H152" s="15">
        <v>6</v>
      </c>
      <c r="I152" s="15">
        <v>6</v>
      </c>
      <c r="J152" s="15">
        <v>9</v>
      </c>
      <c r="K152" s="15" t="s">
        <v>157</v>
      </c>
      <c r="L152" s="15">
        <v>16786432</v>
      </c>
    </row>
    <row r="153" spans="1:12" x14ac:dyDescent="0.45">
      <c r="A153">
        <v>4096</v>
      </c>
      <c r="B153" t="s">
        <v>158</v>
      </c>
      <c r="C153" s="15">
        <v>1024</v>
      </c>
      <c r="D153">
        <v>8</v>
      </c>
      <c r="E153">
        <v>1.9293865666671384</v>
      </c>
      <c r="F153">
        <v>1.7982287000001331</v>
      </c>
      <c r="G153">
        <v>2.159546833333176</v>
      </c>
      <c r="H153" s="15">
        <v>3</v>
      </c>
      <c r="I153" s="15">
        <v>3</v>
      </c>
      <c r="J153" s="15">
        <v>3</v>
      </c>
      <c r="K153" s="15" t="s">
        <v>159</v>
      </c>
      <c r="L153" s="15">
        <v>33563648</v>
      </c>
    </row>
    <row r="154" spans="1:12" x14ac:dyDescent="0.45">
      <c r="A154">
        <v>8192</v>
      </c>
      <c r="B154" t="s">
        <v>160</v>
      </c>
      <c r="C154" s="15">
        <v>1024</v>
      </c>
      <c r="D154">
        <v>8</v>
      </c>
      <c r="E154">
        <v>4.2776761000004626</v>
      </c>
      <c r="F154">
        <v>3.7155519500001901</v>
      </c>
      <c r="G154">
        <v>9.0872770999994827</v>
      </c>
      <c r="H154" s="15">
        <v>2</v>
      </c>
      <c r="I154" s="15">
        <v>2</v>
      </c>
      <c r="J154" s="15">
        <v>1</v>
      </c>
      <c r="K154" s="15" t="s">
        <v>161</v>
      </c>
      <c r="L154" s="15">
        <v>67118080</v>
      </c>
    </row>
    <row r="155" spans="1:12" x14ac:dyDescent="0.45">
      <c r="A155">
        <v>16384</v>
      </c>
      <c r="B155" t="s">
        <v>162</v>
      </c>
      <c r="C155" s="15">
        <v>1024</v>
      </c>
      <c r="D155">
        <v>8</v>
      </c>
      <c r="E155">
        <v>8.4546872999999323</v>
      </c>
      <c r="F155">
        <v>7.8420533999997133</v>
      </c>
      <c r="G155">
        <v>53.35228669999924</v>
      </c>
      <c r="H155" s="15">
        <v>1</v>
      </c>
      <c r="I155" s="15">
        <v>1</v>
      </c>
      <c r="J155" s="15">
        <v>1</v>
      </c>
      <c r="K155" s="15" t="s">
        <v>163</v>
      </c>
      <c r="L155" s="15">
        <v>134226944</v>
      </c>
    </row>
    <row r="156" spans="1:12" x14ac:dyDescent="0.45">
      <c r="H156" s="15"/>
      <c r="I156" s="15"/>
      <c r="J156" s="15"/>
    </row>
    <row r="157" spans="1:12" x14ac:dyDescent="0.45">
      <c r="H157" s="15"/>
      <c r="I157" s="15"/>
      <c r="J157" s="15"/>
    </row>
    <row r="158" spans="1:12" x14ac:dyDescent="0.45">
      <c r="H158" s="15"/>
      <c r="I158" s="15"/>
      <c r="J158" s="15"/>
    </row>
    <row r="159" spans="1:12" x14ac:dyDescent="0.45">
      <c r="H159" s="15"/>
      <c r="I159" s="15"/>
      <c r="J159" s="15"/>
    </row>
    <row r="160" spans="1:12" x14ac:dyDescent="0.45">
      <c r="H160" s="15"/>
      <c r="I160" s="15"/>
      <c r="J160" s="15"/>
    </row>
    <row r="161" spans="1:12" x14ac:dyDescent="0.45">
      <c r="H161" s="15"/>
      <c r="I161" s="15"/>
      <c r="J161" s="15"/>
    </row>
    <row r="162" spans="1:12" x14ac:dyDescent="0.45">
      <c r="H162" s="15"/>
      <c r="I162" s="15"/>
      <c r="J162" s="15"/>
    </row>
    <row r="163" spans="1:12" x14ac:dyDescent="0.45">
      <c r="H163" s="15"/>
      <c r="I163" s="15"/>
      <c r="J163" s="15"/>
    </row>
    <row r="164" spans="1:12" x14ac:dyDescent="0.45">
      <c r="H164" s="15"/>
      <c r="I164" s="15"/>
      <c r="J164" s="15"/>
    </row>
    <row r="165" spans="1:12" x14ac:dyDescent="0.45">
      <c r="H165" s="15"/>
      <c r="I165" s="15"/>
      <c r="J165" s="15"/>
    </row>
    <row r="166" spans="1:12" x14ac:dyDescent="0.45">
      <c r="H166" s="15"/>
      <c r="I166" s="15"/>
      <c r="J166" s="15"/>
      <c r="K166" s="19" t="s">
        <v>164</v>
      </c>
    </row>
    <row r="167" spans="1:12" ht="28.5" x14ac:dyDescent="0.45">
      <c r="A167" s="16" t="s">
        <v>21</v>
      </c>
      <c r="B167" s="16" t="s">
        <v>22</v>
      </c>
      <c r="C167" s="16" t="s">
        <v>23</v>
      </c>
      <c r="D167" s="16" t="s">
        <v>24</v>
      </c>
      <c r="E167" s="16" t="s">
        <v>25</v>
      </c>
      <c r="F167" s="16" t="s">
        <v>26</v>
      </c>
      <c r="G167" s="16" t="s">
        <v>27</v>
      </c>
      <c r="H167" s="17" t="s">
        <v>28</v>
      </c>
      <c r="I167" s="17" t="s">
        <v>29</v>
      </c>
      <c r="J167" s="17" t="s">
        <v>30</v>
      </c>
      <c r="K167" s="16" t="s">
        <v>31</v>
      </c>
      <c r="L167" s="16" t="s">
        <v>32</v>
      </c>
    </row>
    <row r="168" spans="1:12" x14ac:dyDescent="0.45">
      <c r="A168">
        <v>3</v>
      </c>
      <c r="B168" t="s">
        <v>165</v>
      </c>
      <c r="C168" s="15">
        <v>1024</v>
      </c>
      <c r="D168">
        <v>8</v>
      </c>
      <c r="E168">
        <v>1.2717566497462593E-2</v>
      </c>
      <c r="F168">
        <v>1.8777289138577114E-2</v>
      </c>
      <c r="G168">
        <v>3.6633002189787107E-2</v>
      </c>
      <c r="H168" s="15">
        <v>394</v>
      </c>
      <c r="I168" s="15">
        <v>267</v>
      </c>
      <c r="J168" s="15">
        <v>137</v>
      </c>
      <c r="K168" s="15" t="s">
        <v>166</v>
      </c>
      <c r="L168" s="15">
        <v>33792</v>
      </c>
    </row>
    <row r="169" spans="1:12" x14ac:dyDescent="0.45">
      <c r="A169">
        <v>4</v>
      </c>
      <c r="B169" t="s">
        <v>167</v>
      </c>
      <c r="C169" s="15">
        <v>1024</v>
      </c>
      <c r="D169">
        <v>8</v>
      </c>
      <c r="E169">
        <v>1.3023545572915888E-2</v>
      </c>
      <c r="F169">
        <v>1.8812364419478426E-2</v>
      </c>
      <c r="G169">
        <v>3.7049154814815632E-2</v>
      </c>
      <c r="H169" s="15">
        <v>384</v>
      </c>
      <c r="I169" s="15">
        <v>267</v>
      </c>
      <c r="J169" s="15">
        <v>135</v>
      </c>
      <c r="K169" s="15" t="s">
        <v>139</v>
      </c>
      <c r="L169" s="15">
        <v>41984</v>
      </c>
    </row>
    <row r="170" spans="1:12" x14ac:dyDescent="0.45">
      <c r="A170">
        <v>6</v>
      </c>
      <c r="B170" t="s">
        <v>168</v>
      </c>
      <c r="C170" s="15">
        <v>1024</v>
      </c>
      <c r="D170">
        <v>8</v>
      </c>
      <c r="E170">
        <v>1.4103126197179836E-2</v>
      </c>
      <c r="F170">
        <v>1.7642682746477924E-2</v>
      </c>
      <c r="G170">
        <v>3.6183048201433955E-2</v>
      </c>
      <c r="H170" s="15">
        <v>355</v>
      </c>
      <c r="I170" s="15">
        <v>284</v>
      </c>
      <c r="J170" s="15">
        <v>139</v>
      </c>
      <c r="K170" s="15" t="s">
        <v>169</v>
      </c>
      <c r="L170" s="15">
        <v>58368</v>
      </c>
    </row>
    <row r="171" spans="1:12" x14ac:dyDescent="0.45">
      <c r="A171">
        <v>10</v>
      </c>
      <c r="B171" t="s">
        <v>170</v>
      </c>
      <c r="C171" s="15">
        <v>1024</v>
      </c>
      <c r="D171">
        <v>8</v>
      </c>
      <c r="E171">
        <v>1.6223575404533324E-2</v>
      </c>
      <c r="F171">
        <v>2.0175442338709656E-2</v>
      </c>
      <c r="G171">
        <v>3.9453239370081654E-2</v>
      </c>
      <c r="H171" s="15">
        <v>309</v>
      </c>
      <c r="I171" s="15">
        <v>248</v>
      </c>
      <c r="J171" s="15">
        <v>127</v>
      </c>
      <c r="K171" s="15" t="s">
        <v>171</v>
      </c>
      <c r="L171" s="15">
        <v>91136</v>
      </c>
    </row>
    <row r="172" spans="1:12" x14ac:dyDescent="0.45">
      <c r="A172">
        <v>18</v>
      </c>
      <c r="B172" t="s">
        <v>172</v>
      </c>
      <c r="C172" s="15">
        <v>1024</v>
      </c>
      <c r="D172">
        <v>8</v>
      </c>
      <c r="E172">
        <v>1.9577109374999679E-2</v>
      </c>
      <c r="F172">
        <v>2.3062459446998727E-2</v>
      </c>
      <c r="G172">
        <v>4.0353445967749361E-2</v>
      </c>
      <c r="H172" s="15">
        <v>256</v>
      </c>
      <c r="I172" s="15">
        <v>217</v>
      </c>
      <c r="J172" s="15">
        <v>124</v>
      </c>
      <c r="K172" s="15" t="s">
        <v>173</v>
      </c>
      <c r="L172" s="15">
        <v>156672</v>
      </c>
    </row>
    <row r="173" spans="1:12" x14ac:dyDescent="0.45">
      <c r="A173">
        <v>34</v>
      </c>
      <c r="B173" t="s">
        <v>174</v>
      </c>
      <c r="C173" s="15">
        <v>1024</v>
      </c>
      <c r="D173">
        <v>8</v>
      </c>
      <c r="E173">
        <v>2.7268639130437332E-2</v>
      </c>
      <c r="F173">
        <v>3.0730895705513874E-2</v>
      </c>
      <c r="G173">
        <v>3.9715022222221057E-2</v>
      </c>
      <c r="H173" s="15">
        <v>184</v>
      </c>
      <c r="I173" s="15">
        <v>163</v>
      </c>
      <c r="J173" s="15">
        <v>126</v>
      </c>
      <c r="K173" s="15" t="s">
        <v>175</v>
      </c>
      <c r="L173" s="15">
        <v>287744</v>
      </c>
    </row>
    <row r="174" spans="1:12" x14ac:dyDescent="0.45">
      <c r="A174">
        <v>66</v>
      </c>
      <c r="B174" t="s">
        <v>176</v>
      </c>
      <c r="C174" s="15">
        <v>1024</v>
      </c>
      <c r="D174">
        <v>8</v>
      </c>
      <c r="E174">
        <v>4.119479180327125E-2</v>
      </c>
      <c r="F174">
        <v>4.4471384070796142E-2</v>
      </c>
      <c r="G174">
        <v>4.0342499999995549E-2</v>
      </c>
      <c r="H174" s="15">
        <v>122</v>
      </c>
      <c r="I174" s="15">
        <v>113</v>
      </c>
      <c r="J174" s="15">
        <v>124</v>
      </c>
      <c r="K174" s="15" t="s">
        <v>177</v>
      </c>
      <c r="L174" s="15">
        <v>549888</v>
      </c>
    </row>
    <row r="175" spans="1:12" x14ac:dyDescent="0.45">
      <c r="A175">
        <v>130</v>
      </c>
      <c r="B175" t="s">
        <v>178</v>
      </c>
      <c r="C175" s="15">
        <v>1024</v>
      </c>
      <c r="D175">
        <v>8</v>
      </c>
      <c r="E175">
        <v>7.354379558824696E-2</v>
      </c>
      <c r="F175">
        <v>7.4068232352949376E-2</v>
      </c>
      <c r="G175">
        <v>4.9613728712873777E-2</v>
      </c>
      <c r="H175" s="15">
        <v>68</v>
      </c>
      <c r="I175" s="15">
        <v>68</v>
      </c>
      <c r="J175" s="15">
        <v>101</v>
      </c>
      <c r="K175" s="15" t="s">
        <v>179</v>
      </c>
      <c r="L175" s="15">
        <v>1074176</v>
      </c>
    </row>
    <row r="176" spans="1:12" x14ac:dyDescent="0.45">
      <c r="A176">
        <v>258</v>
      </c>
      <c r="B176" t="s">
        <v>180</v>
      </c>
      <c r="C176" s="15">
        <v>1024</v>
      </c>
      <c r="D176">
        <v>8</v>
      </c>
      <c r="E176">
        <v>0.12945027948714993</v>
      </c>
      <c r="F176">
        <v>0.130125584615365</v>
      </c>
      <c r="G176">
        <v>5.6333715730350661E-2</v>
      </c>
      <c r="H176" s="15">
        <v>39</v>
      </c>
      <c r="I176" s="15">
        <v>39</v>
      </c>
      <c r="J176" s="15">
        <v>89</v>
      </c>
      <c r="K176" s="15" t="s">
        <v>181</v>
      </c>
      <c r="L176" s="15">
        <v>2122752</v>
      </c>
    </row>
    <row r="177" spans="1:12" x14ac:dyDescent="0.45">
      <c r="A177">
        <v>514</v>
      </c>
      <c r="B177" t="s">
        <v>182</v>
      </c>
      <c r="C177" s="15">
        <v>1024</v>
      </c>
      <c r="D177">
        <v>8</v>
      </c>
      <c r="E177">
        <v>0.24719157142862969</v>
      </c>
      <c r="F177">
        <v>0.23753377727271899</v>
      </c>
      <c r="G177">
        <v>8.3807956666684433E-2</v>
      </c>
      <c r="H177" s="15">
        <v>21</v>
      </c>
      <c r="I177" s="15">
        <v>22</v>
      </c>
      <c r="J177" s="15">
        <v>60</v>
      </c>
      <c r="K177" s="15" t="s">
        <v>183</v>
      </c>
      <c r="L177" s="15">
        <v>4219904</v>
      </c>
    </row>
    <row r="178" spans="1:12" x14ac:dyDescent="0.45">
      <c r="A178">
        <v>1026</v>
      </c>
      <c r="B178" t="s">
        <v>184</v>
      </c>
      <c r="C178" s="15">
        <v>1024</v>
      </c>
      <c r="D178">
        <v>8</v>
      </c>
      <c r="E178">
        <v>0.50626344000011159</v>
      </c>
      <c r="F178">
        <v>0.45456238181809155</v>
      </c>
      <c r="G178">
        <v>0.18886797037042993</v>
      </c>
      <c r="H178" s="15">
        <v>10</v>
      </c>
      <c r="I178" s="15">
        <v>11</v>
      </c>
      <c r="J178" s="15">
        <v>27</v>
      </c>
      <c r="K178" s="15" t="s">
        <v>185</v>
      </c>
      <c r="L178" s="15">
        <v>8414208</v>
      </c>
    </row>
    <row r="179" spans="1:12" x14ac:dyDescent="0.45">
      <c r="A179">
        <v>2050</v>
      </c>
      <c r="B179" t="s">
        <v>186</v>
      </c>
      <c r="C179" s="15">
        <v>1024</v>
      </c>
      <c r="D179">
        <v>8</v>
      </c>
      <c r="E179">
        <v>0.9819684000000658</v>
      </c>
      <c r="F179">
        <v>0.87966298333321902</v>
      </c>
      <c r="G179">
        <v>0.59742733333344711</v>
      </c>
      <c r="H179" s="15">
        <v>6</v>
      </c>
      <c r="I179" s="15">
        <v>6</v>
      </c>
      <c r="J179" s="15">
        <v>9</v>
      </c>
      <c r="K179" s="15" t="s">
        <v>187</v>
      </c>
      <c r="L179" s="15">
        <v>16802816</v>
      </c>
    </row>
    <row r="180" spans="1:12" x14ac:dyDescent="0.45">
      <c r="A180">
        <v>4098</v>
      </c>
      <c r="B180" t="s">
        <v>188</v>
      </c>
      <c r="C180" s="15">
        <v>1024</v>
      </c>
      <c r="D180">
        <v>8</v>
      </c>
      <c r="E180">
        <v>1.9549785666670989</v>
      </c>
      <c r="F180">
        <v>1.7441486999996414</v>
      </c>
      <c r="G180">
        <v>2.0770916666666985</v>
      </c>
      <c r="H180" s="15">
        <v>3</v>
      </c>
      <c r="I180" s="15">
        <v>3</v>
      </c>
      <c r="J180" s="15">
        <v>3</v>
      </c>
      <c r="K180" s="15" t="s">
        <v>189</v>
      </c>
      <c r="L180" s="15">
        <v>33580032</v>
      </c>
    </row>
    <row r="181" spans="1:12" x14ac:dyDescent="0.45">
      <c r="A181">
        <v>8194</v>
      </c>
      <c r="B181" t="s">
        <v>190</v>
      </c>
      <c r="C181" s="15">
        <v>1024</v>
      </c>
      <c r="D181">
        <v>8</v>
      </c>
      <c r="E181">
        <v>4.2433115999992879</v>
      </c>
      <c r="F181">
        <v>3.8600196500001402</v>
      </c>
      <c r="G181">
        <v>9.3040644000011525</v>
      </c>
      <c r="H181" s="15">
        <v>2</v>
      </c>
      <c r="I181" s="15">
        <v>2</v>
      </c>
      <c r="J181" s="15">
        <v>1</v>
      </c>
      <c r="K181" s="15" t="s">
        <v>191</v>
      </c>
      <c r="L181" s="15">
        <v>67134464</v>
      </c>
    </row>
    <row r="182" spans="1:12" x14ac:dyDescent="0.45">
      <c r="A182">
        <v>16386</v>
      </c>
      <c r="B182" t="s">
        <v>192</v>
      </c>
      <c r="C182" s="15">
        <v>1024</v>
      </c>
      <c r="D182">
        <v>8</v>
      </c>
      <c r="E182">
        <v>8.7412566000002698</v>
      </c>
      <c r="F182">
        <v>8.021360900000218</v>
      </c>
      <c r="G182">
        <v>53.964022800000748</v>
      </c>
      <c r="H182" s="15">
        <v>1</v>
      </c>
      <c r="I182" s="15">
        <v>1</v>
      </c>
      <c r="J182" s="15">
        <v>1</v>
      </c>
      <c r="K182" s="15" t="s">
        <v>193</v>
      </c>
      <c r="L182" s="15">
        <v>134243328</v>
      </c>
    </row>
    <row r="183" spans="1:12" x14ac:dyDescent="0.45">
      <c r="H183" s="15"/>
      <c r="I183" s="15"/>
      <c r="J183" s="15"/>
    </row>
    <row r="184" spans="1:12" x14ac:dyDescent="0.45">
      <c r="H184" s="15"/>
      <c r="I184" s="15"/>
      <c r="J184" s="15"/>
    </row>
    <row r="185" spans="1:12" x14ac:dyDescent="0.45">
      <c r="H185" s="15"/>
      <c r="I185" s="15"/>
      <c r="J185" s="15"/>
    </row>
    <row r="186" spans="1:12" x14ac:dyDescent="0.45">
      <c r="H186" s="15"/>
      <c r="I186" s="15"/>
      <c r="J186" s="15"/>
    </row>
    <row r="187" spans="1:12" x14ac:dyDescent="0.45">
      <c r="H187" s="15"/>
      <c r="I187" s="15"/>
      <c r="J187" s="15"/>
    </row>
    <row r="188" spans="1:12" x14ac:dyDescent="0.45">
      <c r="H188" s="15"/>
      <c r="I188" s="15"/>
      <c r="J188" s="15"/>
    </row>
    <row r="189" spans="1:12" x14ac:dyDescent="0.45">
      <c r="H189" s="15"/>
      <c r="I189" s="15"/>
      <c r="J189" s="15"/>
    </row>
    <row r="190" spans="1:12" x14ac:dyDescent="0.45">
      <c r="H190" s="15"/>
      <c r="I190" s="15"/>
      <c r="J190" s="15"/>
    </row>
    <row r="191" spans="1:12" x14ac:dyDescent="0.45">
      <c r="H191" s="15"/>
      <c r="I191" s="15"/>
      <c r="J191" s="15"/>
    </row>
    <row r="192" spans="1:12" x14ac:dyDescent="0.45">
      <c r="H192" s="15"/>
      <c r="I192" s="15"/>
      <c r="J192" s="15"/>
    </row>
    <row r="193" spans="8:10" x14ac:dyDescent="0.45">
      <c r="H193" s="15"/>
      <c r="I193" s="15"/>
      <c r="J193" s="15"/>
    </row>
    <row r="194" spans="8:10" x14ac:dyDescent="0.45">
      <c r="H194" s="15"/>
      <c r="I194" s="15"/>
      <c r="J194" s="15"/>
    </row>
    <row r="195" spans="8:10" x14ac:dyDescent="0.45">
      <c r="H195" s="15"/>
      <c r="I195" s="15"/>
      <c r="J195" s="15"/>
    </row>
    <row r="196" spans="8:10" x14ac:dyDescent="0.45">
      <c r="H196" s="15"/>
      <c r="I196" s="15"/>
      <c r="J196" s="15"/>
    </row>
    <row r="197" spans="8:10" x14ac:dyDescent="0.45">
      <c r="H197" s="15"/>
      <c r="I197" s="15"/>
      <c r="J197" s="15"/>
    </row>
    <row r="198" spans="8:10" x14ac:dyDescent="0.45">
      <c r="H198" s="15"/>
      <c r="I198" s="15"/>
      <c r="J198" s="15"/>
    </row>
    <row r="199" spans="8:10" x14ac:dyDescent="0.45">
      <c r="H199" s="15"/>
      <c r="I199" s="15"/>
      <c r="J199" s="15"/>
    </row>
    <row r="200" spans="8:10" x14ac:dyDescent="0.45">
      <c r="H200" s="15"/>
      <c r="I200" s="15"/>
      <c r="J200" s="15"/>
    </row>
    <row r="201" spans="8:10" x14ac:dyDescent="0.45">
      <c r="H201" s="15"/>
      <c r="I201" s="15"/>
      <c r="J201" s="15"/>
    </row>
    <row r="202" spans="8:10" x14ac:dyDescent="0.45">
      <c r="H202" s="15"/>
      <c r="I202" s="15"/>
      <c r="J202" s="15"/>
    </row>
    <row r="203" spans="8:10" x14ac:dyDescent="0.45">
      <c r="H203" s="15"/>
      <c r="I203" s="15"/>
      <c r="J203" s="15"/>
    </row>
    <row r="204" spans="8:10" x14ac:dyDescent="0.45">
      <c r="H204" s="15"/>
      <c r="I204" s="15"/>
      <c r="J204" s="15"/>
    </row>
    <row r="205" spans="8:10" x14ac:dyDescent="0.45">
      <c r="H205" s="15"/>
      <c r="I205" s="15"/>
      <c r="J205" s="15"/>
    </row>
    <row r="206" spans="8:10" x14ac:dyDescent="0.45">
      <c r="H206" s="15"/>
      <c r="I206" s="15"/>
      <c r="J206" s="15"/>
    </row>
    <row r="207" spans="8:10" x14ac:dyDescent="0.45">
      <c r="H207" s="15"/>
      <c r="I207" s="15"/>
      <c r="J207" s="15"/>
    </row>
    <row r="208" spans="8:10" x14ac:dyDescent="0.45">
      <c r="H208" s="15"/>
      <c r="I208" s="15"/>
      <c r="J208" s="15"/>
    </row>
    <row r="209" spans="8:10" x14ac:dyDescent="0.45">
      <c r="H209" s="15"/>
      <c r="I209" s="15"/>
      <c r="J209" s="15"/>
    </row>
    <row r="210" spans="8:10" x14ac:dyDescent="0.45">
      <c r="H210" s="15"/>
      <c r="I210" s="15"/>
      <c r="J210" s="15"/>
    </row>
    <row r="211" spans="8:10" x14ac:dyDescent="0.45">
      <c r="H211" s="15"/>
      <c r="I211" s="15"/>
      <c r="J211" s="15"/>
    </row>
    <row r="212" spans="8:10" x14ac:dyDescent="0.45">
      <c r="H212" s="15"/>
      <c r="I212" s="15"/>
      <c r="J212" s="15"/>
    </row>
    <row r="213" spans="8:10" x14ac:dyDescent="0.45">
      <c r="H213" s="15"/>
      <c r="I213" s="15"/>
      <c r="J213" s="15"/>
    </row>
    <row r="214" spans="8:10" x14ac:dyDescent="0.45">
      <c r="H214" s="15"/>
      <c r="I214" s="15"/>
      <c r="J214" s="15"/>
    </row>
    <row r="215" spans="8:10" x14ac:dyDescent="0.45">
      <c r="H215" s="15"/>
      <c r="I215" s="15"/>
      <c r="J215" s="15"/>
    </row>
    <row r="216" spans="8:10" x14ac:dyDescent="0.45">
      <c r="H216" s="15"/>
      <c r="I216" s="15"/>
      <c r="J216" s="15"/>
    </row>
    <row r="217" spans="8:10" x14ac:dyDescent="0.45">
      <c r="H217" s="15"/>
      <c r="I217" s="15"/>
      <c r="J217" s="15"/>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5C733-FCD2-4368-931F-6DB63E6C610C}">
  <sheetPr codeName="shConvertTypes"/>
  <dimension ref="B1:I60"/>
  <sheetViews>
    <sheetView showGridLines="0" showRowColHeaders="0" workbookViewId="0"/>
  </sheetViews>
  <sheetFormatPr defaultRowHeight="14.25" x14ac:dyDescent="0.45"/>
  <cols>
    <col min="1" max="1" width="1.59765625" customWidth="1"/>
    <col min="2" max="2" width="10.6640625" bestFit="1" customWidth="1"/>
    <col min="3" max="3" width="18.6640625" bestFit="1" customWidth="1"/>
    <col min="4" max="4" width="1.59765625" customWidth="1"/>
    <col min="5" max="5" width="18.06640625" bestFit="1" customWidth="1"/>
    <col min="6" max="6" width="1.59765625" customWidth="1"/>
    <col min="7" max="7" width="18.06640625" bestFit="1" customWidth="1"/>
    <col min="8" max="8" width="1.59765625" customWidth="1"/>
    <col min="9" max="9" width="18.06640625" bestFit="1" customWidth="1"/>
    <col min="10" max="10" width="1.59765625" customWidth="1"/>
    <col min="11" max="11" width="18.06640625" bestFit="1" customWidth="1"/>
    <col min="12" max="12" width="1.59765625" customWidth="1"/>
    <col min="13" max="13" width="18.06640625" bestFit="1" customWidth="1"/>
    <col min="14" max="14" width="1.59765625" customWidth="1"/>
    <col min="15" max="15" width="19.6640625" bestFit="1" customWidth="1"/>
    <col min="16" max="16" width="1.59765625" customWidth="1"/>
    <col min="17" max="17" width="19.6640625" bestFit="1" customWidth="1"/>
    <col min="18" max="18" width="1.59765625" customWidth="1"/>
    <col min="19" max="19" width="19.6640625" bestFit="1" customWidth="1"/>
    <col min="20" max="20" width="1.59765625" customWidth="1"/>
    <col min="21" max="21" width="19.6640625" bestFit="1" customWidth="1"/>
    <col min="22" max="22" width="1.59765625" customWidth="1"/>
    <col min="23" max="23" width="18.06640625" bestFit="1" customWidth="1"/>
    <col min="24" max="24" width="1.59765625" customWidth="1"/>
    <col min="25" max="25" width="18.06640625" bestFit="1" customWidth="1"/>
  </cols>
  <sheetData>
    <row r="1" spans="2:9" ht="28.5" x14ac:dyDescent="0.85">
      <c r="B1" s="14" t="s">
        <v>403</v>
      </c>
    </row>
    <row r="3" spans="2:9" x14ac:dyDescent="0.45">
      <c r="B3" s="3" t="s">
        <v>402</v>
      </c>
      <c r="E3" s="3" t="s">
        <v>2</v>
      </c>
    </row>
    <row r="4" spans="2:9" x14ac:dyDescent="0.45">
      <c r="B4" s="37" t="str" cm="1">
        <f t="array" ref="B4">_xlfn.IFS(ISNUMBER(C4),"Number",ISTEXT(C4),"String",ISLOGICAL(C4),"Boolean",ISERROR(C4),"Error")</f>
        <v>Number</v>
      </c>
      <c r="C4" s="78">
        <v>44424</v>
      </c>
      <c r="E4" s="4" t="s">
        <v>4</v>
      </c>
      <c r="F4" s="4"/>
      <c r="G4" s="4"/>
      <c r="H4" s="4"/>
      <c r="I4" s="4"/>
    </row>
    <row r="5" spans="2:9" x14ac:dyDescent="0.45">
      <c r="B5" s="76" t="s">
        <v>199</v>
      </c>
      <c r="C5" s="79">
        <v>44432.534178240741</v>
      </c>
      <c r="E5" s="10" t="s">
        <v>406</v>
      </c>
      <c r="F5" s="10"/>
      <c r="G5" s="10"/>
      <c r="H5" s="10"/>
      <c r="I5" s="10"/>
    </row>
    <row r="6" spans="2:9" x14ac:dyDescent="0.45">
      <c r="B6" s="37" t="str" cm="1">
        <f t="array" ref="B6">_xlfn.IFS(ISNUMBER(C6),"Number",ISTEXT(C6),"String",ISLOGICAL(C6),"Boolean",ISERROR(C6),"Error")</f>
        <v>Boolean</v>
      </c>
      <c r="C6" s="75" t="b">
        <v>1</v>
      </c>
      <c r="E6" s="9" t="s">
        <v>11</v>
      </c>
      <c r="F6" s="9"/>
      <c r="G6" s="9"/>
      <c r="H6" s="9"/>
      <c r="I6" s="9"/>
    </row>
    <row r="7" spans="2:9" x14ac:dyDescent="0.45">
      <c r="B7" s="37" t="str" cm="1">
        <f t="array" ref="B7">_xlfn.IFS(ISNUMBER(C7),"Number",ISTEXT(C7),"String",ISLOGICAL(C7),"Boolean",ISERROR(C7),"Error")</f>
        <v>Error</v>
      </c>
      <c r="C7" s="75" t="e">
        <f>1/0</f>
        <v>#DIV/0!</v>
      </c>
      <c r="E7" s="6" t="s">
        <v>6</v>
      </c>
      <c r="F7" s="6"/>
      <c r="G7" s="6"/>
      <c r="H7" s="6"/>
      <c r="I7" s="6"/>
    </row>
    <row r="8" spans="2:9" x14ac:dyDescent="0.45">
      <c r="B8" s="37" t="str" cm="1">
        <f t="array" ref="B8">_xlfn.IFS(ISNUMBER(C8),"Number",ISTEXT(C8),"String",ISLOGICAL(C8),"Boolean",ISERROR(C8),"Error")</f>
        <v>String</v>
      </c>
      <c r="C8" s="75" t="s">
        <v>387</v>
      </c>
      <c r="E8" s="84" t="s">
        <v>405</v>
      </c>
      <c r="F8" s="8"/>
      <c r="G8" s="8"/>
      <c r="H8" s="8"/>
      <c r="I8" s="8"/>
    </row>
    <row r="9" spans="2:9" x14ac:dyDescent="0.45">
      <c r="B9" s="37" t="s">
        <v>6</v>
      </c>
      <c r="C9" s="79" t="s">
        <v>503</v>
      </c>
      <c r="E9" s="83" t="s">
        <v>558</v>
      </c>
      <c r="F9" s="77"/>
      <c r="G9" s="77"/>
      <c r="H9" s="77"/>
      <c r="I9" s="77"/>
    </row>
    <row r="10" spans="2:9" x14ac:dyDescent="0.45">
      <c r="B10" s="37" t="str" cm="1">
        <f t="array" ref="B10">_xlfn.IFS(ISNUMBER(C10),"Number",ISTEXT(C10),"String",ISLOGICAL(C10),"Boolean",ISERROR(C10),"Error")</f>
        <v>String</v>
      </c>
      <c r="C10" s="75" t="s">
        <v>388</v>
      </c>
    </row>
    <row r="11" spans="2:9" x14ac:dyDescent="0.45">
      <c r="B11" s="37" t="str" cm="1">
        <f t="array" ref="B11">_xlfn.IFS(ISNUMBER(C11),"Number",ISTEXT(C11),"String",ISLOGICAL(C11),"Boolean",ISERROR(C11),"Error")</f>
        <v>String</v>
      </c>
      <c r="C11" s="75" t="s">
        <v>390</v>
      </c>
    </row>
    <row r="12" spans="2:9" x14ac:dyDescent="0.45">
      <c r="B12" s="37" t="str" cm="1">
        <f t="array" ref="B12">_xlfn.IFS(ISNUMBER(C12),"Number",ISTEXT(C12),"String",ISLOGICAL(C12),"Boolean",ISERROR(C12),"Error")</f>
        <v>String</v>
      </c>
      <c r="C12" s="75" t="s">
        <v>389</v>
      </c>
    </row>
    <row r="13" spans="2:9" x14ac:dyDescent="0.45">
      <c r="B13" s="37" t="s">
        <v>6</v>
      </c>
      <c r="C13" s="75" t="s">
        <v>393</v>
      </c>
    </row>
    <row r="14" spans="2:9" ht="28.5" x14ac:dyDescent="0.45">
      <c r="B14" s="37" t="str" cm="1">
        <f t="array" ref="B14">_xlfn.IFS(ISNUMBER(C14),"Number",ISTEXT(C14),"String",ISLOGICAL(C14),"Boolean",ISERROR(C14),"Error")</f>
        <v>String</v>
      </c>
      <c r="C14" s="80" t="s">
        <v>557</v>
      </c>
    </row>
    <row r="16" spans="2:9" x14ac:dyDescent="0.45">
      <c r="B16" s="2" t="s">
        <v>501</v>
      </c>
    </row>
    <row r="17" spans="2:9" x14ac:dyDescent="0.45">
      <c r="B17" t="s">
        <v>502</v>
      </c>
      <c r="C17" t="str" cm="1">
        <f t="array" aca="1" ref="C17" ca="1">CSVWrite(Data,,,"ISO")</f>
        <v xml:space="preserve">"Number",44424
"Date",2021-08-24T12:49:13
"Boolean",True
"Error",#DIV/0!
"String","1"
"String","2021-08-24T12:49:13"
"String","TRUE"
"String","#DIV/0!"
"String","abc"
"String","abc""def"
"String","Line
Feed"
</v>
      </c>
    </row>
    <row r="19" spans="2:9" x14ac:dyDescent="0.45">
      <c r="B19" s="3" t="s">
        <v>404</v>
      </c>
    </row>
    <row r="20" spans="2:9" x14ac:dyDescent="0.45">
      <c r="B20" s="3"/>
      <c r="C20" s="81" t="b">
        <v>1</v>
      </c>
      <c r="D20" s="41"/>
      <c r="E20" s="82" t="b">
        <v>0</v>
      </c>
      <c r="G20" s="81" t="s">
        <v>391</v>
      </c>
      <c r="H20" s="41"/>
      <c r="I20" s="82" t="s">
        <v>392</v>
      </c>
    </row>
    <row r="21" spans="2:9" x14ac:dyDescent="0.45">
      <c r="B21" s="3"/>
      <c r="C21" s="41"/>
      <c r="D21" s="41"/>
      <c r="E21" s="41"/>
      <c r="G21" s="41"/>
      <c r="H21" s="41"/>
      <c r="I21" s="41"/>
    </row>
    <row r="22" spans="2:9" x14ac:dyDescent="0.45">
      <c r="B22" s="3"/>
      <c r="C22" s="78" cm="1">
        <f t="array" aca="1" ref="C22:C32" ca="1">csvread(CSVContents,C20,,,"ISO",,,,,2)</f>
        <v>44424</v>
      </c>
      <c r="E22" s="78" t="str" cm="1">
        <f t="array" aca="1" ref="E22:E32" ca="1">csvread(CSVContents,E20,,,"ISO",,,,,2)</f>
        <v>44424</v>
      </c>
      <c r="G22" s="78" cm="1">
        <f t="array" aca="1" ref="G22:G32" ca="1">csvread(CSVContents,G20,,,"ISO",,,,,2)</f>
        <v>44424</v>
      </c>
      <c r="I22" s="78" cm="1">
        <f t="array" aca="1" ref="I22:I32" ca="1">csvread(CSVContents,I20,,,"ISO",,,,,2)</f>
        <v>44424</v>
      </c>
    </row>
    <row r="23" spans="2:9" x14ac:dyDescent="0.45">
      <c r="B23" s="3"/>
      <c r="C23" s="79">
        <f ca="1"/>
        <v>44432.534178240741</v>
      </c>
      <c r="E23" s="79" t="str">
        <f ca="1"/>
        <v>2021-08-24T12:49:13</v>
      </c>
      <c r="G23" s="79">
        <f ca="1"/>
        <v>44432.534178240741</v>
      </c>
      <c r="I23" s="79">
        <f ca="1"/>
        <v>44432.534178240741</v>
      </c>
    </row>
    <row r="24" spans="2:9" x14ac:dyDescent="0.45">
      <c r="B24" s="3"/>
      <c r="C24" s="75" t="b">
        <f ca="1"/>
        <v>1</v>
      </c>
      <c r="E24" s="75" t="str">
        <f ca="1"/>
        <v>True</v>
      </c>
      <c r="G24" s="75" t="b">
        <f ca="1"/>
        <v>1</v>
      </c>
      <c r="I24" s="75" t="b">
        <f ca="1"/>
        <v>1</v>
      </c>
    </row>
    <row r="25" spans="2:9" x14ac:dyDescent="0.45">
      <c r="B25" s="3"/>
      <c r="C25" s="75" t="str">
        <f ca="1"/>
        <v>#DIV/0!</v>
      </c>
      <c r="E25" s="75" t="str">
        <f ca="1"/>
        <v>#DIV/0!</v>
      </c>
      <c r="G25" s="75" t="e">
        <f ca="1"/>
        <v>#DIV/0!</v>
      </c>
      <c r="I25" s="75" t="e">
        <f ca="1"/>
        <v>#DIV/0!</v>
      </c>
    </row>
    <row r="26" spans="2:9" x14ac:dyDescent="0.45">
      <c r="B26" s="3"/>
      <c r="C26" s="75" t="str">
        <f ca="1"/>
        <v>1</v>
      </c>
      <c r="E26" s="75" t="str">
        <f ca="1"/>
        <v>1</v>
      </c>
      <c r="G26" s="75" t="str">
        <f ca="1"/>
        <v>1</v>
      </c>
      <c r="I26" s="75">
        <f ca="1"/>
        <v>1</v>
      </c>
    </row>
    <row r="27" spans="2:9" x14ac:dyDescent="0.45">
      <c r="B27" s="3"/>
      <c r="C27" s="79" t="str">
        <f ca="1"/>
        <v>2021-08-24T12:49:13</v>
      </c>
      <c r="E27" s="79" t="str">
        <f ca="1"/>
        <v>2021-08-24T12:49:13</v>
      </c>
      <c r="G27" s="79" t="str">
        <f ca="1"/>
        <v>2021-08-24T12:49:13</v>
      </c>
      <c r="I27" s="79">
        <f ca="1"/>
        <v>44432.534178240741</v>
      </c>
    </row>
    <row r="28" spans="2:9" x14ac:dyDescent="0.45">
      <c r="B28" s="3"/>
      <c r="C28" s="75" t="str">
        <f ca="1"/>
        <v>TRUE</v>
      </c>
      <c r="E28" s="75" t="str">
        <f ca="1"/>
        <v>TRUE</v>
      </c>
      <c r="G28" s="75" t="str">
        <f ca="1"/>
        <v>TRUE</v>
      </c>
      <c r="I28" s="75" t="b">
        <f ca="1"/>
        <v>1</v>
      </c>
    </row>
    <row r="29" spans="2:9" x14ac:dyDescent="0.45">
      <c r="B29" s="3"/>
      <c r="C29" s="75" t="str">
        <f ca="1"/>
        <v>#DIV/0!</v>
      </c>
      <c r="E29" s="75" t="str">
        <f ca="1"/>
        <v>#DIV/0!</v>
      </c>
      <c r="G29" s="75" t="str">
        <f ca="1"/>
        <v>#DIV/0!</v>
      </c>
      <c r="I29" s="75" t="e">
        <f ca="1"/>
        <v>#DIV/0!</v>
      </c>
    </row>
    <row r="30" spans="2:9" x14ac:dyDescent="0.45">
      <c r="B30" s="3"/>
      <c r="C30" s="75" t="str">
        <f ca="1"/>
        <v>abc</v>
      </c>
      <c r="E30" s="75" t="str">
        <f ca="1"/>
        <v>abc</v>
      </c>
      <c r="G30" s="75" t="str">
        <f ca="1"/>
        <v>abc</v>
      </c>
      <c r="I30" s="75" t="str">
        <f ca="1"/>
        <v>abc</v>
      </c>
    </row>
    <row r="31" spans="2:9" x14ac:dyDescent="0.45">
      <c r="B31" s="3"/>
      <c r="C31" s="75" t="str">
        <f ca="1"/>
        <v>abc"def</v>
      </c>
      <c r="E31" s="75" t="str">
        <f ca="1"/>
        <v>abc"def</v>
      </c>
      <c r="G31" s="75" t="str">
        <f ca="1"/>
        <v>abc"def</v>
      </c>
      <c r="I31" s="75" t="str">
        <f ca="1"/>
        <v>abc"def</v>
      </c>
    </row>
    <row r="32" spans="2:9" ht="28.5" x14ac:dyDescent="0.45">
      <c r="B32" s="3"/>
      <c r="C32" s="80" t="str">
        <f ca="1"/>
        <v>Line
Feed</v>
      </c>
      <c r="E32" s="80" t="str">
        <f ca="1"/>
        <v>Line
Feed</v>
      </c>
      <c r="G32" s="80" t="str">
        <f ca="1"/>
        <v>Line
Feed</v>
      </c>
      <c r="I32" s="80" t="str">
        <f ca="1"/>
        <v>Line
Feed</v>
      </c>
    </row>
    <row r="33" spans="2:9" x14ac:dyDescent="0.45">
      <c r="B33" s="3"/>
    </row>
    <row r="34" spans="2:9" x14ac:dyDescent="0.45">
      <c r="C34" s="81" t="s">
        <v>384</v>
      </c>
      <c r="D34" s="41"/>
      <c r="E34" s="82" t="s">
        <v>394</v>
      </c>
      <c r="G34" s="81" t="s">
        <v>395</v>
      </c>
      <c r="H34" s="41"/>
      <c r="I34" s="82" t="s">
        <v>396</v>
      </c>
    </row>
    <row r="35" spans="2:9" x14ac:dyDescent="0.45">
      <c r="C35" s="41"/>
      <c r="D35" s="41"/>
      <c r="E35" s="41"/>
      <c r="F35" s="41"/>
      <c r="G35" s="41"/>
      <c r="H35" s="41"/>
      <c r="I35" s="41"/>
    </row>
    <row r="36" spans="2:9" x14ac:dyDescent="0.45">
      <c r="C36" s="78" cm="1">
        <f t="array" aca="1" ref="C36:C46" ca="1">csvread(CSVContents,C34,,,"ISO",,,,,2)</f>
        <v>44424</v>
      </c>
      <c r="E36" s="78" t="str" cm="1">
        <f t="array" aca="1" ref="E36:E46" ca="1">csvread(CSVContents,E34,,,"ISO",,,,,2)</f>
        <v>44424</v>
      </c>
      <c r="G36" s="78" t="str" cm="1">
        <f t="array" aca="1" ref="G36:G46" ca="1">csvread(CSVContents,G34,,,"ISO",,,,,2)</f>
        <v>44424</v>
      </c>
      <c r="I36" s="78" t="str" cm="1">
        <f t="array" aca="1" ref="I36:I46" ca="1">csvread(CSVContents,I34,,,"ISO",,,,,2)</f>
        <v>44424</v>
      </c>
    </row>
    <row r="37" spans="2:9" x14ac:dyDescent="0.45">
      <c r="C37" s="79" t="str">
        <f ca="1"/>
        <v>2021-08-24T12:49:13</v>
      </c>
      <c r="E37" s="79">
        <f ca="1"/>
        <v>44432.534178240741</v>
      </c>
      <c r="G37" s="79" t="str">
        <f ca="1"/>
        <v>2021-08-24T12:49:13</v>
      </c>
      <c r="I37" s="79" t="str">
        <f ca="1"/>
        <v>2021-08-24T12:49:13</v>
      </c>
    </row>
    <row r="38" spans="2:9" x14ac:dyDescent="0.45">
      <c r="C38" s="75" t="str">
        <f ca="1"/>
        <v>True</v>
      </c>
      <c r="E38" s="75" t="str">
        <f ca="1"/>
        <v>True</v>
      </c>
      <c r="G38" s="75" t="b">
        <f ca="1"/>
        <v>1</v>
      </c>
      <c r="I38" s="75" t="str">
        <f ca="1"/>
        <v>True</v>
      </c>
    </row>
    <row r="39" spans="2:9" x14ac:dyDescent="0.45">
      <c r="C39" s="75" t="str">
        <f ca="1"/>
        <v>#DIV/0!</v>
      </c>
      <c r="E39" s="75" t="str">
        <f ca="1"/>
        <v>#DIV/0!</v>
      </c>
      <c r="G39" s="75" t="str">
        <f ca="1"/>
        <v>#DIV/0!</v>
      </c>
      <c r="I39" s="75" t="e">
        <f ca="1"/>
        <v>#DIV/0!</v>
      </c>
    </row>
    <row r="40" spans="2:9" x14ac:dyDescent="0.45">
      <c r="C40" s="75" t="str">
        <f ca="1"/>
        <v>1</v>
      </c>
      <c r="E40" s="75" t="str">
        <f ca="1"/>
        <v>1</v>
      </c>
      <c r="G40" s="75" t="str">
        <f ca="1"/>
        <v>1</v>
      </c>
      <c r="I40" s="75" t="str">
        <f ca="1"/>
        <v>1</v>
      </c>
    </row>
    <row r="41" spans="2:9" x14ac:dyDescent="0.45">
      <c r="C41" s="79" t="str">
        <f ca="1"/>
        <v>2021-08-24T12:49:13</v>
      </c>
      <c r="E41" s="79" t="str">
        <f ca="1"/>
        <v>2021-08-24T12:49:13</v>
      </c>
      <c r="G41" s="79" t="str">
        <f ca="1"/>
        <v>2021-08-24T12:49:13</v>
      </c>
      <c r="I41" s="79" t="str">
        <f ca="1"/>
        <v>2021-08-24T12:49:13</v>
      </c>
    </row>
    <row r="42" spans="2:9" x14ac:dyDescent="0.45">
      <c r="C42" s="75" t="str">
        <f ca="1"/>
        <v>TRUE</v>
      </c>
      <c r="E42" s="75" t="str">
        <f ca="1"/>
        <v>TRUE</v>
      </c>
      <c r="G42" s="75" t="str">
        <f ca="1"/>
        <v>TRUE</v>
      </c>
      <c r="I42" s="75" t="str">
        <f ca="1"/>
        <v>TRUE</v>
      </c>
    </row>
    <row r="43" spans="2:9" x14ac:dyDescent="0.45">
      <c r="C43" s="75" t="str">
        <f ca="1"/>
        <v>#DIV/0!</v>
      </c>
      <c r="E43" s="75" t="str">
        <f ca="1"/>
        <v>#DIV/0!</v>
      </c>
      <c r="G43" s="75" t="str">
        <f ca="1"/>
        <v>#DIV/0!</v>
      </c>
      <c r="I43" s="75" t="str">
        <f ca="1"/>
        <v>#DIV/0!</v>
      </c>
    </row>
    <row r="44" spans="2:9" x14ac:dyDescent="0.45">
      <c r="C44" s="75" t="str">
        <f ca="1"/>
        <v>abc</v>
      </c>
      <c r="E44" s="75" t="str">
        <f ca="1"/>
        <v>abc</v>
      </c>
      <c r="G44" s="75" t="str">
        <f ca="1"/>
        <v>abc</v>
      </c>
      <c r="I44" s="75" t="str">
        <f ca="1"/>
        <v>abc</v>
      </c>
    </row>
    <row r="45" spans="2:9" x14ac:dyDescent="0.45">
      <c r="C45" s="75" t="str">
        <f ca="1"/>
        <v>abc"def</v>
      </c>
      <c r="E45" s="75" t="str">
        <f ca="1"/>
        <v>abc"def</v>
      </c>
      <c r="G45" s="75" t="str">
        <f ca="1"/>
        <v>abc"def</v>
      </c>
      <c r="I45" s="75" t="str">
        <f ca="1"/>
        <v>abc"def</v>
      </c>
    </row>
    <row r="46" spans="2:9" ht="28.5" x14ac:dyDescent="0.45">
      <c r="C46" s="80" t="str">
        <f ca="1"/>
        <v>Line
Feed</v>
      </c>
      <c r="E46" s="80" t="str">
        <f ca="1"/>
        <v>Line
Feed</v>
      </c>
      <c r="G46" s="80" t="str">
        <f ca="1"/>
        <v>Line
Feed</v>
      </c>
      <c r="I46" s="80" t="str">
        <f ca="1"/>
        <v>Line
Feed</v>
      </c>
    </row>
    <row r="48" spans="2:9" x14ac:dyDescent="0.45">
      <c r="C48" s="81" t="str">
        <f>C34&amp;"Q"</f>
        <v>NQ</v>
      </c>
      <c r="D48" s="41"/>
      <c r="E48" s="82" t="str">
        <f>E34&amp;"Q"</f>
        <v>DQ</v>
      </c>
      <c r="G48" s="81" t="str">
        <f>G34&amp;"Q"</f>
        <v>BQ</v>
      </c>
      <c r="H48" s="41"/>
      <c r="I48" s="82" t="str">
        <f>I34&amp;"Q"</f>
        <v>EQ</v>
      </c>
    </row>
    <row r="49" spans="3:9" x14ac:dyDescent="0.45">
      <c r="C49" s="41"/>
      <c r="D49" s="41"/>
      <c r="E49" s="41"/>
      <c r="F49" s="41"/>
      <c r="G49" s="41"/>
      <c r="H49" s="41"/>
      <c r="I49" s="41"/>
    </row>
    <row r="50" spans="3:9" x14ac:dyDescent="0.45">
      <c r="C50" s="78" cm="1">
        <f t="array" aca="1" ref="C50:C60" ca="1">csvread(CSVContents,C48,,,"ISO",,,,,2)</f>
        <v>44424</v>
      </c>
      <c r="E50" s="78" t="str" cm="1">
        <f t="array" aca="1" ref="E50:E60" ca="1">csvread(CSVContents,E48,,,"ISO",,,,,2)</f>
        <v>44424</v>
      </c>
      <c r="G50" s="78" t="str" cm="1">
        <f t="array" aca="1" ref="G50:G60" ca="1">csvread(CSVContents,G48,,,"ISO",,,,,2)</f>
        <v>44424</v>
      </c>
      <c r="I50" s="78" t="str" cm="1">
        <f t="array" aca="1" ref="I50:I60" ca="1">csvread(CSVContents,I48,,,"ISO",,,,,2)</f>
        <v>44424</v>
      </c>
    </row>
    <row r="51" spans="3:9" x14ac:dyDescent="0.45">
      <c r="C51" s="79" t="str">
        <f ca="1"/>
        <v>2021-08-24T12:49:13</v>
      </c>
      <c r="E51" s="79">
        <f ca="1"/>
        <v>44432.534178240741</v>
      </c>
      <c r="G51" s="79" t="str">
        <f ca="1"/>
        <v>2021-08-24T12:49:13</v>
      </c>
      <c r="I51" s="79" t="str">
        <f ca="1"/>
        <v>2021-08-24T12:49:13</v>
      </c>
    </row>
    <row r="52" spans="3:9" x14ac:dyDescent="0.45">
      <c r="C52" s="75" t="str">
        <f ca="1"/>
        <v>True</v>
      </c>
      <c r="E52" s="75" t="str">
        <f ca="1"/>
        <v>True</v>
      </c>
      <c r="G52" s="75" t="b">
        <f ca="1"/>
        <v>1</v>
      </c>
      <c r="I52" s="75" t="str">
        <f ca="1"/>
        <v>True</v>
      </c>
    </row>
    <row r="53" spans="3:9" x14ac:dyDescent="0.45">
      <c r="C53" s="75" t="str">
        <f ca="1"/>
        <v>#DIV/0!</v>
      </c>
      <c r="E53" s="75" t="str">
        <f ca="1"/>
        <v>#DIV/0!</v>
      </c>
      <c r="G53" s="75" t="str">
        <f ca="1"/>
        <v>#DIV/0!</v>
      </c>
      <c r="I53" s="75" t="e">
        <f ca="1"/>
        <v>#DIV/0!</v>
      </c>
    </row>
    <row r="54" spans="3:9" x14ac:dyDescent="0.45">
      <c r="C54" s="75">
        <f ca="1"/>
        <v>1</v>
      </c>
      <c r="E54" s="75" t="str">
        <f ca="1"/>
        <v>1</v>
      </c>
      <c r="G54" s="75" t="str">
        <f ca="1"/>
        <v>1</v>
      </c>
      <c r="I54" s="75" t="str">
        <f ca="1"/>
        <v>1</v>
      </c>
    </row>
    <row r="55" spans="3:9" x14ac:dyDescent="0.45">
      <c r="C55" s="79" t="str">
        <f ca="1"/>
        <v>2021-08-24T12:49:13</v>
      </c>
      <c r="E55" s="79">
        <f ca="1"/>
        <v>44432.534178240741</v>
      </c>
      <c r="G55" s="79" t="str">
        <f ca="1"/>
        <v>2021-08-24T12:49:13</v>
      </c>
      <c r="I55" s="79" t="str">
        <f ca="1"/>
        <v>2021-08-24T12:49:13</v>
      </c>
    </row>
    <row r="56" spans="3:9" x14ac:dyDescent="0.45">
      <c r="C56" s="75" t="str">
        <f ca="1"/>
        <v>TRUE</v>
      </c>
      <c r="E56" s="75" t="str">
        <f ca="1"/>
        <v>TRUE</v>
      </c>
      <c r="G56" s="75" t="b">
        <f ca="1"/>
        <v>1</v>
      </c>
      <c r="I56" s="75" t="str">
        <f ca="1"/>
        <v>TRUE</v>
      </c>
    </row>
    <row r="57" spans="3:9" x14ac:dyDescent="0.45">
      <c r="C57" s="75" t="str">
        <f ca="1"/>
        <v>#DIV/0!</v>
      </c>
      <c r="E57" s="75" t="str">
        <f ca="1"/>
        <v>#DIV/0!</v>
      </c>
      <c r="G57" s="75" t="str">
        <f ca="1"/>
        <v>#DIV/0!</v>
      </c>
      <c r="I57" s="75" t="e">
        <f ca="1"/>
        <v>#DIV/0!</v>
      </c>
    </row>
    <row r="58" spans="3:9" x14ac:dyDescent="0.45">
      <c r="C58" s="75" t="str">
        <f ca="1"/>
        <v>abc</v>
      </c>
      <c r="E58" s="75" t="str">
        <f ca="1"/>
        <v>abc</v>
      </c>
      <c r="G58" s="75" t="str">
        <f ca="1"/>
        <v>abc</v>
      </c>
      <c r="I58" s="75" t="str">
        <f ca="1"/>
        <v>abc</v>
      </c>
    </row>
    <row r="59" spans="3:9" x14ac:dyDescent="0.45">
      <c r="C59" s="75" t="str">
        <f ca="1"/>
        <v>abc"def</v>
      </c>
      <c r="E59" s="75" t="str">
        <f ca="1"/>
        <v>abc"def</v>
      </c>
      <c r="G59" s="75" t="str">
        <f ca="1"/>
        <v>abc"def</v>
      </c>
      <c r="I59" s="75" t="str">
        <f ca="1"/>
        <v>abc"def</v>
      </c>
    </row>
    <row r="60" spans="3:9" ht="28.5" x14ac:dyDescent="0.45">
      <c r="C60" s="80" t="str">
        <f ca="1"/>
        <v>Line
Feed</v>
      </c>
      <c r="E60" s="80" t="str">
        <f ca="1"/>
        <v>Line
Feed</v>
      </c>
      <c r="G60" s="80" t="str">
        <f ca="1"/>
        <v>Line
Feed</v>
      </c>
      <c r="I60" s="80" t="str">
        <f ca="1"/>
        <v>Line
Feed</v>
      </c>
    </row>
  </sheetData>
  <sheetProtection sheet="1" objects="1" scenarios="1"/>
  <conditionalFormatting sqref="B4 B6:B14">
    <cfRule type="expression" dxfId="349" priority="713">
      <formula>ISLOGICAL(B4)</formula>
    </cfRule>
    <cfRule type="expression" dxfId="348" priority="714">
      <formula>ISNUMBER(B4)</formula>
    </cfRule>
    <cfRule type="expression" dxfId="347" priority="715">
      <formula>ISNUMBER(SEARCH("""",B4))</formula>
    </cfRule>
    <cfRule type="expression" dxfId="346" priority="716">
      <formula>ISTEXT(B4)</formula>
    </cfRule>
    <cfRule type="expression" dxfId="345" priority="717">
      <formula>ISERROR(B4)</formula>
    </cfRule>
  </conditionalFormatting>
  <conditionalFormatting sqref="B5">
    <cfRule type="expression" dxfId="344" priority="708">
      <formula>ISLOGICAL(B5)</formula>
    </cfRule>
    <cfRule type="expression" dxfId="343" priority="709">
      <formula>ISNUMBER(B5)</formula>
    </cfRule>
    <cfRule type="expression" dxfId="342" priority="710">
      <formula>ISNUMBER(SEARCH("""",B5))</formula>
    </cfRule>
    <cfRule type="expression" dxfId="341" priority="711">
      <formula>ISTEXT(B5)</formula>
    </cfRule>
    <cfRule type="expression" dxfId="340" priority="712">
      <formula>ISERROR(B5)</formula>
    </cfRule>
  </conditionalFormatting>
  <conditionalFormatting sqref="C22:C32">
    <cfRule type="expression" dxfId="339" priority="271">
      <formula>ISNUMBER(C22)</formula>
    </cfRule>
    <cfRule type="expression" dxfId="338" priority="443">
      <formula>ISLOGICAL(C22)</formula>
    </cfRule>
    <cfRule type="expression" dxfId="337" priority="444">
      <formula>ISERROR(C22)</formula>
    </cfRule>
    <cfRule type="expression" dxfId="336" priority="445">
      <formula>ISNUMBER(SEARCH(CHAR(10),C22))</formula>
    </cfRule>
    <cfRule type="expression" dxfId="335" priority="446">
      <formula>ISNUMBER(SEARCH("""",C22))</formula>
    </cfRule>
    <cfRule type="expression" dxfId="334" priority="447">
      <formula>ISTEXT(C22)</formula>
    </cfRule>
  </conditionalFormatting>
  <conditionalFormatting sqref="E23:E32">
    <cfRule type="expression" dxfId="333" priority="217">
      <formula>ISNUMBER(E23)</formula>
    </cfRule>
    <cfRule type="expression" dxfId="332" priority="218">
      <formula>ISLOGICAL(E23)</formula>
    </cfRule>
    <cfRule type="expression" dxfId="331" priority="219">
      <formula>ISERROR(E23)</formula>
    </cfRule>
    <cfRule type="expression" dxfId="330" priority="220">
      <formula>ISNUMBER(SEARCH(CHAR(10),E23))</formula>
    </cfRule>
    <cfRule type="expression" dxfId="329" priority="221">
      <formula>ISNUMBER(SEARCH("""",E23))</formula>
    </cfRule>
    <cfRule type="expression" dxfId="328" priority="222">
      <formula>ISTEXT(E23)</formula>
    </cfRule>
  </conditionalFormatting>
  <conditionalFormatting sqref="G23:G32">
    <cfRule type="expression" dxfId="327" priority="211">
      <formula>ISNUMBER(G23)</formula>
    </cfRule>
    <cfRule type="expression" dxfId="326" priority="212">
      <formula>ISLOGICAL(G23)</formula>
    </cfRule>
    <cfRule type="expression" dxfId="325" priority="213">
      <formula>ISERROR(G23)</formula>
    </cfRule>
    <cfRule type="expression" dxfId="324" priority="214">
      <formula>ISNUMBER(SEARCH(CHAR(10),G23))</formula>
    </cfRule>
    <cfRule type="expression" dxfId="323" priority="215">
      <formula>ISNUMBER(SEARCH("""",G23))</formula>
    </cfRule>
    <cfRule type="expression" dxfId="322" priority="216">
      <formula>ISTEXT(G23)</formula>
    </cfRule>
  </conditionalFormatting>
  <conditionalFormatting sqref="I23:I32">
    <cfRule type="expression" dxfId="321" priority="205">
      <formula>ISNUMBER(I23)</formula>
    </cfRule>
    <cfRule type="expression" dxfId="320" priority="206">
      <formula>ISLOGICAL(I23)</formula>
    </cfRule>
    <cfRule type="expression" dxfId="319" priority="207">
      <formula>ISERROR(I23)</formula>
    </cfRule>
    <cfRule type="expression" dxfId="318" priority="208">
      <formula>ISNUMBER(SEARCH(CHAR(10),I23))</formula>
    </cfRule>
    <cfRule type="expression" dxfId="317" priority="209">
      <formula>ISNUMBER(SEARCH("""",I23))</formula>
    </cfRule>
    <cfRule type="expression" dxfId="316" priority="210">
      <formula>ISTEXT(I23)</formula>
    </cfRule>
  </conditionalFormatting>
  <conditionalFormatting sqref="I37:I46">
    <cfRule type="expression" dxfId="315" priority="61">
      <formula>ISNUMBER(I37)</formula>
    </cfRule>
    <cfRule type="expression" dxfId="314" priority="62">
      <formula>ISLOGICAL(I37)</formula>
    </cfRule>
    <cfRule type="expression" dxfId="313" priority="63">
      <formula>ISERROR(I37)</formula>
    </cfRule>
    <cfRule type="expression" dxfId="312" priority="64">
      <formula>ISNUMBER(SEARCH(CHAR(10),I37))</formula>
    </cfRule>
    <cfRule type="expression" dxfId="311" priority="65">
      <formula>ISNUMBER(SEARCH("""",I37))</formula>
    </cfRule>
    <cfRule type="expression" dxfId="310" priority="66">
      <formula>ISTEXT(I37)</formula>
    </cfRule>
  </conditionalFormatting>
  <conditionalFormatting sqref="E36">
    <cfRule type="expression" dxfId="309" priority="55">
      <formula>ISNUMBER(E36)</formula>
    </cfRule>
    <cfRule type="expression" dxfId="308" priority="56">
      <formula>ISLOGICAL(E36)</formula>
    </cfRule>
    <cfRule type="expression" dxfId="307" priority="57">
      <formula>ISERROR(E36)</formula>
    </cfRule>
    <cfRule type="expression" dxfId="306" priority="58">
      <formula>ISNUMBER(SEARCH(CHAR(10),E36))</formula>
    </cfRule>
    <cfRule type="expression" dxfId="305" priority="59">
      <formula>ISNUMBER(SEARCH("""",E36))</formula>
    </cfRule>
    <cfRule type="expression" dxfId="304" priority="60">
      <formula>ISTEXT(E36)</formula>
    </cfRule>
  </conditionalFormatting>
  <conditionalFormatting sqref="G36">
    <cfRule type="expression" dxfId="303" priority="49">
      <formula>ISNUMBER(G36)</formula>
    </cfRule>
    <cfRule type="expression" dxfId="302" priority="50">
      <formula>ISLOGICAL(G36)</formula>
    </cfRule>
    <cfRule type="expression" dxfId="301" priority="51">
      <formula>ISERROR(G36)</formula>
    </cfRule>
    <cfRule type="expression" dxfId="300" priority="52">
      <formula>ISNUMBER(SEARCH(CHAR(10),G36))</formula>
    </cfRule>
    <cfRule type="expression" dxfId="299" priority="53">
      <formula>ISNUMBER(SEARCH("""",G36))</formula>
    </cfRule>
    <cfRule type="expression" dxfId="298" priority="54">
      <formula>ISTEXT(G36)</formula>
    </cfRule>
  </conditionalFormatting>
  <conditionalFormatting sqref="I22">
    <cfRule type="expression" dxfId="297" priority="85">
      <formula>ISNUMBER(I22)</formula>
    </cfRule>
    <cfRule type="expression" dxfId="296" priority="86">
      <formula>ISLOGICAL(I22)</formula>
    </cfRule>
    <cfRule type="expression" dxfId="295" priority="87">
      <formula>ISERROR(I22)</formula>
    </cfRule>
    <cfRule type="expression" dxfId="294" priority="88">
      <formula>ISNUMBER(SEARCH(CHAR(10),I22))</formula>
    </cfRule>
    <cfRule type="expression" dxfId="293" priority="89">
      <formula>ISNUMBER(SEARCH("""",I22))</formula>
    </cfRule>
    <cfRule type="expression" dxfId="292" priority="90">
      <formula>ISTEXT(I22)</formula>
    </cfRule>
  </conditionalFormatting>
  <conditionalFormatting sqref="G37:G46">
    <cfRule type="expression" dxfId="291" priority="67">
      <formula>ISNUMBER(G37)</formula>
    </cfRule>
    <cfRule type="expression" dxfId="290" priority="68">
      <formula>ISLOGICAL(G37)</formula>
    </cfRule>
    <cfRule type="expression" dxfId="289" priority="69">
      <formula>ISERROR(G37)</formula>
    </cfRule>
    <cfRule type="expression" dxfId="288" priority="70">
      <formula>ISNUMBER(SEARCH(CHAR(10),G37))</formula>
    </cfRule>
    <cfRule type="expression" dxfId="287" priority="71">
      <formula>ISNUMBER(SEARCH("""",G37))</formula>
    </cfRule>
    <cfRule type="expression" dxfId="286" priority="72">
      <formula>ISTEXT(G37)</formula>
    </cfRule>
  </conditionalFormatting>
  <conditionalFormatting sqref="C36:C46">
    <cfRule type="expression" dxfId="285" priority="79">
      <formula>ISNUMBER(C36)</formula>
    </cfRule>
    <cfRule type="expression" dxfId="284" priority="80">
      <formula>ISLOGICAL(C36)</formula>
    </cfRule>
    <cfRule type="expression" dxfId="283" priority="81">
      <formula>ISERROR(C36)</formula>
    </cfRule>
    <cfRule type="expression" dxfId="282" priority="82">
      <formula>ISNUMBER(SEARCH(CHAR(10),C36))</formula>
    </cfRule>
    <cfRule type="expression" dxfId="281" priority="83">
      <formula>ISNUMBER(SEARCH("""",C36))</formula>
    </cfRule>
    <cfRule type="expression" dxfId="280" priority="84">
      <formula>ISTEXT(C36)</formula>
    </cfRule>
  </conditionalFormatting>
  <conditionalFormatting sqref="E37:E46">
    <cfRule type="expression" dxfId="279" priority="73">
      <formula>ISNUMBER(E37)</formula>
    </cfRule>
    <cfRule type="expression" dxfId="278" priority="74">
      <formula>ISLOGICAL(E37)</formula>
    </cfRule>
    <cfRule type="expression" dxfId="277" priority="75">
      <formula>ISERROR(E37)</formula>
    </cfRule>
    <cfRule type="expression" dxfId="276" priority="76">
      <formula>ISNUMBER(SEARCH(CHAR(10),E37))</formula>
    </cfRule>
    <cfRule type="expression" dxfId="275" priority="77">
      <formula>ISNUMBER(SEARCH("""",E37))</formula>
    </cfRule>
    <cfRule type="expression" dxfId="274" priority="78">
      <formula>ISTEXT(E37)</formula>
    </cfRule>
  </conditionalFormatting>
  <conditionalFormatting sqref="C4:C14">
    <cfRule type="expression" dxfId="273" priority="103">
      <formula>ISNUMBER(C4)</formula>
    </cfRule>
    <cfRule type="expression" dxfId="272" priority="104">
      <formula>ISLOGICAL(C4)</formula>
    </cfRule>
    <cfRule type="expression" dxfId="271" priority="105">
      <formula>ISERROR(C4)</formula>
    </cfRule>
    <cfRule type="expression" dxfId="270" priority="106">
      <formula>ISNUMBER(SEARCH(CHAR(10),C4))</formula>
    </cfRule>
    <cfRule type="expression" dxfId="269" priority="107">
      <formula>ISNUMBER(SEARCH("""",C4))</formula>
    </cfRule>
    <cfRule type="expression" dxfId="268" priority="108">
      <formula>ISTEXT(C4)</formula>
    </cfRule>
  </conditionalFormatting>
  <conditionalFormatting sqref="E22">
    <cfRule type="expression" dxfId="267" priority="97">
      <formula>ISNUMBER(E22)</formula>
    </cfRule>
    <cfRule type="expression" dxfId="266" priority="98">
      <formula>ISLOGICAL(E22)</formula>
    </cfRule>
    <cfRule type="expression" dxfId="265" priority="99">
      <formula>ISERROR(E22)</formula>
    </cfRule>
    <cfRule type="expression" dxfId="264" priority="100">
      <formula>ISNUMBER(SEARCH(CHAR(10),E22))</formula>
    </cfRule>
    <cfRule type="expression" dxfId="263" priority="101">
      <formula>ISNUMBER(SEARCH("""",E22))</formula>
    </cfRule>
    <cfRule type="expression" dxfId="262" priority="102">
      <formula>ISTEXT(E22)</formula>
    </cfRule>
  </conditionalFormatting>
  <conditionalFormatting sqref="G22">
    <cfRule type="expression" dxfId="261" priority="91">
      <formula>ISNUMBER(G22)</formula>
    </cfRule>
    <cfRule type="expression" dxfId="260" priority="92">
      <formula>ISLOGICAL(G22)</formula>
    </cfRule>
    <cfRule type="expression" dxfId="259" priority="93">
      <formula>ISERROR(G22)</formula>
    </cfRule>
    <cfRule type="expression" dxfId="258" priority="94">
      <formula>ISNUMBER(SEARCH(CHAR(10),G22))</formula>
    </cfRule>
    <cfRule type="expression" dxfId="257" priority="95">
      <formula>ISNUMBER(SEARCH("""",G22))</formula>
    </cfRule>
    <cfRule type="expression" dxfId="256" priority="96">
      <formula>ISTEXT(G22)</formula>
    </cfRule>
  </conditionalFormatting>
  <conditionalFormatting sqref="I36">
    <cfRule type="expression" dxfId="255" priority="43">
      <formula>ISNUMBER(I36)</formula>
    </cfRule>
    <cfRule type="expression" dxfId="254" priority="44">
      <formula>ISLOGICAL(I36)</formula>
    </cfRule>
    <cfRule type="expression" dxfId="253" priority="45">
      <formula>ISERROR(I36)</formula>
    </cfRule>
    <cfRule type="expression" dxfId="252" priority="46">
      <formula>ISNUMBER(SEARCH(CHAR(10),I36))</formula>
    </cfRule>
    <cfRule type="expression" dxfId="251" priority="47">
      <formula>ISNUMBER(SEARCH("""",I36))</formula>
    </cfRule>
    <cfRule type="expression" dxfId="250" priority="48">
      <formula>ISTEXT(I36)</formula>
    </cfRule>
  </conditionalFormatting>
  <conditionalFormatting sqref="C50:C60">
    <cfRule type="expression" dxfId="249" priority="37">
      <formula>ISNUMBER(C50)</formula>
    </cfRule>
    <cfRule type="expression" dxfId="248" priority="38">
      <formula>ISLOGICAL(C50)</formula>
    </cfRule>
    <cfRule type="expression" dxfId="247" priority="39">
      <formula>ISERROR(C50)</formula>
    </cfRule>
    <cfRule type="expression" dxfId="246" priority="40">
      <formula>ISNUMBER(SEARCH(CHAR(10),C50))</formula>
    </cfRule>
    <cfRule type="expression" dxfId="245" priority="41">
      <formula>ISNUMBER(SEARCH("""",C50))</formula>
    </cfRule>
    <cfRule type="expression" dxfId="244" priority="42">
      <formula>ISTEXT(C50)</formula>
    </cfRule>
  </conditionalFormatting>
  <conditionalFormatting sqref="E51:E60">
    <cfRule type="expression" dxfId="243" priority="31">
      <formula>ISNUMBER(E51)</formula>
    </cfRule>
    <cfRule type="expression" dxfId="242" priority="32">
      <formula>ISLOGICAL(E51)</formula>
    </cfRule>
    <cfRule type="expression" dxfId="241" priority="33">
      <formula>ISERROR(E51)</formula>
    </cfRule>
    <cfRule type="expression" dxfId="240" priority="34">
      <formula>ISNUMBER(SEARCH(CHAR(10),E51))</formula>
    </cfRule>
    <cfRule type="expression" dxfId="239" priority="35">
      <formula>ISNUMBER(SEARCH("""",E51))</formula>
    </cfRule>
    <cfRule type="expression" dxfId="238" priority="36">
      <formula>ISTEXT(E51)</formula>
    </cfRule>
  </conditionalFormatting>
  <conditionalFormatting sqref="G51:G60">
    <cfRule type="expression" dxfId="237" priority="25">
      <formula>ISNUMBER(G51)</formula>
    </cfRule>
    <cfRule type="expression" dxfId="236" priority="26">
      <formula>ISLOGICAL(G51)</formula>
    </cfRule>
    <cfRule type="expression" dxfId="235" priority="27">
      <formula>ISERROR(G51)</formula>
    </cfRule>
    <cfRule type="expression" dxfId="234" priority="28">
      <formula>ISNUMBER(SEARCH(CHAR(10),G51))</formula>
    </cfRule>
    <cfRule type="expression" dxfId="233" priority="29">
      <formula>ISNUMBER(SEARCH("""",G51))</formula>
    </cfRule>
    <cfRule type="expression" dxfId="232" priority="30">
      <formula>ISTEXT(G51)</formula>
    </cfRule>
  </conditionalFormatting>
  <conditionalFormatting sqref="I51:I60">
    <cfRule type="expression" dxfId="231" priority="19">
      <formula>ISNUMBER(I51)</formula>
    </cfRule>
    <cfRule type="expression" dxfId="230" priority="20">
      <formula>ISLOGICAL(I51)</formula>
    </cfRule>
    <cfRule type="expression" dxfId="229" priority="21">
      <formula>ISERROR(I51)</formula>
    </cfRule>
    <cfRule type="expression" dxfId="228" priority="22">
      <formula>ISNUMBER(SEARCH(CHAR(10),I51))</formula>
    </cfRule>
    <cfRule type="expression" dxfId="227" priority="23">
      <formula>ISNUMBER(SEARCH("""",I51))</formula>
    </cfRule>
    <cfRule type="expression" dxfId="226" priority="24">
      <formula>ISTEXT(I51)</formula>
    </cfRule>
  </conditionalFormatting>
  <conditionalFormatting sqref="E50">
    <cfRule type="expression" dxfId="225" priority="13">
      <formula>ISNUMBER(E50)</formula>
    </cfRule>
    <cfRule type="expression" dxfId="224" priority="14">
      <formula>ISLOGICAL(E50)</formula>
    </cfRule>
    <cfRule type="expression" dxfId="223" priority="15">
      <formula>ISERROR(E50)</formula>
    </cfRule>
    <cfRule type="expression" dxfId="222" priority="16">
      <formula>ISNUMBER(SEARCH(CHAR(10),E50))</formula>
    </cfRule>
    <cfRule type="expression" dxfId="221" priority="17">
      <formula>ISNUMBER(SEARCH("""",E50))</formula>
    </cfRule>
    <cfRule type="expression" dxfId="220" priority="18">
      <formula>ISTEXT(E50)</formula>
    </cfRule>
  </conditionalFormatting>
  <conditionalFormatting sqref="G50">
    <cfRule type="expression" dxfId="219" priority="7">
      <formula>ISNUMBER(G50)</formula>
    </cfRule>
    <cfRule type="expression" dxfId="218" priority="8">
      <formula>ISLOGICAL(G50)</formula>
    </cfRule>
    <cfRule type="expression" dxfId="217" priority="9">
      <formula>ISERROR(G50)</formula>
    </cfRule>
    <cfRule type="expression" dxfId="216" priority="10">
      <formula>ISNUMBER(SEARCH(CHAR(10),G50))</formula>
    </cfRule>
    <cfRule type="expression" dxfId="215" priority="11">
      <formula>ISNUMBER(SEARCH("""",G50))</formula>
    </cfRule>
    <cfRule type="expression" dxfId="214" priority="12">
      <formula>ISTEXT(G50)</formula>
    </cfRule>
  </conditionalFormatting>
  <conditionalFormatting sqref="I50">
    <cfRule type="expression" dxfId="213" priority="1">
      <formula>ISNUMBER(I50)</formula>
    </cfRule>
    <cfRule type="expression" dxfId="212" priority="2">
      <formula>ISLOGICAL(I50)</formula>
    </cfRule>
    <cfRule type="expression" dxfId="211" priority="3">
      <formula>ISERROR(I50)</formula>
    </cfRule>
    <cfRule type="expression" dxfId="210" priority="4">
      <formula>ISNUMBER(SEARCH(CHAR(10),I50))</formula>
    </cfRule>
    <cfRule type="expression" dxfId="209" priority="5">
      <formula>ISNUMBER(SEARCH("""",I50))</formula>
    </cfRule>
    <cfRule type="expression" dxfId="208" priority="6">
      <formula>ISTEXT(I50)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R27"/>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1" max="11" width="7.46484375" bestFit="1" customWidth="1"/>
    <col min="12" max="18" width="18.06640625" bestFit="1" customWidth="1"/>
  </cols>
  <sheetData>
    <row r="1" spans="2:18" ht="28.5" x14ac:dyDescent="0.85">
      <c r="B1" s="1" t="s">
        <v>614</v>
      </c>
    </row>
    <row r="3" spans="2:18" x14ac:dyDescent="0.45">
      <c r="B3" t="str" cm="1">
        <f t="array" aca="1" ref="B3" ca="1">CSVWrite(B5:I16)</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18" x14ac:dyDescent="0.45">
      <c r="B5" s="37" t="s">
        <v>601</v>
      </c>
      <c r="C5" s="78" t="s">
        <v>602</v>
      </c>
      <c r="D5" s="78" t="s">
        <v>603</v>
      </c>
      <c r="E5" s="78" t="s">
        <v>604</v>
      </c>
      <c r="F5" s="78" t="s">
        <v>605</v>
      </c>
      <c r="G5" s="78" t="s">
        <v>606</v>
      </c>
      <c r="H5" s="78" t="s">
        <v>607</v>
      </c>
      <c r="I5" s="78" t="s">
        <v>608</v>
      </c>
      <c r="K5" s="37" t="str" cm="1">
        <f t="array" aca="1" ref="K5:R16" ca="1">csvread(B3,ConvertTypes,,,"ISO",,,1)</f>
        <v>Type</v>
      </c>
      <c r="L5" s="78" t="str">
        <f ca="1"/>
        <v>Col A</v>
      </c>
      <c r="M5" s="78" t="str">
        <f ca="1"/>
        <v>Col B</v>
      </c>
      <c r="N5" s="78" t="str">
        <f ca="1"/>
        <v>Col C</v>
      </c>
      <c r="O5" s="78" t="str">
        <f ca="1"/>
        <v>Col D</v>
      </c>
      <c r="P5" s="78" t="str">
        <f ca="1"/>
        <v>Col E</v>
      </c>
      <c r="Q5" s="78" t="str">
        <f ca="1"/>
        <v>Col F</v>
      </c>
      <c r="R5" s="78" t="str">
        <f ca="1"/>
        <v>Col G</v>
      </c>
    </row>
    <row r="6" spans="2:18" x14ac:dyDescent="0.45">
      <c r="B6" s="37" t="str" cm="1">
        <f t="array" ref="B6">_xlfn.IFS(ISNUMBER(C6),"Number",ISTEXT(C6),"String",ISLOGICAL(C6),"Boolean",ISERROR(C6),"Error")</f>
        <v>Number</v>
      </c>
      <c r="C6" s="78">
        <v>44424</v>
      </c>
      <c r="D6" s="78">
        <v>44424</v>
      </c>
      <c r="E6" s="78">
        <v>44424</v>
      </c>
      <c r="F6" s="78">
        <v>44424</v>
      </c>
      <c r="G6" s="78">
        <v>44424</v>
      </c>
      <c r="H6" s="78">
        <v>44424</v>
      </c>
      <c r="I6" s="78">
        <v>44424</v>
      </c>
      <c r="K6" s="37" t="str">
        <f ca="1"/>
        <v>Number</v>
      </c>
      <c r="L6" s="78" t="str">
        <f ca="1"/>
        <v>44424</v>
      </c>
      <c r="M6" s="78">
        <f ca="1"/>
        <v>44424</v>
      </c>
      <c r="N6" s="78" t="str">
        <f ca="1"/>
        <v>44424</v>
      </c>
      <c r="O6" s="78" t="str">
        <f ca="1"/>
        <v>44424</v>
      </c>
      <c r="P6" s="78">
        <f ca="1"/>
        <v>44424</v>
      </c>
      <c r="Q6" s="78" t="str">
        <f ca="1"/>
        <v>44424</v>
      </c>
      <c r="R6" s="78" t="str">
        <f ca="1"/>
        <v>44424</v>
      </c>
    </row>
    <row r="7" spans="2:18" x14ac:dyDescent="0.45">
      <c r="B7" s="76" t="s">
        <v>199</v>
      </c>
      <c r="C7" s="79">
        <v>44432.534178240741</v>
      </c>
      <c r="D7" s="79">
        <v>44432.534178240741</v>
      </c>
      <c r="E7" s="79">
        <v>44432.534178240741</v>
      </c>
      <c r="F7" s="79">
        <v>44432.534178240741</v>
      </c>
      <c r="G7" s="79">
        <v>44432.534178240741</v>
      </c>
      <c r="H7" s="79">
        <v>44432.534178240741</v>
      </c>
      <c r="I7" s="79">
        <v>44432.534178240741</v>
      </c>
      <c r="K7" s="76" t="str">
        <f ca="1"/>
        <v>Date</v>
      </c>
      <c r="L7" s="79" t="str">
        <f ca="1"/>
        <v>2021-08-24T12:49:13</v>
      </c>
      <c r="M7" s="79" t="str">
        <f ca="1"/>
        <v>2021-08-24T12:49:13</v>
      </c>
      <c r="N7" s="79">
        <f ca="1"/>
        <v>44432.534178240741</v>
      </c>
      <c r="O7" s="79" t="str">
        <f ca="1"/>
        <v>2021-08-24T12:49:13</v>
      </c>
      <c r="P7" s="79" t="str">
        <f ca="1"/>
        <v>2021-08-24T12:49:13</v>
      </c>
      <c r="Q7" s="79">
        <f ca="1"/>
        <v>44432.534178240741</v>
      </c>
      <c r="R7" s="79" t="str">
        <f ca="1"/>
        <v>2021-08-24T12:49:13</v>
      </c>
    </row>
    <row r="8" spans="2:18" x14ac:dyDescent="0.45">
      <c r="B8" s="37" t="str" cm="1">
        <f t="array" ref="B8">_xlfn.IFS(ISNUMBER(C8),"Number",ISTEXT(C8),"String",ISLOGICAL(C8),"Boolean",ISERROR(C8),"Error")</f>
        <v>Boolean</v>
      </c>
      <c r="C8" s="75" t="b">
        <v>1</v>
      </c>
      <c r="D8" s="75" t="b">
        <v>1</v>
      </c>
      <c r="E8" s="75" t="b">
        <v>1</v>
      </c>
      <c r="F8" s="75" t="b">
        <v>1</v>
      </c>
      <c r="G8" s="75" t="b">
        <v>1</v>
      </c>
      <c r="H8" s="75" t="b">
        <v>1</v>
      </c>
      <c r="I8" s="75" t="b">
        <v>1</v>
      </c>
      <c r="K8" s="37" t="str">
        <f ca="1"/>
        <v>Boolean</v>
      </c>
      <c r="L8" s="75" t="str">
        <f ca="1"/>
        <v>True</v>
      </c>
      <c r="M8" s="75" t="str">
        <f ca="1"/>
        <v>True</v>
      </c>
      <c r="N8" s="75" t="str">
        <f ca="1"/>
        <v>True</v>
      </c>
      <c r="O8" s="75" t="b">
        <f ca="1"/>
        <v>1</v>
      </c>
      <c r="P8" s="75" t="str">
        <f ca="1"/>
        <v>True</v>
      </c>
      <c r="Q8" s="75" t="str">
        <f ca="1"/>
        <v>True</v>
      </c>
      <c r="R8" s="75" t="b">
        <f ca="1"/>
        <v>1</v>
      </c>
    </row>
    <row r="9" spans="2:18" x14ac:dyDescent="0.45">
      <c r="B9" s="37" t="str" cm="1">
        <f t="array" ref="B9">_xlfn.IFS(ISNUMBER(C9),"Number",ISTEXT(C9),"String",ISLOGICAL(C9),"Boolean",ISERROR(C9),"Error")</f>
        <v>Error</v>
      </c>
      <c r="C9" s="75" t="e">
        <f>1/0</f>
        <v>#DIV/0!</v>
      </c>
      <c r="D9" s="75" t="e">
        <f t="shared" ref="D9:I9" si="0">1/0</f>
        <v>#DIV/0!</v>
      </c>
      <c r="E9" s="75" t="e">
        <f t="shared" si="0"/>
        <v>#DIV/0!</v>
      </c>
      <c r="F9" s="75" t="e">
        <f t="shared" si="0"/>
        <v>#DIV/0!</v>
      </c>
      <c r="G9" s="75" t="e">
        <f t="shared" si="0"/>
        <v>#DIV/0!</v>
      </c>
      <c r="H9" s="75" t="e">
        <f t="shared" si="0"/>
        <v>#DIV/0!</v>
      </c>
      <c r="I9" s="75" t="e">
        <f t="shared" si="0"/>
        <v>#DIV/0!</v>
      </c>
      <c r="K9" s="37" t="str">
        <f ca="1"/>
        <v>Error</v>
      </c>
      <c r="L9" s="75" t="str">
        <f ca="1"/>
        <v>#DIV/0!</v>
      </c>
      <c r="M9" s="75" t="str">
        <f ca="1"/>
        <v>#DIV/0!</v>
      </c>
      <c r="N9" s="75" t="str">
        <f ca="1"/>
        <v>#DIV/0!</v>
      </c>
      <c r="O9" s="75" t="e">
        <f ca="1"/>
        <v>#DIV/0!</v>
      </c>
      <c r="P9" s="75" t="str">
        <f ca="1"/>
        <v>#DIV/0!</v>
      </c>
      <c r="Q9" s="75" t="str">
        <f ca="1"/>
        <v>#DIV/0!</v>
      </c>
      <c r="R9" s="75" t="e">
        <f ca="1"/>
        <v>#DIV/0!</v>
      </c>
    </row>
    <row r="10" spans="2:18" x14ac:dyDescent="0.45">
      <c r="B10" s="37" t="str" cm="1">
        <f t="array" ref="B10">_xlfn.IFS(ISNUMBER(C10),"Number",ISTEXT(C10),"String",ISLOGICAL(C10),"Boolean",ISERROR(C10),"Error")</f>
        <v>String</v>
      </c>
      <c r="C10" s="75" t="s">
        <v>387</v>
      </c>
      <c r="D10" s="75" t="s">
        <v>387</v>
      </c>
      <c r="E10" s="75" t="s">
        <v>387</v>
      </c>
      <c r="F10" s="75" t="s">
        <v>387</v>
      </c>
      <c r="G10" s="75" t="s">
        <v>387</v>
      </c>
      <c r="H10" s="75" t="s">
        <v>387</v>
      </c>
      <c r="I10" s="75" t="s">
        <v>387</v>
      </c>
      <c r="K10" s="37" t="str">
        <f ca="1"/>
        <v>String</v>
      </c>
      <c r="L10" s="75" t="str">
        <f ca="1"/>
        <v>1</v>
      </c>
      <c r="M10" s="75" t="str">
        <f ca="1"/>
        <v>1</v>
      </c>
      <c r="N10" s="75" t="str">
        <f ca="1"/>
        <v>1</v>
      </c>
      <c r="O10" s="75" t="str">
        <f ca="1"/>
        <v>1</v>
      </c>
      <c r="P10" s="75">
        <f ca="1"/>
        <v>1</v>
      </c>
      <c r="Q10" s="75" t="str">
        <f ca="1"/>
        <v>1</v>
      </c>
      <c r="R10" s="75" t="str">
        <f ca="1"/>
        <v>1</v>
      </c>
    </row>
    <row r="11" spans="2:18" x14ac:dyDescent="0.45">
      <c r="B11" s="37" t="s">
        <v>6</v>
      </c>
      <c r="C11" s="79" t="s">
        <v>503</v>
      </c>
      <c r="D11" s="79" t="s">
        <v>503</v>
      </c>
      <c r="E11" s="79" t="s">
        <v>503</v>
      </c>
      <c r="F11" s="79" t="s">
        <v>503</v>
      </c>
      <c r="G11" s="79" t="s">
        <v>503</v>
      </c>
      <c r="H11" s="79" t="s">
        <v>503</v>
      </c>
      <c r="I11" s="79" t="s">
        <v>503</v>
      </c>
      <c r="K11" s="37" t="str">
        <f ca="1"/>
        <v>String</v>
      </c>
      <c r="L11" s="79" t="str">
        <f ca="1"/>
        <v>2021-08-24T12:49:13</v>
      </c>
      <c r="M11" s="79" t="str">
        <f ca="1"/>
        <v>2021-08-24T12:49:13</v>
      </c>
      <c r="N11" s="79" t="str">
        <f ca="1"/>
        <v>2021-08-24T12:49:13</v>
      </c>
      <c r="O11" s="79" t="str">
        <f ca="1"/>
        <v>2021-08-24T12:49:13</v>
      </c>
      <c r="P11" s="79" t="str">
        <f ca="1"/>
        <v>2021-08-24T12:49:13</v>
      </c>
      <c r="Q11" s="79">
        <f ca="1"/>
        <v>44432.534178240741</v>
      </c>
      <c r="R11" s="79" t="str">
        <f ca="1"/>
        <v>2021-08-24T12:49:13</v>
      </c>
    </row>
    <row r="12" spans="2:18" x14ac:dyDescent="0.45">
      <c r="B12" s="37" t="str" cm="1">
        <f t="array" ref="B12">_xlfn.IFS(ISNUMBER(C12),"Number",ISTEXT(C12),"String",ISLOGICAL(C12),"Boolean",ISERROR(C12),"Error")</f>
        <v>String</v>
      </c>
      <c r="C12" s="75" t="s">
        <v>388</v>
      </c>
      <c r="D12" s="75" t="s">
        <v>388</v>
      </c>
      <c r="E12" s="75" t="s">
        <v>388</v>
      </c>
      <c r="F12" s="75" t="s">
        <v>388</v>
      </c>
      <c r="G12" s="75" t="s">
        <v>388</v>
      </c>
      <c r="H12" s="75" t="s">
        <v>388</v>
      </c>
      <c r="I12" s="75" t="s">
        <v>388</v>
      </c>
      <c r="K12" s="37" t="str">
        <f ca="1"/>
        <v>String</v>
      </c>
      <c r="L12" s="75" t="str">
        <f ca="1"/>
        <v>TRUE</v>
      </c>
      <c r="M12" s="75" t="str">
        <f ca="1"/>
        <v>TRUE</v>
      </c>
      <c r="N12" s="75" t="str">
        <f ca="1"/>
        <v>TRUE</v>
      </c>
      <c r="O12" s="75" t="str">
        <f ca="1"/>
        <v>TRUE</v>
      </c>
      <c r="P12" s="75" t="str">
        <f ca="1"/>
        <v>TRUE</v>
      </c>
      <c r="Q12" s="75" t="str">
        <f ca="1"/>
        <v>TRUE</v>
      </c>
      <c r="R12" s="75" t="b">
        <f ca="1"/>
        <v>1</v>
      </c>
    </row>
    <row r="13" spans="2:18" x14ac:dyDescent="0.45">
      <c r="B13" s="37" t="str" cm="1">
        <f t="array" ref="B13">_xlfn.IFS(ISNUMBER(C13),"Number",ISTEXT(C13),"String",ISLOGICAL(C13),"Boolean",ISERROR(C13),"Error")</f>
        <v>String</v>
      </c>
      <c r="C13" s="75" t="s">
        <v>390</v>
      </c>
      <c r="D13" s="75" t="s">
        <v>390</v>
      </c>
      <c r="E13" s="75" t="s">
        <v>390</v>
      </c>
      <c r="F13" s="75" t="s">
        <v>390</v>
      </c>
      <c r="G13" s="75" t="s">
        <v>390</v>
      </c>
      <c r="H13" s="75" t="s">
        <v>390</v>
      </c>
      <c r="I13" s="75" t="s">
        <v>390</v>
      </c>
      <c r="K13" s="37" t="str">
        <f ca="1"/>
        <v>String</v>
      </c>
      <c r="L13" s="75" t="str">
        <f ca="1"/>
        <v>#DIV/0!</v>
      </c>
      <c r="M13" s="75" t="str">
        <f ca="1"/>
        <v>#DIV/0!</v>
      </c>
      <c r="N13" s="75" t="str">
        <f ca="1"/>
        <v>#DIV/0!</v>
      </c>
      <c r="O13" s="75" t="str">
        <f ca="1"/>
        <v>#DIV/0!</v>
      </c>
      <c r="P13" s="75" t="str">
        <f ca="1"/>
        <v>#DIV/0!</v>
      </c>
      <c r="Q13" s="75" t="str">
        <f ca="1"/>
        <v>#DIV/0!</v>
      </c>
      <c r="R13" s="75" t="e">
        <f ca="1"/>
        <v>#DIV/0!</v>
      </c>
    </row>
    <row r="14" spans="2:18" x14ac:dyDescent="0.45">
      <c r="B14" s="37" t="str" cm="1">
        <f t="array" ref="B14">_xlfn.IFS(ISNUMBER(C14),"Number",ISTEXT(C14),"String",ISLOGICAL(C14),"Boolean",ISERROR(C14),"Error")</f>
        <v>String</v>
      </c>
      <c r="C14" s="75" t="s">
        <v>389</v>
      </c>
      <c r="D14" s="75" t="s">
        <v>389</v>
      </c>
      <c r="E14" s="75" t="s">
        <v>389</v>
      </c>
      <c r="F14" s="75" t="s">
        <v>389</v>
      </c>
      <c r="G14" s="75" t="s">
        <v>389</v>
      </c>
      <c r="H14" s="75" t="s">
        <v>389</v>
      </c>
      <c r="I14" s="75" t="s">
        <v>389</v>
      </c>
      <c r="K14" s="37" t="str">
        <f ca="1"/>
        <v>String</v>
      </c>
      <c r="L14" s="75" t="str">
        <f ca="1"/>
        <v>abc</v>
      </c>
      <c r="M14" s="75" t="str">
        <f ca="1"/>
        <v>abc</v>
      </c>
      <c r="N14" s="75" t="str">
        <f ca="1"/>
        <v>abc</v>
      </c>
      <c r="O14" s="75" t="str">
        <f ca="1"/>
        <v>abc</v>
      </c>
      <c r="P14" s="75" t="str">
        <f ca="1"/>
        <v>abc</v>
      </c>
      <c r="Q14" s="75" t="str">
        <f ca="1"/>
        <v>abc</v>
      </c>
      <c r="R14" s="75" t="str">
        <f ca="1"/>
        <v>abc</v>
      </c>
    </row>
    <row r="15" spans="2:18" x14ac:dyDescent="0.45">
      <c r="B15" s="37" t="s">
        <v>6</v>
      </c>
      <c r="C15" s="75" t="s">
        <v>393</v>
      </c>
      <c r="D15" s="75" t="s">
        <v>393</v>
      </c>
      <c r="E15" s="75" t="s">
        <v>393</v>
      </c>
      <c r="F15" s="75" t="s">
        <v>393</v>
      </c>
      <c r="G15" s="75" t="s">
        <v>393</v>
      </c>
      <c r="H15" s="75" t="s">
        <v>393</v>
      </c>
      <c r="I15" s="75" t="s">
        <v>393</v>
      </c>
      <c r="K15" s="37" t="str">
        <f ca="1"/>
        <v>String</v>
      </c>
      <c r="L15" s="75" t="str">
        <f ca="1"/>
        <v>abc"def</v>
      </c>
      <c r="M15" s="75" t="str">
        <f ca="1"/>
        <v>abc"def</v>
      </c>
      <c r="N15" s="75" t="str">
        <f ca="1"/>
        <v>abc"def</v>
      </c>
      <c r="O15" s="75" t="str">
        <f ca="1"/>
        <v>abc"def</v>
      </c>
      <c r="P15" s="75" t="str">
        <f ca="1"/>
        <v>abc"def</v>
      </c>
      <c r="Q15" s="75" t="str">
        <f ca="1"/>
        <v>abc"def</v>
      </c>
      <c r="R15" s="75" t="str">
        <f ca="1"/>
        <v>abc"def</v>
      </c>
    </row>
    <row r="16" spans="2:18" ht="28.5" x14ac:dyDescent="0.45">
      <c r="B16" s="37" t="str" cm="1">
        <f t="array" ref="B16">_xlfn.IFS(ISNUMBER(C16),"Number",ISTEXT(C16),"String",ISLOGICAL(C16),"Boolean",ISERROR(C16),"Error")</f>
        <v>String</v>
      </c>
      <c r="C16" s="75" t="s">
        <v>557</v>
      </c>
      <c r="D16" s="75" t="s">
        <v>557</v>
      </c>
      <c r="E16" s="75" t="s">
        <v>557</v>
      </c>
      <c r="F16" s="75" t="s">
        <v>557</v>
      </c>
      <c r="G16" s="75" t="s">
        <v>557</v>
      </c>
      <c r="H16" s="75" t="s">
        <v>557</v>
      </c>
      <c r="I16" s="75" t="s">
        <v>557</v>
      </c>
      <c r="K16" s="37" t="str">
        <f ca="1"/>
        <v>String</v>
      </c>
      <c r="L16" s="75" t="str">
        <f ca="1"/>
        <v>Line
Feed</v>
      </c>
      <c r="M16" s="75" t="str">
        <f ca="1"/>
        <v>Line
Feed</v>
      </c>
      <c r="N16" s="75" t="str">
        <f ca="1"/>
        <v>Line
Feed</v>
      </c>
      <c r="O16" s="75" t="str">
        <f ca="1"/>
        <v>Line
Feed</v>
      </c>
      <c r="P16" s="75" t="str">
        <f ca="1"/>
        <v>Line
Feed</v>
      </c>
      <c r="Q16" s="75" t="str">
        <f ca="1"/>
        <v>Line
Feed</v>
      </c>
      <c r="R16" s="75" t="str">
        <f ca="1"/>
        <v>Line
Feed</v>
      </c>
    </row>
    <row r="20" spans="2:5" x14ac:dyDescent="0.45">
      <c r="B20" s="3" t="s">
        <v>237</v>
      </c>
    </row>
    <row r="21" spans="2:5" x14ac:dyDescent="0.45">
      <c r="B21">
        <v>0</v>
      </c>
      <c r="C21" s="67" t="b">
        <v>0</v>
      </c>
      <c r="E21" s="87" t="s">
        <v>611</v>
      </c>
    </row>
    <row r="22" spans="2:5" x14ac:dyDescent="0.45">
      <c r="B22" t="s">
        <v>603</v>
      </c>
      <c r="C22" t="s">
        <v>384</v>
      </c>
    </row>
    <row r="23" spans="2:5" x14ac:dyDescent="0.45">
      <c r="B23" t="s">
        <v>604</v>
      </c>
      <c r="C23" t="s">
        <v>394</v>
      </c>
    </row>
    <row r="24" spans="2:5" x14ac:dyDescent="0.45">
      <c r="B24" t="s">
        <v>605</v>
      </c>
      <c r="C24" s="19" t="s">
        <v>609</v>
      </c>
    </row>
    <row r="25" spans="2:5" x14ac:dyDescent="0.45">
      <c r="B25" t="s">
        <v>606</v>
      </c>
      <c r="C25" t="s">
        <v>398</v>
      </c>
    </row>
    <row r="26" spans="2:5" x14ac:dyDescent="0.45">
      <c r="B26" t="s">
        <v>607</v>
      </c>
      <c r="C26" t="s">
        <v>399</v>
      </c>
    </row>
    <row r="27" spans="2:5" x14ac:dyDescent="0.45">
      <c r="B27" t="s">
        <v>608</v>
      </c>
      <c r="C27" s="19" t="s">
        <v>610</v>
      </c>
    </row>
  </sheetData>
  <sheetProtection sheet="1" objects="1" scenarios="1"/>
  <conditionalFormatting sqref="B6 B8:B16">
    <cfRule type="expression" dxfId="207" priority="210">
      <formula>ISLOGICAL(B6)</formula>
    </cfRule>
    <cfRule type="expression" dxfId="206" priority="211">
      <formula>ISNUMBER(B6)</formula>
    </cfRule>
    <cfRule type="expression" dxfId="205" priority="212">
      <formula>ISNUMBER(SEARCH("""",B6))</formula>
    </cfRule>
    <cfRule type="expression" dxfId="204" priority="213">
      <formula>ISTEXT(B6)</formula>
    </cfRule>
    <cfRule type="expression" dxfId="203" priority="214">
      <formula>ISERROR(B6)</formula>
    </cfRule>
  </conditionalFormatting>
  <conditionalFormatting sqref="B7">
    <cfRule type="expression" dxfId="202" priority="205">
      <formula>ISLOGICAL(B7)</formula>
    </cfRule>
    <cfRule type="expression" dxfId="201" priority="206">
      <formula>ISNUMBER(B7)</formula>
    </cfRule>
    <cfRule type="expression" dxfId="200" priority="207">
      <formula>ISNUMBER(SEARCH("""",B7))</formula>
    </cfRule>
    <cfRule type="expression" dxfId="199" priority="208">
      <formula>ISTEXT(B7)</formula>
    </cfRule>
    <cfRule type="expression" dxfId="198" priority="209">
      <formula>ISERROR(B7)</formula>
    </cfRule>
  </conditionalFormatting>
  <conditionalFormatting sqref="C6:C16">
    <cfRule type="expression" dxfId="197" priority="199">
      <formula>ISNUMBER(C6)</formula>
    </cfRule>
    <cfRule type="expression" dxfId="196" priority="200">
      <formula>ISLOGICAL(C6)</formula>
    </cfRule>
    <cfRule type="expression" dxfId="195" priority="201">
      <formula>ISERROR(C6)</formula>
    </cfRule>
    <cfRule type="expression" dxfId="194" priority="202">
      <formula>ISNUMBER(SEARCH(CHAR(10),C6))</formula>
    </cfRule>
    <cfRule type="expression" dxfId="193" priority="203">
      <formula>ISNUMBER(SEARCH("""",C6))</formula>
    </cfRule>
    <cfRule type="expression" dxfId="192" priority="204">
      <formula>ISTEXT(C6)</formula>
    </cfRule>
  </conditionalFormatting>
  <conditionalFormatting sqref="D6:F16">
    <cfRule type="expression" dxfId="191" priority="193">
      <formula>ISNUMBER(D6)</formula>
    </cfRule>
    <cfRule type="expression" dxfId="190" priority="194">
      <formula>ISLOGICAL(D6)</formula>
    </cfRule>
    <cfRule type="expression" dxfId="189" priority="195">
      <formula>ISERROR(D6)</formula>
    </cfRule>
    <cfRule type="expression" dxfId="188" priority="196">
      <formula>ISNUMBER(SEARCH(CHAR(10),D6))</formula>
    </cfRule>
    <cfRule type="expression" dxfId="187" priority="197">
      <formula>ISNUMBER(SEARCH("""",D6))</formula>
    </cfRule>
    <cfRule type="expression" dxfId="186" priority="198">
      <formula>ISTEXT(D6)</formula>
    </cfRule>
  </conditionalFormatting>
  <conditionalFormatting sqref="G6:I16">
    <cfRule type="expression" dxfId="185" priority="187">
      <formula>ISNUMBER(G6)</formula>
    </cfRule>
    <cfRule type="expression" dxfId="184" priority="188">
      <formula>ISLOGICAL(G6)</formula>
    </cfRule>
    <cfRule type="expression" dxfId="183" priority="189">
      <formula>ISERROR(G6)</formula>
    </cfRule>
    <cfRule type="expression" dxfId="182" priority="190">
      <formula>ISNUMBER(SEARCH(CHAR(10),G6))</formula>
    </cfRule>
    <cfRule type="expression" dxfId="181" priority="191">
      <formula>ISNUMBER(SEARCH("""",G6))</formula>
    </cfRule>
    <cfRule type="expression" dxfId="180" priority="192">
      <formula>ISTEXT(G6)</formula>
    </cfRule>
  </conditionalFormatting>
  <conditionalFormatting sqref="B5">
    <cfRule type="expression" dxfId="179" priority="172">
      <formula>ISLOGICAL(B5)</formula>
    </cfRule>
    <cfRule type="expression" dxfId="178" priority="173">
      <formula>ISNUMBER(B5)</formula>
    </cfRule>
    <cfRule type="expression" dxfId="177" priority="174">
      <formula>ISNUMBER(SEARCH("""",B5))</formula>
    </cfRule>
    <cfRule type="expression" dxfId="176" priority="175">
      <formula>ISTEXT(B5)</formula>
    </cfRule>
    <cfRule type="expression" dxfId="175" priority="176">
      <formula>ISERROR(B5)</formula>
    </cfRule>
  </conditionalFormatting>
  <conditionalFormatting sqref="C5">
    <cfRule type="expression" dxfId="174" priority="166">
      <formula>ISNUMBER(C5)</formula>
    </cfRule>
    <cfRule type="expression" dxfId="173" priority="167">
      <formula>ISLOGICAL(C5)</formula>
    </cfRule>
    <cfRule type="expression" dxfId="172" priority="168">
      <formula>ISERROR(C5)</formula>
    </cfRule>
    <cfRule type="expression" dxfId="171" priority="169">
      <formula>ISNUMBER(SEARCH(CHAR(10),C5))</formula>
    </cfRule>
    <cfRule type="expression" dxfId="170" priority="170">
      <formula>ISNUMBER(SEARCH("""",C5))</formula>
    </cfRule>
    <cfRule type="expression" dxfId="169" priority="171">
      <formula>ISTEXT(C5)</formula>
    </cfRule>
  </conditionalFormatting>
  <conditionalFormatting sqref="D5:F5">
    <cfRule type="expression" dxfId="168" priority="160">
      <formula>ISNUMBER(D5)</formula>
    </cfRule>
    <cfRule type="expression" dxfId="167" priority="161">
      <formula>ISLOGICAL(D5)</formula>
    </cfRule>
    <cfRule type="expression" dxfId="166" priority="162">
      <formula>ISERROR(D5)</formula>
    </cfRule>
    <cfRule type="expression" dxfId="165" priority="163">
      <formula>ISNUMBER(SEARCH(CHAR(10),D5))</formula>
    </cfRule>
    <cfRule type="expression" dxfId="164" priority="164">
      <formula>ISNUMBER(SEARCH("""",D5))</formula>
    </cfRule>
    <cfRule type="expression" dxfId="163" priority="165">
      <formula>ISTEXT(D5)</formula>
    </cfRule>
  </conditionalFormatting>
  <conditionalFormatting sqref="G5:I5">
    <cfRule type="expression" dxfId="162" priority="154">
      <formula>ISNUMBER(G5)</formula>
    </cfRule>
    <cfRule type="expression" dxfId="161" priority="155">
      <formula>ISLOGICAL(G5)</formula>
    </cfRule>
    <cfRule type="expression" dxfId="160" priority="156">
      <formula>ISERROR(G5)</formula>
    </cfRule>
    <cfRule type="expression" dxfId="159" priority="157">
      <formula>ISNUMBER(SEARCH(CHAR(10),G5))</formula>
    </cfRule>
    <cfRule type="expression" dxfId="158" priority="158">
      <formula>ISNUMBER(SEARCH("""",G5))</formula>
    </cfRule>
    <cfRule type="expression" dxfId="157" priority="159">
      <formula>ISTEXT(G5)</formula>
    </cfRule>
  </conditionalFormatting>
  <conditionalFormatting sqref="K6 K8:K16">
    <cfRule type="expression" dxfId="156" priority="47">
      <formula>ISLOGICAL(K6)</formula>
    </cfRule>
    <cfRule type="expression" dxfId="155" priority="48">
      <formula>ISNUMBER(K6)</formula>
    </cfRule>
    <cfRule type="expression" dxfId="154" priority="49">
      <formula>ISNUMBER(SEARCH("""",K6))</formula>
    </cfRule>
    <cfRule type="expression" dxfId="153" priority="50">
      <formula>ISTEXT(K6)</formula>
    </cfRule>
    <cfRule type="expression" dxfId="152" priority="51">
      <formula>ISERROR(K6)</formula>
    </cfRule>
  </conditionalFormatting>
  <conditionalFormatting sqref="K7">
    <cfRule type="expression" dxfId="151" priority="42">
      <formula>ISLOGICAL(K7)</formula>
    </cfRule>
    <cfRule type="expression" dxfId="150" priority="43">
      <formula>ISNUMBER(K7)</formula>
    </cfRule>
    <cfRule type="expression" dxfId="149" priority="44">
      <formula>ISNUMBER(SEARCH("""",K7))</formula>
    </cfRule>
    <cfRule type="expression" dxfId="148" priority="45">
      <formula>ISTEXT(K7)</formula>
    </cfRule>
    <cfRule type="expression" dxfId="147" priority="46">
      <formula>ISERROR(K7)</formula>
    </cfRule>
  </conditionalFormatting>
  <conditionalFormatting sqref="L6:L16">
    <cfRule type="expression" dxfId="146" priority="36">
      <formula>ISNUMBER(L6)</formula>
    </cfRule>
    <cfRule type="expression" dxfId="145" priority="37">
      <formula>ISLOGICAL(L6)</formula>
    </cfRule>
    <cfRule type="expression" dxfId="144" priority="38">
      <formula>ISERROR(L6)</formula>
    </cfRule>
    <cfRule type="expression" dxfId="143" priority="39">
      <formula>ISNUMBER(SEARCH(CHAR(10),L6))</formula>
    </cfRule>
    <cfRule type="expression" dxfId="142" priority="40">
      <formula>ISNUMBER(SEARCH("""",L6))</formula>
    </cfRule>
    <cfRule type="expression" dxfId="141" priority="41">
      <formula>ISTEXT(L6)</formula>
    </cfRule>
  </conditionalFormatting>
  <conditionalFormatting sqref="M6:O16">
    <cfRule type="expression" dxfId="140" priority="30">
      <formula>ISNUMBER(M6)</formula>
    </cfRule>
    <cfRule type="expression" dxfId="139" priority="31">
      <formula>ISLOGICAL(M6)</formula>
    </cfRule>
    <cfRule type="expression" dxfId="138" priority="32">
      <formula>ISERROR(M6)</formula>
    </cfRule>
    <cfRule type="expression" dxfId="137" priority="33">
      <formula>ISNUMBER(SEARCH(CHAR(10),M6))</formula>
    </cfRule>
    <cfRule type="expression" dxfId="136" priority="34">
      <formula>ISNUMBER(SEARCH("""",M6))</formula>
    </cfRule>
    <cfRule type="expression" dxfId="135" priority="35">
      <formula>ISTEXT(M6)</formula>
    </cfRule>
  </conditionalFormatting>
  <conditionalFormatting sqref="P6:R16">
    <cfRule type="expression" dxfId="134" priority="24">
      <formula>ISNUMBER(P6)</formula>
    </cfRule>
    <cfRule type="expression" dxfId="133" priority="25">
      <formula>ISLOGICAL(P6)</formula>
    </cfRule>
    <cfRule type="expression" dxfId="132" priority="26">
      <formula>ISERROR(P6)</formula>
    </cfRule>
    <cfRule type="expression" dxfId="131" priority="27">
      <formula>ISNUMBER(SEARCH(CHAR(10),P6))</formula>
    </cfRule>
    <cfRule type="expression" dxfId="130" priority="28">
      <formula>ISNUMBER(SEARCH("""",P6))</formula>
    </cfRule>
    <cfRule type="expression" dxfId="129" priority="29">
      <formula>ISTEXT(P6)</formula>
    </cfRule>
  </conditionalFormatting>
  <conditionalFormatting sqref="K5">
    <cfRule type="expression" dxfId="128" priority="19">
      <formula>ISLOGICAL(K5)</formula>
    </cfRule>
    <cfRule type="expression" dxfId="127" priority="20">
      <formula>ISNUMBER(K5)</formula>
    </cfRule>
    <cfRule type="expression" dxfId="126" priority="21">
      <formula>ISNUMBER(SEARCH("""",K5))</formula>
    </cfRule>
    <cfRule type="expression" dxfId="125" priority="22">
      <formula>ISTEXT(K5)</formula>
    </cfRule>
    <cfRule type="expression" dxfId="124" priority="23">
      <formula>ISERROR(K5)</formula>
    </cfRule>
  </conditionalFormatting>
  <conditionalFormatting sqref="L5">
    <cfRule type="expression" dxfId="123" priority="13">
      <formula>ISNUMBER(L5)</formula>
    </cfRule>
    <cfRule type="expression" dxfId="122" priority="14">
      <formula>ISLOGICAL(L5)</formula>
    </cfRule>
    <cfRule type="expression" dxfId="121" priority="15">
      <formula>ISERROR(L5)</formula>
    </cfRule>
    <cfRule type="expression" dxfId="120" priority="16">
      <formula>ISNUMBER(SEARCH(CHAR(10),L5))</formula>
    </cfRule>
    <cfRule type="expression" dxfId="119" priority="17">
      <formula>ISNUMBER(SEARCH("""",L5))</formula>
    </cfRule>
    <cfRule type="expression" dxfId="118" priority="18">
      <formula>ISTEXT(L5)</formula>
    </cfRule>
  </conditionalFormatting>
  <conditionalFormatting sqref="M5:O5">
    <cfRule type="expression" dxfId="117" priority="7">
      <formula>ISNUMBER(M5)</formula>
    </cfRule>
    <cfRule type="expression" dxfId="116" priority="8">
      <formula>ISLOGICAL(M5)</formula>
    </cfRule>
    <cfRule type="expression" dxfId="115" priority="9">
      <formula>ISERROR(M5)</formula>
    </cfRule>
    <cfRule type="expression" dxfId="114" priority="10">
      <formula>ISNUMBER(SEARCH(CHAR(10),M5))</formula>
    </cfRule>
    <cfRule type="expression" dxfId="113" priority="11">
      <formula>ISNUMBER(SEARCH("""",M5))</formula>
    </cfRule>
    <cfRule type="expression" dxfId="112" priority="12">
      <formula>ISTEXT(M5)</formula>
    </cfRule>
  </conditionalFormatting>
  <conditionalFormatting sqref="P5:R5">
    <cfRule type="expression" dxfId="111" priority="1">
      <formula>ISNUMBER(P5)</formula>
    </cfRule>
    <cfRule type="expression" dxfId="110" priority="2">
      <formula>ISLOGICAL(P5)</formula>
    </cfRule>
    <cfRule type="expression" dxfId="109" priority="3">
      <formula>ISERROR(P5)</formula>
    </cfRule>
    <cfRule type="expression" dxfId="108" priority="4">
      <formula>ISNUMBER(SEARCH(CHAR(10),P5))</formula>
    </cfRule>
    <cfRule type="expression" dxfId="107" priority="5">
      <formula>ISNUMBER(SEARCH("""",P5))</formula>
    </cfRule>
    <cfRule type="expression" dxfId="106" priority="6">
      <formula>ISTEXT(P5)</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Q187"/>
  <sheetViews>
    <sheetView showGridLines="0" showRowColHeaders="0" zoomScaleNormal="100" workbookViewId="0">
      <pane ySplit="13" topLeftCell="A14" activePane="bottomLeft" state="frozen"/>
      <selection pane="bottomLeft"/>
    </sheetView>
  </sheetViews>
  <sheetFormatPr defaultRowHeight="14.25" x14ac:dyDescent="0.45"/>
  <cols>
    <col min="1" max="1" width="2.59765625" customWidth="1"/>
    <col min="2" max="2" width="10.265625" bestFit="1" customWidth="1"/>
    <col min="3" max="3" width="6.796875" bestFit="1" customWidth="1"/>
    <col min="4" max="4" width="27.3984375" bestFit="1" customWidth="1"/>
    <col min="5" max="6" width="6.53125" bestFit="1" customWidth="1"/>
    <col min="7" max="7" width="5.33203125" bestFit="1" customWidth="1"/>
    <col min="8" max="9" width="6.06640625" bestFit="1" customWidth="1"/>
    <col min="10" max="11" width="6.06640625" customWidth="1"/>
    <col min="12" max="15" width="6.06640625" bestFit="1" customWidth="1"/>
    <col min="16" max="18" width="6.06640625" customWidth="1"/>
    <col min="19" max="19" width="8.59765625" customWidth="1"/>
    <col min="20" max="20" width="6.06640625" bestFit="1" customWidth="1"/>
    <col min="21" max="21" width="30.59765625" customWidth="1"/>
    <col min="22" max="22" width="2.59765625" customWidth="1"/>
    <col min="23" max="23" width="11.265625" bestFit="1" customWidth="1"/>
    <col min="24" max="24" width="29.1328125" bestFit="1" customWidth="1"/>
    <col min="25" max="25" width="34.9296875" bestFit="1" customWidth="1"/>
    <col min="26" max="26" width="2.59765625" customWidth="1"/>
    <col min="27" max="27" width="49.06640625" bestFit="1" customWidth="1"/>
    <col min="28" max="28" width="11.46484375" bestFit="1" customWidth="1"/>
    <col min="29" max="29" width="4.73046875" bestFit="1" customWidth="1"/>
    <col min="30" max="30" width="1.73046875" bestFit="1" customWidth="1"/>
    <col min="31" max="36" width="19.6640625" bestFit="1" customWidth="1"/>
    <col min="37" max="38" width="1.73046875" bestFit="1" customWidth="1"/>
    <col min="39" max="43" width="2.73046875" bestFit="1" customWidth="1"/>
  </cols>
  <sheetData>
    <row r="1" spans="2:43" ht="28.5" x14ac:dyDescent="0.85">
      <c r="B1" s="14" t="s">
        <v>430</v>
      </c>
      <c r="C1" s="14"/>
    </row>
    <row r="2" spans="2:43" x14ac:dyDescent="0.45">
      <c r="B2" s="42" t="s">
        <v>270</v>
      </c>
      <c r="C2" t="s">
        <v>418</v>
      </c>
    </row>
    <row r="3" spans="2:43" x14ac:dyDescent="0.45">
      <c r="B3" s="42" t="s">
        <v>3</v>
      </c>
      <c r="C3" t="str" cm="1">
        <f t="array" aca="1" ref="C3" ca="1">C2&amp;INDEX(Tests[FileName],RowNo)</f>
        <v>C:\Projects\VBA-CSV\testfiles\comma_decimal.csv</v>
      </c>
      <c r="N3" s="70" t="s">
        <v>554</v>
      </c>
      <c r="O3" s="64" t="b">
        <v>0</v>
      </c>
    </row>
    <row r="4" spans="2:43" x14ac:dyDescent="0.45">
      <c r="B4" s="42" t="s">
        <v>436</v>
      </c>
      <c r="C4" s="64">
        <v>4</v>
      </c>
      <c r="N4" s="42" t="s">
        <v>438</v>
      </c>
      <c r="O4">
        <v>150</v>
      </c>
    </row>
    <row r="5" spans="2:43" x14ac:dyDescent="0.45">
      <c r="B5" s="42" t="s">
        <v>435</v>
      </c>
      <c r="C5">
        <f ca="1">MATCH(CaseNo,Tests[CaseNo],0)</f>
        <v>4</v>
      </c>
      <c r="N5" s="42" t="s">
        <v>439</v>
      </c>
      <c r="O5">
        <v>0</v>
      </c>
    </row>
    <row r="6" spans="2:43" x14ac:dyDescent="0.45">
      <c r="N6" s="42" t="s">
        <v>555</v>
      </c>
      <c r="O6">
        <v>3</v>
      </c>
    </row>
    <row r="7" spans="2:43" x14ac:dyDescent="0.45">
      <c r="B7" s="55" t="s">
        <v>450</v>
      </c>
      <c r="N7" s="42"/>
      <c r="AD7" s="89"/>
    </row>
    <row r="8" spans="2:43" x14ac:dyDescent="0.45">
      <c r="B8" s="97" t="str">
        <f>B13</f>
        <v>File Size</v>
      </c>
      <c r="C8" s="97" t="str">
        <f t="shared" ref="C8:U8" si="0">C13</f>
        <v>CaseNo</v>
      </c>
      <c r="D8" s="97" t="str">
        <f t="shared" si="0"/>
        <v>FileName</v>
      </c>
      <c r="E8" s="97" t="str">
        <f t="shared" si="0"/>
        <v>ConvertTypes</v>
      </c>
      <c r="F8" s="97" t="str">
        <f t="shared" si="0"/>
        <v>Delimiter</v>
      </c>
      <c r="G8" s="97" t="str">
        <f t="shared" si="0"/>
        <v>IgnoreRepeated</v>
      </c>
      <c r="H8" s="97" t="str">
        <f t="shared" si="0"/>
        <v>DateFormat</v>
      </c>
      <c r="I8" s="97" t="str">
        <f t="shared" si="0"/>
        <v>Comment</v>
      </c>
      <c r="J8" s="97" t="str">
        <f t="shared" si="0"/>
        <v>IgnoreEmptyLines</v>
      </c>
      <c r="K8" s="97" t="str">
        <f t="shared" si="0"/>
        <v>HeaderRowNum</v>
      </c>
      <c r="L8" s="97" t="str">
        <f t="shared" si="0"/>
        <v>SkipToRow</v>
      </c>
      <c r="M8" s="97" t="str">
        <f t="shared" si="0"/>
        <v>SkipToCol</v>
      </c>
      <c r="N8" s="97" t="str">
        <f t="shared" si="0"/>
        <v>NumRows</v>
      </c>
      <c r="O8" s="97" t="str">
        <f t="shared" si="0"/>
        <v>NumCols</v>
      </c>
      <c r="P8" s="97" t="str">
        <f t="shared" si="0"/>
        <v>TrueStrings</v>
      </c>
      <c r="Q8" s="97" t="str">
        <f t="shared" si="0"/>
        <v>FalseStrings</v>
      </c>
      <c r="R8" s="97" t="str">
        <f t="shared" si="0"/>
        <v>MissingStrings</v>
      </c>
      <c r="S8" s="97" t="str">
        <f t="shared" si="0"/>
        <v>Encoding</v>
      </c>
      <c r="T8" s="97" t="str">
        <f t="shared" si="0"/>
        <v>DecimalSeparator</v>
      </c>
      <c r="U8" s="97" t="str">
        <f t="shared" si="0"/>
        <v>Notes</v>
      </c>
      <c r="V8" t="str" cm="1">
        <f t="array" aca="1" ref="V8:V187" ca="1">sfill(" ",ROWS(Tests[CaseNo])+6,1)</f>
        <v xml:space="preserve"> </v>
      </c>
      <c r="AD8" s="89"/>
    </row>
    <row r="9" spans="2:43" ht="14.25" customHeight="1" x14ac:dyDescent="0.45">
      <c r="B9" s="97"/>
      <c r="C9" s="97"/>
      <c r="D9" s="97"/>
      <c r="E9" s="97"/>
      <c r="F9" s="97"/>
      <c r="G9" s="97"/>
      <c r="H9" s="97"/>
      <c r="I9" s="97"/>
      <c r="J9" s="97"/>
      <c r="K9" s="97"/>
      <c r="L9" s="97"/>
      <c r="M9" s="97"/>
      <c r="N9" s="97"/>
      <c r="O9" s="97"/>
      <c r="P9" s="97"/>
      <c r="Q9" s="97"/>
      <c r="R9" s="97"/>
      <c r="S9" s="97"/>
      <c r="T9" s="97"/>
      <c r="U9" s="97"/>
      <c r="V9" t="str">
        <f ca="1"/>
        <v xml:space="preserve"> </v>
      </c>
      <c r="AC9" s="88"/>
      <c r="AD9" s="89"/>
    </row>
    <row r="10" spans="2:43" x14ac:dyDescent="0.45">
      <c r="B10" s="97"/>
      <c r="C10" s="97"/>
      <c r="D10" s="97"/>
      <c r="E10" s="97"/>
      <c r="F10" s="97"/>
      <c r="G10" s="97"/>
      <c r="H10" s="97"/>
      <c r="I10" s="97"/>
      <c r="J10" s="97"/>
      <c r="K10" s="97"/>
      <c r="L10" s="97"/>
      <c r="M10" s="97"/>
      <c r="N10" s="97"/>
      <c r="O10" s="97"/>
      <c r="P10" s="97"/>
      <c r="Q10" s="97"/>
      <c r="R10" s="97"/>
      <c r="S10" s="97"/>
      <c r="T10" s="97"/>
      <c r="U10" s="97"/>
      <c r="V10" t="str">
        <f ca="1"/>
        <v xml:space="preserve"> </v>
      </c>
      <c r="AD10" s="89"/>
    </row>
    <row r="11" spans="2:43" x14ac:dyDescent="0.45">
      <c r="B11" s="97"/>
      <c r="C11" s="97"/>
      <c r="D11" s="97"/>
      <c r="E11" s="97"/>
      <c r="F11" s="97"/>
      <c r="G11" s="97"/>
      <c r="H11" s="97"/>
      <c r="I11" s="97"/>
      <c r="J11" s="97"/>
      <c r="K11" s="97"/>
      <c r="L11" s="97"/>
      <c r="M11" s="97"/>
      <c r="N11" s="97"/>
      <c r="O11" s="97"/>
      <c r="P11" s="97"/>
      <c r="Q11" s="97"/>
      <c r="R11" s="97"/>
      <c r="S11" s="97"/>
      <c r="T11" s="97"/>
      <c r="U11" s="97"/>
      <c r="V11" t="str">
        <f ca="1"/>
        <v xml:space="preserve"> </v>
      </c>
      <c r="AD11" s="89"/>
    </row>
    <row r="12" spans="2:43" x14ac:dyDescent="0.45">
      <c r="B12" s="97"/>
      <c r="C12" s="97"/>
      <c r="D12" s="97"/>
      <c r="E12" s="97"/>
      <c r="F12" s="97"/>
      <c r="G12" s="97"/>
      <c r="H12" s="97"/>
      <c r="I12" s="97"/>
      <c r="J12" s="97"/>
      <c r="K12" s="97"/>
      <c r="L12" s="97"/>
      <c r="M12" s="97"/>
      <c r="N12" s="97"/>
      <c r="O12" s="97"/>
      <c r="P12" s="97"/>
      <c r="Q12" s="97"/>
      <c r="R12" s="97"/>
      <c r="S12" s="97"/>
      <c r="T12" s="97"/>
      <c r="U12" s="97"/>
      <c r="V12" t="str">
        <f ca="1"/>
        <v xml:space="preserve"> </v>
      </c>
      <c r="AB12" s="70" t="s">
        <v>590</v>
      </c>
      <c r="AC12" s="54" t="str" cm="1">
        <f t="array" aca="1" ref="AC12" ca="1">IF(INDEX(Tests[HeaderRowNum],RowNo)=0,"#Not requested!",csvread(Folder&amp;INDEX(Tests[FileName],RowNo),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D12" s="54"/>
      <c r="AE12" s="54"/>
      <c r="AF12" s="54"/>
      <c r="AG12" s="54"/>
      <c r="AH12" s="54"/>
      <c r="AI12" s="54"/>
      <c r="AJ12" s="54"/>
      <c r="AK12" s="54"/>
      <c r="AL12" s="54"/>
      <c r="AM12" s="54"/>
      <c r="AN12" s="54"/>
      <c r="AO12" s="54"/>
      <c r="AP12" s="54"/>
      <c r="AQ12" s="54"/>
    </row>
    <row r="13" spans="2:43" x14ac:dyDescent="0.45">
      <c r="B13" t="s">
        <v>440</v>
      </c>
      <c r="C13" t="s">
        <v>436</v>
      </c>
      <c r="D13" t="s">
        <v>3</v>
      </c>
      <c r="E13" t="s">
        <v>237</v>
      </c>
      <c r="F13" t="s">
        <v>238</v>
      </c>
      <c r="G13" t="s">
        <v>239</v>
      </c>
      <c r="H13" t="s">
        <v>7</v>
      </c>
      <c r="I13" t="s">
        <v>202</v>
      </c>
      <c r="J13" t="s">
        <v>533</v>
      </c>
      <c r="K13" t="s">
        <v>589</v>
      </c>
      <c r="L13" t="s">
        <v>240</v>
      </c>
      <c r="M13" t="s">
        <v>241</v>
      </c>
      <c r="N13" t="s">
        <v>242</v>
      </c>
      <c r="O13" t="s">
        <v>243</v>
      </c>
      <c r="P13" t="s">
        <v>467</v>
      </c>
      <c r="Q13" t="s">
        <v>468</v>
      </c>
      <c r="R13" t="s">
        <v>466</v>
      </c>
      <c r="S13" t="s">
        <v>452</v>
      </c>
      <c r="T13" t="s">
        <v>244</v>
      </c>
      <c r="U13" t="s">
        <v>245</v>
      </c>
      <c r="V13" t="str">
        <f ca="1"/>
        <v xml:space="preserve"> </v>
      </c>
      <c r="W13" s="3" t="s">
        <v>441</v>
      </c>
      <c r="Y13" s="3" t="str">
        <f ca="1">"VBA code for test "&amp;CaseNo</f>
        <v>VBA code for test 4</v>
      </c>
      <c r="Z13" s="52"/>
      <c r="AA13" s="3" t="s">
        <v>616</v>
      </c>
      <c r="AB13" t="s">
        <v>615</v>
      </c>
      <c r="AC13" t="str">
        <f ca="1">ROWS(_xlfn.ANCHORARRAY(CallToCSVRead))&amp;" x "&amp;COLUMNS(_xlfn.ANCHORARRAY(CallToCSVRead))</f>
        <v>3 x 2</v>
      </c>
    </row>
    <row r="14" spans="2:43" x14ac:dyDescent="0.45">
      <c r="B14" s="65" cm="1">
        <f t="array" aca="1" ref="B14" ca="1">FileSize(Folder&amp;Tests[[#This Row],[FileName]])</f>
        <v>5</v>
      </c>
      <c r="C14" s="59">
        <v>1</v>
      </c>
      <c r="D14" s="38" t="s">
        <v>273</v>
      </c>
      <c r="E14" s="37" t="b">
        <v>1</v>
      </c>
      <c r="F14" s="39" t="s">
        <v>246</v>
      </c>
      <c r="G14" s="39" t="b">
        <v>0</v>
      </c>
      <c r="H14" s="39" t="s">
        <v>246</v>
      </c>
      <c r="I14" s="39" t="s">
        <v>246</v>
      </c>
      <c r="J14" s="39" t="b">
        <v>1</v>
      </c>
      <c r="K14" s="39"/>
      <c r="L14" s="37">
        <v>1</v>
      </c>
      <c r="M14" s="37">
        <v>1</v>
      </c>
      <c r="N14" s="37">
        <v>0</v>
      </c>
      <c r="O14" s="37">
        <v>0</v>
      </c>
      <c r="P14" s="37"/>
      <c r="Q14" s="37"/>
      <c r="R14" s="37"/>
      <c r="S14" s="37"/>
      <c r="T14" s="37" t="s">
        <v>247</v>
      </c>
      <c r="U14" s="49"/>
      <c r="V14" s="90" t="str">
        <f ca="1"/>
        <v xml:space="preserve"> </v>
      </c>
      <c r="X14" t="str">
        <f t="array" ref="X14:X59">""</f>
        <v/>
      </c>
      <c r="Y14" t="str" cm="1">
        <f t="array" aca="1" ref="Y14:Y21"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Case 4</v>
      </c>
      <c r="Z14" t="str">
        <f t="array" ref="Z14:Z59">""</f>
        <v/>
      </c>
      <c r="AA14" s="48" t="str" cm="1">
        <f t="array" aca="1" ref="AA14:AA16" ca="1">csvread(FileName,FALSE,FALSE)</f>
        <v>x;y</v>
      </c>
      <c r="AC14" s="54" t="str" cm="1">
        <f t="array" aca="1" ref="AC14:AD16" ca="1">csvread(Folder&amp;INDEX(Tests[FileName],RowNo),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x</v>
      </c>
      <c r="AD14" s="54" t="str">
        <f ca="1"/>
        <v>y</v>
      </c>
      <c r="AE14" s="54"/>
      <c r="AF14" s="54"/>
      <c r="AG14" s="54"/>
      <c r="AH14" s="54"/>
      <c r="AI14" s="54"/>
      <c r="AJ14" s="54"/>
      <c r="AK14" s="54"/>
      <c r="AL14" s="54"/>
      <c r="AM14" s="54"/>
      <c r="AN14" s="54"/>
      <c r="AO14" s="54"/>
      <c r="AP14" s="54"/>
      <c r="AQ14" s="54"/>
    </row>
    <row r="15" spans="2:43" x14ac:dyDescent="0.45">
      <c r="B15" s="65" cm="1">
        <f t="array" aca="1" ref="B15" ca="1">FileSize(Folder&amp;Tests[[#This Row],[FileName]])</f>
        <v>10</v>
      </c>
      <c r="C15" s="59">
        <v>2</v>
      </c>
      <c r="D15" s="38" t="s">
        <v>276</v>
      </c>
      <c r="E15" s="37" t="b">
        <v>1</v>
      </c>
      <c r="F15" s="39" t="s">
        <v>246</v>
      </c>
      <c r="G15" s="39" t="b">
        <v>0</v>
      </c>
      <c r="H15" s="39" t="s">
        <v>246</v>
      </c>
      <c r="I15" s="39" t="s">
        <v>246</v>
      </c>
      <c r="J15" s="39" t="b">
        <v>0</v>
      </c>
      <c r="K15" s="39"/>
      <c r="L15" s="37">
        <v>1</v>
      </c>
      <c r="M15" s="37">
        <v>1</v>
      </c>
      <c r="N15" s="37">
        <v>0</v>
      </c>
      <c r="O15" s="37">
        <v>0</v>
      </c>
      <c r="P15" s="37"/>
      <c r="Q15" s="37"/>
      <c r="R15" s="37"/>
      <c r="S15" s="37"/>
      <c r="T15" s="37" t="s">
        <v>247</v>
      </c>
      <c r="U15" s="49"/>
      <c r="V15" s="90" t="str">
        <f ca="1"/>
        <v xml:space="preserve"> </v>
      </c>
      <c r="X15" t="str">
        <v/>
      </c>
      <c r="Y15" t="str">
        <f ca="1"/>
        <v>TestDescription = "comma decimal"</v>
      </c>
      <c r="Z15" t="str">
        <v/>
      </c>
      <c r="AA15" s="48" t="str">
        <f ca="1"/>
        <v>3,14;1</v>
      </c>
      <c r="AC15" s="54">
        <f ca="1"/>
        <v>3.14</v>
      </c>
      <c r="AD15" s="54">
        <f ca="1"/>
        <v>1</v>
      </c>
      <c r="AE15" s="54"/>
      <c r="AF15" s="54"/>
      <c r="AG15" s="54"/>
      <c r="AH15" s="54"/>
      <c r="AI15" s="54"/>
      <c r="AJ15" s="54"/>
      <c r="AK15" s="54"/>
      <c r="AL15" s="54"/>
      <c r="AM15" s="54"/>
      <c r="AN15" s="54"/>
      <c r="AO15" s="54"/>
      <c r="AP15" s="54"/>
      <c r="AQ15" s="54"/>
    </row>
    <row r="16" spans="2:43" x14ac:dyDescent="0.45">
      <c r="B16" s="65" cm="1">
        <f t="array" aca="1" ref="B16" ca="1">FileSize(Folder&amp;Tests[[#This Row],[FileName]])</f>
        <v>10</v>
      </c>
      <c r="C16" s="59">
        <v>3</v>
      </c>
      <c r="D16" s="38" t="s">
        <v>277</v>
      </c>
      <c r="E16" s="37" t="b">
        <v>1</v>
      </c>
      <c r="F16" s="39" t="s">
        <v>246</v>
      </c>
      <c r="G16" s="39" t="b">
        <v>0</v>
      </c>
      <c r="H16" s="39" t="s">
        <v>246</v>
      </c>
      <c r="I16" s="39" t="s">
        <v>246</v>
      </c>
      <c r="J16" s="39" t="b">
        <v>1</v>
      </c>
      <c r="K16" s="39"/>
      <c r="L16" s="37">
        <v>1</v>
      </c>
      <c r="M16" s="37">
        <v>1</v>
      </c>
      <c r="N16" s="37">
        <v>0</v>
      </c>
      <c r="O16" s="37">
        <v>0</v>
      </c>
      <c r="P16" s="37"/>
      <c r="Q16" s="37"/>
      <c r="R16" s="37"/>
      <c r="S16" s="37"/>
      <c r="T16" s="37" t="s">
        <v>247</v>
      </c>
      <c r="U16" s="49"/>
      <c r="V16" s="90" t="str">
        <f ca="1"/>
        <v xml:space="preserve"> </v>
      </c>
      <c r="X16" t="str">
        <v/>
      </c>
      <c r="Y16" t="str">
        <f ca="1"/>
        <v>FileName  = "comma_decimal.csv"</v>
      </c>
      <c r="Z16" t="str">
        <v/>
      </c>
      <c r="AA16" s="48" t="str">
        <f ca="1"/>
        <v>1,0;1</v>
      </c>
      <c r="AC16" s="54">
        <f ca="1"/>
        <v>1</v>
      </c>
      <c r="AD16" s="54">
        <f ca="1"/>
        <v>1</v>
      </c>
      <c r="AE16" s="54"/>
      <c r="AF16" s="54"/>
      <c r="AG16" s="54"/>
      <c r="AH16" s="54"/>
      <c r="AI16" s="54"/>
      <c r="AJ16" s="54"/>
      <c r="AK16" s="54"/>
      <c r="AL16" s="54"/>
      <c r="AM16" s="54"/>
      <c r="AN16" s="54"/>
      <c r="AO16" s="54"/>
      <c r="AP16" s="54"/>
      <c r="AQ16" s="54"/>
    </row>
    <row r="17" spans="2:43" x14ac:dyDescent="0.45">
      <c r="B17" s="65" cm="1">
        <f t="array" aca="1" ref="B17" ca="1">FileSize(Folder&amp;Tests[[#This Row],[FileName]])</f>
        <v>16</v>
      </c>
      <c r="C17" s="59">
        <v>4</v>
      </c>
      <c r="D17" s="38" t="s">
        <v>281</v>
      </c>
      <c r="E17" s="37" t="b">
        <v>1</v>
      </c>
      <c r="F17" s="39" t="s">
        <v>246</v>
      </c>
      <c r="G17" s="37" t="b">
        <v>0</v>
      </c>
      <c r="H17" s="39" t="s">
        <v>246</v>
      </c>
      <c r="I17" s="39" t="s">
        <v>246</v>
      </c>
      <c r="J17" s="39" t="b">
        <v>1</v>
      </c>
      <c r="K17" s="39"/>
      <c r="L17" s="37">
        <v>1</v>
      </c>
      <c r="M17" s="37">
        <v>1</v>
      </c>
      <c r="N17" s="37">
        <v>0</v>
      </c>
      <c r="O17" s="37">
        <v>0</v>
      </c>
      <c r="P17" s="37"/>
      <c r="Q17" s="37"/>
      <c r="R17" s="37"/>
      <c r="S17" s="37"/>
      <c r="T17" s="37" t="s">
        <v>248</v>
      </c>
      <c r="U17" s="49"/>
      <c r="V17" s="90" t="str">
        <f ca="1"/>
        <v xml:space="preserve"> </v>
      </c>
      <c r="X17" t="str">
        <v/>
      </c>
      <c r="Y17" t="str">
        <f ca="1"/>
        <v>Expected = HStack(Array("x",3.14#,1#),Array("y",1#,1#))</v>
      </c>
      <c r="Z17" t="str">
        <v/>
      </c>
      <c r="AA17" s="48"/>
      <c r="AC17" s="54"/>
      <c r="AD17" s="54"/>
      <c r="AE17" s="54"/>
      <c r="AF17" s="54"/>
      <c r="AG17" s="54"/>
      <c r="AH17" s="54"/>
      <c r="AI17" s="54"/>
      <c r="AJ17" s="54"/>
      <c r="AK17" s="54"/>
      <c r="AL17" s="54"/>
      <c r="AM17" s="54"/>
      <c r="AN17" s="54"/>
      <c r="AO17" s="54"/>
      <c r="AP17" s="54"/>
      <c r="AQ17" s="54"/>
    </row>
    <row r="18" spans="2:43" x14ac:dyDescent="0.45">
      <c r="B18" s="65" cm="1">
        <f t="array" aca="1" ref="B18" ca="1">FileSize(Folder&amp;Tests[[#This Row],[FileName]])</f>
        <v>19</v>
      </c>
      <c r="C18" s="59">
        <v>5</v>
      </c>
      <c r="D18" s="38" t="s">
        <v>283</v>
      </c>
      <c r="E18" s="37" t="b">
        <v>1</v>
      </c>
      <c r="F18" s="39" t="s">
        <v>246</v>
      </c>
      <c r="G18" s="39" t="b">
        <v>0</v>
      </c>
      <c r="H18" s="39" t="s">
        <v>246</v>
      </c>
      <c r="I18" s="39" t="s">
        <v>246</v>
      </c>
      <c r="J18" s="39" t="b">
        <v>1</v>
      </c>
      <c r="K18" s="39"/>
      <c r="L18" s="37">
        <v>1</v>
      </c>
      <c r="M18" s="37">
        <v>1</v>
      </c>
      <c r="N18" s="37">
        <v>0</v>
      </c>
      <c r="O18" s="37">
        <v>0</v>
      </c>
      <c r="P18" s="37"/>
      <c r="Q18" s="37"/>
      <c r="R18" s="37"/>
      <c r="S18" s="37"/>
      <c r="T18" s="37" t="s">
        <v>247</v>
      </c>
      <c r="U18" s="49"/>
      <c r="V18" s="90" t="str">
        <f ca="1"/>
        <v xml:space="preserve"> </v>
      </c>
      <c r="X18" t="str">
        <v/>
      </c>
      <c r="Y18" t="str">
        <f ca="1"/>
        <v>TestRes = TestCSVRead(i, TestDescription, Expected, Folder + FileName, Observed, WhatDiffers, _</v>
      </c>
      <c r="Z18" t="str">
        <v/>
      </c>
      <c r="AA18" s="48"/>
      <c r="AC18" s="54"/>
      <c r="AD18" s="54"/>
      <c r="AE18" s="54"/>
      <c r="AF18" s="54"/>
      <c r="AG18" s="54"/>
      <c r="AH18" s="54"/>
      <c r="AI18" s="54"/>
      <c r="AJ18" s="54"/>
      <c r="AK18" s="54"/>
      <c r="AL18" s="54"/>
      <c r="AM18" s="54"/>
      <c r="AN18" s="54"/>
      <c r="AO18" s="54"/>
      <c r="AP18" s="54"/>
      <c r="AQ18" s="54"/>
    </row>
    <row r="19" spans="2:43" x14ac:dyDescent="0.45">
      <c r="B19" s="65" cm="1">
        <f t="array" aca="1" ref="B19" ca="1">FileSize(Folder&amp;Tests[[#This Row],[FileName]])</f>
        <v>21</v>
      </c>
      <c r="C19" s="59">
        <v>6</v>
      </c>
      <c r="D19" s="38" t="s">
        <v>284</v>
      </c>
      <c r="E19" s="37" t="b">
        <v>1</v>
      </c>
      <c r="F19" s="39" t="s">
        <v>249</v>
      </c>
      <c r="G19" s="39" t="b">
        <v>1</v>
      </c>
      <c r="H19" s="39" t="s">
        <v>246</v>
      </c>
      <c r="I19" s="39" t="s">
        <v>246</v>
      </c>
      <c r="J19" s="39" t="b">
        <v>1</v>
      </c>
      <c r="K19" s="39"/>
      <c r="L19" s="37">
        <v>1</v>
      </c>
      <c r="M19" s="37">
        <v>1</v>
      </c>
      <c r="N19" s="37">
        <v>0</v>
      </c>
      <c r="O19" s="37">
        <v>0</v>
      </c>
      <c r="P19" s="37"/>
      <c r="Q19" s="37"/>
      <c r="R19" s="37"/>
      <c r="S19" s="37"/>
      <c r="T19" s="37" t="s">
        <v>247</v>
      </c>
      <c r="U19" s="46"/>
      <c r="V19" s="90" t="str">
        <f ca="1"/>
        <v xml:space="preserve"> </v>
      </c>
      <c r="X19" t="str">
        <v/>
      </c>
      <c r="Y19" t="str">
        <f ca="1"/>
        <v xml:space="preserve">    ConvertTypes := True, _</v>
      </c>
      <c r="Z19" t="str">
        <v/>
      </c>
      <c r="AA19" s="48"/>
      <c r="AC19" s="54"/>
      <c r="AD19" s="54"/>
      <c r="AE19" s="54"/>
      <c r="AF19" s="54"/>
      <c r="AG19" s="54"/>
      <c r="AH19" s="54"/>
      <c r="AI19" s="54"/>
      <c r="AJ19" s="54"/>
      <c r="AK19" s="54"/>
      <c r="AL19" s="54"/>
      <c r="AM19" s="54"/>
      <c r="AN19" s="54"/>
      <c r="AO19" s="54"/>
      <c r="AP19" s="54"/>
      <c r="AQ19" s="54"/>
    </row>
    <row r="20" spans="2:43" x14ac:dyDescent="0.45">
      <c r="B20" s="65" cm="1">
        <f t="array" aca="1" ref="B20" ca="1">FileSize(Folder&amp;Tests[[#This Row],[FileName]])</f>
        <v>21</v>
      </c>
      <c r="C20" s="59">
        <v>7</v>
      </c>
      <c r="D20" s="38" t="s">
        <v>285</v>
      </c>
      <c r="E20" s="37" t="b">
        <v>1</v>
      </c>
      <c r="F20" s="39" t="s">
        <v>246</v>
      </c>
      <c r="G20" s="39" t="b">
        <v>0</v>
      </c>
      <c r="H20" s="39" t="s">
        <v>246</v>
      </c>
      <c r="I20" s="39" t="s">
        <v>246</v>
      </c>
      <c r="J20" s="39" t="b">
        <v>1</v>
      </c>
      <c r="K20" s="39"/>
      <c r="L20" s="37">
        <v>1</v>
      </c>
      <c r="M20" s="37">
        <v>1</v>
      </c>
      <c r="N20" s="37">
        <v>0</v>
      </c>
      <c r="O20" s="37">
        <v>0</v>
      </c>
      <c r="P20" s="37"/>
      <c r="Q20" s="37"/>
      <c r="R20" s="37"/>
      <c r="S20" s="37"/>
      <c r="T20" s="37" t="s">
        <v>247</v>
      </c>
      <c r="U20" s="49"/>
      <c r="V20" s="90" t="str">
        <f ca="1"/>
        <v xml:space="preserve"> </v>
      </c>
      <c r="X20" t="str">
        <v/>
      </c>
      <c r="Y20" t="str">
        <f ca="1"/>
        <v xml:space="preserve">    ShowMissingsAs := Empty, _</v>
      </c>
      <c r="Z20" t="str">
        <v/>
      </c>
      <c r="AA20" s="48"/>
      <c r="AC20" s="54"/>
      <c r="AD20" s="54"/>
      <c r="AE20" s="54"/>
      <c r="AF20" s="54"/>
      <c r="AG20" s="54"/>
      <c r="AH20" s="54"/>
      <c r="AI20" s="54"/>
      <c r="AJ20" s="54"/>
      <c r="AK20" s="54"/>
      <c r="AL20" s="54"/>
      <c r="AM20" s="54"/>
      <c r="AN20" s="54"/>
      <c r="AO20" s="54"/>
      <c r="AP20" s="54"/>
      <c r="AQ20" s="54"/>
    </row>
    <row r="21" spans="2:43" x14ac:dyDescent="0.45">
      <c r="B21" s="65" cm="1">
        <f t="array" aca="1" ref="B21" ca="1">FileSize(Folder&amp;Tests[[#This Row],[FileName]])</f>
        <v>24</v>
      </c>
      <c r="C21" s="59">
        <v>8</v>
      </c>
      <c r="D21" s="38" t="s">
        <v>286</v>
      </c>
      <c r="E21" s="37" t="b">
        <v>1</v>
      </c>
      <c r="F21" s="39" t="s">
        <v>246</v>
      </c>
      <c r="G21" s="39" t="b">
        <v>0</v>
      </c>
      <c r="H21" s="39" t="s">
        <v>246</v>
      </c>
      <c r="I21" s="39" t="s">
        <v>414</v>
      </c>
      <c r="J21" s="39" t="b">
        <v>1</v>
      </c>
      <c r="K21" s="39"/>
      <c r="L21" s="37">
        <v>1</v>
      </c>
      <c r="M21" s="37">
        <v>1</v>
      </c>
      <c r="N21" s="37">
        <v>0</v>
      </c>
      <c r="O21" s="37">
        <v>0</v>
      </c>
      <c r="P21" s="37"/>
      <c r="Q21" s="37"/>
      <c r="R21" s="37"/>
      <c r="S21" s="37"/>
      <c r="T21" s="37" t="s">
        <v>247</v>
      </c>
      <c r="U21" s="49"/>
      <c r="V21" s="90" t="str">
        <f ca="1"/>
        <v xml:space="preserve"> </v>
      </c>
      <c r="X21" t="str">
        <v/>
      </c>
      <c r="Y21" t="str">
        <f ca="1"/>
        <v xml:space="preserve">    DecimalSeparator := ",")</v>
      </c>
      <c r="Z21" t="str">
        <v/>
      </c>
      <c r="AA21" s="48"/>
      <c r="AC21" s="54"/>
      <c r="AD21" s="54"/>
      <c r="AE21" s="54"/>
      <c r="AF21" s="54"/>
      <c r="AG21" s="54"/>
      <c r="AH21" s="54"/>
      <c r="AI21" s="54"/>
      <c r="AJ21" s="54"/>
      <c r="AK21" s="54"/>
      <c r="AL21" s="54"/>
      <c r="AM21" s="54"/>
      <c r="AN21" s="54"/>
      <c r="AO21" s="54"/>
      <c r="AP21" s="54"/>
      <c r="AQ21" s="54"/>
    </row>
    <row r="22" spans="2:43" x14ac:dyDescent="0.45">
      <c r="B22" s="65" cm="1">
        <f t="array" aca="1" ref="B22" ca="1">FileSize(Folder&amp;Tests[[#This Row],[FileName]])</f>
        <v>25</v>
      </c>
      <c r="C22" s="59">
        <v>9</v>
      </c>
      <c r="D22" s="38" t="s">
        <v>287</v>
      </c>
      <c r="E22" s="37" t="b">
        <v>1</v>
      </c>
      <c r="F22" s="39" t="s">
        <v>246</v>
      </c>
      <c r="G22" s="39" t="b">
        <v>0</v>
      </c>
      <c r="H22" s="39" t="s">
        <v>246</v>
      </c>
      <c r="I22" s="39" t="s">
        <v>415</v>
      </c>
      <c r="J22" s="39" t="b">
        <v>1</v>
      </c>
      <c r="K22" s="39"/>
      <c r="L22" s="37">
        <v>1</v>
      </c>
      <c r="M22" s="37">
        <v>1</v>
      </c>
      <c r="N22" s="37">
        <v>0</v>
      </c>
      <c r="O22" s="37">
        <v>0</v>
      </c>
      <c r="P22" s="37"/>
      <c r="Q22" s="37"/>
      <c r="R22" s="37"/>
      <c r="S22" s="37"/>
      <c r="T22" s="37" t="s">
        <v>247</v>
      </c>
      <c r="U22" s="49"/>
      <c r="V22" s="90" t="str">
        <f ca="1"/>
        <v xml:space="preserve"> </v>
      </c>
      <c r="X22" t="str">
        <v/>
      </c>
      <c r="Z22" t="str">
        <v/>
      </c>
      <c r="AA22" s="48"/>
      <c r="AC22" s="54"/>
      <c r="AD22" s="54"/>
      <c r="AE22" s="54"/>
      <c r="AF22" s="54"/>
      <c r="AG22" s="54"/>
      <c r="AH22" s="54"/>
      <c r="AI22" s="54"/>
      <c r="AJ22" s="54"/>
      <c r="AK22" s="54"/>
      <c r="AL22" s="54"/>
      <c r="AM22" s="54"/>
      <c r="AN22" s="54"/>
      <c r="AO22" s="54"/>
      <c r="AP22" s="54"/>
      <c r="AQ22" s="54"/>
    </row>
    <row r="23" spans="2:43" x14ac:dyDescent="0.45">
      <c r="B23" s="65" cm="1">
        <f t="array" aca="1" ref="B23" ca="1">FileSize(Folder&amp;Tests[[#This Row],[FileName]])</f>
        <v>25</v>
      </c>
      <c r="C23" s="59">
        <v>10</v>
      </c>
      <c r="D23" s="38" t="s">
        <v>288</v>
      </c>
      <c r="E23" s="37" t="b">
        <v>1</v>
      </c>
      <c r="F23" s="39" t="s">
        <v>246</v>
      </c>
      <c r="G23" s="39" t="b">
        <v>0</v>
      </c>
      <c r="H23" s="39" t="s">
        <v>246</v>
      </c>
      <c r="I23" s="39" t="s">
        <v>246</v>
      </c>
      <c r="J23" s="39" t="b">
        <v>1</v>
      </c>
      <c r="K23" s="39"/>
      <c r="L23" s="37">
        <v>1</v>
      </c>
      <c r="M23" s="37">
        <v>1</v>
      </c>
      <c r="N23" s="37">
        <v>0</v>
      </c>
      <c r="O23" s="37">
        <v>0</v>
      </c>
      <c r="P23" s="37"/>
      <c r="Q23" s="37"/>
      <c r="R23" s="37"/>
      <c r="S23" s="37"/>
      <c r="T23" s="37" t="s">
        <v>247</v>
      </c>
      <c r="U23" s="49"/>
      <c r="V23" s="90" t="str">
        <f ca="1"/>
        <v xml:space="preserve"> </v>
      </c>
      <c r="W23" s="91"/>
      <c r="X23" t="str">
        <v/>
      </c>
      <c r="Z23" t="str">
        <v/>
      </c>
      <c r="AA23" s="48"/>
      <c r="AC23" s="54"/>
      <c r="AD23" s="54"/>
      <c r="AE23" s="54"/>
      <c r="AF23" s="54"/>
      <c r="AG23" s="54"/>
      <c r="AH23" s="54"/>
      <c r="AI23" s="54"/>
      <c r="AJ23" s="54"/>
      <c r="AK23" s="54"/>
      <c r="AL23" s="54"/>
      <c r="AM23" s="54"/>
      <c r="AN23" s="54"/>
      <c r="AO23" s="54"/>
      <c r="AP23" s="54"/>
      <c r="AQ23" s="54"/>
    </row>
    <row r="24" spans="2:43" x14ac:dyDescent="0.45">
      <c r="B24" s="65" cm="1">
        <f t="array" aca="1" ref="B24" ca="1">FileSize(Folder&amp;Tests[[#This Row],[FileName]])</f>
        <v>25</v>
      </c>
      <c r="C24" s="59">
        <v>11</v>
      </c>
      <c r="D24" s="38" t="s">
        <v>289</v>
      </c>
      <c r="E24" s="37" t="b">
        <v>1</v>
      </c>
      <c r="F24" s="39" t="s">
        <v>246</v>
      </c>
      <c r="G24" s="39" t="b">
        <v>0</v>
      </c>
      <c r="H24" s="39" t="s">
        <v>246</v>
      </c>
      <c r="I24" s="39" t="s">
        <v>246</v>
      </c>
      <c r="J24" s="39" t="b">
        <v>1</v>
      </c>
      <c r="K24" s="39"/>
      <c r="L24" s="37">
        <v>1</v>
      </c>
      <c r="M24" s="37">
        <v>1</v>
      </c>
      <c r="N24" s="37">
        <v>0</v>
      </c>
      <c r="O24" s="37">
        <v>0</v>
      </c>
      <c r="P24" s="37"/>
      <c r="Q24" s="37"/>
      <c r="R24" s="37"/>
      <c r="S24" s="37"/>
      <c r="T24" s="37" t="s">
        <v>247</v>
      </c>
      <c r="U24" s="49"/>
      <c r="V24" s="90" t="str">
        <f ca="1"/>
        <v xml:space="preserve"> </v>
      </c>
      <c r="X24" t="str">
        <v/>
      </c>
      <c r="Z24" t="str">
        <v/>
      </c>
      <c r="AA24" s="48"/>
      <c r="AC24" s="54"/>
      <c r="AD24" s="54"/>
      <c r="AE24" s="54"/>
      <c r="AF24" s="54"/>
      <c r="AG24" s="54"/>
      <c r="AH24" s="54"/>
      <c r="AI24" s="54"/>
      <c r="AJ24" s="54"/>
      <c r="AK24" s="54"/>
      <c r="AL24" s="54"/>
      <c r="AM24" s="54"/>
      <c r="AN24" s="54"/>
      <c r="AO24" s="54"/>
      <c r="AP24" s="54"/>
      <c r="AQ24" s="54"/>
    </row>
    <row r="25" spans="2:43" x14ac:dyDescent="0.45">
      <c r="B25" s="65" cm="1">
        <f t="array" aca="1" ref="B25" ca="1">FileSize(Folder&amp;Tests[[#This Row],[FileName]])</f>
        <v>30</v>
      </c>
      <c r="C25" s="59">
        <v>12</v>
      </c>
      <c r="D25" s="38" t="s">
        <v>291</v>
      </c>
      <c r="E25" s="37" t="b">
        <v>1</v>
      </c>
      <c r="F25" s="39" t="s">
        <v>246</v>
      </c>
      <c r="G25" s="39" t="b">
        <v>0</v>
      </c>
      <c r="H25" s="39" t="s">
        <v>246</v>
      </c>
      <c r="I25" s="39" t="s">
        <v>246</v>
      </c>
      <c r="J25" s="39" t="b">
        <v>1</v>
      </c>
      <c r="K25" s="39"/>
      <c r="L25" s="37">
        <v>1</v>
      </c>
      <c r="M25" s="37">
        <v>1</v>
      </c>
      <c r="N25" s="37">
        <v>0</v>
      </c>
      <c r="O25" s="37">
        <v>0</v>
      </c>
      <c r="P25" s="37"/>
      <c r="Q25" s="37"/>
      <c r="R25" s="37"/>
      <c r="S25" s="37"/>
      <c r="T25" s="37" t="s">
        <v>247</v>
      </c>
      <c r="U25" s="49"/>
      <c r="V25" s="90" t="str">
        <f ca="1"/>
        <v xml:space="preserve"> </v>
      </c>
      <c r="X25" t="str">
        <v/>
      </c>
      <c r="Z25" t="str">
        <v/>
      </c>
      <c r="AA25" s="48"/>
      <c r="AC25" s="54"/>
      <c r="AD25" s="54"/>
      <c r="AE25" s="54"/>
      <c r="AF25" s="54"/>
      <c r="AG25" s="54"/>
      <c r="AH25" s="54"/>
      <c r="AI25" s="54"/>
      <c r="AJ25" s="54"/>
      <c r="AK25" s="54"/>
      <c r="AL25" s="54"/>
      <c r="AM25" s="54"/>
      <c r="AN25" s="54"/>
      <c r="AO25" s="54"/>
      <c r="AP25" s="54"/>
      <c r="AQ25" s="54"/>
    </row>
    <row r="26" spans="2:43" x14ac:dyDescent="0.45">
      <c r="B26" s="65" cm="1">
        <f t="array" aca="1" ref="B26" ca="1">FileSize(Folder&amp;Tests[[#This Row],[FileName]])</f>
        <v>32</v>
      </c>
      <c r="C26" s="59">
        <v>13</v>
      </c>
      <c r="D26" s="38" t="s">
        <v>292</v>
      </c>
      <c r="E26" s="37" t="b">
        <v>1</v>
      </c>
      <c r="F26" s="39" t="s">
        <v>246</v>
      </c>
      <c r="G26" s="39" t="b">
        <v>0</v>
      </c>
      <c r="H26" s="39" t="s">
        <v>246</v>
      </c>
      <c r="I26" s="39" t="s">
        <v>246</v>
      </c>
      <c r="J26" s="39" t="b">
        <v>1</v>
      </c>
      <c r="K26" s="39"/>
      <c r="L26" s="37">
        <v>1</v>
      </c>
      <c r="M26" s="37">
        <v>1</v>
      </c>
      <c r="N26" s="37">
        <v>0</v>
      </c>
      <c r="O26" s="37">
        <v>0</v>
      </c>
      <c r="P26" s="37"/>
      <c r="Q26" s="37"/>
      <c r="R26" s="37"/>
      <c r="S26" s="37"/>
      <c r="T26" s="37" t="s">
        <v>247</v>
      </c>
      <c r="U26" s="49"/>
      <c r="V26" s="90" t="str">
        <f ca="1"/>
        <v xml:space="preserve"> </v>
      </c>
      <c r="X26" t="str">
        <v/>
      </c>
      <c r="Z26" t="str">
        <v/>
      </c>
      <c r="AA26" s="48"/>
      <c r="AC26" s="54"/>
      <c r="AD26" s="54"/>
      <c r="AE26" s="54"/>
      <c r="AF26" s="54"/>
      <c r="AG26" s="54"/>
      <c r="AH26" s="54"/>
      <c r="AI26" s="54"/>
      <c r="AJ26" s="54"/>
      <c r="AK26" s="54"/>
      <c r="AL26" s="54"/>
      <c r="AM26" s="54"/>
      <c r="AN26" s="54"/>
      <c r="AO26" s="54"/>
      <c r="AP26" s="54"/>
      <c r="AQ26" s="54"/>
    </row>
    <row r="27" spans="2:43" x14ac:dyDescent="0.45">
      <c r="B27" s="65" cm="1">
        <f t="array" aca="1" ref="B27" ca="1">FileSize(Folder&amp;Tests[[#This Row],[FileName]])</f>
        <v>32</v>
      </c>
      <c r="C27" s="59">
        <v>14</v>
      </c>
      <c r="D27" s="38" t="s">
        <v>293</v>
      </c>
      <c r="E27" s="37" t="b">
        <v>1</v>
      </c>
      <c r="F27" s="39" t="s">
        <v>246</v>
      </c>
      <c r="G27" s="39" t="b">
        <v>0</v>
      </c>
      <c r="H27" s="39" t="s">
        <v>246</v>
      </c>
      <c r="I27" s="39" t="s">
        <v>246</v>
      </c>
      <c r="J27" s="39" t="b">
        <v>1</v>
      </c>
      <c r="K27" s="39"/>
      <c r="L27" s="37">
        <v>1</v>
      </c>
      <c r="M27" s="37">
        <v>1</v>
      </c>
      <c r="N27" s="37">
        <v>0</v>
      </c>
      <c r="O27" s="37">
        <v>0</v>
      </c>
      <c r="P27" s="37"/>
      <c r="Q27" s="37"/>
      <c r="R27" s="37"/>
      <c r="S27" s="37"/>
      <c r="T27" s="37" t="s">
        <v>247</v>
      </c>
      <c r="U27" s="49"/>
      <c r="V27" s="90" t="str">
        <f ca="1"/>
        <v xml:space="preserve"> </v>
      </c>
      <c r="X27" t="str">
        <v/>
      </c>
      <c r="Z27" t="str">
        <v/>
      </c>
      <c r="AA27" s="48"/>
      <c r="AC27" s="54"/>
      <c r="AD27" s="54"/>
      <c r="AE27" s="54"/>
      <c r="AF27" s="54"/>
      <c r="AG27" s="54"/>
      <c r="AH27" s="54"/>
      <c r="AI27" s="54"/>
      <c r="AJ27" s="54"/>
      <c r="AK27" s="54"/>
      <c r="AL27" s="54"/>
      <c r="AM27" s="54"/>
      <c r="AN27" s="54"/>
      <c r="AO27" s="54"/>
      <c r="AP27" s="54"/>
      <c r="AQ27" s="54"/>
    </row>
    <row r="28" spans="2:43" x14ac:dyDescent="0.45">
      <c r="B28" s="65" cm="1">
        <f t="array" aca="1" ref="B28" ca="1">FileSize(Folder&amp;Tests[[#This Row],[FileName]])</f>
        <v>32</v>
      </c>
      <c r="C28" s="59">
        <v>15</v>
      </c>
      <c r="D28" s="38" t="s">
        <v>294</v>
      </c>
      <c r="E28" s="37" t="b">
        <v>1</v>
      </c>
      <c r="F28" s="39" t="s">
        <v>246</v>
      </c>
      <c r="G28" s="39" t="b">
        <v>0</v>
      </c>
      <c r="H28" s="39" t="s">
        <v>246</v>
      </c>
      <c r="I28" s="39" t="s">
        <v>246</v>
      </c>
      <c r="J28" s="39" t="b">
        <v>1</v>
      </c>
      <c r="K28" s="39"/>
      <c r="L28" s="37">
        <v>1</v>
      </c>
      <c r="M28" s="37">
        <v>1</v>
      </c>
      <c r="N28" s="37">
        <v>0</v>
      </c>
      <c r="O28" s="37">
        <v>0</v>
      </c>
      <c r="P28" s="37"/>
      <c r="Q28" s="37"/>
      <c r="R28" s="37"/>
      <c r="S28" s="37"/>
      <c r="T28" s="37" t="s">
        <v>247</v>
      </c>
      <c r="U28" s="49"/>
      <c r="V28" s="90" t="str">
        <f ca="1"/>
        <v xml:space="preserve"> </v>
      </c>
      <c r="X28" t="str">
        <v/>
      </c>
      <c r="Z28" t="str">
        <v/>
      </c>
      <c r="AA28" s="48"/>
      <c r="AC28" s="54"/>
      <c r="AD28" s="54"/>
      <c r="AE28" s="54"/>
      <c r="AF28" s="54"/>
      <c r="AG28" s="54"/>
      <c r="AH28" s="54"/>
      <c r="AI28" s="54"/>
      <c r="AJ28" s="54"/>
      <c r="AK28" s="54"/>
      <c r="AL28" s="54"/>
      <c r="AM28" s="54"/>
      <c r="AN28" s="54"/>
      <c r="AO28" s="54"/>
      <c r="AP28" s="54"/>
      <c r="AQ28" s="54"/>
    </row>
    <row r="29" spans="2:43" x14ac:dyDescent="0.45">
      <c r="B29" s="65" cm="1">
        <f t="array" aca="1" ref="B29" ca="1">FileSize(Folder&amp;Tests[[#This Row],[FileName]])</f>
        <v>32</v>
      </c>
      <c r="C29" s="59">
        <v>16</v>
      </c>
      <c r="D29" s="38" t="s">
        <v>295</v>
      </c>
      <c r="E29" s="37" t="b">
        <v>1</v>
      </c>
      <c r="F29" s="39" t="s">
        <v>246</v>
      </c>
      <c r="G29" s="39" t="b">
        <v>0</v>
      </c>
      <c r="H29" s="39" t="s">
        <v>246</v>
      </c>
      <c r="I29" s="39" t="s">
        <v>246</v>
      </c>
      <c r="J29" s="39" t="b">
        <v>1</v>
      </c>
      <c r="K29" s="39"/>
      <c r="L29" s="37">
        <v>1</v>
      </c>
      <c r="M29" s="37">
        <v>1</v>
      </c>
      <c r="N29" s="37">
        <v>0</v>
      </c>
      <c r="O29" s="37">
        <v>0</v>
      </c>
      <c r="P29" s="37"/>
      <c r="Q29" s="37"/>
      <c r="R29" s="37"/>
      <c r="S29" s="37"/>
      <c r="T29" s="37" t="s">
        <v>247</v>
      </c>
      <c r="U29" s="49"/>
      <c r="V29" s="90" t="str">
        <f ca="1"/>
        <v xml:space="preserve"> </v>
      </c>
      <c r="X29" t="str">
        <v/>
      </c>
      <c r="Z29" t="str">
        <v/>
      </c>
      <c r="AA29" s="48"/>
      <c r="AC29" s="54"/>
      <c r="AD29" s="54"/>
      <c r="AE29" s="54"/>
      <c r="AF29" s="54"/>
      <c r="AG29" s="54"/>
      <c r="AH29" s="54"/>
      <c r="AI29" s="54"/>
      <c r="AJ29" s="54"/>
      <c r="AK29" s="54"/>
      <c r="AL29" s="54"/>
      <c r="AM29" s="54"/>
      <c r="AN29" s="54"/>
      <c r="AO29" s="54"/>
      <c r="AP29" s="54"/>
      <c r="AQ29" s="54"/>
    </row>
    <row r="30" spans="2:43" x14ac:dyDescent="0.45">
      <c r="B30" s="65" cm="1">
        <f t="array" aca="1" ref="B30" ca="1">FileSize(Folder&amp;Tests[[#This Row],[FileName]])</f>
        <v>33</v>
      </c>
      <c r="C30" s="59">
        <v>17</v>
      </c>
      <c r="D30" s="38" t="s">
        <v>299</v>
      </c>
      <c r="E30" s="37" t="b">
        <v>1</v>
      </c>
      <c r="F30" s="39" t="s">
        <v>246</v>
      </c>
      <c r="G30" s="39" t="b">
        <v>0</v>
      </c>
      <c r="H30" s="39" t="s">
        <v>246</v>
      </c>
      <c r="I30" s="39" t="s">
        <v>246</v>
      </c>
      <c r="J30" s="39" t="b">
        <v>1</v>
      </c>
      <c r="K30" s="39"/>
      <c r="L30" s="37">
        <v>1</v>
      </c>
      <c r="M30" s="37">
        <v>1</v>
      </c>
      <c r="N30" s="37">
        <v>0</v>
      </c>
      <c r="O30" s="37">
        <v>0</v>
      </c>
      <c r="P30" s="37"/>
      <c r="Q30" s="37"/>
      <c r="R30" s="37"/>
      <c r="S30" s="37"/>
      <c r="T30" s="37" t="s">
        <v>247</v>
      </c>
      <c r="U30" s="49"/>
      <c r="V30" s="90" t="str">
        <f ca="1"/>
        <v xml:space="preserve"> </v>
      </c>
      <c r="X30" t="str">
        <v/>
      </c>
      <c r="Z30" t="str">
        <v/>
      </c>
      <c r="AA30" s="48"/>
      <c r="AC30" s="54"/>
      <c r="AD30" s="54"/>
      <c r="AE30" s="54"/>
      <c r="AF30" s="54"/>
      <c r="AG30" s="54"/>
      <c r="AH30" s="54"/>
      <c r="AI30" s="54"/>
      <c r="AJ30" s="54"/>
      <c r="AK30" s="54"/>
      <c r="AL30" s="54"/>
      <c r="AM30" s="54"/>
      <c r="AN30" s="54"/>
      <c r="AO30" s="54"/>
      <c r="AP30" s="54"/>
      <c r="AQ30" s="54"/>
    </row>
    <row r="31" spans="2:43" x14ac:dyDescent="0.45">
      <c r="B31" s="65" cm="1">
        <f t="array" aca="1" ref="B31" ca="1">FileSize(Folder&amp;Tests[[#This Row],[FileName]])</f>
        <v>33</v>
      </c>
      <c r="C31" s="59">
        <v>18</v>
      </c>
      <c r="D31" s="38" t="s">
        <v>300</v>
      </c>
      <c r="E31" s="37" t="b">
        <v>1</v>
      </c>
      <c r="F31" s="39" t="s">
        <v>249</v>
      </c>
      <c r="G31" s="39" t="b">
        <v>0</v>
      </c>
      <c r="H31" s="39" t="s">
        <v>246</v>
      </c>
      <c r="I31" s="39" t="s">
        <v>246</v>
      </c>
      <c r="J31" s="39" t="b">
        <v>1</v>
      </c>
      <c r="K31" s="39"/>
      <c r="L31" s="37">
        <v>1</v>
      </c>
      <c r="M31" s="37">
        <v>1</v>
      </c>
      <c r="N31" s="37">
        <v>0</v>
      </c>
      <c r="O31" s="37">
        <v>0</v>
      </c>
      <c r="P31" s="37"/>
      <c r="Q31" s="37"/>
      <c r="R31" s="37"/>
      <c r="S31" s="37"/>
      <c r="T31" s="37" t="s">
        <v>247</v>
      </c>
      <c r="U31" s="49"/>
      <c r="V31" s="90" t="str">
        <f ca="1"/>
        <v xml:space="preserve"> </v>
      </c>
      <c r="X31" t="str">
        <v/>
      </c>
      <c r="Z31" t="str">
        <v/>
      </c>
      <c r="AA31" s="48"/>
      <c r="AC31" s="54"/>
      <c r="AD31" s="54"/>
      <c r="AE31" s="54"/>
      <c r="AF31" s="54"/>
      <c r="AG31" s="54"/>
      <c r="AH31" s="54"/>
      <c r="AI31" s="54"/>
      <c r="AJ31" s="54"/>
      <c r="AK31" s="54"/>
      <c r="AL31" s="54"/>
      <c r="AM31" s="54"/>
      <c r="AN31" s="54"/>
      <c r="AO31" s="54"/>
      <c r="AP31" s="54"/>
      <c r="AQ31" s="54"/>
    </row>
    <row r="32" spans="2:43" x14ac:dyDescent="0.45">
      <c r="B32" s="66" cm="1">
        <f t="array" aca="1" ref="B32" ca="1">FileSize(Folder&amp;Tests[[#This Row],[FileName]])</f>
        <v>34</v>
      </c>
      <c r="C32" s="59">
        <v>19</v>
      </c>
      <c r="D32" s="38" t="s">
        <v>304</v>
      </c>
      <c r="E32" s="37" t="b">
        <v>1</v>
      </c>
      <c r="F32" s="39" t="s">
        <v>246</v>
      </c>
      <c r="G32" s="39" t="b">
        <v>0</v>
      </c>
      <c r="H32" s="39" t="s">
        <v>246</v>
      </c>
      <c r="I32" s="39" t="s">
        <v>246</v>
      </c>
      <c r="J32" s="39" t="b">
        <v>1</v>
      </c>
      <c r="K32" s="39"/>
      <c r="L32" s="37">
        <v>1</v>
      </c>
      <c r="M32" s="37">
        <v>1</v>
      </c>
      <c r="N32" s="37">
        <v>0</v>
      </c>
      <c r="O32" s="37">
        <v>0</v>
      </c>
      <c r="P32" s="37"/>
      <c r="Q32" s="37"/>
      <c r="R32" s="39" t="s">
        <v>488</v>
      </c>
      <c r="S32" s="37"/>
      <c r="T32" s="37" t="s">
        <v>247</v>
      </c>
      <c r="U32" s="49"/>
      <c r="V32" s="90" t="str">
        <f ca="1"/>
        <v xml:space="preserve"> </v>
      </c>
      <c r="X32" t="str">
        <v/>
      </c>
      <c r="Z32" t="str">
        <v/>
      </c>
      <c r="AA32" s="48"/>
      <c r="AC32" s="54"/>
      <c r="AD32" s="54"/>
      <c r="AE32" s="54"/>
      <c r="AF32" s="54"/>
      <c r="AG32" s="54"/>
      <c r="AH32" s="54"/>
      <c r="AI32" s="54"/>
      <c r="AJ32" s="54"/>
      <c r="AK32" s="54"/>
      <c r="AL32" s="54"/>
      <c r="AM32" s="54"/>
      <c r="AN32" s="54"/>
      <c r="AO32" s="54"/>
      <c r="AP32" s="54"/>
      <c r="AQ32" s="54"/>
    </row>
    <row r="33" spans="2:43" x14ac:dyDescent="0.45">
      <c r="B33" s="66" cm="1">
        <f t="array" aca="1" ref="B33" ca="1">FileSize(Folder&amp;Tests[[#This Row],[FileName]])</f>
        <v>35</v>
      </c>
      <c r="C33" s="60">
        <v>20</v>
      </c>
      <c r="D33" s="38" t="s">
        <v>305</v>
      </c>
      <c r="E33" s="37" t="b">
        <v>1</v>
      </c>
      <c r="F33" s="39" t="s">
        <v>246</v>
      </c>
      <c r="G33" s="39" t="b">
        <v>0</v>
      </c>
      <c r="H33" s="39" t="s">
        <v>246</v>
      </c>
      <c r="I33" s="39" t="s">
        <v>246</v>
      </c>
      <c r="J33" s="39" t="b">
        <v>1</v>
      </c>
      <c r="K33" s="39"/>
      <c r="L33" s="37">
        <v>1</v>
      </c>
      <c r="M33" s="37">
        <v>1</v>
      </c>
      <c r="N33" s="37">
        <v>0</v>
      </c>
      <c r="O33" s="37">
        <v>0</v>
      </c>
      <c r="P33" s="37"/>
      <c r="Q33" s="37"/>
      <c r="R33" s="37"/>
      <c r="S33" s="37"/>
      <c r="T33" s="37" t="s">
        <v>247</v>
      </c>
      <c r="U33" s="49"/>
      <c r="V33" s="90" t="str">
        <f ca="1"/>
        <v xml:space="preserve"> </v>
      </c>
      <c r="X33" t="str">
        <v/>
      </c>
      <c r="Z33" t="str">
        <v/>
      </c>
      <c r="AA33" s="48"/>
      <c r="AC33" s="54"/>
      <c r="AD33" s="54"/>
      <c r="AE33" s="54"/>
      <c r="AF33" s="54"/>
      <c r="AG33" s="54"/>
      <c r="AH33" s="54"/>
      <c r="AI33" s="54"/>
      <c r="AJ33" s="54"/>
      <c r="AK33" s="54"/>
      <c r="AL33" s="54"/>
      <c r="AM33" s="54"/>
      <c r="AN33" s="54"/>
      <c r="AO33" s="54"/>
      <c r="AP33" s="54"/>
      <c r="AQ33" s="54"/>
    </row>
    <row r="34" spans="2:43" x14ac:dyDescent="0.45">
      <c r="B34" s="66" cm="1">
        <f t="array" aca="1" ref="B34" ca="1">FileSize(Folder&amp;Tests[[#This Row],[FileName]])</f>
        <v>35</v>
      </c>
      <c r="C34" s="60">
        <v>21</v>
      </c>
      <c r="D34" s="38" t="s">
        <v>306</v>
      </c>
      <c r="E34" s="37" t="b">
        <v>1</v>
      </c>
      <c r="F34" s="39" t="s">
        <v>246</v>
      </c>
      <c r="G34" s="39" t="b">
        <v>0</v>
      </c>
      <c r="H34" s="39" t="s">
        <v>246</v>
      </c>
      <c r="I34" s="39" t="s">
        <v>246</v>
      </c>
      <c r="J34" s="39" t="b">
        <v>1</v>
      </c>
      <c r="K34" s="39"/>
      <c r="L34" s="37">
        <v>4</v>
      </c>
      <c r="M34" s="37">
        <v>1</v>
      </c>
      <c r="N34" s="37">
        <v>0</v>
      </c>
      <c r="O34" s="37">
        <v>0</v>
      </c>
      <c r="P34" s="37"/>
      <c r="Q34" s="37"/>
      <c r="R34" s="37"/>
      <c r="S34" s="37"/>
      <c r="T34" s="37" t="s">
        <v>247</v>
      </c>
      <c r="U34" s="49"/>
      <c r="V34" s="90" t="str">
        <f ca="1"/>
        <v xml:space="preserve"> </v>
      </c>
      <c r="X34" t="str">
        <v/>
      </c>
      <c r="Z34" t="str">
        <v/>
      </c>
      <c r="AA34" s="48"/>
      <c r="AC34" s="54"/>
      <c r="AD34" s="54"/>
      <c r="AE34" s="54"/>
      <c r="AF34" s="54"/>
      <c r="AG34" s="54"/>
      <c r="AH34" s="54"/>
      <c r="AI34" s="54"/>
      <c r="AJ34" s="54"/>
      <c r="AK34" s="54"/>
      <c r="AL34" s="54"/>
      <c r="AM34" s="54"/>
      <c r="AN34" s="54"/>
      <c r="AO34" s="54"/>
      <c r="AP34" s="54"/>
      <c r="AQ34" s="54"/>
    </row>
    <row r="35" spans="2:43" x14ac:dyDescent="0.45">
      <c r="B35" s="66" cm="1">
        <f t="array" aca="1" ref="B35" ca="1">FileSize(Folder&amp;Tests[[#This Row],[FileName]])</f>
        <v>35</v>
      </c>
      <c r="C35" s="60">
        <v>22</v>
      </c>
      <c r="D35" s="38" t="s">
        <v>307</v>
      </c>
      <c r="E35" s="37" t="b">
        <v>1</v>
      </c>
      <c r="F35" s="39" t="s">
        <v>246</v>
      </c>
      <c r="G35" s="39" t="b">
        <v>0</v>
      </c>
      <c r="H35" s="39" t="s">
        <v>246</v>
      </c>
      <c r="I35" s="39" t="s">
        <v>246</v>
      </c>
      <c r="J35" s="39" t="b">
        <v>1</v>
      </c>
      <c r="K35" s="39"/>
      <c r="L35" s="37">
        <v>1</v>
      </c>
      <c r="M35" s="37">
        <v>1</v>
      </c>
      <c r="N35" s="37">
        <v>0</v>
      </c>
      <c r="O35" s="37">
        <v>0</v>
      </c>
      <c r="P35" s="37"/>
      <c r="Q35" s="37"/>
      <c r="R35" s="37"/>
      <c r="S35" s="37"/>
      <c r="T35" s="37" t="s">
        <v>247</v>
      </c>
      <c r="U35" s="49"/>
      <c r="V35" s="90" t="str">
        <f ca="1"/>
        <v xml:space="preserve"> </v>
      </c>
      <c r="X35" t="str">
        <v/>
      </c>
      <c r="Z35" t="str">
        <v/>
      </c>
      <c r="AA35" s="48"/>
      <c r="AC35" s="54"/>
      <c r="AD35" s="54"/>
      <c r="AE35" s="54"/>
      <c r="AF35" s="54"/>
      <c r="AG35" s="54"/>
      <c r="AH35" s="54"/>
      <c r="AI35" s="54"/>
      <c r="AJ35" s="54"/>
      <c r="AK35" s="54"/>
      <c r="AL35" s="54"/>
      <c r="AM35" s="54"/>
      <c r="AN35" s="54"/>
      <c r="AO35" s="54"/>
      <c r="AP35" s="54"/>
      <c r="AQ35" s="54"/>
    </row>
    <row r="36" spans="2:43" x14ac:dyDescent="0.45">
      <c r="B36" s="66" cm="1">
        <f t="array" aca="1" ref="B36" ca="1">FileSize(Folder&amp;Tests[[#This Row],[FileName]])</f>
        <v>35</v>
      </c>
      <c r="C36" s="60">
        <v>23</v>
      </c>
      <c r="D36" s="38" t="s">
        <v>308</v>
      </c>
      <c r="E36" s="37" t="b">
        <v>1</v>
      </c>
      <c r="F36" s="39" t="s">
        <v>246</v>
      </c>
      <c r="G36" s="39" t="b">
        <v>0</v>
      </c>
      <c r="H36" s="39" t="s">
        <v>246</v>
      </c>
      <c r="I36" s="39" t="s">
        <v>246</v>
      </c>
      <c r="J36" s="39" t="b">
        <v>1</v>
      </c>
      <c r="K36" s="39"/>
      <c r="L36" s="37">
        <v>1</v>
      </c>
      <c r="M36" s="37">
        <v>1</v>
      </c>
      <c r="N36" s="37">
        <v>0</v>
      </c>
      <c r="O36" s="37">
        <v>0</v>
      </c>
      <c r="P36" s="37"/>
      <c r="Q36" s="37"/>
      <c r="R36" s="37"/>
      <c r="S36" s="37"/>
      <c r="T36" s="37" t="s">
        <v>247</v>
      </c>
      <c r="U36" s="49"/>
      <c r="V36" s="90" t="str">
        <f ca="1"/>
        <v xml:space="preserve"> </v>
      </c>
      <c r="X36" t="str">
        <v/>
      </c>
      <c r="Z36" t="str">
        <v/>
      </c>
      <c r="AA36" s="48"/>
      <c r="AC36" s="54"/>
      <c r="AD36" s="54"/>
      <c r="AE36" s="54"/>
      <c r="AF36" s="54"/>
      <c r="AG36" s="54"/>
      <c r="AH36" s="54"/>
      <c r="AI36" s="54"/>
      <c r="AJ36" s="54"/>
      <c r="AK36" s="54"/>
      <c r="AL36" s="54"/>
      <c r="AM36" s="54"/>
      <c r="AN36" s="54"/>
      <c r="AO36" s="54"/>
      <c r="AP36" s="54"/>
      <c r="AQ36" s="54"/>
    </row>
    <row r="37" spans="2:43" x14ac:dyDescent="0.45">
      <c r="B37" s="66" cm="1">
        <f t="array" aca="1" ref="B37" ca="1">FileSize(Folder&amp;Tests[[#This Row],[FileName]])</f>
        <v>37</v>
      </c>
      <c r="C37" s="60">
        <v>24</v>
      </c>
      <c r="D37" s="38" t="s">
        <v>309</v>
      </c>
      <c r="E37" s="37" t="b">
        <v>1</v>
      </c>
      <c r="F37" s="39" t="s">
        <v>246</v>
      </c>
      <c r="G37" s="39" t="b">
        <v>0</v>
      </c>
      <c r="H37" s="39" t="s">
        <v>474</v>
      </c>
      <c r="I37" s="39" t="s">
        <v>246</v>
      </c>
      <c r="J37" s="39" t="b">
        <v>1</v>
      </c>
      <c r="K37" s="39"/>
      <c r="L37" s="37">
        <v>1</v>
      </c>
      <c r="M37" s="37">
        <v>1</v>
      </c>
      <c r="N37" s="37">
        <v>0</v>
      </c>
      <c r="O37" s="37">
        <v>0</v>
      </c>
      <c r="P37" s="37"/>
      <c r="Q37" s="37"/>
      <c r="R37" s="37"/>
      <c r="S37" s="37"/>
      <c r="T37" s="37" t="s">
        <v>247</v>
      </c>
      <c r="U37" s="49"/>
      <c r="V37" s="90" t="str">
        <f ca="1"/>
        <v xml:space="preserve"> </v>
      </c>
      <c r="X37" t="str">
        <v/>
      </c>
      <c r="Z37" t="str">
        <v/>
      </c>
      <c r="AA37" s="48"/>
      <c r="AC37" s="54"/>
      <c r="AD37" s="54"/>
      <c r="AE37" s="54"/>
      <c r="AF37" s="54"/>
      <c r="AG37" s="54"/>
      <c r="AH37" s="54"/>
      <c r="AI37" s="54"/>
      <c r="AJ37" s="54"/>
      <c r="AK37" s="54"/>
      <c r="AL37" s="54"/>
      <c r="AM37" s="54"/>
      <c r="AN37" s="54"/>
      <c r="AO37" s="54"/>
      <c r="AP37" s="54"/>
      <c r="AQ37" s="54"/>
    </row>
    <row r="38" spans="2:43" x14ac:dyDescent="0.45">
      <c r="B38" s="66" cm="1">
        <f t="array" aca="1" ref="B38" ca="1">FileSize(Folder&amp;Tests[[#This Row],[FileName]])</f>
        <v>37</v>
      </c>
      <c r="C38" s="60">
        <v>25</v>
      </c>
      <c r="D38" s="38" t="s">
        <v>310</v>
      </c>
      <c r="E38" s="37" t="b">
        <v>1</v>
      </c>
      <c r="F38" s="39" t="s">
        <v>246</v>
      </c>
      <c r="G38" s="39" t="b">
        <v>0</v>
      </c>
      <c r="H38" s="37" t="s">
        <v>253</v>
      </c>
      <c r="I38" s="39" t="s">
        <v>246</v>
      </c>
      <c r="J38" s="39" t="b">
        <v>1</v>
      </c>
      <c r="K38" s="39"/>
      <c r="L38" s="37">
        <v>1</v>
      </c>
      <c r="M38" s="37">
        <v>1</v>
      </c>
      <c r="N38" s="37">
        <v>0</v>
      </c>
      <c r="O38" s="37">
        <v>0</v>
      </c>
      <c r="P38" s="37"/>
      <c r="Q38" s="37"/>
      <c r="R38" s="37"/>
      <c r="S38" s="37"/>
      <c r="T38" s="37" t="s">
        <v>247</v>
      </c>
      <c r="U38" s="49"/>
      <c r="V38" s="90" t="str">
        <f ca="1"/>
        <v xml:space="preserve"> </v>
      </c>
      <c r="X38" t="str">
        <v/>
      </c>
      <c r="Z38" t="str">
        <v/>
      </c>
      <c r="AA38" s="48"/>
      <c r="AC38" s="54"/>
      <c r="AD38" s="54"/>
      <c r="AE38" s="54"/>
      <c r="AF38" s="54"/>
      <c r="AG38" s="54"/>
      <c r="AH38" s="54"/>
      <c r="AI38" s="54"/>
      <c r="AJ38" s="54"/>
      <c r="AK38" s="54"/>
      <c r="AL38" s="54"/>
      <c r="AM38" s="54"/>
      <c r="AN38" s="54"/>
      <c r="AO38" s="54"/>
      <c r="AP38" s="54"/>
      <c r="AQ38" s="54"/>
    </row>
    <row r="39" spans="2:43" x14ac:dyDescent="0.45">
      <c r="B39" s="66" cm="1">
        <f t="array" aca="1" ref="B39" ca="1">FileSize(Folder&amp;Tests[[#This Row],[FileName]])</f>
        <v>43</v>
      </c>
      <c r="C39" s="60">
        <v>26</v>
      </c>
      <c r="D39" s="38" t="s">
        <v>311</v>
      </c>
      <c r="E39" s="37" t="b">
        <v>1</v>
      </c>
      <c r="F39" s="39" t="s">
        <v>249</v>
      </c>
      <c r="G39" s="39" t="b">
        <v>1</v>
      </c>
      <c r="H39" s="39" t="s">
        <v>246</v>
      </c>
      <c r="I39" s="39" t="s">
        <v>246</v>
      </c>
      <c r="J39" s="39" t="b">
        <v>1</v>
      </c>
      <c r="K39" s="39"/>
      <c r="L39" s="37">
        <v>1</v>
      </c>
      <c r="M39" s="37">
        <v>1</v>
      </c>
      <c r="N39" s="37">
        <v>0</v>
      </c>
      <c r="O39" s="37">
        <v>0</v>
      </c>
      <c r="P39" s="37"/>
      <c r="Q39" s="37"/>
      <c r="R39" s="37"/>
      <c r="S39" s="37"/>
      <c r="T39" s="37" t="s">
        <v>247</v>
      </c>
      <c r="U39" s="49"/>
      <c r="V39" s="90" t="str">
        <f ca="1"/>
        <v xml:space="preserve"> </v>
      </c>
      <c r="X39" t="str">
        <v/>
      </c>
      <c r="Z39" t="str">
        <v/>
      </c>
      <c r="AA39" s="48"/>
      <c r="AC39" s="54"/>
      <c r="AD39" s="54"/>
      <c r="AE39" s="54"/>
      <c r="AF39" s="54"/>
      <c r="AG39" s="54"/>
      <c r="AH39" s="54"/>
      <c r="AI39" s="54"/>
      <c r="AJ39" s="54"/>
      <c r="AK39" s="54"/>
      <c r="AL39" s="54"/>
      <c r="AM39" s="54"/>
      <c r="AN39" s="54"/>
      <c r="AO39" s="54"/>
      <c r="AP39" s="54"/>
      <c r="AQ39" s="54"/>
    </row>
    <row r="40" spans="2:43" x14ac:dyDescent="0.45">
      <c r="B40" s="66" cm="1">
        <f t="array" aca="1" ref="B40" ca="1">FileSize(Folder&amp;Tests[[#This Row],[FileName]])</f>
        <v>43</v>
      </c>
      <c r="C40" s="60">
        <v>27</v>
      </c>
      <c r="D40" s="38" t="s">
        <v>312</v>
      </c>
      <c r="E40" s="37" t="b">
        <v>0</v>
      </c>
      <c r="F40" s="39" t="s">
        <v>246</v>
      </c>
      <c r="G40" s="39" t="b">
        <v>0</v>
      </c>
      <c r="H40" s="39" t="s">
        <v>246</v>
      </c>
      <c r="I40" s="39" t="s">
        <v>246</v>
      </c>
      <c r="J40" s="39" t="b">
        <v>1</v>
      </c>
      <c r="K40" s="39"/>
      <c r="L40" s="37">
        <v>1</v>
      </c>
      <c r="M40" s="37">
        <v>1</v>
      </c>
      <c r="N40" s="37">
        <v>0</v>
      </c>
      <c r="O40" s="37">
        <v>0</v>
      </c>
      <c r="P40" s="37"/>
      <c r="Q40" s="37"/>
      <c r="R40" s="37"/>
      <c r="S40" s="37"/>
      <c r="T40" s="37" t="s">
        <v>247</v>
      </c>
      <c r="U40" s="49"/>
      <c r="V40" s="90" t="str">
        <f ca="1"/>
        <v xml:space="preserve"> </v>
      </c>
      <c r="X40" t="str">
        <v/>
      </c>
      <c r="Z40" t="str">
        <v/>
      </c>
      <c r="AA40" s="48"/>
      <c r="AC40" s="54"/>
      <c r="AD40" s="54"/>
      <c r="AE40" s="54"/>
      <c r="AF40" s="54"/>
      <c r="AG40" s="54"/>
      <c r="AH40" s="54"/>
      <c r="AI40" s="54"/>
      <c r="AJ40" s="54"/>
      <c r="AK40" s="54"/>
      <c r="AL40" s="54"/>
      <c r="AM40" s="54"/>
      <c r="AN40" s="54"/>
      <c r="AO40" s="54"/>
      <c r="AP40" s="54"/>
      <c r="AQ40" s="54"/>
    </row>
    <row r="41" spans="2:43" x14ac:dyDescent="0.45">
      <c r="B41" s="66" cm="1">
        <f t="array" aca="1" ref="B41" ca="1">FileSize(Folder&amp;Tests[[#This Row],[FileName]])</f>
        <v>45</v>
      </c>
      <c r="C41" s="60">
        <v>28</v>
      </c>
      <c r="D41" s="38" t="s">
        <v>313</v>
      </c>
      <c r="E41" s="37" t="b">
        <v>0</v>
      </c>
      <c r="F41" s="39" t="s">
        <v>246</v>
      </c>
      <c r="G41" s="39" t="b">
        <v>0</v>
      </c>
      <c r="H41" s="39" t="s">
        <v>246</v>
      </c>
      <c r="I41" s="39" t="s">
        <v>246</v>
      </c>
      <c r="J41" s="39" t="b">
        <v>1</v>
      </c>
      <c r="K41" s="39"/>
      <c r="L41" s="37">
        <v>1</v>
      </c>
      <c r="M41" s="37">
        <v>1</v>
      </c>
      <c r="N41" s="37">
        <v>0</v>
      </c>
      <c r="O41" s="37">
        <v>0</v>
      </c>
      <c r="P41" s="37"/>
      <c r="Q41" s="37"/>
      <c r="R41" s="37"/>
      <c r="S41" s="37"/>
      <c r="T41" s="37" t="s">
        <v>247</v>
      </c>
      <c r="U41" s="49" t="s">
        <v>254</v>
      </c>
      <c r="V41" s="90" t="str">
        <f ca="1"/>
        <v xml:space="preserve"> </v>
      </c>
      <c r="X41" t="str">
        <v/>
      </c>
      <c r="Z41" t="str">
        <v/>
      </c>
      <c r="AA41" s="48"/>
      <c r="AC41" s="54"/>
      <c r="AD41" s="54"/>
      <c r="AE41" s="54"/>
      <c r="AF41" s="54"/>
      <c r="AG41" s="54"/>
      <c r="AH41" s="54"/>
      <c r="AI41" s="54"/>
      <c r="AJ41" s="54"/>
      <c r="AK41" s="54"/>
      <c r="AL41" s="54"/>
      <c r="AM41" s="54"/>
      <c r="AN41" s="54"/>
      <c r="AO41" s="54"/>
      <c r="AP41" s="54"/>
      <c r="AQ41" s="54"/>
    </row>
    <row r="42" spans="2:43" x14ac:dyDescent="0.45">
      <c r="B42" s="66" cm="1">
        <f t="array" aca="1" ref="B42" ca="1">FileSize(Folder&amp;Tests[[#This Row],[FileName]])</f>
        <v>45</v>
      </c>
      <c r="C42" s="60">
        <v>29</v>
      </c>
      <c r="D42" s="38" t="s">
        <v>314</v>
      </c>
      <c r="E42" s="37" t="b">
        <v>0</v>
      </c>
      <c r="F42" s="39" t="s">
        <v>246</v>
      </c>
      <c r="G42" s="39" t="b">
        <v>0</v>
      </c>
      <c r="H42" s="39" t="s">
        <v>246</v>
      </c>
      <c r="I42" s="39" t="s">
        <v>246</v>
      </c>
      <c r="J42" s="39" t="b">
        <v>1</v>
      </c>
      <c r="K42" s="39"/>
      <c r="L42" s="37">
        <v>1</v>
      </c>
      <c r="M42" s="37">
        <v>1</v>
      </c>
      <c r="N42" s="37">
        <v>0</v>
      </c>
      <c r="O42" s="37">
        <v>0</v>
      </c>
      <c r="P42" s="37"/>
      <c r="Q42" s="37"/>
      <c r="R42" s="37"/>
      <c r="S42" s="37"/>
      <c r="T42" s="37" t="s">
        <v>247</v>
      </c>
      <c r="U42" s="49"/>
      <c r="V42" s="90" t="str">
        <f ca="1"/>
        <v xml:space="preserve"> </v>
      </c>
      <c r="X42" t="str">
        <v/>
      </c>
      <c r="Z42" t="str">
        <v/>
      </c>
      <c r="AA42" s="48"/>
      <c r="AC42" s="54"/>
      <c r="AD42" s="54"/>
      <c r="AE42" s="54"/>
      <c r="AF42" s="54"/>
      <c r="AG42" s="54"/>
      <c r="AH42" s="54"/>
      <c r="AI42" s="54"/>
      <c r="AJ42" s="54"/>
      <c r="AK42" s="54"/>
      <c r="AL42" s="54"/>
      <c r="AM42" s="54"/>
      <c r="AN42" s="54"/>
      <c r="AO42" s="54"/>
      <c r="AP42" s="54"/>
      <c r="AQ42" s="54"/>
    </row>
    <row r="43" spans="2:43" x14ac:dyDescent="0.45">
      <c r="B43" s="66" cm="1">
        <f t="array" aca="1" ref="B43" ca="1">FileSize(Folder&amp;Tests[[#This Row],[FileName]])</f>
        <v>47</v>
      </c>
      <c r="C43" s="60">
        <v>30</v>
      </c>
      <c r="D43" s="38" t="s">
        <v>315</v>
      </c>
      <c r="E43" s="37" t="b">
        <v>1</v>
      </c>
      <c r="F43" s="39" t="s">
        <v>246</v>
      </c>
      <c r="G43" s="39" t="b">
        <v>0</v>
      </c>
      <c r="H43" s="39" t="s">
        <v>246</v>
      </c>
      <c r="I43" s="39" t="s">
        <v>246</v>
      </c>
      <c r="J43" s="39" t="b">
        <v>1</v>
      </c>
      <c r="K43" s="39"/>
      <c r="L43" s="37">
        <v>1</v>
      </c>
      <c r="M43" s="37">
        <v>1</v>
      </c>
      <c r="N43" s="37">
        <v>0</v>
      </c>
      <c r="O43" s="37">
        <v>0</v>
      </c>
      <c r="P43" s="37"/>
      <c r="Q43" s="37"/>
      <c r="R43" s="37"/>
      <c r="S43" s="37"/>
      <c r="T43" s="37" t="s">
        <v>247</v>
      </c>
      <c r="U43" s="49"/>
      <c r="V43" s="90" t="str">
        <f ca="1"/>
        <v xml:space="preserve"> </v>
      </c>
      <c r="X43" t="str">
        <v/>
      </c>
      <c r="Z43" t="str">
        <v/>
      </c>
      <c r="AA43" s="48"/>
      <c r="AC43" s="54"/>
      <c r="AD43" s="54"/>
      <c r="AE43" s="54"/>
      <c r="AF43" s="54"/>
      <c r="AG43" s="54"/>
      <c r="AH43" s="54"/>
      <c r="AI43" s="54"/>
      <c r="AJ43" s="54"/>
      <c r="AK43" s="54"/>
      <c r="AL43" s="54"/>
      <c r="AM43" s="54"/>
      <c r="AN43" s="54"/>
      <c r="AO43" s="54"/>
      <c r="AP43" s="54"/>
      <c r="AQ43" s="54"/>
    </row>
    <row r="44" spans="2:43" x14ac:dyDescent="0.45">
      <c r="B44" s="66" cm="1">
        <f t="array" aca="1" ref="B44" ca="1">FileSize(Folder&amp;Tests[[#This Row],[FileName]])</f>
        <v>47</v>
      </c>
      <c r="C44" s="60">
        <v>31</v>
      </c>
      <c r="D44" s="38" t="s">
        <v>316</v>
      </c>
      <c r="E44" s="37" t="b">
        <v>1</v>
      </c>
      <c r="F44" s="39" t="s">
        <v>246</v>
      </c>
      <c r="G44" s="39" t="b">
        <v>0</v>
      </c>
      <c r="H44" s="39" t="s">
        <v>246</v>
      </c>
      <c r="I44" s="39" t="s">
        <v>246</v>
      </c>
      <c r="J44" s="39" t="b">
        <v>1</v>
      </c>
      <c r="K44" s="39"/>
      <c r="L44" s="37">
        <v>1</v>
      </c>
      <c r="M44" s="37">
        <v>1</v>
      </c>
      <c r="N44" s="37">
        <v>0</v>
      </c>
      <c r="O44" s="37">
        <v>0</v>
      </c>
      <c r="P44" s="37" t="s">
        <v>489</v>
      </c>
      <c r="Q44" s="37" t="s">
        <v>490</v>
      </c>
      <c r="R44" s="37"/>
      <c r="S44" s="37"/>
      <c r="T44" s="37" t="s">
        <v>247</v>
      </c>
      <c r="U44" s="49"/>
      <c r="V44" s="90" t="str">
        <f ca="1"/>
        <v xml:space="preserve"> </v>
      </c>
      <c r="X44" t="str">
        <v/>
      </c>
      <c r="Z44" t="str">
        <v/>
      </c>
      <c r="AA44" s="48"/>
      <c r="AC44" s="54"/>
      <c r="AD44" s="54"/>
      <c r="AE44" s="54"/>
      <c r="AF44" s="54"/>
      <c r="AG44" s="54"/>
      <c r="AH44" s="54"/>
      <c r="AI44" s="54"/>
      <c r="AJ44" s="54"/>
      <c r="AK44" s="54"/>
      <c r="AL44" s="54"/>
      <c r="AM44" s="54"/>
      <c r="AN44" s="54"/>
      <c r="AO44" s="54"/>
      <c r="AP44" s="54"/>
      <c r="AQ44" s="54"/>
    </row>
    <row r="45" spans="2:43" x14ac:dyDescent="0.45">
      <c r="B45" s="66" cm="1">
        <f t="array" aca="1" ref="B45" ca="1">FileSize(Folder&amp;Tests[[#This Row],[FileName]])</f>
        <v>50</v>
      </c>
      <c r="C45" s="60">
        <v>32</v>
      </c>
      <c r="D45" s="38" t="s">
        <v>317</v>
      </c>
      <c r="E45" s="37" t="b">
        <v>1</v>
      </c>
      <c r="F45" s="39" t="s">
        <v>246</v>
      </c>
      <c r="G45" s="39" t="b">
        <v>0</v>
      </c>
      <c r="H45" s="39" t="s">
        <v>246</v>
      </c>
      <c r="I45" s="39" t="s">
        <v>246</v>
      </c>
      <c r="J45" s="39" t="b">
        <v>1</v>
      </c>
      <c r="K45" s="39"/>
      <c r="L45" s="37">
        <v>1</v>
      </c>
      <c r="M45" s="37">
        <v>1</v>
      </c>
      <c r="N45" s="37">
        <v>0</v>
      </c>
      <c r="O45" s="37">
        <v>0</v>
      </c>
      <c r="P45" s="37"/>
      <c r="Q45" s="37"/>
      <c r="R45" s="37"/>
      <c r="S45" s="37"/>
      <c r="T45" s="37" t="s">
        <v>247</v>
      </c>
      <c r="U45" s="49"/>
      <c r="V45" s="90" t="str">
        <f ca="1"/>
        <v xml:space="preserve"> </v>
      </c>
      <c r="X45" t="str">
        <v/>
      </c>
      <c r="Z45" t="str">
        <v/>
      </c>
      <c r="AA45" s="48"/>
      <c r="AC45" s="54"/>
      <c r="AD45" s="54"/>
      <c r="AE45" s="54"/>
      <c r="AF45" s="54"/>
      <c r="AG45" s="54"/>
      <c r="AH45" s="54"/>
      <c r="AI45" s="54"/>
      <c r="AJ45" s="54"/>
      <c r="AK45" s="54"/>
      <c r="AL45" s="54"/>
      <c r="AM45" s="54"/>
      <c r="AN45" s="54"/>
      <c r="AO45" s="54"/>
      <c r="AP45" s="54"/>
      <c r="AQ45" s="54"/>
    </row>
    <row r="46" spans="2:43" x14ac:dyDescent="0.45">
      <c r="B46" s="66" cm="1">
        <f t="array" aca="1" ref="B46" ca="1">FileSize(Folder&amp;Tests[[#This Row],[FileName]])</f>
        <v>50</v>
      </c>
      <c r="C46" s="60">
        <v>33</v>
      </c>
      <c r="D46" s="38" t="s">
        <v>318</v>
      </c>
      <c r="E46" s="37" t="b">
        <v>1</v>
      </c>
      <c r="F46" s="39" t="s">
        <v>246</v>
      </c>
      <c r="G46" s="39" t="b">
        <v>0</v>
      </c>
      <c r="H46" s="39" t="s">
        <v>246</v>
      </c>
      <c r="I46" s="39" t="s">
        <v>246</v>
      </c>
      <c r="J46" s="39" t="b">
        <v>1</v>
      </c>
      <c r="K46" s="39"/>
      <c r="L46" s="37">
        <v>1</v>
      </c>
      <c r="M46" s="37">
        <v>1</v>
      </c>
      <c r="N46" s="37">
        <v>0</v>
      </c>
      <c r="O46" s="37">
        <v>0</v>
      </c>
      <c r="P46" s="37"/>
      <c r="Q46" s="37"/>
      <c r="R46" s="37"/>
      <c r="S46" s="37"/>
      <c r="T46" s="37" t="s">
        <v>247</v>
      </c>
      <c r="U46" s="49"/>
      <c r="V46" s="90" t="str">
        <f ca="1"/>
        <v xml:space="preserve"> </v>
      </c>
      <c r="X46" t="str">
        <v/>
      </c>
      <c r="Z46" t="str">
        <v/>
      </c>
      <c r="AA46" s="48"/>
      <c r="AC46" s="54"/>
      <c r="AD46" s="54"/>
      <c r="AE46" s="54"/>
      <c r="AF46" s="54"/>
      <c r="AG46" s="54"/>
      <c r="AH46" s="54"/>
      <c r="AI46" s="54"/>
      <c r="AJ46" s="54"/>
      <c r="AK46" s="54"/>
      <c r="AL46" s="54"/>
      <c r="AM46" s="54"/>
      <c r="AN46" s="54"/>
      <c r="AO46" s="54"/>
      <c r="AP46" s="54"/>
      <c r="AQ46" s="54"/>
    </row>
    <row r="47" spans="2:43" x14ac:dyDescent="0.45">
      <c r="B47" s="66" cm="1">
        <f t="array" aca="1" ref="B47" ca="1">FileSize(Folder&amp;Tests[[#This Row],[FileName]])</f>
        <v>50</v>
      </c>
      <c r="C47" s="60">
        <v>34</v>
      </c>
      <c r="D47" s="38" t="s">
        <v>319</v>
      </c>
      <c r="E47" s="37" t="b">
        <v>1</v>
      </c>
      <c r="F47" s="39" t="s">
        <v>246</v>
      </c>
      <c r="G47" s="39" t="b">
        <v>0</v>
      </c>
      <c r="H47" s="39" t="s">
        <v>246</v>
      </c>
      <c r="I47" s="39" t="s">
        <v>246</v>
      </c>
      <c r="J47" s="39" t="b">
        <v>1</v>
      </c>
      <c r="K47" s="39"/>
      <c r="L47" s="37">
        <v>1</v>
      </c>
      <c r="M47" s="37">
        <v>1</v>
      </c>
      <c r="N47" s="37">
        <v>0</v>
      </c>
      <c r="O47" s="37">
        <v>0</v>
      </c>
      <c r="P47" s="37"/>
      <c r="Q47" s="37"/>
      <c r="R47" s="37"/>
      <c r="S47" s="37"/>
      <c r="T47" s="37" t="s">
        <v>247</v>
      </c>
      <c r="U47" s="46" t="s">
        <v>569</v>
      </c>
      <c r="V47" s="90" t="str">
        <f ca="1"/>
        <v xml:space="preserve"> </v>
      </c>
      <c r="X47" t="str">
        <v/>
      </c>
      <c r="Z47" t="str">
        <v/>
      </c>
      <c r="AA47" s="48"/>
      <c r="AC47" s="54"/>
      <c r="AD47" s="54"/>
      <c r="AE47" s="54"/>
      <c r="AF47" s="54"/>
      <c r="AG47" s="54"/>
      <c r="AH47" s="54"/>
      <c r="AI47" s="54"/>
      <c r="AJ47" s="54"/>
      <c r="AK47" s="54"/>
      <c r="AL47" s="54"/>
      <c r="AM47" s="54"/>
      <c r="AN47" s="54"/>
      <c r="AO47" s="54"/>
      <c r="AP47" s="54"/>
      <c r="AQ47" s="54"/>
    </row>
    <row r="48" spans="2:43" x14ac:dyDescent="0.45">
      <c r="B48" s="66" cm="1">
        <f t="array" aca="1" ref="B48" ca="1">FileSize(Folder&amp;Tests[[#This Row],[FileName]])</f>
        <v>51</v>
      </c>
      <c r="C48" s="60">
        <v>35</v>
      </c>
      <c r="D48" s="38" t="s">
        <v>320</v>
      </c>
      <c r="E48" s="37" t="b">
        <v>1</v>
      </c>
      <c r="F48" s="39" t="s">
        <v>246</v>
      </c>
      <c r="G48" s="39" t="b">
        <v>0</v>
      </c>
      <c r="H48" s="39" t="s">
        <v>246</v>
      </c>
      <c r="I48" s="39" t="s">
        <v>246</v>
      </c>
      <c r="J48" s="39" t="b">
        <v>1</v>
      </c>
      <c r="K48" s="39"/>
      <c r="L48" s="37">
        <v>1</v>
      </c>
      <c r="M48" s="37">
        <v>1</v>
      </c>
      <c r="N48" s="37">
        <v>0</v>
      </c>
      <c r="O48" s="37">
        <v>0</v>
      </c>
      <c r="P48" s="37"/>
      <c r="Q48" s="37"/>
      <c r="R48" s="37" t="s">
        <v>488</v>
      </c>
      <c r="S48" s="37"/>
      <c r="T48" s="37" t="s">
        <v>247</v>
      </c>
      <c r="U48" s="49"/>
      <c r="V48" s="90" t="str">
        <f ca="1"/>
        <v xml:space="preserve"> </v>
      </c>
      <c r="X48" t="str">
        <v/>
      </c>
      <c r="Z48" t="str">
        <v/>
      </c>
      <c r="AA48" s="48"/>
      <c r="AC48" s="54"/>
      <c r="AD48" s="54"/>
      <c r="AE48" s="54"/>
      <c r="AF48" s="54"/>
      <c r="AG48" s="54"/>
      <c r="AH48" s="54"/>
      <c r="AI48" s="54"/>
      <c r="AJ48" s="54"/>
      <c r="AK48" s="54"/>
      <c r="AL48" s="54"/>
      <c r="AM48" s="54"/>
      <c r="AN48" s="54"/>
      <c r="AO48" s="54"/>
      <c r="AP48" s="54"/>
      <c r="AQ48" s="54"/>
    </row>
    <row r="49" spans="2:43" x14ac:dyDescent="0.45">
      <c r="B49" s="66" cm="1">
        <f t="array" aca="1" ref="B49" ca="1">FileSize(Folder&amp;Tests[[#This Row],[FileName]])</f>
        <v>52</v>
      </c>
      <c r="C49" s="59">
        <v>36</v>
      </c>
      <c r="D49" s="38" t="s">
        <v>321</v>
      </c>
      <c r="E49" s="37" t="s">
        <v>398</v>
      </c>
      <c r="F49" s="39" t="s">
        <v>246</v>
      </c>
      <c r="G49" s="39" t="b">
        <v>0</v>
      </c>
      <c r="H49" s="39" t="s">
        <v>246</v>
      </c>
      <c r="I49" s="39" t="s">
        <v>246</v>
      </c>
      <c r="J49" s="39" t="b">
        <v>1</v>
      </c>
      <c r="K49" s="39"/>
      <c r="L49" s="37">
        <v>1</v>
      </c>
      <c r="M49" s="37">
        <v>1</v>
      </c>
      <c r="N49" s="37">
        <v>0</v>
      </c>
      <c r="O49" s="37">
        <v>0</v>
      </c>
      <c r="P49" s="37"/>
      <c r="Q49" s="37"/>
      <c r="R49" s="37"/>
      <c r="S49" s="37"/>
      <c r="T49" s="37" t="s">
        <v>247</v>
      </c>
      <c r="U49" s="50"/>
      <c r="V49" s="90" t="str">
        <f ca="1"/>
        <v xml:space="preserve"> </v>
      </c>
      <c r="X49" t="str">
        <v/>
      </c>
      <c r="Z49" t="str">
        <v/>
      </c>
      <c r="AA49" s="48"/>
      <c r="AC49" s="54"/>
      <c r="AD49" s="54"/>
      <c r="AE49" s="54"/>
      <c r="AF49" s="54"/>
      <c r="AG49" s="54"/>
      <c r="AH49" s="54"/>
      <c r="AI49" s="54"/>
      <c r="AJ49" s="54"/>
      <c r="AK49" s="54"/>
      <c r="AL49" s="54"/>
      <c r="AM49" s="54"/>
      <c r="AN49" s="54"/>
      <c r="AO49" s="54"/>
      <c r="AP49" s="54"/>
      <c r="AQ49" s="54"/>
    </row>
    <row r="50" spans="2:43" x14ac:dyDescent="0.45">
      <c r="B50" s="66" cm="1">
        <f t="array" aca="1" ref="B50" ca="1">FileSize(Folder&amp;Tests[[#This Row],[FileName]])</f>
        <v>53</v>
      </c>
      <c r="C50" s="59">
        <v>37</v>
      </c>
      <c r="D50" s="38" t="s">
        <v>322</v>
      </c>
      <c r="E50" s="37" t="b">
        <v>1</v>
      </c>
      <c r="F50" s="39" t="s">
        <v>246</v>
      </c>
      <c r="G50" s="39" t="b">
        <v>0</v>
      </c>
      <c r="H50" s="39" t="s">
        <v>246</v>
      </c>
      <c r="I50" s="39" t="s">
        <v>246</v>
      </c>
      <c r="J50" s="39" t="b">
        <v>1</v>
      </c>
      <c r="K50" s="39"/>
      <c r="L50" s="37">
        <v>1</v>
      </c>
      <c r="M50" s="37">
        <v>1</v>
      </c>
      <c r="N50" s="37">
        <v>0</v>
      </c>
      <c r="O50" s="37">
        <v>0</v>
      </c>
      <c r="P50" s="37"/>
      <c r="Q50" s="37"/>
      <c r="R50" s="37"/>
      <c r="S50" s="37"/>
      <c r="T50" s="37" t="s">
        <v>247</v>
      </c>
      <c r="U50" s="46" t="s">
        <v>385</v>
      </c>
      <c r="V50" s="90" t="str">
        <f ca="1"/>
        <v xml:space="preserve"> </v>
      </c>
      <c r="X50" t="str">
        <v/>
      </c>
      <c r="Z50" t="str">
        <v/>
      </c>
      <c r="AC50" s="53"/>
      <c r="AD50" s="53"/>
      <c r="AE50" s="53"/>
      <c r="AF50" s="53"/>
      <c r="AG50" s="53"/>
      <c r="AH50" s="53"/>
      <c r="AI50" s="53"/>
      <c r="AJ50" s="53"/>
      <c r="AK50" s="53"/>
      <c r="AL50" s="53"/>
      <c r="AM50" s="53"/>
      <c r="AN50" s="53"/>
      <c r="AO50" s="53"/>
      <c r="AP50" s="53"/>
      <c r="AQ50" s="53"/>
    </row>
    <row r="51" spans="2:43" x14ac:dyDescent="0.45">
      <c r="B51" s="66" cm="1">
        <f t="array" aca="1" ref="B51" ca="1">FileSize(Folder&amp;Tests[[#This Row],[FileName]])</f>
        <v>53</v>
      </c>
      <c r="C51" s="59">
        <v>38</v>
      </c>
      <c r="D51" s="38" t="s">
        <v>323</v>
      </c>
      <c r="E51" s="37" t="b">
        <v>1</v>
      </c>
      <c r="F51" s="39" t="s">
        <v>246</v>
      </c>
      <c r="G51" s="39" t="b">
        <v>0</v>
      </c>
      <c r="H51" s="39" t="s">
        <v>246</v>
      </c>
      <c r="I51" s="39" t="s">
        <v>246</v>
      </c>
      <c r="J51" s="39" t="b">
        <v>1</v>
      </c>
      <c r="K51" s="39"/>
      <c r="L51" s="37">
        <v>1</v>
      </c>
      <c r="M51" s="37">
        <v>1</v>
      </c>
      <c r="N51" s="37">
        <v>0</v>
      </c>
      <c r="O51" s="37">
        <v>0</v>
      </c>
      <c r="P51" s="37"/>
      <c r="Q51" s="37"/>
      <c r="R51" s="37"/>
      <c r="S51" s="37"/>
      <c r="T51" s="37" t="s">
        <v>247</v>
      </c>
      <c r="U51" s="46"/>
      <c r="V51" s="90" t="str">
        <f ca="1"/>
        <v xml:space="preserve"> </v>
      </c>
      <c r="X51" t="str">
        <v/>
      </c>
      <c r="Z51" t="str">
        <v/>
      </c>
      <c r="AC51" s="53"/>
      <c r="AD51" s="53"/>
      <c r="AE51" s="53"/>
      <c r="AF51" s="53"/>
      <c r="AG51" s="53"/>
      <c r="AH51" s="53"/>
      <c r="AI51" s="53"/>
      <c r="AJ51" s="53"/>
      <c r="AK51" s="53"/>
      <c r="AL51" s="53"/>
      <c r="AM51" s="53"/>
      <c r="AN51" s="53"/>
      <c r="AO51" s="53"/>
      <c r="AP51" s="53"/>
      <c r="AQ51" s="53"/>
    </row>
    <row r="52" spans="2:43" x14ac:dyDescent="0.45">
      <c r="B52" s="66" cm="1">
        <f t="array" aca="1" ref="B52" ca="1">FileSize(Folder&amp;Tests[[#This Row],[FileName]])</f>
        <v>57</v>
      </c>
      <c r="C52" s="60">
        <v>39</v>
      </c>
      <c r="D52" s="38" t="s">
        <v>324</v>
      </c>
      <c r="E52" s="37" t="b">
        <v>1</v>
      </c>
      <c r="F52" s="39" t="s">
        <v>246</v>
      </c>
      <c r="G52" s="39" t="b">
        <v>0</v>
      </c>
      <c r="H52" s="39" t="s">
        <v>246</v>
      </c>
      <c r="I52" s="39" t="s">
        <v>246</v>
      </c>
      <c r="J52" s="39" t="b">
        <v>1</v>
      </c>
      <c r="K52" s="39"/>
      <c r="L52" s="37">
        <v>1</v>
      </c>
      <c r="M52" s="37">
        <v>1</v>
      </c>
      <c r="N52" s="37">
        <v>0</v>
      </c>
      <c r="O52" s="37">
        <v>0</v>
      </c>
      <c r="P52" s="37"/>
      <c r="Q52" s="37"/>
      <c r="R52" s="37"/>
      <c r="S52" s="37"/>
      <c r="T52" s="37" t="s">
        <v>247</v>
      </c>
      <c r="U52" s="49"/>
      <c r="V52" s="90" t="str">
        <f ca="1"/>
        <v xml:space="preserve"> </v>
      </c>
      <c r="X52" t="str">
        <v/>
      </c>
      <c r="Z52" t="str">
        <v/>
      </c>
      <c r="AC52" s="53"/>
      <c r="AD52" s="53"/>
      <c r="AE52" s="53"/>
      <c r="AF52" s="53"/>
      <c r="AG52" s="53"/>
      <c r="AH52" s="53"/>
      <c r="AI52" s="53"/>
      <c r="AJ52" s="53"/>
      <c r="AK52" s="53"/>
      <c r="AL52" s="53"/>
      <c r="AM52" s="53"/>
      <c r="AN52" s="53"/>
      <c r="AO52" s="53"/>
      <c r="AP52" s="53"/>
      <c r="AQ52" s="53"/>
    </row>
    <row r="53" spans="2:43" x14ac:dyDescent="0.45">
      <c r="B53" s="65" cm="1">
        <f t="array" aca="1" ref="B53" ca="1">FileSize(Folder&amp;Tests[[#This Row],[FileName]])</f>
        <v>59</v>
      </c>
      <c r="C53" s="59">
        <v>40</v>
      </c>
      <c r="D53" s="38" t="s">
        <v>326</v>
      </c>
      <c r="E53" s="37" t="b">
        <v>1</v>
      </c>
      <c r="F53" s="39" t="s">
        <v>246</v>
      </c>
      <c r="G53" s="39" t="b">
        <v>0</v>
      </c>
      <c r="H53" s="39" t="s">
        <v>246</v>
      </c>
      <c r="I53" s="39" t="s">
        <v>246</v>
      </c>
      <c r="J53" s="39" t="b">
        <v>1</v>
      </c>
      <c r="K53" s="39"/>
      <c r="L53" s="37">
        <v>1</v>
      </c>
      <c r="M53" s="37">
        <v>1</v>
      </c>
      <c r="N53" s="37">
        <v>0</v>
      </c>
      <c r="O53" s="37">
        <v>0</v>
      </c>
      <c r="P53" s="37"/>
      <c r="Q53" s="37"/>
      <c r="R53" s="58" t="s">
        <v>491</v>
      </c>
      <c r="S53" s="37"/>
      <c r="T53" s="37" t="s">
        <v>248</v>
      </c>
      <c r="U53" s="49"/>
      <c r="V53" s="90" t="str">
        <f ca="1"/>
        <v xml:space="preserve"> </v>
      </c>
      <c r="X53" t="str">
        <v/>
      </c>
      <c r="Z53" t="str">
        <v/>
      </c>
      <c r="AC53" s="53"/>
      <c r="AD53" s="53"/>
      <c r="AE53" s="53"/>
      <c r="AF53" s="53"/>
      <c r="AG53" s="53"/>
      <c r="AH53" s="53"/>
      <c r="AI53" s="53"/>
      <c r="AJ53" s="53"/>
      <c r="AK53" s="53"/>
      <c r="AL53" s="53"/>
      <c r="AM53" s="53"/>
      <c r="AN53" s="53"/>
      <c r="AO53" s="53"/>
      <c r="AP53" s="53"/>
      <c r="AQ53" s="53"/>
    </row>
    <row r="54" spans="2:43" x14ac:dyDescent="0.45">
      <c r="B54" s="65" cm="1">
        <f t="array" aca="1" ref="B54" ca="1">FileSize(Folder&amp;Tests[[#This Row],[FileName]])</f>
        <v>59</v>
      </c>
      <c r="C54" s="59">
        <v>41</v>
      </c>
      <c r="D54" s="43" t="s">
        <v>327</v>
      </c>
      <c r="E54" s="37" t="b">
        <v>1</v>
      </c>
      <c r="F54" s="39" t="s">
        <v>246</v>
      </c>
      <c r="G54" s="39" t="b">
        <v>0</v>
      </c>
      <c r="H54" s="39" t="s">
        <v>474</v>
      </c>
      <c r="I54" s="39" t="s">
        <v>246</v>
      </c>
      <c r="J54" s="39" t="b">
        <v>1</v>
      </c>
      <c r="K54" s="39"/>
      <c r="L54" s="37">
        <v>1</v>
      </c>
      <c r="M54" s="37">
        <v>1</v>
      </c>
      <c r="N54" s="37">
        <v>0</v>
      </c>
      <c r="O54" s="37">
        <v>0</v>
      </c>
      <c r="P54" s="37"/>
      <c r="Q54" s="37"/>
      <c r="R54" s="37"/>
      <c r="S54" s="37"/>
      <c r="T54" s="37" t="s">
        <v>247</v>
      </c>
      <c r="U54" s="49" t="s">
        <v>256</v>
      </c>
      <c r="V54" s="90" t="str">
        <f ca="1"/>
        <v xml:space="preserve"> </v>
      </c>
      <c r="X54" t="str">
        <v/>
      </c>
      <c r="Z54" t="str">
        <v/>
      </c>
      <c r="AC54" s="53"/>
      <c r="AD54" s="53"/>
      <c r="AE54" s="53"/>
      <c r="AF54" s="53"/>
      <c r="AG54" s="53"/>
      <c r="AH54" s="53"/>
      <c r="AI54" s="53"/>
      <c r="AJ54" s="53"/>
      <c r="AK54" s="53"/>
      <c r="AL54" s="53"/>
      <c r="AM54" s="53"/>
      <c r="AN54" s="53"/>
      <c r="AO54" s="53"/>
      <c r="AP54" s="53"/>
      <c r="AQ54" s="53"/>
    </row>
    <row r="55" spans="2:43" x14ac:dyDescent="0.45">
      <c r="B55" s="65" cm="1">
        <f t="array" aca="1" ref="B55" ca="1">FileSize(Folder&amp;Tests[[#This Row],[FileName]])</f>
        <v>61</v>
      </c>
      <c r="C55" s="59">
        <v>42</v>
      </c>
      <c r="D55" s="38" t="s">
        <v>328</v>
      </c>
      <c r="E55" s="37" t="b">
        <v>1</v>
      </c>
      <c r="F55" s="39" t="s">
        <v>246</v>
      </c>
      <c r="G55" s="39" t="b">
        <v>0</v>
      </c>
      <c r="H55" s="39" t="s">
        <v>246</v>
      </c>
      <c r="I55" s="39" t="s">
        <v>246</v>
      </c>
      <c r="J55" s="39" t="b">
        <v>1</v>
      </c>
      <c r="K55" s="39"/>
      <c r="L55" s="37">
        <v>1</v>
      </c>
      <c r="M55" s="37">
        <v>1</v>
      </c>
      <c r="N55" s="37">
        <v>0</v>
      </c>
      <c r="O55" s="37">
        <v>0</v>
      </c>
      <c r="P55" s="37"/>
      <c r="Q55" s="37"/>
      <c r="R55" s="37" t="s">
        <v>492</v>
      </c>
      <c r="S55" s="37"/>
      <c r="T55" s="37" t="s">
        <v>247</v>
      </c>
      <c r="U55" s="49"/>
      <c r="V55" s="90" t="str">
        <f ca="1"/>
        <v xml:space="preserve"> </v>
      </c>
      <c r="X55" t="str">
        <v/>
      </c>
      <c r="Z55" t="str">
        <v/>
      </c>
      <c r="AC55" s="53"/>
      <c r="AD55" s="53"/>
      <c r="AE55" s="53"/>
      <c r="AF55" s="53"/>
      <c r="AG55" s="53"/>
      <c r="AH55" s="53"/>
      <c r="AI55" s="53"/>
      <c r="AJ55" s="53"/>
      <c r="AK55" s="53"/>
      <c r="AL55" s="53"/>
      <c r="AM55" s="53"/>
      <c r="AN55" s="53"/>
      <c r="AO55" s="53"/>
      <c r="AP55" s="53"/>
      <c r="AQ55" s="53"/>
    </row>
    <row r="56" spans="2:43" x14ac:dyDescent="0.45">
      <c r="B56" s="65" cm="1">
        <f t="array" aca="1" ref="B56" ca="1">FileSize(Folder&amp;Tests[[#This Row],[FileName]])</f>
        <v>65</v>
      </c>
      <c r="C56" s="59">
        <v>43</v>
      </c>
      <c r="D56" s="38" t="s">
        <v>332</v>
      </c>
      <c r="E56" s="37" t="b">
        <v>1</v>
      </c>
      <c r="F56" s="39" t="s">
        <v>260</v>
      </c>
      <c r="G56" s="39" t="b">
        <v>0</v>
      </c>
      <c r="H56" s="39" t="s">
        <v>246</v>
      </c>
      <c r="I56" s="39" t="s">
        <v>246</v>
      </c>
      <c r="J56" s="39" t="b">
        <v>1</v>
      </c>
      <c r="K56" s="39"/>
      <c r="L56" s="37">
        <v>1</v>
      </c>
      <c r="M56" s="37">
        <v>1</v>
      </c>
      <c r="N56" s="37">
        <v>0</v>
      </c>
      <c r="O56" s="37">
        <v>0</v>
      </c>
      <c r="P56" s="37"/>
      <c r="Q56" s="37"/>
      <c r="R56" s="37"/>
      <c r="S56" s="37"/>
      <c r="T56" s="37" t="s">
        <v>247</v>
      </c>
      <c r="U56" s="49"/>
      <c r="V56" s="90" t="str">
        <f ca="1"/>
        <v xml:space="preserve"> </v>
      </c>
      <c r="X56" t="str">
        <v/>
      </c>
      <c r="Z56" t="str">
        <v/>
      </c>
      <c r="AC56" s="53"/>
      <c r="AD56" s="53"/>
      <c r="AE56" s="53"/>
      <c r="AF56" s="53"/>
      <c r="AG56" s="53"/>
      <c r="AH56" s="53"/>
      <c r="AI56" s="53"/>
      <c r="AJ56" s="53"/>
      <c r="AK56" s="53"/>
      <c r="AL56" s="53"/>
      <c r="AM56" s="53"/>
      <c r="AN56" s="53"/>
      <c r="AO56" s="53"/>
      <c r="AP56" s="53"/>
      <c r="AQ56" s="53"/>
    </row>
    <row r="57" spans="2:43" x14ac:dyDescent="0.45">
      <c r="B57" s="65" cm="1">
        <f t="array" aca="1" ref="B57" ca="1">FileSize(Folder&amp;Tests[[#This Row],[FileName]])</f>
        <v>66</v>
      </c>
      <c r="C57" s="59">
        <v>44</v>
      </c>
      <c r="D57" s="38" t="s">
        <v>333</v>
      </c>
      <c r="E57" s="37" t="b">
        <v>1</v>
      </c>
      <c r="F57" s="39" t="s">
        <v>246</v>
      </c>
      <c r="G57" s="39" t="b">
        <v>0</v>
      </c>
      <c r="H57" s="39" t="s">
        <v>246</v>
      </c>
      <c r="I57" s="39" t="s">
        <v>246</v>
      </c>
      <c r="J57" s="39" t="b">
        <v>1</v>
      </c>
      <c r="K57" s="39"/>
      <c r="L57" s="37">
        <v>1</v>
      </c>
      <c r="M57" s="37">
        <v>1</v>
      </c>
      <c r="N57" s="37">
        <v>0</v>
      </c>
      <c r="O57" s="37">
        <v>0</v>
      </c>
      <c r="P57" s="37"/>
      <c r="Q57" s="37"/>
      <c r="R57" s="37"/>
      <c r="S57" s="37"/>
      <c r="T57" s="37" t="s">
        <v>247</v>
      </c>
      <c r="U57" s="49"/>
      <c r="V57" s="90" t="str">
        <f ca="1"/>
        <v xml:space="preserve"> </v>
      </c>
      <c r="X57" t="str">
        <v/>
      </c>
      <c r="Z57" t="str">
        <v/>
      </c>
      <c r="AC57" s="53"/>
      <c r="AD57" s="53"/>
      <c r="AE57" s="53"/>
      <c r="AF57" s="53"/>
      <c r="AG57" s="53"/>
      <c r="AH57" s="53"/>
      <c r="AI57" s="53"/>
      <c r="AJ57" s="53"/>
      <c r="AK57" s="53"/>
      <c r="AL57" s="53"/>
      <c r="AM57" s="53"/>
      <c r="AN57" s="53"/>
      <c r="AO57" s="53"/>
      <c r="AP57" s="53"/>
      <c r="AQ57" s="53"/>
    </row>
    <row r="58" spans="2:43" x14ac:dyDescent="0.45">
      <c r="B58" s="65" cm="1">
        <f t="array" aca="1" ref="B58" ca="1">FileSize(Folder&amp;Tests[[#This Row],[FileName]])</f>
        <v>67</v>
      </c>
      <c r="C58" s="59">
        <v>45</v>
      </c>
      <c r="D58" s="38" t="s">
        <v>334</v>
      </c>
      <c r="E58" s="37" t="b">
        <v>1</v>
      </c>
      <c r="F58" s="39" t="s">
        <v>246</v>
      </c>
      <c r="G58" s="39" t="b">
        <v>0</v>
      </c>
      <c r="H58" s="39" t="s">
        <v>246</v>
      </c>
      <c r="I58" s="39" t="s">
        <v>246</v>
      </c>
      <c r="J58" s="39" t="b">
        <v>1</v>
      </c>
      <c r="K58" s="39"/>
      <c r="L58" s="37">
        <v>1</v>
      </c>
      <c r="M58" s="37">
        <v>1</v>
      </c>
      <c r="N58" s="37">
        <v>0</v>
      </c>
      <c r="O58" s="37">
        <v>0</v>
      </c>
      <c r="P58" s="37"/>
      <c r="Q58" s="37"/>
      <c r="R58" s="37"/>
      <c r="S58" s="37"/>
      <c r="T58" s="37" t="s">
        <v>247</v>
      </c>
      <c r="U58" s="49"/>
      <c r="V58" s="90" t="str">
        <f ca="1"/>
        <v xml:space="preserve"> </v>
      </c>
      <c r="X58" t="str">
        <v/>
      </c>
      <c r="Z58" t="str">
        <v/>
      </c>
      <c r="AC58" s="53"/>
      <c r="AD58" s="53"/>
      <c r="AE58" s="53"/>
      <c r="AF58" s="53"/>
      <c r="AG58" s="53"/>
      <c r="AH58" s="53"/>
      <c r="AI58" s="53"/>
      <c r="AJ58" s="53"/>
      <c r="AK58" s="53"/>
      <c r="AL58" s="53"/>
      <c r="AM58" s="53"/>
      <c r="AN58" s="53"/>
      <c r="AO58" s="53"/>
      <c r="AP58" s="53"/>
      <c r="AQ58" s="53"/>
    </row>
    <row r="59" spans="2:43" x14ac:dyDescent="0.45">
      <c r="B59" s="65" cm="1">
        <f t="array" aca="1" ref="B59" ca="1">FileSize(Folder&amp;Tests[[#This Row],[FileName]])</f>
        <v>84</v>
      </c>
      <c r="C59" s="60">
        <v>46</v>
      </c>
      <c r="D59" s="38" t="s">
        <v>337</v>
      </c>
      <c r="E59" s="37" t="b">
        <v>1</v>
      </c>
      <c r="F59" s="39" t="s">
        <v>246</v>
      </c>
      <c r="G59" s="39" t="b">
        <v>0</v>
      </c>
      <c r="H59" s="39" t="s">
        <v>246</v>
      </c>
      <c r="I59" s="39" t="s">
        <v>414</v>
      </c>
      <c r="J59" s="39" t="b">
        <v>1</v>
      </c>
      <c r="K59" s="39"/>
      <c r="L59" s="37">
        <v>1</v>
      </c>
      <c r="M59" s="37">
        <v>1</v>
      </c>
      <c r="N59" s="37">
        <v>0</v>
      </c>
      <c r="O59" s="37">
        <v>0</v>
      </c>
      <c r="P59" s="37"/>
      <c r="Q59" s="37"/>
      <c r="R59" s="37"/>
      <c r="S59" s="37"/>
      <c r="T59" s="37" t="s">
        <v>247</v>
      </c>
      <c r="U59" s="49"/>
      <c r="V59" s="90" t="str">
        <f ca="1"/>
        <v xml:space="preserve"> </v>
      </c>
      <c r="X59" t="str">
        <v/>
      </c>
      <c r="Z59" t="str">
        <v/>
      </c>
      <c r="AC59" s="53"/>
      <c r="AD59" s="53"/>
      <c r="AE59" s="53"/>
      <c r="AF59" s="53"/>
      <c r="AG59" s="53"/>
      <c r="AH59" s="53"/>
      <c r="AI59" s="53"/>
      <c r="AJ59" s="53"/>
      <c r="AK59" s="53"/>
      <c r="AL59" s="53"/>
      <c r="AM59" s="53"/>
      <c r="AN59" s="53"/>
      <c r="AO59" s="53"/>
      <c r="AP59" s="53"/>
      <c r="AQ59" s="53"/>
    </row>
    <row r="60" spans="2:43" x14ac:dyDescent="0.45">
      <c r="B60" s="65" cm="1">
        <f t="array" aca="1" ref="B60" ca="1">FileSize(Folder&amp;Tests[[#This Row],[FileName]])</f>
        <v>91</v>
      </c>
      <c r="C60" s="59">
        <v>47</v>
      </c>
      <c r="D60" s="38" t="s">
        <v>338</v>
      </c>
      <c r="E60" s="37" t="b">
        <v>1</v>
      </c>
      <c r="F60" s="39" t="s">
        <v>246</v>
      </c>
      <c r="G60" s="39" t="b">
        <v>0</v>
      </c>
      <c r="H60" s="39" t="s">
        <v>246</v>
      </c>
      <c r="I60" s="39" t="s">
        <v>246</v>
      </c>
      <c r="J60" s="39" t="b">
        <v>1</v>
      </c>
      <c r="K60" s="39"/>
      <c r="L60" s="37">
        <v>1</v>
      </c>
      <c r="M60" s="37">
        <v>1</v>
      </c>
      <c r="N60" s="37">
        <v>0</v>
      </c>
      <c r="O60" s="37">
        <v>0</v>
      </c>
      <c r="P60" s="37"/>
      <c r="Q60" s="37"/>
      <c r="R60" s="37"/>
      <c r="S60" s="37"/>
      <c r="T60" s="37" t="s">
        <v>247</v>
      </c>
      <c r="U60" s="49"/>
      <c r="V60" s="90" t="str">
        <f ca="1"/>
        <v xml:space="preserve"> </v>
      </c>
      <c r="AC60" s="53"/>
      <c r="AD60" s="53"/>
      <c r="AE60" s="53"/>
      <c r="AF60" s="53"/>
      <c r="AG60" s="53"/>
      <c r="AH60" s="53"/>
      <c r="AI60" s="53"/>
      <c r="AJ60" s="53"/>
      <c r="AK60" s="53"/>
      <c r="AL60" s="53"/>
      <c r="AM60" s="53"/>
      <c r="AN60" s="53"/>
      <c r="AO60" s="53"/>
      <c r="AP60" s="53"/>
      <c r="AQ60" s="53"/>
    </row>
    <row r="61" spans="2:43" x14ac:dyDescent="0.45">
      <c r="B61" s="65" cm="1">
        <f t="array" aca="1" ref="B61" ca="1">FileSize(Folder&amp;Tests[[#This Row],[FileName]])</f>
        <v>96</v>
      </c>
      <c r="C61" s="59">
        <v>48</v>
      </c>
      <c r="D61" s="38" t="s">
        <v>339</v>
      </c>
      <c r="E61" s="37" t="b">
        <v>1</v>
      </c>
      <c r="F61" s="39" t="s">
        <v>246</v>
      </c>
      <c r="G61" s="39" t="b">
        <v>0</v>
      </c>
      <c r="H61" s="39" t="s">
        <v>246</v>
      </c>
      <c r="I61" s="39" t="s">
        <v>414</v>
      </c>
      <c r="J61" s="39" t="b">
        <v>1</v>
      </c>
      <c r="K61" s="39"/>
      <c r="L61" s="37">
        <v>1</v>
      </c>
      <c r="M61" s="37">
        <v>1</v>
      </c>
      <c r="N61" s="37">
        <v>0</v>
      </c>
      <c r="O61" s="37">
        <v>0</v>
      </c>
      <c r="P61" s="37"/>
      <c r="Q61" s="37"/>
      <c r="R61" s="37"/>
      <c r="S61" s="37"/>
      <c r="T61" s="37" t="s">
        <v>247</v>
      </c>
      <c r="U61" s="46"/>
      <c r="V61" s="90" t="str">
        <f ca="1"/>
        <v xml:space="preserve"> </v>
      </c>
      <c r="AC61" s="53"/>
      <c r="AD61" s="53"/>
      <c r="AE61" s="53"/>
      <c r="AF61" s="53"/>
      <c r="AG61" s="53"/>
      <c r="AH61" s="53"/>
      <c r="AI61" s="53"/>
      <c r="AJ61" s="53"/>
      <c r="AK61" s="53"/>
      <c r="AL61" s="53"/>
      <c r="AM61" s="53"/>
      <c r="AN61" s="53"/>
      <c r="AO61" s="53"/>
      <c r="AP61" s="53"/>
      <c r="AQ61" s="53"/>
    </row>
    <row r="62" spans="2:43" x14ac:dyDescent="0.45">
      <c r="B62" s="65" cm="1">
        <f t="array" aca="1" ref="B62" ca="1">FileSize(Folder&amp;Tests[[#This Row],[FileName]])</f>
        <v>100</v>
      </c>
      <c r="C62" s="59">
        <v>49</v>
      </c>
      <c r="D62" s="38" t="s">
        <v>340</v>
      </c>
      <c r="E62" s="37" t="b">
        <v>1</v>
      </c>
      <c r="F62" s="39" t="s">
        <v>246</v>
      </c>
      <c r="G62" s="39" t="b">
        <v>0</v>
      </c>
      <c r="H62" s="39" t="s">
        <v>246</v>
      </c>
      <c r="I62" s="39" t="s">
        <v>246</v>
      </c>
      <c r="J62" s="39" t="b">
        <v>1</v>
      </c>
      <c r="K62" s="39"/>
      <c r="L62" s="37">
        <v>1</v>
      </c>
      <c r="M62" s="37">
        <v>1</v>
      </c>
      <c r="N62" s="37">
        <v>0</v>
      </c>
      <c r="O62" s="37">
        <v>0</v>
      </c>
      <c r="P62" s="37"/>
      <c r="Q62" s="37"/>
      <c r="R62" s="37"/>
      <c r="S62" s="40" t="s">
        <v>465</v>
      </c>
      <c r="T62" s="37" t="s">
        <v>247</v>
      </c>
      <c r="U62" s="46" t="s">
        <v>262</v>
      </c>
      <c r="V62" s="90" t="str">
        <f ca="1"/>
        <v xml:space="preserve"> </v>
      </c>
      <c r="AC62" s="53"/>
      <c r="AD62" s="53"/>
      <c r="AE62" s="53"/>
      <c r="AF62" s="53"/>
      <c r="AG62" s="53"/>
      <c r="AH62" s="53"/>
      <c r="AI62" s="53"/>
      <c r="AJ62" s="53"/>
      <c r="AK62" s="53"/>
      <c r="AL62" s="53"/>
      <c r="AM62" s="53"/>
      <c r="AN62" s="53"/>
      <c r="AO62" s="53"/>
      <c r="AP62" s="53"/>
      <c r="AQ62" s="53"/>
    </row>
    <row r="63" spans="2:43" x14ac:dyDescent="0.45">
      <c r="B63" s="65" cm="1">
        <f t="array" aca="1" ref="B63" ca="1">FileSize(Folder&amp;Tests[[#This Row],[FileName]])</f>
        <v>100</v>
      </c>
      <c r="C63" s="59">
        <v>50</v>
      </c>
      <c r="D63" s="38" t="s">
        <v>342</v>
      </c>
      <c r="E63" s="37" t="b">
        <v>1</v>
      </c>
      <c r="F63" s="39" t="s">
        <v>246</v>
      </c>
      <c r="G63" s="39" t="b">
        <v>0</v>
      </c>
      <c r="H63" s="39" t="s">
        <v>246</v>
      </c>
      <c r="I63" s="39" t="s">
        <v>246</v>
      </c>
      <c r="J63" s="39" t="b">
        <v>1</v>
      </c>
      <c r="K63" s="39"/>
      <c r="L63" s="37">
        <v>1</v>
      </c>
      <c r="M63" s="37">
        <v>1</v>
      </c>
      <c r="N63" s="37">
        <v>0</v>
      </c>
      <c r="O63" s="37">
        <v>0</v>
      </c>
      <c r="P63" s="37"/>
      <c r="Q63" s="37"/>
      <c r="R63" s="37"/>
      <c r="S63" s="40" t="s">
        <v>465</v>
      </c>
      <c r="T63" s="37" t="s">
        <v>247</v>
      </c>
      <c r="U63" s="46" t="s">
        <v>262</v>
      </c>
      <c r="V63" s="90" t="str">
        <f ca="1"/>
        <v xml:space="preserve"> </v>
      </c>
      <c r="AC63" s="53"/>
      <c r="AD63" s="53"/>
      <c r="AE63" s="53"/>
      <c r="AF63" s="53"/>
      <c r="AG63" s="53"/>
      <c r="AH63" s="53"/>
      <c r="AI63" s="53"/>
      <c r="AJ63" s="53"/>
      <c r="AK63" s="53"/>
      <c r="AL63" s="53"/>
      <c r="AM63" s="53"/>
      <c r="AN63" s="53"/>
      <c r="AO63" s="53"/>
      <c r="AP63" s="53"/>
      <c r="AQ63" s="53"/>
    </row>
    <row r="64" spans="2:43" x14ac:dyDescent="0.45">
      <c r="B64" s="65" cm="1">
        <f t="array" aca="1" ref="B64" ca="1">FileSize(Folder&amp;Tests[[#This Row],[FileName]])</f>
        <v>110</v>
      </c>
      <c r="C64" s="47">
        <v>51</v>
      </c>
      <c r="D64" s="38" t="s">
        <v>344</v>
      </c>
      <c r="E64" s="37" t="b">
        <v>1</v>
      </c>
      <c r="F64" s="39" t="s">
        <v>246</v>
      </c>
      <c r="G64" s="39" t="b">
        <v>0</v>
      </c>
      <c r="H64" s="39" t="s">
        <v>498</v>
      </c>
      <c r="I64" s="39" t="s">
        <v>246</v>
      </c>
      <c r="J64" s="39" t="b">
        <v>1</v>
      </c>
      <c r="K64" s="39"/>
      <c r="L64" s="37">
        <v>1</v>
      </c>
      <c r="M64" s="37">
        <v>1</v>
      </c>
      <c r="N64" s="37">
        <v>0</v>
      </c>
      <c r="O64" s="37">
        <v>0</v>
      </c>
      <c r="P64" s="37"/>
      <c r="Q64" s="37"/>
      <c r="R64" s="37"/>
      <c r="S64" s="37"/>
      <c r="T64" s="37" t="s">
        <v>247</v>
      </c>
      <c r="U64" s="49"/>
      <c r="V64" s="90" t="str">
        <f ca="1"/>
        <v xml:space="preserve"> </v>
      </c>
      <c r="AC64" s="53"/>
      <c r="AD64" s="53"/>
      <c r="AE64" s="53"/>
      <c r="AF64" s="53"/>
      <c r="AG64" s="53"/>
      <c r="AH64" s="53"/>
      <c r="AI64" s="53"/>
      <c r="AJ64" s="53"/>
      <c r="AK64" s="53"/>
      <c r="AL64" s="53"/>
      <c r="AM64" s="53"/>
      <c r="AN64" s="53"/>
      <c r="AO64" s="53"/>
      <c r="AP64" s="53"/>
      <c r="AQ64" s="53"/>
    </row>
    <row r="65" spans="2:43" x14ac:dyDescent="0.45">
      <c r="B65" s="65" cm="1">
        <f t="array" aca="1" ref="B65" ca="1">FileSize(Folder&amp;Tests[[#This Row],[FileName]])</f>
        <v>115</v>
      </c>
      <c r="C65" s="59">
        <v>52</v>
      </c>
      <c r="D65" s="38" t="s">
        <v>345</v>
      </c>
      <c r="E65" s="37" t="b">
        <v>1</v>
      </c>
      <c r="F65" s="39" t="s">
        <v>246</v>
      </c>
      <c r="G65" s="39" t="b">
        <v>0</v>
      </c>
      <c r="H65" s="39" t="s">
        <v>246</v>
      </c>
      <c r="I65" s="39" t="s">
        <v>414</v>
      </c>
      <c r="J65" s="39" t="b">
        <v>1</v>
      </c>
      <c r="K65" s="39"/>
      <c r="L65" s="37">
        <v>1</v>
      </c>
      <c r="M65" s="37">
        <v>1</v>
      </c>
      <c r="N65" s="37">
        <v>0</v>
      </c>
      <c r="O65" s="37">
        <v>0</v>
      </c>
      <c r="P65" s="37"/>
      <c r="Q65" s="37"/>
      <c r="R65" s="37"/>
      <c r="S65" s="37"/>
      <c r="T65" s="37" t="s">
        <v>247</v>
      </c>
      <c r="U65" s="49"/>
      <c r="V65" s="90" t="str">
        <f ca="1"/>
        <v xml:space="preserve"> </v>
      </c>
      <c r="AC65" s="53"/>
      <c r="AD65" s="53"/>
      <c r="AE65" s="53"/>
      <c r="AF65" s="53"/>
      <c r="AG65" s="53"/>
      <c r="AH65" s="53"/>
      <c r="AI65" s="53"/>
      <c r="AJ65" s="53"/>
      <c r="AK65" s="53"/>
      <c r="AL65" s="53"/>
      <c r="AM65" s="53"/>
      <c r="AN65" s="53"/>
      <c r="AO65" s="53"/>
      <c r="AP65" s="53"/>
      <c r="AQ65" s="53"/>
    </row>
    <row r="66" spans="2:43" x14ac:dyDescent="0.45">
      <c r="B66" s="65" cm="1">
        <f t="array" aca="1" ref="B66" ca="1">FileSize(Folder&amp;Tests[[#This Row],[FileName]])</f>
        <v>382</v>
      </c>
      <c r="C66" s="47">
        <v>53</v>
      </c>
      <c r="D66" s="38" t="s">
        <v>347</v>
      </c>
      <c r="E66" s="37" t="b">
        <v>1</v>
      </c>
      <c r="F66" s="39" t="s">
        <v>246</v>
      </c>
      <c r="G66" s="39" t="b">
        <v>0</v>
      </c>
      <c r="H66" s="39" t="s">
        <v>253</v>
      </c>
      <c r="I66" s="39" t="s">
        <v>246</v>
      </c>
      <c r="J66" s="39" t="b">
        <v>1</v>
      </c>
      <c r="K66" s="39"/>
      <c r="L66" s="37">
        <v>1</v>
      </c>
      <c r="M66" s="37">
        <v>1</v>
      </c>
      <c r="N66" s="37">
        <v>0</v>
      </c>
      <c r="O66" s="37">
        <v>0</v>
      </c>
      <c r="P66" s="37"/>
      <c r="Q66" s="37"/>
      <c r="R66" s="58" t="s">
        <v>493</v>
      </c>
      <c r="S66" s="37"/>
      <c r="T66" s="37" t="s">
        <v>248</v>
      </c>
      <c r="U66" s="46" t="s">
        <v>559</v>
      </c>
      <c r="V66" s="90" t="str">
        <f ca="1"/>
        <v xml:space="preserve"> </v>
      </c>
      <c r="AC66" s="53"/>
      <c r="AD66" s="53"/>
      <c r="AE66" s="53"/>
      <c r="AF66" s="53"/>
      <c r="AG66" s="53"/>
      <c r="AH66" s="53"/>
      <c r="AI66" s="53"/>
      <c r="AJ66" s="53"/>
      <c r="AK66" s="53"/>
      <c r="AL66" s="53"/>
      <c r="AM66" s="53"/>
      <c r="AN66" s="53"/>
      <c r="AO66" s="53"/>
      <c r="AP66" s="53"/>
      <c r="AQ66" s="53"/>
    </row>
    <row r="67" spans="2:43" x14ac:dyDescent="0.45">
      <c r="B67" s="65" cm="1">
        <f t="array" aca="1" ref="B67" ca="1">FileSize(Folder&amp;Tests[[#This Row],[FileName]])</f>
        <v>400</v>
      </c>
      <c r="C67" s="59">
        <v>54</v>
      </c>
      <c r="D67" s="38" t="s">
        <v>348</v>
      </c>
      <c r="E67" s="37" t="s">
        <v>384</v>
      </c>
      <c r="F67" s="39" t="s">
        <v>246</v>
      </c>
      <c r="G67" s="39" t="b">
        <v>0</v>
      </c>
      <c r="H67" s="39" t="s">
        <v>246</v>
      </c>
      <c r="I67" s="39" t="s">
        <v>414</v>
      </c>
      <c r="J67" s="39" t="b">
        <v>1</v>
      </c>
      <c r="K67" s="39"/>
      <c r="L67" s="37">
        <v>1</v>
      </c>
      <c r="M67" s="37">
        <v>1</v>
      </c>
      <c r="N67" s="37">
        <v>0</v>
      </c>
      <c r="O67" s="37">
        <v>0</v>
      </c>
      <c r="P67" s="37"/>
      <c r="Q67" s="37"/>
      <c r="R67" s="37"/>
      <c r="S67" s="37"/>
      <c r="T67" s="37" t="s">
        <v>247</v>
      </c>
      <c r="U67" s="49"/>
      <c r="V67" s="90" t="str">
        <f ca="1"/>
        <v xml:space="preserve"> </v>
      </c>
      <c r="AC67" s="53"/>
      <c r="AD67" s="53"/>
      <c r="AE67" s="53"/>
      <c r="AF67" s="53"/>
      <c r="AG67" s="53"/>
      <c r="AH67" s="53"/>
      <c r="AI67" s="53"/>
      <c r="AJ67" s="53"/>
      <c r="AK67" s="53"/>
      <c r="AL67" s="53"/>
      <c r="AM67" s="53"/>
      <c r="AN67" s="53"/>
      <c r="AO67" s="53"/>
      <c r="AP67" s="53"/>
      <c r="AQ67" s="53"/>
    </row>
    <row r="68" spans="2:43" x14ac:dyDescent="0.45">
      <c r="B68" s="65" cm="1">
        <f t="array" aca="1" ref="B68" ca="1">FileSize(Folder&amp;Tests[[#This Row],[FileName]])</f>
        <v>446</v>
      </c>
      <c r="C68" s="59">
        <v>55</v>
      </c>
      <c r="D68" s="38" t="s">
        <v>349</v>
      </c>
      <c r="E68" s="37" t="b">
        <v>1</v>
      </c>
      <c r="F68" s="39" t="s">
        <v>249</v>
      </c>
      <c r="G68" s="39" t="b">
        <v>1</v>
      </c>
      <c r="H68" s="39" t="s">
        <v>246</v>
      </c>
      <c r="I68" s="39" t="s">
        <v>246</v>
      </c>
      <c r="J68" s="39" t="b">
        <v>1</v>
      </c>
      <c r="K68" s="39"/>
      <c r="L68" s="37">
        <v>1</v>
      </c>
      <c r="M68" s="37">
        <v>1</v>
      </c>
      <c r="N68" s="37">
        <v>0</v>
      </c>
      <c r="O68" s="37">
        <v>0</v>
      </c>
      <c r="P68" s="37"/>
      <c r="Q68" s="37"/>
      <c r="R68" s="37"/>
      <c r="S68" s="37"/>
      <c r="T68" s="37" t="s">
        <v>247</v>
      </c>
      <c r="U68" s="46"/>
      <c r="V68" s="90" t="str">
        <f ca="1"/>
        <v xml:space="preserve"> </v>
      </c>
      <c r="AC68" s="53"/>
      <c r="AD68" s="53"/>
      <c r="AE68" s="53"/>
      <c r="AF68" s="53"/>
      <c r="AG68" s="53"/>
      <c r="AH68" s="53"/>
      <c r="AI68" s="53"/>
      <c r="AJ68" s="53"/>
      <c r="AK68" s="53"/>
      <c r="AL68" s="53"/>
      <c r="AM68" s="53"/>
      <c r="AN68" s="53"/>
      <c r="AO68" s="53"/>
      <c r="AP68" s="53"/>
      <c r="AQ68" s="53"/>
    </row>
    <row r="69" spans="2:43" x14ac:dyDescent="0.45">
      <c r="B69" s="65" cm="1">
        <f t="array" aca="1" ref="B69" ca="1">FileSize(Folder&amp;Tests[[#This Row],[FileName]])</f>
        <v>585</v>
      </c>
      <c r="C69" s="47">
        <v>56</v>
      </c>
      <c r="D69" s="38" t="s">
        <v>351</v>
      </c>
      <c r="E69" s="37" t="b">
        <v>1</v>
      </c>
      <c r="F69" s="39" t="s">
        <v>246</v>
      </c>
      <c r="G69" s="39" t="b">
        <v>0</v>
      </c>
      <c r="H69" s="39" t="s">
        <v>498</v>
      </c>
      <c r="I69" s="39" t="s">
        <v>246</v>
      </c>
      <c r="J69" s="39" t="b">
        <v>1</v>
      </c>
      <c r="K69" s="39"/>
      <c r="L69" s="37">
        <v>1</v>
      </c>
      <c r="M69" s="37">
        <v>1</v>
      </c>
      <c r="N69" s="37">
        <v>0</v>
      </c>
      <c r="O69" s="37">
        <v>0</v>
      </c>
      <c r="P69" s="37"/>
      <c r="Q69" s="37"/>
      <c r="R69" s="37"/>
      <c r="S69" s="37"/>
      <c r="T69" s="37" t="s">
        <v>247</v>
      </c>
      <c r="U69" s="46"/>
      <c r="V69" s="90" t="str">
        <f ca="1"/>
        <v xml:space="preserve"> </v>
      </c>
      <c r="AC69" s="53"/>
      <c r="AD69" s="53"/>
      <c r="AE69" s="53"/>
      <c r="AF69" s="53"/>
      <c r="AG69" s="53"/>
      <c r="AH69" s="53"/>
      <c r="AI69" s="53"/>
      <c r="AJ69" s="53"/>
      <c r="AK69" s="53"/>
      <c r="AL69" s="53"/>
      <c r="AM69" s="53"/>
      <c r="AN69" s="53"/>
      <c r="AO69" s="53"/>
      <c r="AP69" s="53"/>
      <c r="AQ69" s="53"/>
    </row>
    <row r="70" spans="2:43" x14ac:dyDescent="0.45">
      <c r="B70" s="65" cm="1">
        <f t="array" aca="1" ref="B70" ca="1">FileSize(Folder&amp;Tests[[#This Row],[FileName]])</f>
        <v>664</v>
      </c>
      <c r="C70" s="47">
        <v>57</v>
      </c>
      <c r="D70" s="38" t="s">
        <v>352</v>
      </c>
      <c r="E70" s="37" t="s">
        <v>445</v>
      </c>
      <c r="F70" s="39" t="s">
        <v>246</v>
      </c>
      <c r="G70" s="39" t="b">
        <v>0</v>
      </c>
      <c r="H70" s="39" t="s">
        <v>246</v>
      </c>
      <c r="I70" s="39" t="s">
        <v>246</v>
      </c>
      <c r="J70" s="39" t="b">
        <v>1</v>
      </c>
      <c r="K70" s="39"/>
      <c r="L70" s="37">
        <v>1</v>
      </c>
      <c r="M70" s="37">
        <v>1</v>
      </c>
      <c r="N70" s="37">
        <v>0</v>
      </c>
      <c r="O70" s="37">
        <v>0</v>
      </c>
      <c r="P70" s="37"/>
      <c r="Q70" s="37"/>
      <c r="R70" s="37"/>
      <c r="S70" s="37"/>
      <c r="T70" s="37" t="s">
        <v>247</v>
      </c>
      <c r="U70" s="49"/>
      <c r="V70" s="90" t="str">
        <f ca="1"/>
        <v xml:space="preserve"> </v>
      </c>
      <c r="AC70" s="53"/>
      <c r="AD70" s="53"/>
      <c r="AE70" s="53"/>
      <c r="AF70" s="53"/>
      <c r="AG70" s="53"/>
      <c r="AH70" s="53"/>
      <c r="AI70" s="53"/>
      <c r="AJ70" s="53"/>
      <c r="AK70" s="53"/>
      <c r="AL70" s="53"/>
      <c r="AM70" s="53"/>
      <c r="AN70" s="53"/>
      <c r="AO70" s="53"/>
      <c r="AP70" s="53"/>
      <c r="AQ70" s="53"/>
    </row>
    <row r="71" spans="2:43" x14ac:dyDescent="0.45">
      <c r="B71" s="65" cm="1">
        <f t="array" aca="1" ref="B71" ca="1">FileSize(Folder&amp;Tests[[#This Row],[FileName]])</f>
        <v>716</v>
      </c>
      <c r="C71" s="47">
        <v>58</v>
      </c>
      <c r="D71" s="38" t="s">
        <v>353</v>
      </c>
      <c r="E71" s="37" t="b">
        <v>1</v>
      </c>
      <c r="F71" s="39" t="s">
        <v>249</v>
      </c>
      <c r="G71" s="39" t="b">
        <v>1</v>
      </c>
      <c r="H71" s="39" t="s">
        <v>246</v>
      </c>
      <c r="I71" s="39" t="s">
        <v>246</v>
      </c>
      <c r="J71" s="39" t="b">
        <v>1</v>
      </c>
      <c r="K71" s="39"/>
      <c r="L71" s="37">
        <v>1</v>
      </c>
      <c r="M71" s="37">
        <v>1</v>
      </c>
      <c r="N71" s="37">
        <v>0</v>
      </c>
      <c r="O71" s="37">
        <v>0</v>
      </c>
      <c r="P71" s="37"/>
      <c r="Q71" s="37"/>
      <c r="R71" s="37"/>
      <c r="S71" s="37"/>
      <c r="T71" s="37" t="s">
        <v>247</v>
      </c>
      <c r="U71" s="46" t="s">
        <v>560</v>
      </c>
      <c r="V71" s="90" t="str">
        <f ca="1"/>
        <v xml:space="preserve"> </v>
      </c>
      <c r="AC71" s="53"/>
      <c r="AD71" s="53"/>
      <c r="AE71" s="53"/>
      <c r="AF71" s="53"/>
      <c r="AG71" s="53"/>
      <c r="AH71" s="53"/>
      <c r="AI71" s="53"/>
      <c r="AJ71" s="53"/>
      <c r="AK71" s="53"/>
      <c r="AL71" s="53"/>
      <c r="AM71" s="53"/>
      <c r="AN71" s="53"/>
      <c r="AO71" s="53"/>
      <c r="AP71" s="53"/>
      <c r="AQ71" s="53"/>
    </row>
    <row r="72" spans="2:43" x14ac:dyDescent="0.45">
      <c r="B72" s="65" cm="1">
        <f t="array" aca="1" ref="B72" ca="1">FileSize(Folder&amp;Tests[[#This Row],[FileName]])</f>
        <v>93536</v>
      </c>
      <c r="C72" s="47">
        <v>59</v>
      </c>
      <c r="D72" s="38" t="s">
        <v>362</v>
      </c>
      <c r="E72" s="37" t="s">
        <v>267</v>
      </c>
      <c r="F72" s="39" t="s">
        <v>246</v>
      </c>
      <c r="G72" s="39" t="b">
        <v>0</v>
      </c>
      <c r="H72" s="39" t="s">
        <v>469</v>
      </c>
      <c r="I72" s="39" t="s">
        <v>246</v>
      </c>
      <c r="J72" s="39" t="b">
        <v>1</v>
      </c>
      <c r="K72" s="39"/>
      <c r="L72" s="37">
        <v>1</v>
      </c>
      <c r="M72" s="37">
        <v>1</v>
      </c>
      <c r="N72" s="37">
        <v>3</v>
      </c>
      <c r="O72" s="37">
        <v>0</v>
      </c>
      <c r="P72" s="37"/>
      <c r="Q72" s="37"/>
      <c r="R72" s="37"/>
      <c r="S72" s="37"/>
      <c r="T72" s="37" t="s">
        <v>247</v>
      </c>
      <c r="U72" s="49" t="s">
        <v>561</v>
      </c>
      <c r="V72" s="90" t="str">
        <f ca="1"/>
        <v xml:space="preserve"> </v>
      </c>
      <c r="AC72" s="53"/>
      <c r="AD72" s="53"/>
      <c r="AE72" s="53"/>
      <c r="AF72" s="53"/>
      <c r="AG72" s="53"/>
      <c r="AH72" s="53"/>
      <c r="AI72" s="53"/>
      <c r="AJ72" s="53"/>
      <c r="AK72" s="53"/>
      <c r="AL72" s="53"/>
      <c r="AM72" s="53"/>
      <c r="AN72" s="53"/>
      <c r="AO72" s="53"/>
      <c r="AP72" s="53"/>
      <c r="AQ72" s="53"/>
    </row>
    <row r="73" spans="2:43" x14ac:dyDescent="0.45">
      <c r="B73" s="65" cm="1">
        <f t="array" aca="1" ref="B73" ca="1">FileSize(Folder&amp;Tests[[#This Row],[FileName]])</f>
        <v>764</v>
      </c>
      <c r="C73" s="47">
        <v>60</v>
      </c>
      <c r="D73" s="38" t="s">
        <v>354</v>
      </c>
      <c r="E73" s="37" t="b">
        <v>1</v>
      </c>
      <c r="F73" s="39" t="s">
        <v>246</v>
      </c>
      <c r="G73" s="39" t="b">
        <v>0</v>
      </c>
      <c r="H73" s="39" t="s">
        <v>246</v>
      </c>
      <c r="I73" s="39" t="s">
        <v>246</v>
      </c>
      <c r="J73" s="39" t="b">
        <v>1</v>
      </c>
      <c r="K73" s="39"/>
      <c r="L73" s="37">
        <v>1</v>
      </c>
      <c r="M73" s="37">
        <v>1</v>
      </c>
      <c r="N73" s="37">
        <v>0</v>
      </c>
      <c r="O73" s="37">
        <v>0</v>
      </c>
      <c r="P73" s="37"/>
      <c r="Q73" s="37"/>
      <c r="R73" s="37"/>
      <c r="S73" s="37"/>
      <c r="T73" s="37" t="s">
        <v>247</v>
      </c>
      <c r="U73" s="46" t="s">
        <v>269</v>
      </c>
      <c r="V73" s="90" t="str">
        <f ca="1"/>
        <v xml:space="preserve"> </v>
      </c>
      <c r="AC73" s="53"/>
      <c r="AD73" s="53"/>
      <c r="AE73" s="53"/>
      <c r="AF73" s="53"/>
      <c r="AG73" s="53"/>
      <c r="AH73" s="53"/>
      <c r="AI73" s="53"/>
      <c r="AJ73" s="53"/>
      <c r="AK73" s="53"/>
      <c r="AL73" s="53"/>
      <c r="AM73" s="53"/>
      <c r="AN73" s="53"/>
      <c r="AO73" s="53"/>
      <c r="AP73" s="53"/>
      <c r="AQ73" s="53"/>
    </row>
    <row r="74" spans="2:43" x14ac:dyDescent="0.45">
      <c r="B74" s="65" cm="1">
        <f t="array" aca="1" ref="B74" ca="1">FileSize(Folder&amp;Tests[[#This Row],[FileName]])</f>
        <v>793</v>
      </c>
      <c r="C74" s="47">
        <v>61</v>
      </c>
      <c r="D74" s="38" t="s">
        <v>355</v>
      </c>
      <c r="E74" s="37" t="s">
        <v>444</v>
      </c>
      <c r="F74" s="39" t="str">
        <f>CHAR(9)</f>
        <v xml:space="preserve">	</v>
      </c>
      <c r="G74" s="39" t="b">
        <v>0</v>
      </c>
      <c r="H74" s="39" t="s">
        <v>246</v>
      </c>
      <c r="I74" s="39" t="s">
        <v>246</v>
      </c>
      <c r="J74" s="39" t="b">
        <v>1</v>
      </c>
      <c r="K74" s="39"/>
      <c r="L74" s="37">
        <v>1</v>
      </c>
      <c r="M74" s="37">
        <v>1</v>
      </c>
      <c r="N74" s="37">
        <v>0</v>
      </c>
      <c r="O74" s="37">
        <v>0</v>
      </c>
      <c r="P74" s="37"/>
      <c r="Q74" s="37"/>
      <c r="R74" s="37"/>
      <c r="S74" s="37"/>
      <c r="T74" s="37" t="s">
        <v>247</v>
      </c>
      <c r="U74" s="49" t="s">
        <v>265</v>
      </c>
      <c r="V74" s="90" t="str">
        <f ca="1"/>
        <v xml:space="preserve"> </v>
      </c>
      <c r="AC74" s="53"/>
      <c r="AD74" s="53"/>
      <c r="AE74" s="53"/>
      <c r="AF74" s="53"/>
      <c r="AG74" s="53"/>
      <c r="AH74" s="53"/>
      <c r="AI74" s="53"/>
      <c r="AJ74" s="53"/>
      <c r="AK74" s="53"/>
      <c r="AL74" s="53"/>
      <c r="AM74" s="53"/>
      <c r="AN74" s="53"/>
      <c r="AO74" s="53"/>
      <c r="AP74" s="53"/>
      <c r="AQ74" s="53"/>
    </row>
    <row r="75" spans="2:43" x14ac:dyDescent="0.45">
      <c r="B75" s="65" cm="1">
        <f t="array" aca="1" ref="B75" ca="1">FileSize(Folder&amp;Tests[[#This Row],[FileName]])</f>
        <v>1770</v>
      </c>
      <c r="C75" s="47">
        <v>62</v>
      </c>
      <c r="D75" s="38" t="s">
        <v>356</v>
      </c>
      <c r="E75" s="37" t="b">
        <v>1</v>
      </c>
      <c r="F75" s="39" t="s">
        <v>246</v>
      </c>
      <c r="G75" s="39" t="b">
        <v>0</v>
      </c>
      <c r="H75" s="39" t="s">
        <v>246</v>
      </c>
      <c r="I75" s="39" t="s">
        <v>246</v>
      </c>
      <c r="J75" s="39" t="b">
        <v>1</v>
      </c>
      <c r="K75" s="39"/>
      <c r="L75" s="37">
        <v>1</v>
      </c>
      <c r="M75" s="37">
        <v>1</v>
      </c>
      <c r="N75" s="37">
        <v>0</v>
      </c>
      <c r="O75" s="37">
        <v>0</v>
      </c>
      <c r="P75" s="37"/>
      <c r="Q75" s="37"/>
      <c r="R75" s="37"/>
      <c r="S75" s="37"/>
      <c r="T75" s="37" t="s">
        <v>247</v>
      </c>
      <c r="U75" s="49"/>
      <c r="V75" s="90" t="str">
        <f ca="1"/>
        <v xml:space="preserve"> </v>
      </c>
      <c r="AC75" s="53"/>
      <c r="AD75" s="53"/>
      <c r="AE75" s="53"/>
      <c r="AF75" s="53"/>
      <c r="AG75" s="53"/>
      <c r="AH75" s="53"/>
      <c r="AI75" s="53"/>
      <c r="AJ75" s="53"/>
      <c r="AK75" s="53"/>
      <c r="AL75" s="53"/>
      <c r="AM75" s="53"/>
      <c r="AN75" s="53"/>
      <c r="AO75" s="53"/>
      <c r="AP75" s="53"/>
      <c r="AQ75" s="53"/>
    </row>
    <row r="76" spans="2:43" x14ac:dyDescent="0.45">
      <c r="B76" s="65" cm="1">
        <f t="array" aca="1" ref="B76" ca="1">FileSize(Folder&amp;Tests[[#This Row],[FileName]])</f>
        <v>2092</v>
      </c>
      <c r="C76" s="47">
        <v>63</v>
      </c>
      <c r="D76" s="38" t="s">
        <v>357</v>
      </c>
      <c r="E76" s="37" t="s">
        <v>384</v>
      </c>
      <c r="F76" s="39" t="s">
        <v>246</v>
      </c>
      <c r="G76" s="39" t="b">
        <v>0</v>
      </c>
      <c r="H76" s="39" t="s">
        <v>246</v>
      </c>
      <c r="I76" s="39" t="s">
        <v>246</v>
      </c>
      <c r="J76" s="39" t="b">
        <v>1</v>
      </c>
      <c r="K76" s="39"/>
      <c r="L76" s="37">
        <v>1</v>
      </c>
      <c r="M76" s="37">
        <v>1</v>
      </c>
      <c r="N76" s="37">
        <v>0</v>
      </c>
      <c r="O76" s="37">
        <v>0</v>
      </c>
      <c r="P76" s="37"/>
      <c r="Q76" s="37"/>
      <c r="R76" s="37"/>
      <c r="S76" s="37"/>
      <c r="T76" s="37" t="s">
        <v>247</v>
      </c>
      <c r="U76" s="49"/>
      <c r="V76" s="90" t="str">
        <f ca="1"/>
        <v xml:space="preserve"> </v>
      </c>
      <c r="AC76" s="53"/>
      <c r="AD76" s="53"/>
      <c r="AE76" s="53"/>
      <c r="AF76" s="53"/>
      <c r="AG76" s="53"/>
      <c r="AH76" s="53"/>
      <c r="AI76" s="53"/>
      <c r="AJ76" s="53"/>
      <c r="AK76" s="53"/>
      <c r="AL76" s="53"/>
      <c r="AM76" s="53"/>
      <c r="AN76" s="53"/>
      <c r="AO76" s="53"/>
      <c r="AP76" s="53"/>
      <c r="AQ76" s="53"/>
    </row>
    <row r="77" spans="2:43" x14ac:dyDescent="0.45">
      <c r="B77" s="65" cm="1">
        <f t="array" aca="1" ref="B77" ca="1">FileSize(Folder&amp;Tests[[#This Row],[FileName]])</f>
        <v>180</v>
      </c>
      <c r="C77" s="59">
        <v>64</v>
      </c>
      <c r="D77" s="38" t="s">
        <v>417</v>
      </c>
      <c r="E77" s="37" t="b" cm="1">
        <v>1</v>
      </c>
      <c r="F77" s="39" t="s">
        <v>246</v>
      </c>
      <c r="G77" s="39" t="b">
        <v>0</v>
      </c>
      <c r="H77" s="39" t="s">
        <v>474</v>
      </c>
      <c r="I77" s="39" t="s">
        <v>246</v>
      </c>
      <c r="J77" s="39" t="b">
        <v>1</v>
      </c>
      <c r="K77" s="39"/>
      <c r="L77" s="37">
        <v>1</v>
      </c>
      <c r="M77" s="37">
        <v>1</v>
      </c>
      <c r="N77" s="37">
        <v>0</v>
      </c>
      <c r="O77" s="37">
        <v>0</v>
      </c>
      <c r="P77" s="37"/>
      <c r="Q77" s="37"/>
      <c r="R77" s="37"/>
      <c r="S77" s="37"/>
      <c r="T77" s="37" t="s">
        <v>247</v>
      </c>
      <c r="U77" s="49"/>
      <c r="V77" s="90" t="str">
        <f ca="1"/>
        <v xml:space="preserve"> </v>
      </c>
      <c r="AC77" s="53"/>
      <c r="AD77" s="53"/>
      <c r="AE77" s="53"/>
      <c r="AF77" s="53"/>
      <c r="AG77" s="53"/>
      <c r="AH77" s="53"/>
      <c r="AI77" s="53"/>
      <c r="AJ77" s="53"/>
      <c r="AK77" s="53"/>
      <c r="AL77" s="53"/>
      <c r="AM77" s="53"/>
      <c r="AN77" s="53"/>
      <c r="AO77" s="53"/>
      <c r="AP77" s="53"/>
      <c r="AQ77" s="53"/>
    </row>
    <row r="78" spans="2:43" x14ac:dyDescent="0.45">
      <c r="B78" s="65" cm="1">
        <f t="array" aca="1" ref="B78" ca="1">FileSize(Folder&amp;Tests[[#This Row],[FileName]])</f>
        <v>180</v>
      </c>
      <c r="C78" s="59">
        <v>65</v>
      </c>
      <c r="D78" s="38" t="s">
        <v>417</v>
      </c>
      <c r="E78" s="37" t="b">
        <v>0</v>
      </c>
      <c r="F78" s="39" t="s">
        <v>246</v>
      </c>
      <c r="G78" s="39" t="b">
        <v>0</v>
      </c>
      <c r="H78" s="39" t="s">
        <v>246</v>
      </c>
      <c r="I78" s="39" t="s">
        <v>246</v>
      </c>
      <c r="J78" s="39" t="b">
        <v>1</v>
      </c>
      <c r="K78" s="39"/>
      <c r="L78" s="37">
        <v>1</v>
      </c>
      <c r="M78" s="37">
        <v>1</v>
      </c>
      <c r="N78" s="37">
        <v>0</v>
      </c>
      <c r="O78" s="37">
        <v>0</v>
      </c>
      <c r="P78" s="37"/>
      <c r="Q78" s="37"/>
      <c r="R78" s="37"/>
      <c r="S78" s="37"/>
      <c r="T78" s="37" t="s">
        <v>247</v>
      </c>
      <c r="U78" s="49"/>
      <c r="V78" s="90" t="str">
        <f ca="1"/>
        <v xml:space="preserve"> </v>
      </c>
      <c r="AC78" s="53"/>
      <c r="AD78" s="53"/>
      <c r="AE78" s="53"/>
      <c r="AF78" s="53"/>
      <c r="AG78" s="53"/>
      <c r="AH78" s="53"/>
      <c r="AI78" s="53"/>
      <c r="AJ78" s="53"/>
      <c r="AK78" s="53"/>
      <c r="AL78" s="53"/>
      <c r="AM78" s="53"/>
      <c r="AN78" s="53"/>
      <c r="AO78" s="53"/>
      <c r="AP78" s="53"/>
      <c r="AQ78" s="53"/>
    </row>
    <row r="79" spans="2:43" x14ac:dyDescent="0.45">
      <c r="B79" s="65" cm="1">
        <f t="array" aca="1" ref="B79" ca="1">FileSize(Folder&amp;Tests[[#This Row],[FileName]])</f>
        <v>180</v>
      </c>
      <c r="C79" s="59">
        <v>66</v>
      </c>
      <c r="D79" s="38" t="s">
        <v>417</v>
      </c>
      <c r="E79" s="37" t="s">
        <v>384</v>
      </c>
      <c r="F79" s="39" t="s">
        <v>246</v>
      </c>
      <c r="G79" s="39" t="b">
        <v>0</v>
      </c>
      <c r="H79" s="39" t="s">
        <v>246</v>
      </c>
      <c r="I79" s="39" t="s">
        <v>246</v>
      </c>
      <c r="J79" s="39" t="b">
        <v>1</v>
      </c>
      <c r="K79" s="39"/>
      <c r="L79" s="37">
        <v>1</v>
      </c>
      <c r="M79" s="37">
        <v>1</v>
      </c>
      <c r="N79" s="37">
        <v>0</v>
      </c>
      <c r="O79" s="37">
        <v>0</v>
      </c>
      <c r="P79" s="37"/>
      <c r="Q79" s="37"/>
      <c r="R79" s="37"/>
      <c r="S79" s="37"/>
      <c r="T79" s="37" t="s">
        <v>247</v>
      </c>
      <c r="U79" s="49"/>
      <c r="V79" s="90" t="str">
        <f ca="1"/>
        <v xml:space="preserve"> </v>
      </c>
      <c r="AC79" s="53"/>
      <c r="AD79" s="53"/>
      <c r="AE79" s="53"/>
      <c r="AF79" s="53"/>
      <c r="AG79" s="53"/>
      <c r="AH79" s="53"/>
      <c r="AI79" s="53"/>
      <c r="AJ79" s="53"/>
      <c r="AK79" s="53"/>
      <c r="AL79" s="53"/>
      <c r="AM79" s="53"/>
      <c r="AN79" s="53"/>
      <c r="AO79" s="53"/>
      <c r="AP79" s="53"/>
      <c r="AQ79" s="53"/>
    </row>
    <row r="80" spans="2:43" x14ac:dyDescent="0.45">
      <c r="B80" s="65" cm="1">
        <f t="array" aca="1" ref="B80" ca="1">FileSize(Folder&amp;Tests[[#This Row],[FileName]])</f>
        <v>180</v>
      </c>
      <c r="C80" s="59">
        <v>67</v>
      </c>
      <c r="D80" s="38" t="s">
        <v>417</v>
      </c>
      <c r="E80" s="37" t="s">
        <v>394</v>
      </c>
      <c r="F80" s="39" t="s">
        <v>246</v>
      </c>
      <c r="G80" s="39" t="b">
        <v>0</v>
      </c>
      <c r="H80" s="39" t="s">
        <v>474</v>
      </c>
      <c r="I80" s="39" t="s">
        <v>246</v>
      </c>
      <c r="J80" s="39" t="b">
        <v>1</v>
      </c>
      <c r="K80" s="39"/>
      <c r="L80" s="37">
        <v>1</v>
      </c>
      <c r="M80" s="37">
        <v>1</v>
      </c>
      <c r="N80" s="37">
        <v>0</v>
      </c>
      <c r="O80" s="37">
        <v>0</v>
      </c>
      <c r="P80" s="37"/>
      <c r="Q80" s="37"/>
      <c r="R80" s="37"/>
      <c r="S80" s="37"/>
      <c r="T80" s="37" t="s">
        <v>247</v>
      </c>
      <c r="U80" s="49"/>
      <c r="V80" s="90" t="str">
        <f ca="1"/>
        <v xml:space="preserve"> </v>
      </c>
      <c r="AC80" s="53"/>
      <c r="AD80" s="53"/>
      <c r="AE80" s="53"/>
      <c r="AF80" s="53"/>
      <c r="AG80" s="53"/>
      <c r="AH80" s="53"/>
      <c r="AI80" s="53"/>
      <c r="AJ80" s="53"/>
      <c r="AK80" s="53"/>
      <c r="AL80" s="53"/>
      <c r="AM80" s="53"/>
      <c r="AN80" s="53"/>
      <c r="AO80" s="53"/>
      <c r="AP80" s="53"/>
      <c r="AQ80" s="53"/>
    </row>
    <row r="81" spans="2:43" x14ac:dyDescent="0.45">
      <c r="B81" s="65" cm="1">
        <f t="array" aca="1" ref="B81" ca="1">FileSize(Folder&amp;Tests[[#This Row],[FileName]])</f>
        <v>180</v>
      </c>
      <c r="C81" s="59">
        <v>68</v>
      </c>
      <c r="D81" s="38" t="s">
        <v>417</v>
      </c>
      <c r="E81" s="37" t="s">
        <v>395</v>
      </c>
      <c r="F81" s="39" t="s">
        <v>246</v>
      </c>
      <c r="G81" s="39" t="b">
        <v>0</v>
      </c>
      <c r="H81" s="39" t="s">
        <v>246</v>
      </c>
      <c r="I81" s="39" t="s">
        <v>246</v>
      </c>
      <c r="J81" s="39" t="b">
        <v>1</v>
      </c>
      <c r="K81" s="39"/>
      <c r="L81" s="37">
        <v>1</v>
      </c>
      <c r="M81" s="37">
        <v>1</v>
      </c>
      <c r="N81" s="37">
        <v>0</v>
      </c>
      <c r="O81" s="37">
        <v>0</v>
      </c>
      <c r="P81" s="37"/>
      <c r="Q81" s="37"/>
      <c r="R81" s="37"/>
      <c r="S81" s="37"/>
      <c r="T81" s="37" t="s">
        <v>247</v>
      </c>
      <c r="U81" s="49"/>
      <c r="V81" s="90" t="str">
        <f ca="1"/>
        <v xml:space="preserve"> </v>
      </c>
      <c r="AC81" s="53"/>
      <c r="AD81" s="53"/>
      <c r="AE81" s="53"/>
      <c r="AF81" s="53"/>
      <c r="AG81" s="53"/>
      <c r="AH81" s="53"/>
      <c r="AI81" s="53"/>
      <c r="AJ81" s="53"/>
      <c r="AK81" s="53"/>
      <c r="AL81" s="53"/>
      <c r="AM81" s="53"/>
      <c r="AN81" s="53"/>
      <c r="AO81" s="53"/>
      <c r="AP81" s="53"/>
      <c r="AQ81" s="53"/>
    </row>
    <row r="82" spans="2:43" x14ac:dyDescent="0.45">
      <c r="B82" s="65" cm="1">
        <f t="array" aca="1" ref="B82" ca="1">FileSize(Folder&amp;Tests[[#This Row],[FileName]])</f>
        <v>180</v>
      </c>
      <c r="C82" s="59">
        <v>69</v>
      </c>
      <c r="D82" s="38" t="s">
        <v>417</v>
      </c>
      <c r="E82" s="37" t="s">
        <v>396</v>
      </c>
      <c r="F82" s="39" t="s">
        <v>246</v>
      </c>
      <c r="G82" s="39" t="b">
        <v>0</v>
      </c>
      <c r="H82" s="39" t="s">
        <v>246</v>
      </c>
      <c r="I82" s="39" t="s">
        <v>246</v>
      </c>
      <c r="J82" s="39" t="b">
        <v>1</v>
      </c>
      <c r="K82" s="39"/>
      <c r="L82" s="37">
        <v>1</v>
      </c>
      <c r="M82" s="37">
        <v>1</v>
      </c>
      <c r="N82" s="37">
        <v>0</v>
      </c>
      <c r="O82" s="37">
        <v>0</v>
      </c>
      <c r="P82" s="37"/>
      <c r="Q82" s="37"/>
      <c r="R82" s="37"/>
      <c r="S82" s="37"/>
      <c r="T82" s="37" t="s">
        <v>247</v>
      </c>
      <c r="U82" s="49"/>
      <c r="V82" s="90" t="str">
        <f ca="1"/>
        <v xml:space="preserve"> </v>
      </c>
      <c r="AC82" s="53"/>
      <c r="AD82" s="53"/>
      <c r="AE82" s="53"/>
      <c r="AF82" s="53"/>
      <c r="AG82" s="53"/>
      <c r="AH82" s="53"/>
      <c r="AI82" s="53"/>
      <c r="AJ82" s="53"/>
      <c r="AK82" s="53"/>
      <c r="AL82" s="53"/>
      <c r="AM82" s="53"/>
      <c r="AN82" s="53"/>
      <c r="AO82" s="53"/>
      <c r="AP82" s="53"/>
      <c r="AQ82" s="53"/>
    </row>
    <row r="83" spans="2:43" x14ac:dyDescent="0.45">
      <c r="B83" s="65" cm="1">
        <f t="array" aca="1" ref="B83" ca="1">FileSize(Folder&amp;Tests[[#This Row],[FileName]])</f>
        <v>180</v>
      </c>
      <c r="C83" s="59">
        <v>70</v>
      </c>
      <c r="D83" s="38" t="s">
        <v>417</v>
      </c>
      <c r="E83" s="37" t="s">
        <v>398</v>
      </c>
      <c r="F83" s="39" t="s">
        <v>246</v>
      </c>
      <c r="G83" s="39" t="b">
        <v>0</v>
      </c>
      <c r="H83" s="39" t="s">
        <v>246</v>
      </c>
      <c r="I83" s="39" t="s">
        <v>246</v>
      </c>
      <c r="J83" s="39" t="b">
        <v>1</v>
      </c>
      <c r="K83" s="39"/>
      <c r="L83" s="37">
        <v>1</v>
      </c>
      <c r="M83" s="37">
        <v>1</v>
      </c>
      <c r="N83" s="37">
        <v>0</v>
      </c>
      <c r="O83" s="37">
        <v>0</v>
      </c>
      <c r="P83" s="37"/>
      <c r="Q83" s="37"/>
      <c r="R83" s="37"/>
      <c r="S83" s="37"/>
      <c r="T83" s="37" t="s">
        <v>247</v>
      </c>
      <c r="U83" s="49"/>
      <c r="V83" s="90" t="str">
        <f ca="1"/>
        <v xml:space="preserve"> </v>
      </c>
      <c r="AC83" s="53"/>
      <c r="AD83" s="53"/>
      <c r="AE83" s="53"/>
      <c r="AF83" s="53"/>
      <c r="AG83" s="53"/>
      <c r="AH83" s="53"/>
      <c r="AI83" s="53"/>
      <c r="AJ83" s="53"/>
      <c r="AK83" s="53"/>
      <c r="AL83" s="53"/>
      <c r="AM83" s="53"/>
      <c r="AN83" s="53"/>
      <c r="AO83" s="53"/>
      <c r="AP83" s="53"/>
      <c r="AQ83" s="53"/>
    </row>
    <row r="84" spans="2:43" x14ac:dyDescent="0.45">
      <c r="B84" s="65" cm="1">
        <f t="array" aca="1" ref="B84" ca="1">FileSize(Folder&amp;Tests[[#This Row],[FileName]])</f>
        <v>180</v>
      </c>
      <c r="C84" s="59">
        <v>71</v>
      </c>
      <c r="D84" s="38" t="s">
        <v>417</v>
      </c>
      <c r="E84" s="37" t="s">
        <v>399</v>
      </c>
      <c r="F84" s="39" t="s">
        <v>246</v>
      </c>
      <c r="G84" s="39" t="b">
        <v>0</v>
      </c>
      <c r="H84" s="39" t="s">
        <v>474</v>
      </c>
      <c r="I84" s="39" t="s">
        <v>246</v>
      </c>
      <c r="J84" s="39" t="b">
        <v>1</v>
      </c>
      <c r="K84" s="39"/>
      <c r="L84" s="37">
        <v>1</v>
      </c>
      <c r="M84" s="37">
        <v>1</v>
      </c>
      <c r="N84" s="37">
        <v>0</v>
      </c>
      <c r="O84" s="37">
        <v>0</v>
      </c>
      <c r="P84" s="37"/>
      <c r="Q84" s="37"/>
      <c r="R84" s="37"/>
      <c r="S84" s="37"/>
      <c r="T84" s="37" t="s">
        <v>247</v>
      </c>
      <c r="U84" s="49"/>
      <c r="V84" s="90" t="str">
        <f ca="1"/>
        <v xml:space="preserve"> </v>
      </c>
      <c r="AC84" s="53"/>
      <c r="AD84" s="53"/>
      <c r="AE84" s="53"/>
      <c r="AF84" s="53"/>
      <c r="AG84" s="53"/>
      <c r="AH84" s="53"/>
      <c r="AI84" s="53"/>
      <c r="AJ84" s="53"/>
      <c r="AK84" s="53"/>
      <c r="AL84" s="53"/>
      <c r="AM84" s="53"/>
      <c r="AN84" s="53"/>
      <c r="AO84" s="53"/>
      <c r="AP84" s="53"/>
      <c r="AQ84" s="53"/>
    </row>
    <row r="85" spans="2:43" x14ac:dyDescent="0.45">
      <c r="B85" s="65" cm="1">
        <f t="array" aca="1" ref="B85" ca="1">FileSize(Folder&amp;Tests[[#This Row],[FileName]])</f>
        <v>180</v>
      </c>
      <c r="C85" s="47">
        <v>72</v>
      </c>
      <c r="D85" s="38" t="s">
        <v>417</v>
      </c>
      <c r="E85" s="37" t="s">
        <v>400</v>
      </c>
      <c r="F85" s="39" t="s">
        <v>246</v>
      </c>
      <c r="G85" s="39" t="b">
        <v>0</v>
      </c>
      <c r="H85" s="39" t="s">
        <v>246</v>
      </c>
      <c r="I85" s="39" t="s">
        <v>246</v>
      </c>
      <c r="J85" s="39" t="b">
        <v>1</v>
      </c>
      <c r="K85" s="39"/>
      <c r="L85" s="37">
        <v>1</v>
      </c>
      <c r="M85" s="37">
        <v>1</v>
      </c>
      <c r="N85" s="37">
        <v>0</v>
      </c>
      <c r="O85" s="37">
        <v>0</v>
      </c>
      <c r="P85" s="37"/>
      <c r="Q85" s="37"/>
      <c r="R85" s="37"/>
      <c r="S85" s="37"/>
      <c r="T85" s="37" t="s">
        <v>247</v>
      </c>
      <c r="U85" s="49"/>
      <c r="V85" s="90" t="str">
        <f ca="1"/>
        <v xml:space="preserve"> </v>
      </c>
      <c r="AC85" s="53"/>
      <c r="AD85" s="53"/>
      <c r="AE85" s="53"/>
      <c r="AF85" s="53"/>
      <c r="AG85" s="53"/>
      <c r="AH85" s="53"/>
      <c r="AI85" s="53"/>
      <c r="AJ85" s="53"/>
      <c r="AK85" s="53"/>
      <c r="AL85" s="53"/>
      <c r="AM85" s="53"/>
      <c r="AN85" s="53"/>
      <c r="AO85" s="53"/>
      <c r="AP85" s="53"/>
      <c r="AQ85" s="53"/>
    </row>
    <row r="86" spans="2:43" x14ac:dyDescent="0.45">
      <c r="B86" s="65" cm="1">
        <f t="array" aca="1" ref="B86" ca="1">FileSize(Folder&amp;Tests[[#This Row],[FileName]])</f>
        <v>180</v>
      </c>
      <c r="C86" s="59">
        <v>73</v>
      </c>
      <c r="D86" s="38" t="s">
        <v>417</v>
      </c>
      <c r="E86" s="37" t="s">
        <v>401</v>
      </c>
      <c r="F86" s="39" t="s">
        <v>246</v>
      </c>
      <c r="G86" s="39" t="b">
        <v>0</v>
      </c>
      <c r="H86" s="39" t="s">
        <v>246</v>
      </c>
      <c r="I86" s="39" t="s">
        <v>246</v>
      </c>
      <c r="J86" s="39" t="b">
        <v>1</v>
      </c>
      <c r="K86" s="39"/>
      <c r="L86" s="37">
        <v>1</v>
      </c>
      <c r="M86" s="37">
        <v>1</v>
      </c>
      <c r="N86" s="37">
        <v>0</v>
      </c>
      <c r="O86" s="37">
        <v>0</v>
      </c>
      <c r="P86" s="37"/>
      <c r="Q86" s="37"/>
      <c r="R86" s="37"/>
      <c r="S86" s="37"/>
      <c r="T86" s="37" t="s">
        <v>247</v>
      </c>
      <c r="U86" s="49"/>
      <c r="V86" s="90" t="str">
        <f ca="1"/>
        <v xml:space="preserve"> </v>
      </c>
      <c r="AC86" s="53"/>
      <c r="AD86" s="53"/>
      <c r="AE86" s="53"/>
      <c r="AF86" s="53"/>
      <c r="AG86" s="53"/>
      <c r="AH86" s="53"/>
      <c r="AI86" s="53"/>
      <c r="AJ86" s="53"/>
      <c r="AK86" s="53"/>
      <c r="AL86" s="53"/>
      <c r="AM86" s="53"/>
      <c r="AN86" s="53"/>
      <c r="AO86" s="53"/>
      <c r="AP86" s="53"/>
      <c r="AQ86" s="53"/>
    </row>
    <row r="87" spans="2:43" x14ac:dyDescent="0.45">
      <c r="B87" s="65" cm="1">
        <f t="array" aca="1" ref="B87" ca="1">FileSize(Folder&amp;Tests[[#This Row],[FileName]])</f>
        <v>180</v>
      </c>
      <c r="C87" s="59">
        <v>74</v>
      </c>
      <c r="D87" s="38" t="s">
        <v>417</v>
      </c>
      <c r="E87" s="37" t="s">
        <v>391</v>
      </c>
      <c r="F87" s="39" t="s">
        <v>246</v>
      </c>
      <c r="G87" s="39" t="b">
        <v>0</v>
      </c>
      <c r="H87" s="39" t="s">
        <v>246</v>
      </c>
      <c r="I87" s="39" t="s">
        <v>246</v>
      </c>
      <c r="J87" s="39" t="b">
        <v>1</v>
      </c>
      <c r="K87" s="39"/>
      <c r="L87" s="37">
        <v>1</v>
      </c>
      <c r="M87" s="37">
        <v>1</v>
      </c>
      <c r="N87" s="37">
        <v>0</v>
      </c>
      <c r="O87" s="37">
        <v>0</v>
      </c>
      <c r="P87" s="37"/>
      <c r="Q87" s="37"/>
      <c r="R87" s="37"/>
      <c r="S87" s="37"/>
      <c r="T87" s="37" t="s">
        <v>247</v>
      </c>
      <c r="U87" s="49"/>
      <c r="V87" s="90" t="str">
        <f ca="1"/>
        <v xml:space="preserve"> </v>
      </c>
      <c r="AC87" s="53"/>
      <c r="AD87" s="53"/>
      <c r="AE87" s="53"/>
      <c r="AF87" s="53"/>
      <c r="AG87" s="53"/>
      <c r="AH87" s="53"/>
      <c r="AI87" s="53"/>
      <c r="AJ87" s="53"/>
      <c r="AK87" s="53"/>
      <c r="AL87" s="53"/>
      <c r="AM87" s="53"/>
      <c r="AN87" s="53"/>
      <c r="AO87" s="53"/>
      <c r="AP87" s="53"/>
      <c r="AQ87" s="53"/>
    </row>
    <row r="88" spans="2:43" x14ac:dyDescent="0.45">
      <c r="B88" s="65" cm="1">
        <f t="array" aca="1" ref="B88" ca="1">FileSize(Folder&amp;Tests[[#This Row],[FileName]])</f>
        <v>180</v>
      </c>
      <c r="C88" s="59">
        <v>75</v>
      </c>
      <c r="D88" s="38" t="s">
        <v>417</v>
      </c>
      <c r="E88" s="37" t="s">
        <v>392</v>
      </c>
      <c r="F88" s="39" t="s">
        <v>246</v>
      </c>
      <c r="G88" s="39" t="b">
        <v>0</v>
      </c>
      <c r="H88" s="39" t="s">
        <v>246</v>
      </c>
      <c r="I88" s="39" t="s">
        <v>246</v>
      </c>
      <c r="J88" s="39" t="b">
        <v>1</v>
      </c>
      <c r="K88" s="39"/>
      <c r="L88" s="37">
        <v>1</v>
      </c>
      <c r="M88" s="37">
        <v>1</v>
      </c>
      <c r="N88" s="37">
        <v>0</v>
      </c>
      <c r="O88" s="37">
        <v>0</v>
      </c>
      <c r="P88" s="37"/>
      <c r="Q88" s="37"/>
      <c r="R88" s="37"/>
      <c r="S88" s="37"/>
      <c r="T88" s="37" t="s">
        <v>247</v>
      </c>
      <c r="U88" s="49"/>
      <c r="V88" s="90" t="str">
        <f ca="1"/>
        <v xml:space="preserve"> </v>
      </c>
      <c r="AC88" s="53"/>
      <c r="AD88" s="53"/>
      <c r="AE88" s="53"/>
      <c r="AF88" s="53"/>
      <c r="AG88" s="53"/>
      <c r="AH88" s="53"/>
      <c r="AI88" s="53"/>
      <c r="AJ88" s="53"/>
      <c r="AK88" s="53"/>
      <c r="AL88" s="53"/>
      <c r="AM88" s="53"/>
      <c r="AN88" s="53"/>
      <c r="AO88" s="53"/>
      <c r="AP88" s="53"/>
      <c r="AQ88" s="53"/>
    </row>
    <row r="89" spans="2:43" x14ac:dyDescent="0.45">
      <c r="B89" s="65" cm="1">
        <f t="array" aca="1" ref="B89" ca="1">FileSize(Folder&amp;Tests[[#This Row],[FileName]])</f>
        <v>196770</v>
      </c>
      <c r="C89" s="59">
        <v>76</v>
      </c>
      <c r="D89" s="38" t="s">
        <v>367</v>
      </c>
      <c r="E89" s="37" t="s">
        <v>267</v>
      </c>
      <c r="F89" s="39"/>
      <c r="G89" s="39"/>
      <c r="H89" s="39" t="s">
        <v>498</v>
      </c>
      <c r="I89" s="39"/>
      <c r="J89" s="39" t="b">
        <v>1</v>
      </c>
      <c r="K89" s="39"/>
      <c r="L89" s="37">
        <v>1</v>
      </c>
      <c r="M89" s="37">
        <v>1</v>
      </c>
      <c r="N89" s="37">
        <v>0</v>
      </c>
      <c r="O89" s="37">
        <v>0</v>
      </c>
      <c r="P89" s="37"/>
      <c r="Q89" s="37"/>
      <c r="R89" s="58" t="s">
        <v>570</v>
      </c>
      <c r="S89" s="37"/>
      <c r="T89" s="37"/>
      <c r="U89" s="49" t="s">
        <v>571</v>
      </c>
      <c r="V89" s="90" t="str">
        <f ca="1"/>
        <v xml:space="preserve"> </v>
      </c>
      <c r="AC89" s="53"/>
      <c r="AD89" s="53"/>
      <c r="AE89" s="53"/>
      <c r="AF89" s="53"/>
      <c r="AG89" s="53"/>
      <c r="AH89" s="53"/>
      <c r="AI89" s="53"/>
      <c r="AJ89" s="53"/>
      <c r="AK89" s="53"/>
      <c r="AL89" s="53"/>
      <c r="AM89" s="53"/>
      <c r="AN89" s="53"/>
      <c r="AO89" s="53"/>
      <c r="AP89" s="53"/>
      <c r="AQ89" s="53"/>
    </row>
    <row r="90" spans="2:43" x14ac:dyDescent="0.45">
      <c r="B90" s="65"/>
      <c r="C90" s="59">
        <v>77</v>
      </c>
      <c r="D90" s="38" t="s">
        <v>290</v>
      </c>
      <c r="E90" s="37" t="b">
        <v>1</v>
      </c>
      <c r="F90" s="39" t="s">
        <v>246</v>
      </c>
      <c r="G90" s="39" t="b">
        <v>0</v>
      </c>
      <c r="H90" s="39" t="s">
        <v>246</v>
      </c>
      <c r="I90" s="39" t="s">
        <v>246</v>
      </c>
      <c r="J90" s="39" t="b">
        <v>1</v>
      </c>
      <c r="K90" s="39"/>
      <c r="L90" s="37">
        <v>1</v>
      </c>
      <c r="M90" s="37">
        <v>1</v>
      </c>
      <c r="N90" s="37">
        <v>0</v>
      </c>
      <c r="O90" s="37">
        <v>0</v>
      </c>
      <c r="P90" s="37"/>
      <c r="Q90" s="37"/>
      <c r="R90" s="37"/>
      <c r="S90" s="37"/>
      <c r="T90" s="37"/>
      <c r="U90" s="49" t="s">
        <v>572</v>
      </c>
      <c r="V90" s="90" t="str">
        <f ca="1"/>
        <v xml:space="preserve"> </v>
      </c>
      <c r="AC90" s="53"/>
      <c r="AD90" s="53"/>
      <c r="AE90" s="53"/>
      <c r="AF90" s="53"/>
      <c r="AG90" s="53"/>
      <c r="AH90" s="53"/>
      <c r="AI90" s="53"/>
      <c r="AJ90" s="53"/>
      <c r="AK90" s="53"/>
      <c r="AL90" s="53"/>
      <c r="AM90" s="53"/>
      <c r="AN90" s="53"/>
      <c r="AO90" s="53"/>
      <c r="AP90" s="53"/>
      <c r="AQ90" s="53"/>
    </row>
    <row r="91" spans="2:43" x14ac:dyDescent="0.45">
      <c r="B91" s="65" cm="1">
        <f t="array" aca="1" ref="B91" ca="1">FileSize(Folder&amp;Tests[[#This Row],[FileName]])</f>
        <v>4160286</v>
      </c>
      <c r="C91" s="59">
        <v>78</v>
      </c>
      <c r="D91" s="38" t="s">
        <v>378</v>
      </c>
      <c r="E91" s="37" t="s">
        <v>384</v>
      </c>
      <c r="F91" s="39" t="s">
        <v>246</v>
      </c>
      <c r="G91" s="39" t="b">
        <v>0</v>
      </c>
      <c r="H91" s="39" t="s">
        <v>246</v>
      </c>
      <c r="I91" s="39" t="s">
        <v>246</v>
      </c>
      <c r="J91" s="39" t="b">
        <v>1</v>
      </c>
      <c r="K91" s="39"/>
      <c r="L91" s="37">
        <v>1</v>
      </c>
      <c r="M91" s="37">
        <v>1</v>
      </c>
      <c r="N91" s="37">
        <v>2</v>
      </c>
      <c r="O91" s="37">
        <v>0</v>
      </c>
      <c r="P91" s="37"/>
      <c r="Q91" s="37"/>
      <c r="R91" s="37"/>
      <c r="S91" s="37"/>
      <c r="T91" s="37" t="s">
        <v>247</v>
      </c>
      <c r="U91" s="49" t="s">
        <v>250</v>
      </c>
      <c r="V91" s="90" t="str">
        <f ca="1"/>
        <v xml:space="preserve"> </v>
      </c>
      <c r="AC91" s="53"/>
      <c r="AD91" s="53"/>
      <c r="AE91" s="53"/>
      <c r="AF91" s="53"/>
      <c r="AG91" s="53"/>
      <c r="AH91" s="53"/>
      <c r="AI91" s="53"/>
      <c r="AJ91" s="53"/>
      <c r="AK91" s="53"/>
      <c r="AL91" s="53"/>
      <c r="AM91" s="53"/>
      <c r="AN91" s="53"/>
      <c r="AO91" s="53"/>
      <c r="AP91" s="53"/>
      <c r="AQ91" s="53"/>
    </row>
    <row r="92" spans="2:43" x14ac:dyDescent="0.45">
      <c r="B92" s="65" cm="1">
        <f t="array" aca="1" ref="B92" ca="1">FileSize(Folder&amp;Tests[[#This Row],[FileName]])</f>
        <v>4160286</v>
      </c>
      <c r="C92" s="59">
        <v>79</v>
      </c>
      <c r="D92" s="38" t="s">
        <v>378</v>
      </c>
      <c r="E92" s="37" t="s">
        <v>384</v>
      </c>
      <c r="F92" s="39"/>
      <c r="G92" s="39" t="b">
        <v>0</v>
      </c>
      <c r="H92" s="39"/>
      <c r="I92" s="39"/>
      <c r="J92" s="39" t="b">
        <v>1</v>
      </c>
      <c r="K92" s="39"/>
      <c r="L92" s="37">
        <v>1</v>
      </c>
      <c r="M92" s="37">
        <v>1</v>
      </c>
      <c r="N92" s="37">
        <v>0</v>
      </c>
      <c r="O92" s="37">
        <v>0</v>
      </c>
      <c r="P92" s="37"/>
      <c r="Q92" s="37"/>
      <c r="R92" s="37"/>
      <c r="S92" s="37"/>
      <c r="T92" s="37"/>
      <c r="U92" s="49" t="s">
        <v>573</v>
      </c>
      <c r="V92" s="90" t="str">
        <f ca="1"/>
        <v xml:space="preserve"> </v>
      </c>
      <c r="AC92" s="53"/>
      <c r="AD92" s="53"/>
      <c r="AE92" s="53"/>
      <c r="AF92" s="53"/>
      <c r="AG92" s="53"/>
      <c r="AH92" s="53"/>
      <c r="AI92" s="53"/>
      <c r="AJ92" s="53"/>
      <c r="AK92" s="53"/>
      <c r="AL92" s="53"/>
      <c r="AM92" s="53"/>
      <c r="AN92" s="53"/>
      <c r="AO92" s="53"/>
      <c r="AP92" s="53"/>
      <c r="AQ92" s="53"/>
    </row>
    <row r="93" spans="2:43" x14ac:dyDescent="0.45">
      <c r="B93" s="65" cm="1">
        <f t="array" aca="1" ref="B93" ca="1">FileSize(Folder&amp;Tests[[#This Row],[FileName]])</f>
        <v>34</v>
      </c>
      <c r="C93" s="59">
        <v>80</v>
      </c>
      <c r="D93" s="38" t="s">
        <v>302</v>
      </c>
      <c r="E93" s="37" t="b">
        <v>1</v>
      </c>
      <c r="F93" s="39" t="s">
        <v>246</v>
      </c>
      <c r="G93" s="39" t="b">
        <v>0</v>
      </c>
      <c r="H93" s="39" t="s">
        <v>246</v>
      </c>
      <c r="I93" s="39" t="s">
        <v>246</v>
      </c>
      <c r="J93" s="39" t="b">
        <v>1</v>
      </c>
      <c r="K93" s="39"/>
      <c r="L93" s="37">
        <v>1</v>
      </c>
      <c r="M93" s="37">
        <v>1</v>
      </c>
      <c r="N93" s="37">
        <v>0</v>
      </c>
      <c r="O93" s="37">
        <v>0</v>
      </c>
      <c r="P93" s="37"/>
      <c r="Q93" s="37"/>
      <c r="R93" s="37"/>
      <c r="S93" s="37"/>
      <c r="T93" s="37" t="s">
        <v>247</v>
      </c>
      <c r="U93" s="49" t="s">
        <v>251</v>
      </c>
      <c r="V93" s="90" t="str">
        <f ca="1"/>
        <v xml:space="preserve"> </v>
      </c>
      <c r="AC93" s="53"/>
      <c r="AD93" s="53"/>
      <c r="AE93" s="53"/>
      <c r="AF93" s="53"/>
      <c r="AG93" s="53"/>
      <c r="AH93" s="53"/>
      <c r="AI93" s="53"/>
      <c r="AJ93" s="53"/>
      <c r="AK93" s="53"/>
      <c r="AL93" s="53"/>
      <c r="AM93" s="53"/>
      <c r="AN93" s="53"/>
      <c r="AO93" s="53"/>
      <c r="AP93" s="53"/>
      <c r="AQ93" s="53"/>
    </row>
    <row r="94" spans="2:43" x14ac:dyDescent="0.45">
      <c r="B94" s="65" cm="1">
        <f t="array" aca="1" ref="B94" ca="1">FileSize(Folder&amp;Tests[[#This Row],[FileName]])</f>
        <v>630</v>
      </c>
      <c r="C94" s="59">
        <v>81</v>
      </c>
      <c r="D94" s="48" t="s">
        <v>419</v>
      </c>
      <c r="E94" s="37" t="b">
        <v>0</v>
      </c>
      <c r="F94" s="39" t="s">
        <v>246</v>
      </c>
      <c r="G94" s="39" t="b">
        <v>0</v>
      </c>
      <c r="H94" s="39" t="s">
        <v>246</v>
      </c>
      <c r="I94" s="39" t="s">
        <v>246</v>
      </c>
      <c r="J94" s="39" t="b">
        <v>1</v>
      </c>
      <c r="K94" s="39"/>
      <c r="L94" s="37">
        <v>3</v>
      </c>
      <c r="M94" s="37">
        <v>3</v>
      </c>
      <c r="N94" s="37">
        <v>10</v>
      </c>
      <c r="O94" s="37">
        <v>1</v>
      </c>
      <c r="P94" s="37"/>
      <c r="Q94" s="37"/>
      <c r="R94" s="37"/>
      <c r="S94" s="37"/>
      <c r="T94" s="37" t="s">
        <v>247</v>
      </c>
      <c r="U94" s="49"/>
      <c r="V94" s="90" t="str">
        <f ca="1"/>
        <v xml:space="preserve"> </v>
      </c>
      <c r="AC94" s="53"/>
      <c r="AD94" s="53"/>
      <c r="AE94" s="53"/>
      <c r="AF94" s="53"/>
      <c r="AG94" s="53"/>
      <c r="AH94" s="53"/>
      <c r="AI94" s="53"/>
      <c r="AJ94" s="53"/>
      <c r="AK94" s="53"/>
      <c r="AL94" s="53"/>
      <c r="AM94" s="53"/>
      <c r="AN94" s="53"/>
      <c r="AO94" s="53"/>
      <c r="AP94" s="53"/>
      <c r="AQ94" s="53"/>
    </row>
    <row r="95" spans="2:43" x14ac:dyDescent="0.45">
      <c r="B95" s="65" cm="1">
        <f t="array" aca="1" ref="B95" ca="1">FileSize(Folder&amp;Tests[[#This Row],[FileName]])</f>
        <v>630</v>
      </c>
      <c r="C95" s="59">
        <v>82</v>
      </c>
      <c r="D95" s="48" t="s">
        <v>419</v>
      </c>
      <c r="E95" s="37" t="b">
        <v>0</v>
      </c>
      <c r="F95" s="39" t="s">
        <v>246</v>
      </c>
      <c r="G95" s="39" t="b">
        <v>0</v>
      </c>
      <c r="H95" s="39" t="s">
        <v>246</v>
      </c>
      <c r="I95" s="39" t="s">
        <v>246</v>
      </c>
      <c r="J95" s="39" t="b">
        <v>1</v>
      </c>
      <c r="K95" s="39"/>
      <c r="L95" s="37">
        <v>6</v>
      </c>
      <c r="M95" s="37">
        <v>5</v>
      </c>
      <c r="N95" s="37">
        <v>1</v>
      </c>
      <c r="O95" s="37">
        <v>8</v>
      </c>
      <c r="P95" s="37"/>
      <c r="Q95" s="37"/>
      <c r="R95" s="37"/>
      <c r="S95" s="37"/>
      <c r="T95" s="37" t="s">
        <v>247</v>
      </c>
      <c r="U95" s="49"/>
      <c r="V95" s="90" t="str">
        <f ca="1"/>
        <v xml:space="preserve"> </v>
      </c>
      <c r="AC95" s="53"/>
      <c r="AD95" s="53"/>
      <c r="AE95" s="53"/>
      <c r="AF95" s="53"/>
      <c r="AG95" s="53"/>
      <c r="AH95" s="53"/>
      <c r="AI95" s="53"/>
      <c r="AJ95" s="53"/>
      <c r="AK95" s="53"/>
      <c r="AL95" s="53"/>
      <c r="AM95" s="53"/>
      <c r="AN95" s="53"/>
      <c r="AO95" s="53"/>
      <c r="AP95" s="53"/>
      <c r="AQ95" s="53"/>
    </row>
    <row r="96" spans="2:43" x14ac:dyDescent="0.45">
      <c r="B96" s="65" cm="1">
        <f t="array" aca="1" ref="B96" ca="1">FileSize(Folder&amp;Tests[[#This Row],[FileName]])</f>
        <v>630</v>
      </c>
      <c r="C96" s="59">
        <v>83</v>
      </c>
      <c r="D96" s="48" t="s">
        <v>419</v>
      </c>
      <c r="E96" s="37" t="b">
        <v>0</v>
      </c>
      <c r="F96" s="39" t="s">
        <v>246</v>
      </c>
      <c r="G96" s="39" t="b">
        <v>0</v>
      </c>
      <c r="H96" s="39" t="s">
        <v>246</v>
      </c>
      <c r="I96" s="39" t="s">
        <v>246</v>
      </c>
      <c r="J96" s="39" t="b">
        <v>1</v>
      </c>
      <c r="K96" s="39"/>
      <c r="L96" s="37">
        <v>8</v>
      </c>
      <c r="M96" s="37">
        <v>8</v>
      </c>
      <c r="N96" s="37">
        <v>4</v>
      </c>
      <c r="O96" s="37">
        <v>4</v>
      </c>
      <c r="P96" s="37"/>
      <c r="Q96" s="37"/>
      <c r="R96" s="37"/>
      <c r="S96" s="37"/>
      <c r="T96" s="37" t="s">
        <v>247</v>
      </c>
      <c r="U96" s="49"/>
      <c r="V96" s="90" t="str">
        <f ca="1"/>
        <v xml:space="preserve"> </v>
      </c>
      <c r="AC96" s="53"/>
      <c r="AD96" s="53"/>
      <c r="AE96" s="53"/>
      <c r="AF96" s="53"/>
      <c r="AG96" s="53"/>
      <c r="AH96" s="53"/>
      <c r="AI96" s="53"/>
      <c r="AJ96" s="53"/>
      <c r="AK96" s="53"/>
      <c r="AL96" s="53"/>
      <c r="AM96" s="53"/>
      <c r="AN96" s="53"/>
      <c r="AO96" s="53"/>
      <c r="AP96" s="53"/>
      <c r="AQ96" s="53"/>
    </row>
    <row r="97" spans="2:43" x14ac:dyDescent="0.45">
      <c r="B97" s="65" cm="1">
        <f t="array" aca="1" ref="B97" ca="1">FileSize(Folder&amp;Tests[[#This Row],[FileName]])</f>
        <v>849</v>
      </c>
      <c r="C97" s="59">
        <v>84</v>
      </c>
      <c r="D97" s="48" t="s">
        <v>420</v>
      </c>
      <c r="E97" s="37" t="b">
        <v>0</v>
      </c>
      <c r="F97" s="39" t="s">
        <v>246</v>
      </c>
      <c r="G97" s="39" t="b">
        <v>0</v>
      </c>
      <c r="H97" s="39" t="s">
        <v>246</v>
      </c>
      <c r="I97" s="39" t="s">
        <v>414</v>
      </c>
      <c r="J97" s="39" t="b">
        <v>1</v>
      </c>
      <c r="K97" s="39"/>
      <c r="L97" s="37">
        <v>3</v>
      </c>
      <c r="M97" s="37">
        <v>3</v>
      </c>
      <c r="N97" s="37">
        <v>10</v>
      </c>
      <c r="O97" s="37">
        <v>1</v>
      </c>
      <c r="P97" s="37"/>
      <c r="Q97" s="37"/>
      <c r="R97" s="37"/>
      <c r="S97" s="37"/>
      <c r="T97" s="37" t="s">
        <v>247</v>
      </c>
      <c r="U97" s="49"/>
      <c r="V97" s="90" t="str">
        <f ca="1"/>
        <v xml:space="preserve"> </v>
      </c>
      <c r="AC97" s="53"/>
      <c r="AD97" s="53"/>
      <c r="AE97" s="53"/>
      <c r="AF97" s="53"/>
      <c r="AG97" s="53"/>
      <c r="AH97" s="53"/>
      <c r="AI97" s="53"/>
      <c r="AJ97" s="53"/>
      <c r="AK97" s="53"/>
      <c r="AL97" s="53"/>
      <c r="AM97" s="53"/>
      <c r="AN97" s="53"/>
      <c r="AO97" s="53"/>
      <c r="AP97" s="53"/>
      <c r="AQ97" s="53"/>
    </row>
    <row r="98" spans="2:43" x14ac:dyDescent="0.45">
      <c r="B98" s="65" cm="1">
        <f t="array" aca="1" ref="B98" ca="1">FileSize(Folder&amp;Tests[[#This Row],[FileName]])</f>
        <v>849</v>
      </c>
      <c r="C98" s="59">
        <v>85</v>
      </c>
      <c r="D98" s="48" t="s">
        <v>420</v>
      </c>
      <c r="E98" s="37" t="b">
        <v>0</v>
      </c>
      <c r="F98" s="39" t="s">
        <v>246</v>
      </c>
      <c r="G98" s="39" t="b">
        <v>0</v>
      </c>
      <c r="H98" s="39" t="s">
        <v>246</v>
      </c>
      <c r="I98" s="39" t="s">
        <v>414</v>
      </c>
      <c r="J98" s="39" t="b">
        <v>1</v>
      </c>
      <c r="K98" s="39"/>
      <c r="L98" s="37">
        <v>6</v>
      </c>
      <c r="M98" s="37">
        <v>5</v>
      </c>
      <c r="N98" s="37">
        <v>1</v>
      </c>
      <c r="O98" s="37">
        <v>8</v>
      </c>
      <c r="P98" s="37"/>
      <c r="Q98" s="37"/>
      <c r="R98" s="37"/>
      <c r="S98" s="37"/>
      <c r="T98" s="37" t="s">
        <v>247</v>
      </c>
      <c r="U98" s="49"/>
      <c r="V98" s="90" t="str">
        <f ca="1"/>
        <v xml:space="preserve"> </v>
      </c>
      <c r="AC98" s="53"/>
      <c r="AD98" s="53"/>
      <c r="AE98" s="53"/>
      <c r="AF98" s="53"/>
      <c r="AG98" s="53"/>
      <c r="AH98" s="53"/>
      <c r="AI98" s="53"/>
      <c r="AJ98" s="53"/>
      <c r="AK98" s="53"/>
      <c r="AL98" s="53"/>
      <c r="AM98" s="53"/>
      <c r="AN98" s="53"/>
      <c r="AO98" s="53"/>
      <c r="AP98" s="53"/>
      <c r="AQ98" s="53"/>
    </row>
    <row r="99" spans="2:43" x14ac:dyDescent="0.45">
      <c r="B99" s="65" cm="1">
        <f t="array" aca="1" ref="B99" ca="1">FileSize(Folder&amp;Tests[[#This Row],[FileName]])</f>
        <v>849</v>
      </c>
      <c r="C99" s="59">
        <v>86</v>
      </c>
      <c r="D99" s="48" t="s">
        <v>420</v>
      </c>
      <c r="E99" s="37" t="b">
        <v>0</v>
      </c>
      <c r="F99" s="39" t="s">
        <v>246</v>
      </c>
      <c r="G99" s="39" t="b">
        <v>0</v>
      </c>
      <c r="H99" s="39" t="s">
        <v>246</v>
      </c>
      <c r="I99" s="39" t="s">
        <v>414</v>
      </c>
      <c r="J99" s="39" t="b">
        <v>1</v>
      </c>
      <c r="K99" s="39"/>
      <c r="L99" s="37">
        <v>8</v>
      </c>
      <c r="M99" s="37">
        <v>8</v>
      </c>
      <c r="N99" s="37">
        <v>4</v>
      </c>
      <c r="O99" s="37">
        <v>4</v>
      </c>
      <c r="P99" s="37"/>
      <c r="Q99" s="37"/>
      <c r="R99" s="37"/>
      <c r="S99" s="37"/>
      <c r="T99" s="37" t="s">
        <v>247</v>
      </c>
      <c r="U99" s="49"/>
      <c r="V99" s="90" t="str">
        <f ca="1"/>
        <v xml:space="preserve"> </v>
      </c>
      <c r="AC99" s="53"/>
      <c r="AD99" s="53"/>
      <c r="AE99" s="53"/>
      <c r="AF99" s="53"/>
      <c r="AG99" s="53"/>
      <c r="AH99" s="53"/>
      <c r="AI99" s="53"/>
      <c r="AJ99" s="53"/>
      <c r="AK99" s="53"/>
      <c r="AL99" s="53"/>
      <c r="AM99" s="53"/>
      <c r="AN99" s="53"/>
      <c r="AO99" s="53"/>
      <c r="AP99" s="53"/>
      <c r="AQ99" s="53"/>
    </row>
    <row r="100" spans="2:43" x14ac:dyDescent="0.45">
      <c r="B100" s="65" cm="1">
        <f t="array" aca="1" ref="B100" ca="1">FileSize(Folder&amp;Tests[[#This Row],[FileName]])</f>
        <v>118</v>
      </c>
      <c r="C100" s="59">
        <v>87</v>
      </c>
      <c r="D100" s="48" t="s">
        <v>428</v>
      </c>
      <c r="E100" s="37" t="b">
        <v>1</v>
      </c>
      <c r="F100" s="39" t="s">
        <v>246</v>
      </c>
      <c r="G100" s="39" t="b">
        <v>0</v>
      </c>
      <c r="H100" s="39" t="s">
        <v>246</v>
      </c>
      <c r="I100" s="39" t="s">
        <v>246</v>
      </c>
      <c r="J100" s="39" t="b">
        <v>1</v>
      </c>
      <c r="K100" s="39"/>
      <c r="L100" s="37">
        <v>1</v>
      </c>
      <c r="M100" s="37">
        <v>1</v>
      </c>
      <c r="N100" s="37">
        <v>0</v>
      </c>
      <c r="O100" s="37">
        <v>0</v>
      </c>
      <c r="P100" s="37"/>
      <c r="Q100" s="37"/>
      <c r="R100" s="37"/>
      <c r="S100" s="37"/>
      <c r="T100" s="37" t="s">
        <v>247</v>
      </c>
      <c r="U100" s="49"/>
      <c r="V100" s="90" t="str">
        <f ca="1"/>
        <v xml:space="preserve"> </v>
      </c>
      <c r="AC100" s="53"/>
      <c r="AD100" s="53"/>
      <c r="AE100" s="53"/>
      <c r="AF100" s="53"/>
      <c r="AG100" s="53"/>
      <c r="AH100" s="53"/>
      <c r="AI100" s="53"/>
      <c r="AJ100" s="53"/>
      <c r="AK100" s="53"/>
      <c r="AL100" s="53"/>
      <c r="AM100" s="53"/>
      <c r="AN100" s="53"/>
      <c r="AO100" s="53"/>
      <c r="AP100" s="53"/>
      <c r="AQ100" s="53"/>
    </row>
    <row r="101" spans="2:43" x14ac:dyDescent="0.45">
      <c r="B101" s="65" cm="1">
        <f t="array" aca="1" ref="B101" ca="1">FileSize(Folder&amp;Tests[[#This Row],[FileName]])</f>
        <v>231</v>
      </c>
      <c r="C101" s="59">
        <v>88</v>
      </c>
      <c r="D101" s="38" t="s">
        <v>432</v>
      </c>
      <c r="E101" s="37" t="b">
        <v>1</v>
      </c>
      <c r="F101" s="39" t="s">
        <v>431</v>
      </c>
      <c r="G101" s="39" t="b">
        <v>0</v>
      </c>
      <c r="H101" s="39" t="s">
        <v>246</v>
      </c>
      <c r="I101" s="39" t="s">
        <v>246</v>
      </c>
      <c r="J101" s="39" t="b">
        <v>1</v>
      </c>
      <c r="K101" s="39"/>
      <c r="L101" s="37">
        <v>1</v>
      </c>
      <c r="M101" s="37">
        <v>1</v>
      </c>
      <c r="N101" s="37">
        <v>0</v>
      </c>
      <c r="O101" s="37">
        <v>0</v>
      </c>
      <c r="P101" s="37"/>
      <c r="Q101" s="37"/>
      <c r="R101" s="37"/>
      <c r="S101" s="37"/>
      <c r="T101" s="37" t="s">
        <v>247</v>
      </c>
      <c r="U101" s="49"/>
      <c r="V101" s="90" t="str">
        <f ca="1"/>
        <v xml:space="preserve"> </v>
      </c>
      <c r="AC101" s="53"/>
      <c r="AD101" s="53"/>
      <c r="AE101" s="53"/>
      <c r="AF101" s="53"/>
      <c r="AG101" s="53"/>
      <c r="AH101" s="53"/>
      <c r="AI101" s="53"/>
      <c r="AJ101" s="53"/>
      <c r="AK101" s="53"/>
      <c r="AL101" s="53"/>
      <c r="AM101" s="53"/>
      <c r="AN101" s="53"/>
      <c r="AO101" s="53"/>
      <c r="AP101" s="53"/>
      <c r="AQ101" s="53"/>
    </row>
    <row r="102" spans="2:43" x14ac:dyDescent="0.45">
      <c r="B102" s="65" cm="1">
        <f t="array" aca="1" ref="B102" ca="1">FileSize(Folder&amp;Tests[[#This Row],[FileName]])</f>
        <v>511</v>
      </c>
      <c r="C102" s="59">
        <v>89</v>
      </c>
      <c r="D102" s="38" t="s">
        <v>433</v>
      </c>
      <c r="E102" s="37" t="b">
        <v>1</v>
      </c>
      <c r="F102" s="39" t="s">
        <v>434</v>
      </c>
      <c r="G102" s="39" t="b">
        <v>1</v>
      </c>
      <c r="H102" s="39" t="s">
        <v>246</v>
      </c>
      <c r="I102" s="39" t="s">
        <v>246</v>
      </c>
      <c r="J102" s="39" t="b">
        <v>1</v>
      </c>
      <c r="K102" s="39"/>
      <c r="L102" s="37">
        <v>1</v>
      </c>
      <c r="M102" s="37">
        <v>1</v>
      </c>
      <c r="N102" s="37">
        <v>0</v>
      </c>
      <c r="O102" s="37">
        <v>0</v>
      </c>
      <c r="P102" s="37"/>
      <c r="Q102" s="37"/>
      <c r="R102" s="37"/>
      <c r="S102" s="37"/>
      <c r="T102" s="37" t="s">
        <v>247</v>
      </c>
      <c r="U102" s="49"/>
      <c r="V102" s="90" t="str">
        <f ca="1"/>
        <v xml:space="preserve"> </v>
      </c>
      <c r="AC102" s="53"/>
      <c r="AD102" s="53"/>
      <c r="AE102" s="53"/>
      <c r="AF102" s="53"/>
      <c r="AG102" s="53"/>
      <c r="AH102" s="53"/>
      <c r="AI102" s="53"/>
      <c r="AJ102" s="53"/>
      <c r="AK102" s="53"/>
      <c r="AL102" s="53"/>
      <c r="AM102" s="53"/>
      <c r="AN102" s="53"/>
      <c r="AO102" s="53"/>
      <c r="AP102" s="53"/>
      <c r="AQ102" s="53"/>
    </row>
    <row r="103" spans="2:43" x14ac:dyDescent="0.45">
      <c r="B103" s="65" cm="1">
        <f t="array" aca="1" ref="B103" ca="1">FileSize(Folder&amp;Tests[[#This Row],[FileName]])</f>
        <v>0</v>
      </c>
      <c r="C103" s="59">
        <v>90</v>
      </c>
      <c r="D103" s="38" t="s">
        <v>271</v>
      </c>
      <c r="E103" s="37" t="b">
        <v>0</v>
      </c>
      <c r="F103" s="39" t="s">
        <v>246</v>
      </c>
      <c r="G103" s="39" t="b">
        <v>0</v>
      </c>
      <c r="H103" s="39" t="s">
        <v>246</v>
      </c>
      <c r="I103" s="39" t="s">
        <v>246</v>
      </c>
      <c r="J103" s="39" t="b">
        <v>1</v>
      </c>
      <c r="K103" s="39"/>
      <c r="L103" s="37">
        <v>1</v>
      </c>
      <c r="M103" s="37">
        <v>1</v>
      </c>
      <c r="N103" s="37">
        <v>0</v>
      </c>
      <c r="O103" s="37">
        <v>0</v>
      </c>
      <c r="P103" s="37"/>
      <c r="Q103" s="37"/>
      <c r="R103" s="37"/>
      <c r="S103" s="37"/>
      <c r="T103" s="37" t="s">
        <v>247</v>
      </c>
      <c r="U103" s="49"/>
      <c r="V103" s="90" t="str">
        <f ca="1"/>
        <v xml:space="preserve"> </v>
      </c>
      <c r="AC103" s="53"/>
      <c r="AD103" s="53"/>
      <c r="AE103" s="53"/>
      <c r="AF103" s="53"/>
      <c r="AG103" s="53"/>
      <c r="AH103" s="53"/>
      <c r="AI103" s="53"/>
      <c r="AJ103" s="53"/>
      <c r="AK103" s="53"/>
      <c r="AL103" s="53"/>
      <c r="AM103" s="53"/>
      <c r="AN103" s="53"/>
      <c r="AO103" s="53"/>
      <c r="AP103" s="53"/>
      <c r="AQ103" s="53"/>
    </row>
    <row r="104" spans="2:43" x14ac:dyDescent="0.45">
      <c r="B104" s="65" cm="1">
        <f t="array" aca="1" ref="B104" ca="1">FileSize(Folder&amp;Tests[[#This Row],[FileName]])</f>
        <v>745568</v>
      </c>
      <c r="C104" s="59">
        <v>91</v>
      </c>
      <c r="D104" s="38" t="s">
        <v>375</v>
      </c>
      <c r="E104" s="37" t="b">
        <v>1</v>
      </c>
      <c r="F104" s="39" t="s">
        <v>246</v>
      </c>
      <c r="G104" s="39" t="b">
        <v>0</v>
      </c>
      <c r="H104" s="39" t="s">
        <v>246</v>
      </c>
      <c r="I104" s="39" t="s">
        <v>246</v>
      </c>
      <c r="J104" s="39" t="b">
        <v>1</v>
      </c>
      <c r="K104" s="39"/>
      <c r="L104" s="37">
        <v>1</v>
      </c>
      <c r="M104" s="37">
        <v>1</v>
      </c>
      <c r="N104" s="37">
        <v>1</v>
      </c>
      <c r="O104" s="37">
        <v>0</v>
      </c>
      <c r="P104" s="37"/>
      <c r="Q104" s="37"/>
      <c r="R104" s="37"/>
      <c r="S104" s="37"/>
      <c r="T104" s="37" t="s">
        <v>247</v>
      </c>
      <c r="U104" s="49"/>
      <c r="V104" s="90" t="str">
        <f ca="1"/>
        <v xml:space="preserve"> </v>
      </c>
      <c r="AC104" s="53"/>
      <c r="AD104" s="53"/>
      <c r="AE104" s="53"/>
      <c r="AF104" s="53"/>
      <c r="AG104" s="53"/>
      <c r="AH104" s="53"/>
      <c r="AI104" s="53"/>
      <c r="AJ104" s="53"/>
      <c r="AK104" s="53"/>
      <c r="AL104" s="53"/>
      <c r="AM104" s="53"/>
      <c r="AN104" s="53"/>
      <c r="AO104" s="53"/>
      <c r="AP104" s="53"/>
      <c r="AQ104" s="53"/>
    </row>
    <row r="105" spans="2:43" x14ac:dyDescent="0.45">
      <c r="B105" s="65" cm="1">
        <f t="array" aca="1" ref="B105" ca="1">FileSize(Folder&amp;Tests[[#This Row],[FileName]])</f>
        <v>10000140</v>
      </c>
      <c r="C105" s="59">
        <v>92</v>
      </c>
      <c r="D105" s="38" t="s">
        <v>380</v>
      </c>
      <c r="E105" s="37" t="s">
        <v>384</v>
      </c>
      <c r="F105" s="39" t="s">
        <v>246</v>
      </c>
      <c r="G105" s="39" t="b">
        <v>0</v>
      </c>
      <c r="H105" s="39" t="s">
        <v>246</v>
      </c>
      <c r="I105" s="39" t="s">
        <v>246</v>
      </c>
      <c r="J105" s="39" t="b">
        <v>1</v>
      </c>
      <c r="K105" s="39"/>
      <c r="L105" s="37">
        <v>1</v>
      </c>
      <c r="M105" s="37">
        <v>1</v>
      </c>
      <c r="N105" s="37">
        <v>0</v>
      </c>
      <c r="O105" s="37">
        <v>0</v>
      </c>
      <c r="P105" s="37"/>
      <c r="Q105" s="37"/>
      <c r="R105" s="37"/>
      <c r="S105" s="37"/>
      <c r="T105" s="37" t="s">
        <v>247</v>
      </c>
      <c r="U105" s="46" t="s">
        <v>562</v>
      </c>
      <c r="V105" s="90" t="str">
        <f ca="1"/>
        <v xml:space="preserve"> </v>
      </c>
      <c r="AC105" s="53"/>
      <c r="AD105" s="53"/>
      <c r="AE105" s="53"/>
      <c r="AF105" s="53"/>
      <c r="AG105" s="53"/>
      <c r="AH105" s="53"/>
      <c r="AI105" s="53"/>
      <c r="AJ105" s="53"/>
      <c r="AK105" s="53"/>
      <c r="AL105" s="53"/>
      <c r="AM105" s="53"/>
      <c r="AN105" s="53"/>
      <c r="AO105" s="53"/>
      <c r="AP105" s="53"/>
      <c r="AQ105" s="53"/>
    </row>
    <row r="106" spans="2:43" x14ac:dyDescent="0.45">
      <c r="B106" s="65" cm="1">
        <f t="array" aca="1" ref="B106" ca="1">FileSize(Folder&amp;Tests[[#This Row],[FileName]])</f>
        <v>457411</v>
      </c>
      <c r="C106" s="59">
        <v>93</v>
      </c>
      <c r="D106" s="38" t="s">
        <v>373</v>
      </c>
      <c r="E106" s="37" t="b">
        <v>1</v>
      </c>
      <c r="F106" s="39" t="s">
        <v>249</v>
      </c>
      <c r="G106" s="39" t="b">
        <v>1</v>
      </c>
      <c r="H106" s="39" t="s">
        <v>246</v>
      </c>
      <c r="I106" s="39" t="s">
        <v>246</v>
      </c>
      <c r="J106" s="39" t="b">
        <v>1</v>
      </c>
      <c r="K106" s="39"/>
      <c r="L106" s="37">
        <v>1</v>
      </c>
      <c r="M106" s="37">
        <v>1</v>
      </c>
      <c r="N106" s="37">
        <v>3</v>
      </c>
      <c r="O106" s="37">
        <v>0</v>
      </c>
      <c r="P106" s="37"/>
      <c r="Q106" s="37"/>
      <c r="R106" s="37"/>
      <c r="S106" s="37"/>
      <c r="T106" s="37" t="s">
        <v>247</v>
      </c>
      <c r="U106" s="49"/>
      <c r="V106" s="90" t="str">
        <f ca="1"/>
        <v xml:space="preserve"> </v>
      </c>
      <c r="AC106" s="53"/>
      <c r="AD106" s="53"/>
      <c r="AE106" s="53"/>
      <c r="AF106" s="53"/>
      <c r="AG106" s="53"/>
      <c r="AH106" s="53"/>
      <c r="AI106" s="53"/>
      <c r="AJ106" s="53"/>
      <c r="AK106" s="53"/>
      <c r="AL106" s="53"/>
      <c r="AM106" s="53"/>
      <c r="AN106" s="53"/>
      <c r="AO106" s="53"/>
      <c r="AP106" s="53"/>
      <c r="AQ106" s="53"/>
    </row>
    <row r="107" spans="2:43" x14ac:dyDescent="0.45">
      <c r="B107" s="65" cm="1">
        <f t="array" aca="1" ref="B107" ca="1">FileSize(Folder&amp;Tests[[#This Row],[FileName]])</f>
        <v>201701</v>
      </c>
      <c r="C107" s="59">
        <v>94</v>
      </c>
      <c r="D107" s="38" t="s">
        <v>368</v>
      </c>
      <c r="E107" s="37" t="b">
        <v>1</v>
      </c>
      <c r="F107" s="39" t="s">
        <v>246</v>
      </c>
      <c r="G107" s="39" t="b">
        <v>0</v>
      </c>
      <c r="H107" s="39" t="s">
        <v>474</v>
      </c>
      <c r="I107" s="39" t="s">
        <v>246</v>
      </c>
      <c r="J107" s="39" t="b">
        <v>1</v>
      </c>
      <c r="K107" s="39"/>
      <c r="L107" s="37">
        <v>1</v>
      </c>
      <c r="M107" s="37">
        <v>1</v>
      </c>
      <c r="N107" s="37">
        <v>2</v>
      </c>
      <c r="O107" s="37">
        <v>0</v>
      </c>
      <c r="P107" s="37"/>
      <c r="Q107" s="37"/>
      <c r="R107" s="37"/>
      <c r="S107" s="37"/>
      <c r="T107" s="37" t="s">
        <v>247</v>
      </c>
      <c r="U107" s="49" t="s">
        <v>563</v>
      </c>
      <c r="V107" s="90" t="str">
        <f ca="1"/>
        <v xml:space="preserve"> </v>
      </c>
      <c r="AC107" s="53"/>
      <c r="AD107" s="53"/>
      <c r="AE107" s="53"/>
      <c r="AF107" s="53"/>
      <c r="AG107" s="53"/>
      <c r="AH107" s="53"/>
      <c r="AI107" s="53"/>
      <c r="AJ107" s="53"/>
      <c r="AK107" s="53"/>
      <c r="AL107" s="53"/>
      <c r="AM107" s="53"/>
      <c r="AN107" s="53"/>
      <c r="AO107" s="53"/>
      <c r="AP107" s="53"/>
      <c r="AQ107" s="53"/>
    </row>
    <row r="108" spans="2:43" x14ac:dyDescent="0.45">
      <c r="B108" s="65" cm="1">
        <f t="array" aca="1" ref="B108" ca="1">FileSize(Folder&amp;Tests[[#This Row],[FileName]])</f>
        <v>237</v>
      </c>
      <c r="C108" s="59">
        <v>95</v>
      </c>
      <c r="D108" s="58" t="s">
        <v>470</v>
      </c>
      <c r="E108" s="37" t="s">
        <v>394</v>
      </c>
      <c r="F108" s="39" t="s">
        <v>248</v>
      </c>
      <c r="G108" s="39" t="b">
        <v>0</v>
      </c>
      <c r="H108" s="39" t="s">
        <v>469</v>
      </c>
      <c r="I108" s="39"/>
      <c r="J108" s="39" t="b">
        <v>1</v>
      </c>
      <c r="K108" s="39"/>
      <c r="L108" s="37">
        <v>1</v>
      </c>
      <c r="M108" s="37">
        <v>1</v>
      </c>
      <c r="N108" s="37">
        <v>0</v>
      </c>
      <c r="O108" s="37">
        <v>0</v>
      </c>
      <c r="P108" s="37"/>
      <c r="Q108" s="37"/>
      <c r="R108" s="37"/>
      <c r="S108" s="37"/>
      <c r="T108" s="37" t="s">
        <v>247</v>
      </c>
      <c r="U108" s="49"/>
      <c r="V108" s="90" t="str">
        <f ca="1"/>
        <v xml:space="preserve"> </v>
      </c>
      <c r="AC108" s="53"/>
      <c r="AD108" s="53"/>
      <c r="AE108" s="53"/>
      <c r="AF108" s="53"/>
      <c r="AG108" s="53"/>
      <c r="AH108" s="53"/>
      <c r="AI108" s="53"/>
      <c r="AJ108" s="53"/>
      <c r="AK108" s="53"/>
      <c r="AL108" s="53"/>
      <c r="AM108" s="53"/>
      <c r="AN108" s="53"/>
      <c r="AO108" s="53"/>
      <c r="AP108" s="53"/>
      <c r="AQ108" s="53"/>
    </row>
    <row r="109" spans="2:43" x14ac:dyDescent="0.45">
      <c r="B109" s="65" cm="1">
        <f t="array" aca="1" ref="B109" ca="1">FileSize(Folder&amp;Tests[[#This Row],[FileName]])</f>
        <v>237</v>
      </c>
      <c r="C109" s="59">
        <v>96</v>
      </c>
      <c r="D109" s="58" t="s">
        <v>471</v>
      </c>
      <c r="E109" s="37" t="s">
        <v>394</v>
      </c>
      <c r="F109" s="39" t="s">
        <v>248</v>
      </c>
      <c r="G109" s="39" t="b">
        <v>0</v>
      </c>
      <c r="H109" s="39" t="s">
        <v>472</v>
      </c>
      <c r="I109" s="39" t="s">
        <v>246</v>
      </c>
      <c r="J109" s="39" t="b">
        <v>1</v>
      </c>
      <c r="K109" s="39"/>
      <c r="L109" s="37">
        <v>1</v>
      </c>
      <c r="M109" s="37">
        <v>1</v>
      </c>
      <c r="N109" s="37">
        <v>0</v>
      </c>
      <c r="O109" s="37">
        <v>0</v>
      </c>
      <c r="P109" s="37"/>
      <c r="Q109" s="37"/>
      <c r="R109" s="37"/>
      <c r="S109" s="37"/>
      <c r="T109" s="37" t="s">
        <v>247</v>
      </c>
      <c r="U109" s="49"/>
      <c r="V109" s="90" t="str">
        <f ca="1"/>
        <v xml:space="preserve"> </v>
      </c>
      <c r="AC109" s="53"/>
      <c r="AD109" s="53"/>
      <c r="AE109" s="53"/>
      <c r="AF109" s="53"/>
      <c r="AG109" s="53"/>
      <c r="AH109" s="53"/>
      <c r="AI109" s="53"/>
      <c r="AJ109" s="53"/>
      <c r="AK109" s="53"/>
      <c r="AL109" s="53"/>
      <c r="AM109" s="53"/>
      <c r="AN109" s="53"/>
      <c r="AO109" s="53"/>
      <c r="AP109" s="53"/>
      <c r="AQ109" s="53"/>
    </row>
    <row r="110" spans="2:43" x14ac:dyDescent="0.45">
      <c r="B110" s="66" cm="1">
        <f t="array" aca="1" ref="B110" ca="1">FileSize(Folder&amp;Tests[[#This Row],[FileName]])</f>
        <v>237</v>
      </c>
      <c r="C110" s="59">
        <v>97</v>
      </c>
      <c r="D110" s="58" t="s">
        <v>473</v>
      </c>
      <c r="E110" s="37" t="s">
        <v>394</v>
      </c>
      <c r="F110" s="39" t="s">
        <v>248</v>
      </c>
      <c r="G110" s="39" t="b">
        <v>0</v>
      </c>
      <c r="H110" s="39" t="s">
        <v>474</v>
      </c>
      <c r="I110" s="39"/>
      <c r="J110" s="39" t="b">
        <v>1</v>
      </c>
      <c r="K110" s="39"/>
      <c r="L110" s="37">
        <v>1</v>
      </c>
      <c r="M110" s="37">
        <v>1</v>
      </c>
      <c r="N110" s="37">
        <v>0</v>
      </c>
      <c r="O110" s="37">
        <v>0</v>
      </c>
      <c r="P110" s="37"/>
      <c r="Q110" s="37"/>
      <c r="R110" s="37"/>
      <c r="S110" s="37"/>
      <c r="T110" s="37"/>
      <c r="U110" s="49"/>
      <c r="V110" s="90" t="str">
        <f ca="1"/>
        <v xml:space="preserve"> </v>
      </c>
      <c r="AC110" s="53"/>
      <c r="AD110" s="53"/>
      <c r="AE110" s="53"/>
      <c r="AF110" s="53"/>
      <c r="AG110" s="53"/>
      <c r="AH110" s="53"/>
      <c r="AI110" s="53"/>
      <c r="AJ110" s="53"/>
      <c r="AK110" s="53"/>
      <c r="AL110" s="53"/>
      <c r="AM110" s="53"/>
      <c r="AN110" s="53"/>
      <c r="AO110" s="53"/>
      <c r="AP110" s="53"/>
      <c r="AQ110" s="53"/>
    </row>
    <row r="111" spans="2:43" x14ac:dyDescent="0.45">
      <c r="B111" s="66" cm="1">
        <f t="array" aca="1" ref="B111" ca="1">FileSize(Folder&amp;Tests[[#This Row],[FileName]])</f>
        <v>4340</v>
      </c>
      <c r="C111" s="60">
        <v>98</v>
      </c>
      <c r="D111" s="38" t="s">
        <v>358</v>
      </c>
      <c r="E111" s="37" t="s">
        <v>384</v>
      </c>
      <c r="F111" s="39" t="s">
        <v>246</v>
      </c>
      <c r="G111" s="39" t="b">
        <v>0</v>
      </c>
      <c r="H111" s="39" t="s">
        <v>246</v>
      </c>
      <c r="I111" s="39" t="s">
        <v>246</v>
      </c>
      <c r="J111" s="39" t="b">
        <v>1</v>
      </c>
      <c r="K111" s="39"/>
      <c r="L111" s="37">
        <v>1</v>
      </c>
      <c r="M111" s="37">
        <v>1</v>
      </c>
      <c r="N111" s="37">
        <v>10</v>
      </c>
      <c r="O111" s="37">
        <v>0</v>
      </c>
      <c r="P111" s="37"/>
      <c r="Q111" s="37"/>
      <c r="R111" s="37"/>
      <c r="S111" s="37"/>
      <c r="T111" s="37" t="s">
        <v>247</v>
      </c>
      <c r="U111" s="49"/>
      <c r="V111" s="90" t="str">
        <f ca="1"/>
        <v xml:space="preserve"> </v>
      </c>
      <c r="AC111" s="53"/>
      <c r="AD111" s="53"/>
      <c r="AE111" s="53"/>
      <c r="AF111" s="53"/>
      <c r="AG111" s="53"/>
      <c r="AH111" s="53"/>
      <c r="AI111" s="53"/>
      <c r="AJ111" s="53"/>
      <c r="AK111" s="53"/>
      <c r="AL111" s="53"/>
      <c r="AM111" s="53"/>
      <c r="AN111" s="53"/>
      <c r="AO111" s="53"/>
      <c r="AP111" s="53"/>
      <c r="AQ111" s="53"/>
    </row>
    <row r="112" spans="2:43" x14ac:dyDescent="0.45">
      <c r="B112" s="66" cm="1">
        <f t="array" aca="1" ref="B112" ca="1">FileSize(Folder&amp;Tests[[#This Row],[FileName]])</f>
        <v>10726</v>
      </c>
      <c r="C112" s="60">
        <v>99</v>
      </c>
      <c r="D112" s="38" t="s">
        <v>497</v>
      </c>
      <c r="E112" s="37" t="s">
        <v>394</v>
      </c>
      <c r="F112" s="39"/>
      <c r="G112" s="39" t="b">
        <v>0</v>
      </c>
      <c r="H112" s="39" t="s">
        <v>498</v>
      </c>
      <c r="I112" s="39"/>
      <c r="J112" s="39" t="b">
        <v>1</v>
      </c>
      <c r="K112" s="39"/>
      <c r="L112" s="37">
        <v>2</v>
      </c>
      <c r="M112" s="37">
        <v>1</v>
      </c>
      <c r="N112" s="37">
        <v>0</v>
      </c>
      <c r="O112" s="37">
        <v>1</v>
      </c>
      <c r="P112" s="37"/>
      <c r="Q112" s="37"/>
      <c r="R112" s="37"/>
      <c r="S112" s="37"/>
      <c r="T112" s="37"/>
      <c r="U112" s="49"/>
      <c r="V112" s="90" t="str">
        <f ca="1"/>
        <v xml:space="preserve"> </v>
      </c>
      <c r="AC112" s="53"/>
      <c r="AD112" s="53"/>
      <c r="AE112" s="53"/>
      <c r="AF112" s="53"/>
      <c r="AG112" s="53"/>
      <c r="AH112" s="53"/>
      <c r="AI112" s="53"/>
      <c r="AJ112" s="53"/>
      <c r="AK112" s="53"/>
      <c r="AL112" s="53"/>
      <c r="AM112" s="53"/>
      <c r="AN112" s="53"/>
      <c r="AO112" s="53"/>
      <c r="AP112" s="53"/>
      <c r="AQ112" s="53"/>
    </row>
    <row r="113" spans="2:43" x14ac:dyDescent="0.45">
      <c r="B113" s="65" cm="1">
        <f t="array" aca="1" ref="B113" ca="1">FileSize(Folder&amp;Tests[[#This Row],[FileName]])</f>
        <v>10726</v>
      </c>
      <c r="C113" s="59">
        <v>100</v>
      </c>
      <c r="D113" s="38" t="s">
        <v>497</v>
      </c>
      <c r="E113" s="37" t="s">
        <v>394</v>
      </c>
      <c r="F113" s="39" t="s">
        <v>248</v>
      </c>
      <c r="G113" s="39" t="b">
        <v>0</v>
      </c>
      <c r="H113" s="39" t="s">
        <v>553</v>
      </c>
      <c r="I113" s="39"/>
      <c r="J113" s="39" t="b">
        <v>1</v>
      </c>
      <c r="K113" s="39"/>
      <c r="L113" s="37">
        <v>2</v>
      </c>
      <c r="M113" s="37">
        <v>1</v>
      </c>
      <c r="N113" s="37">
        <v>0</v>
      </c>
      <c r="O113" s="37">
        <v>1</v>
      </c>
      <c r="P113" s="37"/>
      <c r="Q113" s="37"/>
      <c r="R113" s="37"/>
      <c r="S113" s="37"/>
      <c r="T113" s="37" t="s">
        <v>247</v>
      </c>
      <c r="U113" s="49"/>
      <c r="V113" s="90" t="str">
        <f ca="1"/>
        <v xml:space="preserve"> </v>
      </c>
      <c r="AC113" s="53"/>
      <c r="AD113" s="53"/>
      <c r="AE113" s="53"/>
      <c r="AF113" s="53"/>
      <c r="AG113" s="53"/>
      <c r="AH113" s="53"/>
      <c r="AI113" s="53"/>
      <c r="AJ113" s="53"/>
      <c r="AK113" s="53"/>
      <c r="AL113" s="53"/>
      <c r="AM113" s="53"/>
      <c r="AN113" s="53"/>
      <c r="AO113" s="53"/>
      <c r="AP113" s="53"/>
      <c r="AQ113" s="53"/>
    </row>
    <row r="114" spans="2:43" x14ac:dyDescent="0.45">
      <c r="B114" s="65" cm="1">
        <f t="array" aca="1" ref="B114" ca="1">FileSize(Folder&amp;Tests[[#This Row],[FileName]])</f>
        <v>8187</v>
      </c>
      <c r="C114" s="59">
        <v>101</v>
      </c>
      <c r="D114" s="38" t="s">
        <v>496</v>
      </c>
      <c r="E114" s="37" t="s">
        <v>394</v>
      </c>
      <c r="F114" s="39" t="s">
        <v>248</v>
      </c>
      <c r="G114" s="39" t="b">
        <v>0</v>
      </c>
      <c r="H114" s="39" t="s">
        <v>498</v>
      </c>
      <c r="I114" s="39"/>
      <c r="J114" s="39" t="b">
        <v>1</v>
      </c>
      <c r="K114" s="39"/>
      <c r="L114" s="37">
        <v>2</v>
      </c>
      <c r="M114" s="37">
        <v>2</v>
      </c>
      <c r="N114" s="37">
        <v>0</v>
      </c>
      <c r="O114" s="37">
        <v>0</v>
      </c>
      <c r="P114" s="37"/>
      <c r="Q114" s="37"/>
      <c r="R114" s="37"/>
      <c r="S114" s="37"/>
      <c r="T114" s="37"/>
      <c r="U114" s="49"/>
      <c r="V114" s="90" t="str">
        <f ca="1"/>
        <v xml:space="preserve"> </v>
      </c>
      <c r="AC114" s="53"/>
      <c r="AD114" s="53"/>
      <c r="AE114" s="53"/>
      <c r="AF114" s="53"/>
      <c r="AG114" s="53"/>
      <c r="AH114" s="53"/>
      <c r="AI114" s="53"/>
      <c r="AJ114" s="53"/>
      <c r="AK114" s="53"/>
      <c r="AL114" s="53"/>
      <c r="AM114" s="53"/>
      <c r="AN114" s="53"/>
      <c r="AO114" s="53"/>
      <c r="AP114" s="53"/>
      <c r="AQ114" s="53"/>
    </row>
    <row r="115" spans="2:43" x14ac:dyDescent="0.45">
      <c r="B115" s="65" cm="1">
        <f t="array" aca="1" ref="B115" ca="1">FileSize(Folder&amp;Tests[[#This Row],[FileName]])</f>
        <v>1487</v>
      </c>
      <c r="C115" s="59">
        <v>102</v>
      </c>
      <c r="D115" s="38" t="str">
        <f>SUBSTITUTE(D113,"ISO8601",Tests[[#This Row],[DateFormat]])</f>
        <v>test_good_Y-M-D.csv</v>
      </c>
      <c r="E115" s="37" t="s">
        <v>394</v>
      </c>
      <c r="F115" s="39" t="s">
        <v>248</v>
      </c>
      <c r="G115" s="39" t="b">
        <v>0</v>
      </c>
      <c r="H115" s="39" t="s">
        <v>474</v>
      </c>
      <c r="I115" s="39"/>
      <c r="J115" s="39" t="b">
        <v>1</v>
      </c>
      <c r="K115" s="39"/>
      <c r="L115" s="37">
        <v>2</v>
      </c>
      <c r="M115" s="37">
        <v>1</v>
      </c>
      <c r="N115" s="37">
        <v>0</v>
      </c>
      <c r="O115" s="37">
        <v>1</v>
      </c>
      <c r="P115" s="37"/>
      <c r="Q115" s="37"/>
      <c r="R115" s="37"/>
      <c r="S115" s="37"/>
      <c r="T115" s="37"/>
      <c r="U115" s="49"/>
      <c r="V115" s="90" t="str">
        <f ca="1"/>
        <v xml:space="preserve"> </v>
      </c>
      <c r="AC115" s="53"/>
      <c r="AD115" s="53"/>
      <c r="AE115" s="53"/>
      <c r="AF115" s="53"/>
      <c r="AG115" s="53"/>
      <c r="AH115" s="53"/>
      <c r="AI115" s="53"/>
      <c r="AJ115" s="53"/>
      <c r="AK115" s="53"/>
      <c r="AL115" s="53"/>
      <c r="AM115" s="53"/>
      <c r="AN115" s="53"/>
      <c r="AO115" s="53"/>
      <c r="AP115" s="53"/>
      <c r="AQ115" s="53"/>
    </row>
    <row r="116" spans="2:43" x14ac:dyDescent="0.45">
      <c r="B116" s="65" cm="1">
        <f t="array" aca="1" ref="B116" ca="1">FileSize(Folder&amp;Tests[[#This Row],[FileName]])</f>
        <v>36198</v>
      </c>
      <c r="C116" s="59">
        <v>103</v>
      </c>
      <c r="D116" s="38" t="str">
        <f>SUBSTITUTE(D114,"ISO8601",Tests[[#This Row],[DateFormat]])</f>
        <v>test_bad_Y-M-D.csv</v>
      </c>
      <c r="E116" s="37" t="s">
        <v>394</v>
      </c>
      <c r="F116" s="39" t="s">
        <v>248</v>
      </c>
      <c r="G116" s="39" t="b">
        <v>0</v>
      </c>
      <c r="H116" s="39" t="s">
        <v>474</v>
      </c>
      <c r="I116" s="39"/>
      <c r="J116" s="39" t="b">
        <v>1</v>
      </c>
      <c r="K116" s="39"/>
      <c r="L116" s="37">
        <v>2</v>
      </c>
      <c r="M116" s="37">
        <v>2</v>
      </c>
      <c r="N116" s="37">
        <v>0</v>
      </c>
      <c r="O116" s="37">
        <v>0</v>
      </c>
      <c r="P116" s="37"/>
      <c r="Q116" s="37"/>
      <c r="R116" s="37"/>
      <c r="S116" s="37"/>
      <c r="T116" s="37"/>
      <c r="U116" s="49"/>
      <c r="V116" s="90" t="str">
        <f ca="1"/>
        <v xml:space="preserve"> </v>
      </c>
      <c r="AC116" s="53"/>
      <c r="AD116" s="53"/>
      <c r="AE116" s="53"/>
      <c r="AF116" s="53"/>
      <c r="AG116" s="53"/>
      <c r="AH116" s="53"/>
      <c r="AI116" s="53"/>
      <c r="AJ116" s="53"/>
      <c r="AK116" s="53"/>
      <c r="AL116" s="53"/>
      <c r="AM116" s="53"/>
      <c r="AN116" s="53"/>
      <c r="AO116" s="53"/>
      <c r="AP116" s="53"/>
      <c r="AQ116" s="53"/>
    </row>
    <row r="117" spans="2:43" x14ac:dyDescent="0.45">
      <c r="B117" s="65" cm="1">
        <f t="array" aca="1" ref="B117" ca="1">FileSize(Folder&amp;Tests[[#This Row],[FileName]])</f>
        <v>1487</v>
      </c>
      <c r="C117" s="59">
        <v>104</v>
      </c>
      <c r="D117" s="38" t="str">
        <f>SUBSTITUTE(D113,"ISO8601",Tests[[#This Row],[DateFormat]])</f>
        <v>test_good_D-M-Y.csv</v>
      </c>
      <c r="E117" s="37" t="s">
        <v>394</v>
      </c>
      <c r="F117" s="39" t="s">
        <v>248</v>
      </c>
      <c r="G117" s="39" t="b">
        <v>0</v>
      </c>
      <c r="H117" s="39" t="s">
        <v>469</v>
      </c>
      <c r="I117" s="39"/>
      <c r="J117" s="39" t="b">
        <v>1</v>
      </c>
      <c r="K117" s="39"/>
      <c r="L117" s="37">
        <v>2</v>
      </c>
      <c r="M117" s="37">
        <v>1</v>
      </c>
      <c r="N117" s="37">
        <v>0</v>
      </c>
      <c r="O117" s="37">
        <v>1</v>
      </c>
      <c r="P117" s="37"/>
      <c r="Q117" s="37"/>
      <c r="R117" s="37"/>
      <c r="S117" s="37"/>
      <c r="T117" s="37"/>
      <c r="U117" s="49"/>
      <c r="V117" s="90" t="str">
        <f ca="1"/>
        <v xml:space="preserve"> </v>
      </c>
      <c r="AC117" s="53"/>
      <c r="AD117" s="53"/>
      <c r="AE117" s="53"/>
      <c r="AF117" s="53"/>
      <c r="AG117" s="53"/>
      <c r="AH117" s="53"/>
      <c r="AI117" s="53"/>
      <c r="AJ117" s="53"/>
      <c r="AK117" s="53"/>
      <c r="AL117" s="53"/>
      <c r="AM117" s="53"/>
      <c r="AN117" s="53"/>
      <c r="AO117" s="53"/>
      <c r="AP117" s="53"/>
      <c r="AQ117" s="53"/>
    </row>
    <row r="118" spans="2:43" x14ac:dyDescent="0.45">
      <c r="B118" s="65" cm="1">
        <f t="array" aca="1" ref="B118" ca="1">FileSize(Folder&amp;Tests[[#This Row],[FileName]])</f>
        <v>36191</v>
      </c>
      <c r="C118" s="59">
        <v>105</v>
      </c>
      <c r="D118" s="38" t="str">
        <f>SUBSTITUTE(D114,"ISO8601",Tests[[#This Row],[DateFormat]])</f>
        <v>test_bad_D-M-Y.csv</v>
      </c>
      <c r="E118" s="37" t="s">
        <v>394</v>
      </c>
      <c r="F118" s="39" t="s">
        <v>248</v>
      </c>
      <c r="G118" s="39" t="b">
        <v>0</v>
      </c>
      <c r="H118" s="39" t="s">
        <v>469</v>
      </c>
      <c r="I118" s="39"/>
      <c r="J118" s="39" t="b">
        <v>1</v>
      </c>
      <c r="K118" s="39"/>
      <c r="L118" s="37">
        <v>2</v>
      </c>
      <c r="M118" s="37">
        <v>2</v>
      </c>
      <c r="N118" s="37">
        <v>0</v>
      </c>
      <c r="O118" s="37">
        <v>0</v>
      </c>
      <c r="P118" s="37"/>
      <c r="Q118" s="37"/>
      <c r="R118" s="37"/>
      <c r="S118" s="37"/>
      <c r="T118" s="37"/>
      <c r="U118" s="49"/>
      <c r="V118" s="90" t="str">
        <f ca="1"/>
        <v xml:space="preserve"> </v>
      </c>
      <c r="AC118" s="53"/>
      <c r="AD118" s="53"/>
      <c r="AE118" s="53"/>
      <c r="AF118" s="53"/>
      <c r="AG118" s="53"/>
      <c r="AH118" s="53"/>
      <c r="AI118" s="53"/>
      <c r="AJ118" s="53"/>
      <c r="AK118" s="53"/>
      <c r="AL118" s="53"/>
      <c r="AM118" s="53"/>
      <c r="AN118" s="53"/>
      <c r="AO118" s="53"/>
      <c r="AP118" s="53"/>
      <c r="AQ118" s="53"/>
    </row>
    <row r="119" spans="2:43" x14ac:dyDescent="0.45">
      <c r="B119" s="65" cm="1">
        <f t="array" aca="1" ref="B119" ca="1">FileSize(Folder&amp;Tests[[#This Row],[FileName]])</f>
        <v>1487</v>
      </c>
      <c r="C119" s="59">
        <v>106</v>
      </c>
      <c r="D119" s="38" t="str">
        <f>SUBSTITUTE(D113,"ISO8601",Tests[[#This Row],[DateFormat]])</f>
        <v>test_good_M-D-Y.csv</v>
      </c>
      <c r="E119" s="37" t="s">
        <v>394</v>
      </c>
      <c r="F119" s="39" t="s">
        <v>248</v>
      </c>
      <c r="G119" s="39" t="b">
        <v>0</v>
      </c>
      <c r="H119" s="39" t="s">
        <v>472</v>
      </c>
      <c r="I119" s="39"/>
      <c r="J119" s="39" t="b">
        <v>1</v>
      </c>
      <c r="K119" s="39"/>
      <c r="L119" s="37">
        <v>2</v>
      </c>
      <c r="M119" s="37">
        <v>1</v>
      </c>
      <c r="N119" s="37">
        <v>0</v>
      </c>
      <c r="O119" s="37">
        <v>1</v>
      </c>
      <c r="P119" s="37"/>
      <c r="Q119" s="37"/>
      <c r="R119" s="37"/>
      <c r="S119" s="37"/>
      <c r="T119" s="37"/>
      <c r="U119" s="49"/>
      <c r="V119" s="90" t="str">
        <f ca="1"/>
        <v xml:space="preserve"> </v>
      </c>
      <c r="AC119" s="53"/>
      <c r="AD119" s="53"/>
      <c r="AE119" s="53"/>
      <c r="AF119" s="53"/>
      <c r="AG119" s="53"/>
      <c r="AH119" s="53"/>
      <c r="AI119" s="53"/>
      <c r="AJ119" s="53"/>
      <c r="AK119" s="53"/>
      <c r="AL119" s="53"/>
      <c r="AM119" s="53"/>
      <c r="AN119" s="53"/>
      <c r="AO119" s="53"/>
      <c r="AP119" s="53"/>
      <c r="AQ119" s="53"/>
    </row>
    <row r="120" spans="2:43" x14ac:dyDescent="0.45">
      <c r="B120" s="65" cm="1">
        <f t="array" aca="1" ref="B120" ca="1">FileSize(Folder&amp;Tests[[#This Row],[FileName]])</f>
        <v>36188</v>
      </c>
      <c r="C120" s="59">
        <v>107</v>
      </c>
      <c r="D120" s="38" t="str">
        <f>SUBSTITUTE(D114,"ISO8601",Tests[[#This Row],[DateFormat]])</f>
        <v>test_bad_M-D-Y.csv</v>
      </c>
      <c r="E120" s="37" t="s">
        <v>394</v>
      </c>
      <c r="F120" s="39" t="s">
        <v>248</v>
      </c>
      <c r="G120" s="39" t="b">
        <v>0</v>
      </c>
      <c r="H120" s="39" t="s">
        <v>472</v>
      </c>
      <c r="I120" s="39"/>
      <c r="J120" s="39" t="b">
        <v>1</v>
      </c>
      <c r="K120" s="39"/>
      <c r="L120" s="37">
        <v>2</v>
      </c>
      <c r="M120" s="37">
        <v>2</v>
      </c>
      <c r="N120" s="37">
        <v>0</v>
      </c>
      <c r="O120" s="37">
        <v>0</v>
      </c>
      <c r="P120" s="37"/>
      <c r="Q120" s="37"/>
      <c r="R120" s="37"/>
      <c r="S120" s="37"/>
      <c r="T120" s="37"/>
      <c r="U120" s="49"/>
      <c r="V120" s="90" t="str">
        <f ca="1"/>
        <v xml:space="preserve"> </v>
      </c>
      <c r="AC120" s="53"/>
      <c r="AD120" s="53"/>
      <c r="AE120" s="53"/>
      <c r="AF120" s="53"/>
      <c r="AG120" s="53"/>
      <c r="AH120" s="53"/>
      <c r="AI120" s="53"/>
      <c r="AJ120" s="53"/>
      <c r="AK120" s="53"/>
      <c r="AL120" s="53"/>
      <c r="AM120" s="53"/>
      <c r="AN120" s="53"/>
      <c r="AO120" s="53"/>
      <c r="AP120" s="53"/>
      <c r="AQ120" s="53"/>
    </row>
    <row r="121" spans="2:43" x14ac:dyDescent="0.45">
      <c r="B121" s="65" cm="1">
        <f t="array" aca="1" ref="B121" ca="1">FileSize(Folder&amp;Tests[[#This Row],[FileName]])</f>
        <v>506</v>
      </c>
      <c r="C121" s="59">
        <v>108</v>
      </c>
      <c r="D121" s="38" t="s">
        <v>350</v>
      </c>
      <c r="E121" s="37" t="b">
        <v>1</v>
      </c>
      <c r="F121" s="39" t="s">
        <v>246</v>
      </c>
      <c r="G121" s="39" t="b">
        <v>0</v>
      </c>
      <c r="H121" s="39" t="s">
        <v>521</v>
      </c>
      <c r="I121" s="39" t="s">
        <v>246</v>
      </c>
      <c r="J121" s="39" t="b">
        <v>1</v>
      </c>
      <c r="K121" s="39"/>
      <c r="L121" s="37">
        <v>1</v>
      </c>
      <c r="M121" s="37">
        <v>1</v>
      </c>
      <c r="N121" s="37">
        <v>0</v>
      </c>
      <c r="O121" s="37">
        <v>0</v>
      </c>
      <c r="P121" s="37"/>
      <c r="Q121" s="37"/>
      <c r="R121" s="37"/>
      <c r="S121" s="37"/>
      <c r="T121" s="37" t="s">
        <v>247</v>
      </c>
      <c r="U121" s="49"/>
      <c r="V121" s="90" t="str">
        <f ca="1"/>
        <v xml:space="preserve"> </v>
      </c>
      <c r="AC121" s="53"/>
      <c r="AD121" s="53"/>
      <c r="AE121" s="53"/>
      <c r="AF121" s="53"/>
      <c r="AG121" s="53"/>
      <c r="AH121" s="53"/>
      <c r="AI121" s="53"/>
      <c r="AJ121" s="53"/>
      <c r="AK121" s="53"/>
      <c r="AL121" s="53"/>
      <c r="AM121" s="53"/>
      <c r="AN121" s="53"/>
      <c r="AO121" s="53"/>
      <c r="AP121" s="53"/>
      <c r="AQ121" s="53"/>
    </row>
    <row r="122" spans="2:43" x14ac:dyDescent="0.45">
      <c r="B122" s="65" cm="1">
        <f t="array" aca="1" ref="B122" ca="1">FileSize(Folder&amp;Tests[[#This Row],[FileName]])</f>
        <v>32</v>
      </c>
      <c r="C122" s="59">
        <v>109</v>
      </c>
      <c r="D122" s="38" t="s">
        <v>296</v>
      </c>
      <c r="E122" s="37" t="b">
        <v>1</v>
      </c>
      <c r="F122" s="39" t="s">
        <v>246</v>
      </c>
      <c r="G122" s="39" t="b">
        <v>0</v>
      </c>
      <c r="H122" s="39" t="s">
        <v>246</v>
      </c>
      <c r="I122" s="39" t="s">
        <v>246</v>
      </c>
      <c r="J122" s="39" t="b">
        <v>1</v>
      </c>
      <c r="K122" s="39"/>
      <c r="L122" s="37">
        <v>1</v>
      </c>
      <c r="M122" s="37">
        <v>1</v>
      </c>
      <c r="N122" s="37">
        <v>0</v>
      </c>
      <c r="O122" s="37">
        <v>0</v>
      </c>
      <c r="P122" s="37"/>
      <c r="Q122" s="37"/>
      <c r="R122" s="37"/>
      <c r="S122" s="37"/>
      <c r="T122" s="37" t="s">
        <v>247</v>
      </c>
      <c r="U122" s="49"/>
      <c r="V122" s="90" t="str">
        <f ca="1"/>
        <v xml:space="preserve"> </v>
      </c>
      <c r="AC122" s="53"/>
      <c r="AD122" s="53"/>
      <c r="AE122" s="53"/>
      <c r="AF122" s="53"/>
      <c r="AG122" s="53"/>
      <c r="AH122" s="53"/>
      <c r="AI122" s="53"/>
      <c r="AJ122" s="53"/>
      <c r="AK122" s="53"/>
      <c r="AL122" s="53"/>
      <c r="AM122" s="53"/>
      <c r="AN122" s="53"/>
      <c r="AO122" s="53"/>
      <c r="AP122" s="53"/>
      <c r="AQ122" s="53"/>
    </row>
    <row r="123" spans="2:43" x14ac:dyDescent="0.45">
      <c r="B123" s="65" cm="1">
        <f t="array" aca="1" ref="B123" ca="1">FileSize(Folder&amp;Tests[[#This Row],[FileName]])</f>
        <v>68</v>
      </c>
      <c r="C123" s="59">
        <v>110</v>
      </c>
      <c r="D123" s="38" t="s">
        <v>336</v>
      </c>
      <c r="E123" s="37" t="b">
        <v>1</v>
      </c>
      <c r="F123" s="39" t="s">
        <v>248</v>
      </c>
      <c r="G123" s="39" t="b">
        <v>0</v>
      </c>
      <c r="H123" s="39" t="s">
        <v>474</v>
      </c>
      <c r="I123" s="39" t="s">
        <v>246</v>
      </c>
      <c r="J123" s="39" t="b">
        <v>1</v>
      </c>
      <c r="K123" s="39"/>
      <c r="L123" s="37">
        <v>1</v>
      </c>
      <c r="M123" s="37">
        <v>1</v>
      </c>
      <c r="N123" s="37">
        <v>0</v>
      </c>
      <c r="O123" s="37">
        <v>0</v>
      </c>
      <c r="P123" s="37"/>
      <c r="Q123" s="37"/>
      <c r="R123" s="37"/>
      <c r="S123" s="37"/>
      <c r="T123" s="37" t="s">
        <v>247</v>
      </c>
      <c r="U123" s="49" t="s">
        <v>564</v>
      </c>
      <c r="V123" s="90" t="str">
        <f ca="1"/>
        <v xml:space="preserve"> </v>
      </c>
      <c r="AC123" s="53"/>
      <c r="AD123" s="53"/>
      <c r="AE123" s="53"/>
      <c r="AF123" s="53"/>
      <c r="AG123" s="53"/>
      <c r="AH123" s="53"/>
      <c r="AI123" s="53"/>
      <c r="AJ123" s="53"/>
      <c r="AK123" s="53"/>
      <c r="AL123" s="53"/>
      <c r="AM123" s="53"/>
      <c r="AN123" s="53"/>
      <c r="AO123" s="53"/>
      <c r="AP123" s="53"/>
      <c r="AQ123" s="53"/>
    </row>
    <row r="124" spans="2:43" x14ac:dyDescent="0.45">
      <c r="B124" s="65" cm="1">
        <f t="array" aca="1" ref="B124" ca="1">FileSize(Folder&amp;Tests[[#This Row],[FileName]])</f>
        <v>11</v>
      </c>
      <c r="C124" s="59">
        <v>111</v>
      </c>
      <c r="D124" s="38" t="s">
        <v>278</v>
      </c>
      <c r="E124" s="37" t="b">
        <v>1</v>
      </c>
      <c r="F124" s="39" t="s">
        <v>246</v>
      </c>
      <c r="G124" s="39" t="b">
        <v>0</v>
      </c>
      <c r="H124" s="39" t="s">
        <v>246</v>
      </c>
      <c r="I124" s="39" t="s">
        <v>246</v>
      </c>
      <c r="J124" s="39" t="b">
        <v>1</v>
      </c>
      <c r="K124" s="39"/>
      <c r="L124" s="37">
        <v>1</v>
      </c>
      <c r="M124" s="37">
        <v>1</v>
      </c>
      <c r="N124" s="37">
        <v>0</v>
      </c>
      <c r="O124" s="37">
        <v>0</v>
      </c>
      <c r="P124" s="37"/>
      <c r="Q124" s="37"/>
      <c r="R124" s="37" t="s">
        <v>493</v>
      </c>
      <c r="S124" s="37"/>
      <c r="T124" s="37" t="s">
        <v>247</v>
      </c>
      <c r="U124" s="49"/>
      <c r="V124" s="90" t="str">
        <f ca="1"/>
        <v xml:space="preserve"> </v>
      </c>
      <c r="AC124" s="53"/>
      <c r="AD124" s="53"/>
      <c r="AE124" s="53"/>
      <c r="AF124" s="53"/>
      <c r="AG124" s="53"/>
      <c r="AH124" s="53"/>
      <c r="AI124" s="53"/>
      <c r="AJ124" s="53"/>
      <c r="AK124" s="53"/>
      <c r="AL124" s="53"/>
      <c r="AM124" s="53"/>
      <c r="AN124" s="53"/>
      <c r="AO124" s="53"/>
      <c r="AP124" s="53"/>
      <c r="AQ124" s="53"/>
    </row>
    <row r="125" spans="2:43" x14ac:dyDescent="0.45">
      <c r="B125" s="65" cm="1">
        <f t="array" aca="1" ref="B125" ca="1">FileSize(Folder&amp;Tests[[#This Row],[FileName]])</f>
        <v>34</v>
      </c>
      <c r="C125" s="59">
        <v>112</v>
      </c>
      <c r="D125" s="38" t="s">
        <v>303</v>
      </c>
      <c r="E125" s="37" t="b">
        <v>1</v>
      </c>
      <c r="F125" s="39" t="s">
        <v>246</v>
      </c>
      <c r="G125" s="39" t="b">
        <v>0</v>
      </c>
      <c r="H125" s="39" t="s">
        <v>246</v>
      </c>
      <c r="I125" s="39" t="s">
        <v>246</v>
      </c>
      <c r="J125" s="39" t="b">
        <v>1</v>
      </c>
      <c r="K125" s="39"/>
      <c r="L125" s="37">
        <v>1</v>
      </c>
      <c r="M125" s="37">
        <v>1</v>
      </c>
      <c r="N125" s="37">
        <v>0</v>
      </c>
      <c r="O125" s="37">
        <v>0</v>
      </c>
      <c r="P125" s="37"/>
      <c r="Q125" s="37"/>
      <c r="R125" s="37" t="s">
        <v>522</v>
      </c>
      <c r="S125" s="37"/>
      <c r="T125" s="37" t="s">
        <v>247</v>
      </c>
      <c r="U125" s="49" t="s">
        <v>252</v>
      </c>
      <c r="V125" s="90" t="str">
        <f ca="1"/>
        <v xml:space="preserve"> </v>
      </c>
      <c r="AC125" s="53"/>
      <c r="AD125" s="53"/>
      <c r="AE125" s="53"/>
      <c r="AF125" s="53"/>
      <c r="AG125" s="53"/>
      <c r="AH125" s="53"/>
      <c r="AI125" s="53"/>
      <c r="AJ125" s="53"/>
      <c r="AK125" s="53"/>
      <c r="AL125" s="53"/>
      <c r="AM125" s="53"/>
      <c r="AN125" s="53"/>
      <c r="AO125" s="53"/>
      <c r="AP125" s="53"/>
      <c r="AQ125" s="53"/>
    </row>
    <row r="126" spans="2:43" x14ac:dyDescent="0.45">
      <c r="B126" s="65" cm="1">
        <f t="array" aca="1" ref="B126" ca="1">FileSize(Folder&amp;Tests[[#This Row],[FileName]])</f>
        <v>5</v>
      </c>
      <c r="C126" s="59">
        <v>113</v>
      </c>
      <c r="D126" s="38" t="s">
        <v>274</v>
      </c>
      <c r="E126" s="37" t="b">
        <v>1</v>
      </c>
      <c r="F126" s="39" t="s">
        <v>246</v>
      </c>
      <c r="G126" s="39" t="b">
        <v>0</v>
      </c>
      <c r="H126" s="39" t="s">
        <v>246</v>
      </c>
      <c r="I126" s="39" t="s">
        <v>246</v>
      </c>
      <c r="J126" s="39" t="b">
        <v>1</v>
      </c>
      <c r="K126" s="39"/>
      <c r="L126" s="37">
        <v>1</v>
      </c>
      <c r="M126" s="37">
        <v>1</v>
      </c>
      <c r="N126" s="37">
        <v>0</v>
      </c>
      <c r="O126" s="37">
        <v>0</v>
      </c>
      <c r="P126" s="37"/>
      <c r="Q126" s="37"/>
      <c r="R126" s="37"/>
      <c r="S126" s="37"/>
      <c r="T126" s="37" t="s">
        <v>247</v>
      </c>
      <c r="U126" s="49"/>
      <c r="V126" s="90" t="str">
        <f ca="1"/>
        <v xml:space="preserve"> </v>
      </c>
      <c r="AC126" s="53"/>
      <c r="AD126" s="53"/>
      <c r="AE126" s="53"/>
      <c r="AF126" s="53"/>
      <c r="AG126" s="53"/>
      <c r="AH126" s="53"/>
      <c r="AI126" s="53"/>
      <c r="AJ126" s="53"/>
      <c r="AK126" s="53"/>
      <c r="AL126" s="53"/>
      <c r="AM126" s="53"/>
      <c r="AN126" s="53"/>
      <c r="AO126" s="53"/>
      <c r="AP126" s="53"/>
      <c r="AQ126" s="53"/>
    </row>
    <row r="127" spans="2:43" x14ac:dyDescent="0.45">
      <c r="B127" s="65" cm="1">
        <f t="array" aca="1" ref="B127" ca="1">FileSize(Folder&amp;Tests[[#This Row],[FileName]])</f>
        <v>11</v>
      </c>
      <c r="C127" s="59">
        <v>114</v>
      </c>
      <c r="D127" s="38" t="s">
        <v>279</v>
      </c>
      <c r="E127" s="37" t="b">
        <v>1</v>
      </c>
      <c r="F127" s="39" t="s">
        <v>246</v>
      </c>
      <c r="G127" s="39" t="b">
        <v>0</v>
      </c>
      <c r="H127" s="39" t="s">
        <v>246</v>
      </c>
      <c r="I127" s="39" t="s">
        <v>246</v>
      </c>
      <c r="J127" s="39" t="b">
        <v>1</v>
      </c>
      <c r="K127" s="39"/>
      <c r="L127" s="37">
        <v>1</v>
      </c>
      <c r="M127" s="37">
        <v>1</v>
      </c>
      <c r="N127" s="37">
        <v>0</v>
      </c>
      <c r="O127" s="37">
        <v>0</v>
      </c>
      <c r="P127" s="37"/>
      <c r="Q127" s="37"/>
      <c r="R127" s="37" t="s">
        <v>523</v>
      </c>
      <c r="S127" s="37"/>
      <c r="T127" s="37" t="s">
        <v>247</v>
      </c>
      <c r="U127" s="49"/>
      <c r="V127" s="90" t="str">
        <f ca="1"/>
        <v xml:space="preserve"> </v>
      </c>
      <c r="AC127" s="53"/>
      <c r="AD127" s="53"/>
      <c r="AE127" s="53"/>
      <c r="AF127" s="53"/>
      <c r="AG127" s="53"/>
      <c r="AH127" s="53"/>
      <c r="AI127" s="53"/>
      <c r="AJ127" s="53"/>
      <c r="AK127" s="53"/>
      <c r="AL127" s="53"/>
      <c r="AM127" s="53"/>
      <c r="AN127" s="53"/>
      <c r="AO127" s="53"/>
      <c r="AP127" s="53"/>
      <c r="AQ127" s="53"/>
    </row>
    <row r="128" spans="2:43" x14ac:dyDescent="0.45">
      <c r="B128" s="65" cm="1">
        <f t="array" aca="1" ref="B128" ca="1">FileSize(Folder&amp;Tests[[#This Row],[FileName]])</f>
        <v>33</v>
      </c>
      <c r="C128" s="59">
        <v>115</v>
      </c>
      <c r="D128" s="38" t="s">
        <v>298</v>
      </c>
      <c r="E128" s="37" t="b">
        <v>1</v>
      </c>
      <c r="F128" s="39" t="s">
        <v>246</v>
      </c>
      <c r="G128" s="39" t="b">
        <v>0</v>
      </c>
      <c r="H128" s="39" t="s">
        <v>246</v>
      </c>
      <c r="I128" s="39" t="s">
        <v>246</v>
      </c>
      <c r="J128" s="39" t="b">
        <v>1</v>
      </c>
      <c r="K128" s="39"/>
      <c r="L128" s="37">
        <v>1</v>
      </c>
      <c r="M128" s="37">
        <v>1</v>
      </c>
      <c r="N128" s="37">
        <v>0</v>
      </c>
      <c r="O128" s="37">
        <v>0</v>
      </c>
      <c r="P128" s="37"/>
      <c r="Q128" s="37"/>
      <c r="R128" s="37"/>
      <c r="S128" s="37"/>
      <c r="T128" s="37" t="s">
        <v>247</v>
      </c>
      <c r="U128" s="49"/>
      <c r="V128" s="90" t="str">
        <f ca="1"/>
        <v xml:space="preserve"> </v>
      </c>
      <c r="AC128" s="53"/>
      <c r="AD128" s="53"/>
      <c r="AE128" s="53"/>
      <c r="AF128" s="53"/>
      <c r="AG128" s="53"/>
      <c r="AH128" s="53"/>
      <c r="AI128" s="53"/>
      <c r="AJ128" s="53"/>
      <c r="AK128" s="53"/>
      <c r="AL128" s="53"/>
      <c r="AM128" s="53"/>
      <c r="AN128" s="53"/>
      <c r="AO128" s="53"/>
      <c r="AP128" s="53"/>
      <c r="AQ128" s="53"/>
    </row>
    <row r="129" spans="2:43" x14ac:dyDescent="0.45">
      <c r="B129" s="65" cm="1">
        <f t="array" aca="1" ref="B129" ca="1">FileSize(Folder&amp;Tests[[#This Row],[FileName]])</f>
        <v>34</v>
      </c>
      <c r="C129" s="59">
        <v>116</v>
      </c>
      <c r="D129" s="38" t="s">
        <v>301</v>
      </c>
      <c r="E129" s="37" t="b">
        <v>1</v>
      </c>
      <c r="F129" s="39" t="s">
        <v>246</v>
      </c>
      <c r="G129" s="39" t="b">
        <v>0</v>
      </c>
      <c r="H129" s="39" t="s">
        <v>246</v>
      </c>
      <c r="I129" s="39" t="s">
        <v>246</v>
      </c>
      <c r="J129" s="39" t="b">
        <v>1</v>
      </c>
      <c r="K129" s="39"/>
      <c r="L129" s="37">
        <v>1</v>
      </c>
      <c r="M129" s="37">
        <v>1</v>
      </c>
      <c r="N129" s="37">
        <v>0</v>
      </c>
      <c r="O129" s="37">
        <v>0</v>
      </c>
      <c r="P129" s="37"/>
      <c r="Q129" s="37"/>
      <c r="R129" s="37"/>
      <c r="S129" s="37"/>
      <c r="T129" s="37" t="s">
        <v>247</v>
      </c>
      <c r="U129" s="49"/>
      <c r="V129" s="90" t="str">
        <f ca="1"/>
        <v xml:space="preserve"> </v>
      </c>
      <c r="AC129" s="53"/>
      <c r="AD129" s="53"/>
      <c r="AE129" s="53"/>
      <c r="AF129" s="53"/>
      <c r="AG129" s="53"/>
      <c r="AH129" s="53"/>
      <c r="AI129" s="53"/>
      <c r="AJ129" s="53"/>
      <c r="AK129" s="53"/>
      <c r="AL129" s="53"/>
      <c r="AM129" s="53"/>
      <c r="AN129" s="53"/>
      <c r="AO129" s="53"/>
      <c r="AP129" s="53"/>
      <c r="AQ129" s="53"/>
    </row>
    <row r="130" spans="2:43" x14ac:dyDescent="0.45">
      <c r="B130" s="65" cm="1">
        <f t="array" aca="1" ref="B130" ca="1">FileSize(Folder&amp;Tests[[#This Row],[FileName]])</f>
        <v>6223</v>
      </c>
      <c r="C130" s="59">
        <v>117</v>
      </c>
      <c r="D130" s="38" t="s">
        <v>359</v>
      </c>
      <c r="E130" s="37" t="b">
        <v>1</v>
      </c>
      <c r="F130" s="39" t="s">
        <v>246</v>
      </c>
      <c r="G130" s="39" t="b">
        <v>0</v>
      </c>
      <c r="H130" s="39" t="s">
        <v>498</v>
      </c>
      <c r="I130" s="39" t="s">
        <v>246</v>
      </c>
      <c r="J130" s="39" t="b">
        <v>1</v>
      </c>
      <c r="K130" s="39"/>
      <c r="L130" s="37">
        <v>1</v>
      </c>
      <c r="M130" s="37">
        <v>1</v>
      </c>
      <c r="N130" s="37">
        <v>20</v>
      </c>
      <c r="O130" s="37">
        <v>0</v>
      </c>
      <c r="P130" s="37"/>
      <c r="Q130" s="37"/>
      <c r="R130" s="37"/>
      <c r="S130" s="37"/>
      <c r="T130" s="37" t="s">
        <v>247</v>
      </c>
      <c r="U130" s="46" t="s">
        <v>565</v>
      </c>
      <c r="V130" s="90" t="str">
        <f ca="1"/>
        <v xml:space="preserve"> </v>
      </c>
      <c r="AC130" s="53"/>
      <c r="AD130" s="53"/>
      <c r="AE130" s="53"/>
      <c r="AF130" s="53"/>
      <c r="AG130" s="53"/>
      <c r="AH130" s="53"/>
      <c r="AI130" s="53"/>
      <c r="AJ130" s="53"/>
      <c r="AK130" s="53"/>
      <c r="AL130" s="53"/>
      <c r="AM130" s="53"/>
      <c r="AN130" s="53"/>
      <c r="AO130" s="53"/>
      <c r="AP130" s="53"/>
      <c r="AQ130" s="53"/>
    </row>
    <row r="131" spans="2:43" x14ac:dyDescent="0.45">
      <c r="B131" s="66" cm="1">
        <f t="array" aca="1" ref="B131" ca="1">FileSize(Folder&amp;Tests[[#This Row],[FileName]])</f>
        <v>97842</v>
      </c>
      <c r="C131" s="59">
        <v>118</v>
      </c>
      <c r="D131" s="38" t="s">
        <v>363</v>
      </c>
      <c r="E131" s="37" t="b">
        <v>0</v>
      </c>
      <c r="F131" s="39" t="s">
        <v>246</v>
      </c>
      <c r="G131" s="39" t="b">
        <v>0</v>
      </c>
      <c r="H131" s="39" t="s">
        <v>246</v>
      </c>
      <c r="I131" s="39" t="s">
        <v>246</v>
      </c>
      <c r="J131" s="39" t="b">
        <v>1</v>
      </c>
      <c r="K131" s="39"/>
      <c r="L131" s="37">
        <v>5112</v>
      </c>
      <c r="M131" s="37">
        <v>1</v>
      </c>
      <c r="N131" s="37">
        <v>3</v>
      </c>
      <c r="O131" s="37">
        <v>0</v>
      </c>
      <c r="P131" s="37"/>
      <c r="Q131" s="37"/>
      <c r="R131" s="37"/>
      <c r="S131" s="37"/>
      <c r="T131" s="37" t="s">
        <v>247</v>
      </c>
      <c r="U131" s="46" t="s">
        <v>566</v>
      </c>
      <c r="V131" s="90" t="str">
        <f ca="1"/>
        <v xml:space="preserve"> </v>
      </c>
      <c r="AC131" s="53"/>
      <c r="AD131" s="53"/>
      <c r="AE131" s="53"/>
      <c r="AF131" s="53"/>
      <c r="AG131" s="53"/>
      <c r="AH131" s="53"/>
      <c r="AI131" s="53"/>
      <c r="AJ131" s="53"/>
      <c r="AK131" s="53"/>
      <c r="AL131" s="53"/>
      <c r="AM131" s="53"/>
      <c r="AN131" s="53"/>
      <c r="AO131" s="53"/>
      <c r="AP131" s="53"/>
      <c r="AQ131" s="53"/>
    </row>
    <row r="132" spans="2:43" x14ac:dyDescent="0.45">
      <c r="B132" s="66" cm="1">
        <f t="array" aca="1" ref="B132" ca="1">FileSize(Folder&amp;Tests[[#This Row],[FileName]])</f>
        <v>113183</v>
      </c>
      <c r="C132" s="59">
        <v>119</v>
      </c>
      <c r="D132" s="38" t="s">
        <v>364</v>
      </c>
      <c r="E132" s="37" t="b">
        <v>1</v>
      </c>
      <c r="F132" s="39" t="s">
        <v>246</v>
      </c>
      <c r="G132" s="39" t="b">
        <v>0</v>
      </c>
      <c r="H132" s="39" t="s">
        <v>246</v>
      </c>
      <c r="I132" s="39" t="s">
        <v>246</v>
      </c>
      <c r="J132" s="39" t="b">
        <v>1</v>
      </c>
      <c r="K132" s="39"/>
      <c r="L132" s="37">
        <v>1</v>
      </c>
      <c r="M132" s="37">
        <v>1</v>
      </c>
      <c r="N132" s="37">
        <v>0</v>
      </c>
      <c r="O132" s="37">
        <v>0</v>
      </c>
      <c r="P132" s="37"/>
      <c r="Q132" s="37"/>
      <c r="R132" s="37"/>
      <c r="S132" s="37"/>
      <c r="T132" s="37" t="s">
        <v>247</v>
      </c>
      <c r="U132" s="49"/>
      <c r="V132" s="90" t="str">
        <f ca="1"/>
        <v xml:space="preserve"> </v>
      </c>
      <c r="AC132" s="53"/>
      <c r="AD132" s="53"/>
      <c r="AE132" s="53"/>
      <c r="AF132" s="53"/>
      <c r="AG132" s="53"/>
      <c r="AH132" s="53"/>
      <c r="AI132" s="53"/>
      <c r="AJ132" s="53"/>
      <c r="AK132" s="53"/>
      <c r="AL132" s="53"/>
      <c r="AM132" s="53"/>
      <c r="AN132" s="53"/>
      <c r="AO132" s="53"/>
      <c r="AP132" s="53"/>
      <c r="AQ132" s="53"/>
    </row>
    <row r="133" spans="2:43" x14ac:dyDescent="0.45">
      <c r="B133" s="66" cm="1">
        <f t="array" aca="1" ref="B133" ca="1">FileSize(Folder&amp;Tests[[#This Row],[FileName]])</f>
        <v>20520</v>
      </c>
      <c r="C133" s="59">
        <v>120</v>
      </c>
      <c r="D133" s="38" t="s">
        <v>360</v>
      </c>
      <c r="E133" s="37" t="b">
        <v>1</v>
      </c>
      <c r="F133" s="39" t="s">
        <v>246</v>
      </c>
      <c r="G133" s="39" t="b">
        <v>0</v>
      </c>
      <c r="H133" s="39" t="s">
        <v>246</v>
      </c>
      <c r="I133" s="39" t="s">
        <v>246</v>
      </c>
      <c r="J133" s="39" t="b">
        <v>1</v>
      </c>
      <c r="K133" s="39"/>
      <c r="L133" s="37">
        <v>1</v>
      </c>
      <c r="M133" s="37">
        <v>1</v>
      </c>
      <c r="N133" s="37">
        <v>0</v>
      </c>
      <c r="O133" s="37">
        <v>0</v>
      </c>
      <c r="P133" s="37"/>
      <c r="Q133" s="37"/>
      <c r="R133" s="37"/>
      <c r="S133" s="37"/>
      <c r="T133" s="37" t="s">
        <v>247</v>
      </c>
      <c r="U133" s="49" t="s">
        <v>567</v>
      </c>
      <c r="V133" s="90" t="str">
        <f ca="1"/>
        <v xml:space="preserve"> </v>
      </c>
      <c r="AC133" s="53"/>
      <c r="AD133" s="53"/>
      <c r="AE133" s="53"/>
      <c r="AF133" s="53"/>
      <c r="AG133" s="53"/>
      <c r="AH133" s="53"/>
      <c r="AI133" s="53"/>
      <c r="AJ133" s="53"/>
      <c r="AK133" s="53"/>
      <c r="AL133" s="53"/>
      <c r="AM133" s="53"/>
      <c r="AN133" s="53"/>
      <c r="AO133" s="53"/>
      <c r="AP133" s="53"/>
      <c r="AQ133" s="53"/>
    </row>
    <row r="134" spans="2:43" x14ac:dyDescent="0.45">
      <c r="B134" s="66" cm="1">
        <f t="array" aca="1" ref="B134" ca="1">FileSize(Folder&amp;Tests[[#This Row],[FileName]])</f>
        <v>123637</v>
      </c>
      <c r="C134" s="59">
        <v>121</v>
      </c>
      <c r="D134" s="38" t="s">
        <v>365</v>
      </c>
      <c r="E134" s="37" t="b">
        <v>1</v>
      </c>
      <c r="F134" s="39" t="s">
        <v>246</v>
      </c>
      <c r="G134" s="39" t="b">
        <v>0</v>
      </c>
      <c r="H134" s="39" t="s">
        <v>521</v>
      </c>
      <c r="I134" s="39" t="s">
        <v>246</v>
      </c>
      <c r="J134" s="39" t="b">
        <v>1</v>
      </c>
      <c r="K134" s="39"/>
      <c r="L134" s="37">
        <v>1</v>
      </c>
      <c r="M134" s="37">
        <v>1</v>
      </c>
      <c r="N134" s="37">
        <v>20</v>
      </c>
      <c r="O134" s="37">
        <v>0</v>
      </c>
      <c r="P134" s="37"/>
      <c r="Q134" s="37"/>
      <c r="R134" s="37"/>
      <c r="S134" s="37"/>
      <c r="T134" s="37" t="s">
        <v>247</v>
      </c>
      <c r="U134" s="49"/>
      <c r="V134" s="90" t="str">
        <f ca="1"/>
        <v xml:space="preserve"> </v>
      </c>
      <c r="AC134" s="53"/>
      <c r="AD134" s="53"/>
      <c r="AE134" s="53"/>
      <c r="AF134" s="53"/>
      <c r="AG134" s="53"/>
      <c r="AH134" s="53"/>
      <c r="AI134" s="53"/>
      <c r="AJ134" s="53"/>
      <c r="AK134" s="53"/>
      <c r="AL134" s="53"/>
      <c r="AM134" s="53"/>
      <c r="AN134" s="53"/>
      <c r="AO134" s="53"/>
      <c r="AP134" s="53"/>
      <c r="AQ134" s="53"/>
    </row>
    <row r="135" spans="2:43" x14ac:dyDescent="0.45">
      <c r="B135" s="66" cm="1">
        <f t="array" aca="1" ref="B135" ca="1">FileSize(Folder&amp;Tests[[#This Row],[FileName]])</f>
        <v>253983</v>
      </c>
      <c r="C135" s="59">
        <v>122</v>
      </c>
      <c r="D135" s="38" t="s">
        <v>370</v>
      </c>
      <c r="E135" s="37" t="b">
        <v>1</v>
      </c>
      <c r="F135" s="39" t="s">
        <v>246</v>
      </c>
      <c r="G135" s="39" t="b">
        <v>0</v>
      </c>
      <c r="H135" s="39" t="s">
        <v>246</v>
      </c>
      <c r="I135" s="39" t="s">
        <v>246</v>
      </c>
      <c r="J135" s="39" t="b">
        <v>1</v>
      </c>
      <c r="K135" s="39"/>
      <c r="L135" s="37">
        <v>1</v>
      </c>
      <c r="M135" s="37">
        <v>1</v>
      </c>
      <c r="N135" s="37">
        <v>0</v>
      </c>
      <c r="O135" s="37">
        <v>0</v>
      </c>
      <c r="P135" s="37"/>
      <c r="Q135" s="37"/>
      <c r="R135" s="37"/>
      <c r="S135" s="37"/>
      <c r="T135" s="37" t="s">
        <v>247</v>
      </c>
      <c r="U135" s="46" t="s">
        <v>381</v>
      </c>
      <c r="V135" s="90" t="str">
        <f ca="1"/>
        <v xml:space="preserve"> </v>
      </c>
      <c r="AC135" s="53"/>
      <c r="AD135" s="53"/>
      <c r="AE135" s="53"/>
      <c r="AF135" s="53"/>
      <c r="AG135" s="53"/>
      <c r="AH135" s="53"/>
      <c r="AI135" s="53"/>
      <c r="AJ135" s="53"/>
      <c r="AK135" s="53"/>
      <c r="AL135" s="53"/>
      <c r="AM135" s="53"/>
      <c r="AN135" s="53"/>
      <c r="AO135" s="53"/>
      <c r="AP135" s="53"/>
      <c r="AQ135" s="53"/>
    </row>
    <row r="136" spans="2:43" x14ac:dyDescent="0.45">
      <c r="B136" s="66" cm="1">
        <f t="array" aca="1" ref="B136" ca="1">FileSize(Folder&amp;Tests[[#This Row],[FileName]])</f>
        <v>793574</v>
      </c>
      <c r="C136" s="60">
        <v>123</v>
      </c>
      <c r="D136" s="38" t="s">
        <v>376</v>
      </c>
      <c r="E136" s="37" t="b">
        <v>1</v>
      </c>
      <c r="F136" s="39" t="s">
        <v>246</v>
      </c>
      <c r="G136" s="39" t="b">
        <v>0</v>
      </c>
      <c r="H136" s="39" t="s">
        <v>521</v>
      </c>
      <c r="I136" s="39" t="s">
        <v>246</v>
      </c>
      <c r="J136" s="39" t="b">
        <v>1</v>
      </c>
      <c r="K136" s="39"/>
      <c r="L136" s="37">
        <v>7580</v>
      </c>
      <c r="M136" s="37">
        <v>1</v>
      </c>
      <c r="N136" s="37">
        <v>0</v>
      </c>
      <c r="O136" s="37">
        <v>0</v>
      </c>
      <c r="P136" s="37"/>
      <c r="Q136" s="37"/>
      <c r="R136" s="37"/>
      <c r="S136" s="37"/>
      <c r="T136" s="37" t="s">
        <v>247</v>
      </c>
      <c r="U136" s="49"/>
      <c r="V136" s="90" t="str">
        <f ca="1"/>
        <v xml:space="preserve"> </v>
      </c>
      <c r="AC136" s="53"/>
      <c r="AD136" s="53"/>
      <c r="AE136" s="53"/>
      <c r="AF136" s="53"/>
      <c r="AG136" s="53"/>
      <c r="AH136" s="53"/>
      <c r="AI136" s="53"/>
      <c r="AJ136" s="53"/>
      <c r="AK136" s="53"/>
      <c r="AL136" s="53"/>
      <c r="AM136" s="53"/>
      <c r="AN136" s="53"/>
      <c r="AO136" s="53"/>
      <c r="AP136" s="53"/>
      <c r="AQ136" s="53"/>
    </row>
    <row r="137" spans="2:43" x14ac:dyDescent="0.45">
      <c r="B137" s="66" cm="1">
        <f t="array" aca="1" ref="B137" ca="1">FileSize(Folder&amp;Tests[[#This Row],[FileName]])</f>
        <v>26</v>
      </c>
      <c r="C137" s="59">
        <v>124</v>
      </c>
      <c r="D137" s="38" t="s">
        <v>532</v>
      </c>
      <c r="E137" s="37" t="b">
        <v>0</v>
      </c>
      <c r="F137" s="39"/>
      <c r="G137" s="39" t="b">
        <v>0</v>
      </c>
      <c r="H137" s="39"/>
      <c r="I137" s="39"/>
      <c r="J137" s="39" t="b">
        <v>1</v>
      </c>
      <c r="K137" s="39"/>
      <c r="L137" s="37">
        <v>1</v>
      </c>
      <c r="M137" s="37">
        <v>1</v>
      </c>
      <c r="N137" s="37">
        <v>0</v>
      </c>
      <c r="O137" s="37">
        <v>0</v>
      </c>
      <c r="P137" s="37"/>
      <c r="Q137" s="37"/>
      <c r="R137" s="37"/>
      <c r="S137" s="37"/>
      <c r="T137" s="37"/>
      <c r="U137" s="49"/>
      <c r="V137" s="90" t="str">
        <f ca="1"/>
        <v xml:space="preserve"> </v>
      </c>
      <c r="AC137" s="53"/>
      <c r="AD137" s="53"/>
      <c r="AE137" s="53"/>
      <c r="AF137" s="53"/>
      <c r="AG137" s="53"/>
      <c r="AH137" s="53"/>
      <c r="AI137" s="53"/>
      <c r="AJ137" s="53"/>
      <c r="AK137" s="53"/>
      <c r="AL137" s="53"/>
      <c r="AM137" s="53"/>
      <c r="AN137" s="53"/>
      <c r="AO137" s="53"/>
      <c r="AP137" s="53"/>
      <c r="AQ137" s="53"/>
    </row>
    <row r="138" spans="2:43" x14ac:dyDescent="0.45">
      <c r="B138" s="66" cm="1">
        <f t="array" aca="1" ref="B138" ca="1">FileSize(Folder&amp;Tests[[#This Row],[FileName]])</f>
        <v>33</v>
      </c>
      <c r="C138" s="60">
        <v>125</v>
      </c>
      <c r="D138" s="38" t="s">
        <v>536</v>
      </c>
      <c r="E138" s="37" t="b">
        <v>1</v>
      </c>
      <c r="F138" s="39"/>
      <c r="G138" s="39" t="b">
        <v>0</v>
      </c>
      <c r="H138" s="39"/>
      <c r="I138" s="39"/>
      <c r="J138" s="39" t="b">
        <v>1</v>
      </c>
      <c r="K138" s="39"/>
      <c r="L138" s="37">
        <v>1</v>
      </c>
      <c r="M138" s="37">
        <v>1</v>
      </c>
      <c r="N138" s="37">
        <v>5</v>
      </c>
      <c r="O138" s="37">
        <v>4</v>
      </c>
      <c r="P138" s="37"/>
      <c r="Q138" s="37"/>
      <c r="R138" s="37"/>
      <c r="S138" s="37"/>
      <c r="T138" s="37"/>
      <c r="U138" s="49"/>
      <c r="V138" s="90" t="str">
        <f ca="1"/>
        <v xml:space="preserve"> </v>
      </c>
      <c r="AC138" s="53"/>
      <c r="AD138" s="53"/>
      <c r="AE138" s="53"/>
      <c r="AF138" s="53"/>
      <c r="AG138" s="53"/>
      <c r="AH138" s="53"/>
      <c r="AI138" s="53"/>
      <c r="AJ138" s="53"/>
      <c r="AK138" s="53"/>
      <c r="AL138" s="53"/>
      <c r="AM138" s="53"/>
      <c r="AN138" s="53"/>
      <c r="AO138" s="53"/>
      <c r="AP138" s="53"/>
      <c r="AQ138" s="53"/>
    </row>
    <row r="139" spans="2:43" x14ac:dyDescent="0.45">
      <c r="B139" s="66" cm="1">
        <f t="array" aca="1" ref="B139" ca="1">FileSize(Folder&amp;Tests[[#This Row],[FileName]])</f>
        <v>33</v>
      </c>
      <c r="C139" s="60">
        <v>126</v>
      </c>
      <c r="D139" s="38" t="s">
        <v>537</v>
      </c>
      <c r="E139" s="37" t="b">
        <v>0</v>
      </c>
      <c r="F139" s="39" t="b">
        <v>0</v>
      </c>
      <c r="G139" s="39" t="b">
        <v>0</v>
      </c>
      <c r="H139" s="39"/>
      <c r="I139" s="39"/>
      <c r="J139" s="39" t="b">
        <v>1</v>
      </c>
      <c r="K139" s="39"/>
      <c r="L139" s="37">
        <v>1</v>
      </c>
      <c r="M139" s="37">
        <v>1</v>
      </c>
      <c r="N139" s="37">
        <v>0</v>
      </c>
      <c r="O139" s="37">
        <v>0</v>
      </c>
      <c r="P139" s="37"/>
      <c r="Q139" s="37"/>
      <c r="R139" s="37"/>
      <c r="S139" s="37"/>
      <c r="T139" s="37"/>
      <c r="U139" s="49"/>
      <c r="V139" s="90" t="str">
        <f ca="1"/>
        <v xml:space="preserve"> </v>
      </c>
      <c r="AC139" s="53"/>
      <c r="AD139" s="53"/>
      <c r="AE139" s="53"/>
      <c r="AF139" s="53"/>
      <c r="AG139" s="53"/>
      <c r="AH139" s="53"/>
      <c r="AI139" s="53"/>
      <c r="AJ139" s="53"/>
      <c r="AK139" s="53"/>
      <c r="AL139" s="53"/>
      <c r="AM139" s="53"/>
      <c r="AN139" s="53"/>
      <c r="AO139" s="53"/>
      <c r="AP139" s="53"/>
      <c r="AQ139" s="53"/>
    </row>
    <row r="140" spans="2:43" x14ac:dyDescent="0.45">
      <c r="B140" s="66" cm="1">
        <f t="array" aca="1" ref="B140" ca="1">FileSize(Folder&amp;Tests[[#This Row],[FileName]])</f>
        <v>33</v>
      </c>
      <c r="C140" s="60">
        <v>127</v>
      </c>
      <c r="D140" s="38" t="s">
        <v>537</v>
      </c>
      <c r="E140" s="37" t="b">
        <v>0</v>
      </c>
      <c r="F140" s="39"/>
      <c r="G140" s="39" t="b">
        <v>0</v>
      </c>
      <c r="H140" s="39"/>
      <c r="I140" s="39"/>
      <c r="J140" s="39" t="b">
        <v>1</v>
      </c>
      <c r="K140" s="39"/>
      <c r="L140" s="37">
        <v>1</v>
      </c>
      <c r="M140" s="37">
        <v>1</v>
      </c>
      <c r="N140" s="37">
        <v>0</v>
      </c>
      <c r="O140" s="37">
        <v>0</v>
      </c>
      <c r="P140" s="37"/>
      <c r="Q140" s="37"/>
      <c r="R140" s="37"/>
      <c r="S140" s="37"/>
      <c r="T140" s="37"/>
      <c r="U140" s="49"/>
      <c r="V140" s="90" t="str">
        <f ca="1"/>
        <v xml:space="preserve"> </v>
      </c>
      <c r="AC140" s="53"/>
      <c r="AD140" s="53"/>
      <c r="AE140" s="53"/>
      <c r="AF140" s="53"/>
      <c r="AG140" s="53"/>
      <c r="AH140" s="53"/>
      <c r="AI140" s="53"/>
      <c r="AJ140" s="53"/>
      <c r="AK140" s="53"/>
      <c r="AL140" s="53"/>
      <c r="AM140" s="53"/>
      <c r="AN140" s="53"/>
      <c r="AO140" s="53"/>
      <c r="AP140" s="53"/>
      <c r="AQ140" s="53"/>
    </row>
    <row r="141" spans="2:43" x14ac:dyDescent="0.45">
      <c r="B141" s="66" cm="1">
        <f t="array" aca="1" ref="B141" ca="1">FileSize(Folder&amp;Tests[[#This Row],[FileName]])</f>
        <v>8215444</v>
      </c>
      <c r="C141" s="60">
        <v>128</v>
      </c>
      <c r="D141" s="38" t="s">
        <v>379</v>
      </c>
      <c r="E141" s="37" t="s">
        <v>384</v>
      </c>
      <c r="F141" s="39" t="s">
        <v>246</v>
      </c>
      <c r="G141" s="39" t="b">
        <v>0</v>
      </c>
      <c r="H141" s="39" t="s">
        <v>246</v>
      </c>
      <c r="I141" s="39" t="s">
        <v>246</v>
      </c>
      <c r="J141" s="39" t="b">
        <v>1</v>
      </c>
      <c r="K141" s="39"/>
      <c r="L141" s="37">
        <v>1</v>
      </c>
      <c r="M141" s="37">
        <v>1</v>
      </c>
      <c r="N141" s="37">
        <v>0</v>
      </c>
      <c r="O141" s="37">
        <v>0</v>
      </c>
      <c r="P141" s="37"/>
      <c r="Q141" s="37"/>
      <c r="R141" s="37"/>
      <c r="S141" s="37"/>
      <c r="T141" s="37" t="s">
        <v>247</v>
      </c>
      <c r="U141" s="49"/>
      <c r="V141" s="90" t="str">
        <f ca="1"/>
        <v xml:space="preserve"> </v>
      </c>
      <c r="AC141" s="53"/>
      <c r="AD141" s="53"/>
      <c r="AE141" s="53"/>
      <c r="AF141" s="53"/>
      <c r="AG141" s="53"/>
      <c r="AH141" s="53"/>
      <c r="AI141" s="53"/>
      <c r="AJ141" s="53"/>
      <c r="AK141" s="53"/>
      <c r="AL141" s="53"/>
      <c r="AM141" s="53"/>
      <c r="AN141" s="53"/>
      <c r="AO141" s="53"/>
      <c r="AP141" s="53"/>
      <c r="AQ141" s="53"/>
    </row>
    <row r="142" spans="2:43" x14ac:dyDescent="0.45">
      <c r="B142" s="66" cm="1">
        <f t="array" aca="1" ref="B142" ca="1">FileSize(Folder&amp;Tests[[#This Row],[FileName]])</f>
        <v>295054</v>
      </c>
      <c r="C142" s="60">
        <v>129</v>
      </c>
      <c r="D142" s="38" t="s">
        <v>372</v>
      </c>
      <c r="E142" s="37" t="b">
        <v>1</v>
      </c>
      <c r="F142" s="39" t="s">
        <v>246</v>
      </c>
      <c r="G142" s="39" t="b">
        <v>0</v>
      </c>
      <c r="H142" s="39" t="s">
        <v>498</v>
      </c>
      <c r="I142" s="39" t="s">
        <v>246</v>
      </c>
      <c r="J142" s="39" t="b">
        <v>1</v>
      </c>
      <c r="K142" s="39"/>
      <c r="L142" s="37">
        <v>1</v>
      </c>
      <c r="M142" s="37">
        <v>1</v>
      </c>
      <c r="N142" s="37">
        <v>2</v>
      </c>
      <c r="O142" s="37">
        <v>0</v>
      </c>
      <c r="P142" s="37"/>
      <c r="Q142" s="37"/>
      <c r="R142" s="37"/>
      <c r="S142" s="37"/>
      <c r="T142" s="37" t="s">
        <v>247</v>
      </c>
      <c r="U142" s="49"/>
      <c r="V142" s="90" t="str">
        <f ca="1"/>
        <v xml:space="preserve"> </v>
      </c>
      <c r="AC142" s="53"/>
      <c r="AD142" s="53"/>
      <c r="AE142" s="53"/>
      <c r="AF142" s="53"/>
      <c r="AG142" s="53"/>
      <c r="AH142" s="53"/>
      <c r="AI142" s="53"/>
      <c r="AJ142" s="53"/>
      <c r="AK142" s="53"/>
      <c r="AL142" s="53"/>
      <c r="AM142" s="53"/>
      <c r="AN142" s="53"/>
      <c r="AO142" s="53"/>
      <c r="AP142" s="53"/>
      <c r="AQ142" s="53"/>
    </row>
    <row r="143" spans="2:43" x14ac:dyDescent="0.45">
      <c r="B143" s="66" cm="1">
        <f t="array" aca="1" ref="B143" ca="1">FileSize(Folder&amp;Tests[[#This Row],[FileName]])</f>
        <v>295054</v>
      </c>
      <c r="C143" s="60">
        <v>130</v>
      </c>
      <c r="D143" s="38" t="s">
        <v>372</v>
      </c>
      <c r="E143" s="37" t="b">
        <v>0</v>
      </c>
      <c r="F143" s="39"/>
      <c r="G143" s="39" t="b">
        <v>0</v>
      </c>
      <c r="H143" s="39"/>
      <c r="I143" s="39"/>
      <c r="J143" s="39" t="b">
        <v>1</v>
      </c>
      <c r="K143" s="39"/>
      <c r="L143" s="37">
        <v>1</v>
      </c>
      <c r="M143" s="37">
        <v>1</v>
      </c>
      <c r="N143" s="37">
        <v>0</v>
      </c>
      <c r="O143" s="37">
        <v>0</v>
      </c>
      <c r="P143" s="37"/>
      <c r="Q143" s="37"/>
      <c r="R143" s="37"/>
      <c r="S143" s="37"/>
      <c r="T143" s="37"/>
      <c r="U143" s="49"/>
      <c r="V143" s="90" t="str">
        <f ca="1"/>
        <v xml:space="preserve"> </v>
      </c>
      <c r="AC143" s="53"/>
      <c r="AD143" s="53"/>
      <c r="AE143" s="53"/>
      <c r="AF143" s="53"/>
      <c r="AG143" s="53"/>
      <c r="AH143" s="53"/>
      <c r="AI143" s="53"/>
      <c r="AJ143" s="53"/>
      <c r="AK143" s="53"/>
      <c r="AL143" s="53"/>
      <c r="AM143" s="53"/>
      <c r="AN143" s="53"/>
      <c r="AO143" s="53"/>
      <c r="AP143" s="53"/>
      <c r="AQ143" s="53"/>
    </row>
    <row r="144" spans="2:43" x14ac:dyDescent="0.45">
      <c r="B144" s="66" cm="1">
        <f t="array" aca="1" ref="B144" ca="1">FileSize(Folder&amp;Tests[[#This Row],[FileName]])</f>
        <v>210026</v>
      </c>
      <c r="C144" s="60">
        <v>131</v>
      </c>
      <c r="D144" s="38" t="s">
        <v>369</v>
      </c>
      <c r="E144" s="37" t="b">
        <v>1</v>
      </c>
      <c r="F144" s="39" t="s">
        <v>246</v>
      </c>
      <c r="G144" s="39" t="b">
        <v>0</v>
      </c>
      <c r="H144" s="39" t="s">
        <v>498</v>
      </c>
      <c r="I144" s="39" t="s">
        <v>246</v>
      </c>
      <c r="J144" s="39" t="b">
        <v>1</v>
      </c>
      <c r="K144" s="39"/>
      <c r="L144" s="37">
        <v>1</v>
      </c>
      <c r="M144" s="37">
        <v>1</v>
      </c>
      <c r="N144" s="37">
        <v>3</v>
      </c>
      <c r="O144" s="37">
        <v>0</v>
      </c>
      <c r="P144" s="37"/>
      <c r="Q144" s="37"/>
      <c r="R144" s="37"/>
      <c r="S144" s="37"/>
      <c r="T144" s="37" t="s">
        <v>247</v>
      </c>
      <c r="U144" s="49"/>
      <c r="V144" s="90" t="str">
        <f ca="1"/>
        <v xml:space="preserve"> </v>
      </c>
      <c r="AC144" s="53"/>
      <c r="AD144" s="53"/>
      <c r="AE144" s="53"/>
      <c r="AF144" s="53"/>
      <c r="AG144" s="53"/>
      <c r="AH144" s="53"/>
      <c r="AI144" s="53"/>
      <c r="AJ144" s="53"/>
      <c r="AK144" s="53"/>
      <c r="AL144" s="53"/>
      <c r="AM144" s="53"/>
      <c r="AN144" s="53"/>
      <c r="AO144" s="53"/>
      <c r="AP144" s="53"/>
      <c r="AQ144" s="53"/>
    </row>
    <row r="145" spans="2:43" x14ac:dyDescent="0.45">
      <c r="B145" s="65"/>
      <c r="C145" s="60">
        <v>132</v>
      </c>
      <c r="D145" s="38" t="s">
        <v>591</v>
      </c>
      <c r="E145" s="37" t="b">
        <v>1</v>
      </c>
      <c r="F145" s="39"/>
      <c r="G145" s="39" t="b">
        <v>0</v>
      </c>
      <c r="H145" s="39" t="s">
        <v>498</v>
      </c>
      <c r="I145" s="39"/>
      <c r="J145" s="39" t="b">
        <v>1</v>
      </c>
      <c r="K145" s="39">
        <v>1</v>
      </c>
      <c r="L145" s="37">
        <v>2</v>
      </c>
      <c r="M145" s="37">
        <v>2</v>
      </c>
      <c r="N145" s="37">
        <v>2</v>
      </c>
      <c r="O145" s="37">
        <v>2</v>
      </c>
      <c r="P145" s="37"/>
      <c r="Q145" s="37"/>
      <c r="R145" s="37"/>
      <c r="S145" s="37"/>
      <c r="T145" s="37"/>
      <c r="U145" s="49"/>
      <c r="V145" s="90" t="str">
        <f ca="1"/>
        <v xml:space="preserve"> </v>
      </c>
      <c r="AC145" s="53"/>
      <c r="AD145" s="53"/>
      <c r="AE145" s="53"/>
      <c r="AF145" s="53"/>
      <c r="AG145" s="53"/>
      <c r="AH145" s="53"/>
      <c r="AI145" s="53"/>
      <c r="AJ145" s="53"/>
      <c r="AK145" s="53"/>
      <c r="AL145" s="53"/>
      <c r="AM145" s="53"/>
      <c r="AN145" s="53"/>
      <c r="AO145" s="53"/>
      <c r="AP145" s="53"/>
      <c r="AQ145" s="53"/>
    </row>
    <row r="146" spans="2:43" x14ac:dyDescent="0.45">
      <c r="B146" s="65" cm="1">
        <f t="array" aca="1" ref="B146" ca="1">FileSize(Folder&amp;Tests[[#This Row],[FileName]])</f>
        <v>216</v>
      </c>
      <c r="C146" s="59">
        <v>133</v>
      </c>
      <c r="D146" s="38" t="s">
        <v>592</v>
      </c>
      <c r="E146" s="37" t="b">
        <v>1</v>
      </c>
      <c r="F146" s="39"/>
      <c r="G146" s="39"/>
      <c r="H146" s="39"/>
      <c r="I146" s="39"/>
      <c r="J146" s="39"/>
      <c r="K146" s="39">
        <v>1</v>
      </c>
      <c r="L146" s="37">
        <v>2</v>
      </c>
      <c r="M146" s="37">
        <v>1</v>
      </c>
      <c r="N146" s="37">
        <v>3</v>
      </c>
      <c r="O146" s="37">
        <v>0</v>
      </c>
      <c r="P146" s="37"/>
      <c r="Q146" s="37"/>
      <c r="R146" s="37"/>
      <c r="S146" s="37"/>
      <c r="T146" s="37"/>
      <c r="U146" s="49"/>
      <c r="V146" s="90" t="str">
        <f ca="1"/>
        <v xml:space="preserve"> </v>
      </c>
      <c r="AC146" s="53"/>
      <c r="AD146" s="53"/>
      <c r="AE146" s="53"/>
      <c r="AF146" s="53"/>
      <c r="AG146" s="53"/>
      <c r="AH146" s="53"/>
      <c r="AI146" s="53"/>
      <c r="AJ146" s="53"/>
      <c r="AK146" s="53"/>
      <c r="AL146" s="53"/>
      <c r="AM146" s="53"/>
      <c r="AN146" s="53"/>
      <c r="AO146" s="53"/>
      <c r="AP146" s="53"/>
      <c r="AQ146" s="53"/>
    </row>
    <row r="147" spans="2:43" x14ac:dyDescent="0.45">
      <c r="B147" s="65" cm="1">
        <f t="array" aca="1" ref="B147" ca="1">FileSize(Folder&amp;Tests[[#This Row],[FileName]])</f>
        <v>35</v>
      </c>
      <c r="C147" s="59">
        <v>134</v>
      </c>
      <c r="D147" s="38" t="s">
        <v>306</v>
      </c>
      <c r="E147" s="37"/>
      <c r="F147" s="39"/>
      <c r="G147" s="39"/>
      <c r="H147" s="39"/>
      <c r="I147" s="39"/>
      <c r="J147" s="39" t="b">
        <v>0</v>
      </c>
      <c r="K147" s="39">
        <v>4</v>
      </c>
      <c r="L147" s="37">
        <v>5</v>
      </c>
      <c r="M147" s="37">
        <v>1</v>
      </c>
      <c r="N147" s="37">
        <v>0</v>
      </c>
      <c r="O147" s="37">
        <v>0</v>
      </c>
      <c r="P147" s="37"/>
      <c r="Q147" s="37"/>
      <c r="R147" s="37"/>
      <c r="S147" s="37"/>
      <c r="T147" s="37"/>
      <c r="U147" s="49"/>
      <c r="V147" s="90" t="str">
        <f ca="1"/>
        <v xml:space="preserve"> </v>
      </c>
      <c r="AC147" s="53"/>
      <c r="AD147" s="53"/>
      <c r="AE147" s="53"/>
      <c r="AF147" s="53"/>
      <c r="AG147" s="53"/>
      <c r="AH147" s="53"/>
      <c r="AI147" s="53"/>
      <c r="AJ147" s="53"/>
      <c r="AK147" s="53"/>
      <c r="AL147" s="53"/>
      <c r="AM147" s="53"/>
      <c r="AN147" s="53"/>
      <c r="AO147" s="53"/>
      <c r="AP147" s="53"/>
      <c r="AQ147" s="53"/>
    </row>
    <row r="148" spans="2:43" x14ac:dyDescent="0.45">
      <c r="B148" s="65" cm="1">
        <f t="array" aca="1" ref="B148" ca="1">FileSize(Folder&amp;Tests[[#This Row],[FileName]])</f>
        <v>37</v>
      </c>
      <c r="C148" s="47">
        <v>135</v>
      </c>
      <c r="D148" s="38" t="s">
        <v>594</v>
      </c>
      <c r="E148" s="37"/>
      <c r="F148" s="39">
        <v>1</v>
      </c>
      <c r="G148" s="39"/>
      <c r="H148" s="39"/>
      <c r="I148" s="39"/>
      <c r="J148" s="39"/>
      <c r="K148" s="39"/>
      <c r="L148" s="37"/>
      <c r="M148" s="37"/>
      <c r="N148" s="37"/>
      <c r="O148" s="37"/>
      <c r="P148" s="37"/>
      <c r="Q148" s="37"/>
      <c r="R148" s="37"/>
      <c r="S148" s="37"/>
      <c r="T148" s="37"/>
      <c r="U148" s="49"/>
      <c r="V148" s="90" t="str">
        <f ca="1"/>
        <v xml:space="preserve"> </v>
      </c>
      <c r="AC148" s="53"/>
      <c r="AD148" s="53"/>
      <c r="AE148" s="53"/>
      <c r="AF148" s="53"/>
      <c r="AG148" s="53"/>
      <c r="AH148" s="53"/>
      <c r="AI148" s="53"/>
      <c r="AJ148" s="53"/>
      <c r="AK148" s="53"/>
      <c r="AL148" s="53"/>
      <c r="AM148" s="53"/>
      <c r="AN148" s="53"/>
      <c r="AO148" s="53"/>
      <c r="AP148" s="53"/>
      <c r="AQ148" s="53"/>
    </row>
    <row r="149" spans="2:43" x14ac:dyDescent="0.45">
      <c r="B149" s="65"/>
      <c r="C149" s="59">
        <v>136</v>
      </c>
      <c r="D149" s="38" t="s">
        <v>594</v>
      </c>
      <c r="E149" s="37"/>
      <c r="F149" s="58" t="s">
        <v>595</v>
      </c>
      <c r="G149" s="39"/>
      <c r="H149" s="39"/>
      <c r="I149" s="39"/>
      <c r="J149" s="39"/>
      <c r="K149" s="39"/>
      <c r="L149" s="37"/>
      <c r="M149" s="37"/>
      <c r="N149" s="37"/>
      <c r="O149" s="37"/>
      <c r="P149" s="37"/>
      <c r="Q149" s="37"/>
      <c r="R149" s="37"/>
      <c r="S149" s="37"/>
      <c r="T149" s="37"/>
      <c r="U149" s="49"/>
      <c r="V149" s="90" t="str">
        <f ca="1"/>
        <v xml:space="preserve"> </v>
      </c>
      <c r="AC149" s="53"/>
      <c r="AD149" s="53"/>
      <c r="AE149" s="53"/>
      <c r="AF149" s="53"/>
      <c r="AG149" s="53"/>
      <c r="AH149" s="53"/>
      <c r="AI149" s="53"/>
      <c r="AJ149" s="53"/>
      <c r="AK149" s="53"/>
      <c r="AL149" s="53"/>
      <c r="AM149" s="53"/>
      <c r="AN149" s="53"/>
      <c r="AO149" s="53"/>
      <c r="AP149" s="53"/>
      <c r="AQ149" s="53"/>
    </row>
    <row r="150" spans="2:43" x14ac:dyDescent="0.45">
      <c r="B150" s="65"/>
      <c r="C150" s="47">
        <v>137</v>
      </c>
      <c r="D150" s="38" t="s">
        <v>594</v>
      </c>
      <c r="E150" s="37"/>
      <c r="F150" s="39"/>
      <c r="G150" s="39"/>
      <c r="H150" s="39"/>
      <c r="I150" s="39"/>
      <c r="J150" s="39"/>
      <c r="K150" s="39"/>
      <c r="L150" s="37"/>
      <c r="M150" s="37"/>
      <c r="N150" s="37"/>
      <c r="O150" s="37">
        <v>-1</v>
      </c>
      <c r="P150" s="37"/>
      <c r="Q150" s="37"/>
      <c r="R150" s="37"/>
      <c r="S150" s="37"/>
      <c r="T150" s="37"/>
      <c r="U150" s="49"/>
      <c r="V150" s="90" t="str">
        <f ca="1"/>
        <v xml:space="preserve"> </v>
      </c>
      <c r="AC150" s="53"/>
      <c r="AD150" s="53"/>
      <c r="AE150" s="53"/>
      <c r="AF150" s="53"/>
      <c r="AG150" s="53"/>
      <c r="AH150" s="53"/>
      <c r="AI150" s="53"/>
      <c r="AJ150" s="53"/>
      <c r="AK150" s="53"/>
      <c r="AL150" s="53"/>
      <c r="AM150" s="53"/>
      <c r="AN150" s="53"/>
      <c r="AO150" s="53"/>
      <c r="AP150" s="53"/>
      <c r="AQ150" s="53"/>
    </row>
    <row r="151" spans="2:43" x14ac:dyDescent="0.45">
      <c r="B151" s="65"/>
      <c r="C151" s="47">
        <v>138</v>
      </c>
      <c r="D151" s="38" t="s">
        <v>594</v>
      </c>
      <c r="E151" s="37"/>
      <c r="F151" s="39"/>
      <c r="G151" s="39"/>
      <c r="H151" s="39"/>
      <c r="I151" s="39"/>
      <c r="J151" s="39"/>
      <c r="K151" s="39"/>
      <c r="L151" s="37"/>
      <c r="M151" s="37"/>
      <c r="N151" s="37">
        <v>-1</v>
      </c>
      <c r="O151" s="37"/>
      <c r="P151" s="37"/>
      <c r="Q151" s="37"/>
      <c r="R151" s="37"/>
      <c r="S151" s="37"/>
      <c r="T151" s="37"/>
      <c r="U151" s="49"/>
      <c r="V151" s="90" t="str">
        <f ca="1"/>
        <v xml:space="preserve"> </v>
      </c>
      <c r="AC151" s="53"/>
      <c r="AD151" s="53"/>
      <c r="AE151" s="53"/>
      <c r="AF151" s="53"/>
      <c r="AG151" s="53"/>
      <c r="AH151" s="53"/>
      <c r="AI151" s="53"/>
      <c r="AJ151" s="53"/>
      <c r="AK151" s="53"/>
      <c r="AL151" s="53"/>
      <c r="AM151" s="53"/>
      <c r="AN151" s="53"/>
      <c r="AO151" s="53"/>
      <c r="AP151" s="53"/>
      <c r="AQ151" s="53"/>
    </row>
    <row r="152" spans="2:43" x14ac:dyDescent="0.45">
      <c r="B152" s="65"/>
      <c r="C152" s="47">
        <v>139</v>
      </c>
      <c r="D152" s="38" t="s">
        <v>594</v>
      </c>
      <c r="E152" s="37"/>
      <c r="F152" s="39"/>
      <c r="G152" s="39"/>
      <c r="H152" s="39"/>
      <c r="I152" s="39"/>
      <c r="J152" s="39"/>
      <c r="K152" s="39"/>
      <c r="L152" s="37"/>
      <c r="M152" s="37"/>
      <c r="N152" s="37"/>
      <c r="O152" s="37"/>
      <c r="P152" s="37"/>
      <c r="Q152" s="37"/>
      <c r="R152" s="37"/>
      <c r="S152" s="37"/>
      <c r="T152" s="37" t="s">
        <v>596</v>
      </c>
      <c r="U152" s="49"/>
      <c r="V152" s="90" t="str">
        <f ca="1"/>
        <v xml:space="preserve"> </v>
      </c>
      <c r="AC152" s="53"/>
      <c r="AD152" s="53"/>
      <c r="AE152" s="53"/>
      <c r="AF152" s="53"/>
      <c r="AG152" s="53"/>
      <c r="AH152" s="53"/>
      <c r="AI152" s="53"/>
      <c r="AJ152" s="53"/>
      <c r="AK152" s="53"/>
      <c r="AL152" s="53"/>
      <c r="AM152" s="53"/>
      <c r="AN152" s="53"/>
      <c r="AO152" s="53"/>
      <c r="AP152" s="53"/>
      <c r="AQ152" s="53"/>
    </row>
    <row r="153" spans="2:43" x14ac:dyDescent="0.45">
      <c r="B153" s="65"/>
      <c r="C153" s="59">
        <v>140</v>
      </c>
      <c r="D153" s="38" t="s">
        <v>594</v>
      </c>
      <c r="E153" s="37" t="s">
        <v>384</v>
      </c>
      <c r="F153" s="39" t="s">
        <v>248</v>
      </c>
      <c r="G153" s="39"/>
      <c r="H153" s="39"/>
      <c r="I153" s="39"/>
      <c r="J153" s="39"/>
      <c r="K153" s="39"/>
      <c r="L153" s="37"/>
      <c r="M153" s="37"/>
      <c r="N153" s="37"/>
      <c r="O153" s="37"/>
      <c r="P153" s="37"/>
      <c r="Q153" s="37"/>
      <c r="R153" s="37"/>
      <c r="S153" s="37"/>
      <c r="T153" s="37" t="s">
        <v>248</v>
      </c>
      <c r="U153" s="49"/>
      <c r="V153" s="90" t="str">
        <f ca="1"/>
        <v xml:space="preserve"> </v>
      </c>
      <c r="AC153" s="53"/>
      <c r="AD153" s="53"/>
      <c r="AE153" s="53"/>
      <c r="AF153" s="53"/>
      <c r="AG153" s="53"/>
      <c r="AH153" s="53"/>
      <c r="AI153" s="53"/>
      <c r="AJ153" s="53"/>
      <c r="AK153" s="53"/>
      <c r="AL153" s="53"/>
      <c r="AM153" s="53"/>
      <c r="AN153" s="53"/>
      <c r="AO153" s="53"/>
      <c r="AP153" s="53"/>
      <c r="AQ153" s="53"/>
    </row>
    <row r="154" spans="2:43" x14ac:dyDescent="0.45">
      <c r="B154" s="65"/>
      <c r="C154" s="59">
        <v>141</v>
      </c>
      <c r="D154" s="38" t="s">
        <v>594</v>
      </c>
      <c r="E154" s="37"/>
      <c r="F154" s="39"/>
      <c r="G154" s="39"/>
      <c r="H154" s="39"/>
      <c r="I154" s="39"/>
      <c r="J154" s="39"/>
      <c r="K154" s="39"/>
      <c r="L154" s="37"/>
      <c r="M154" s="37">
        <v>-1</v>
      </c>
      <c r="N154" s="37"/>
      <c r="O154" s="37"/>
      <c r="P154" s="37"/>
      <c r="Q154" s="37"/>
      <c r="R154" s="37"/>
      <c r="S154" s="37"/>
      <c r="T154" s="37"/>
      <c r="U154" s="49"/>
      <c r="V154" s="90" t="str">
        <f ca="1"/>
        <v xml:space="preserve"> </v>
      </c>
      <c r="AC154" s="53"/>
      <c r="AD154" s="53"/>
      <c r="AE154" s="53"/>
      <c r="AF154" s="53"/>
      <c r="AG154" s="53"/>
      <c r="AH154" s="53"/>
      <c r="AI154" s="53"/>
      <c r="AJ154" s="53"/>
      <c r="AK154" s="53"/>
      <c r="AL154" s="53"/>
      <c r="AM154" s="53"/>
      <c r="AN154" s="53"/>
      <c r="AO154" s="53"/>
      <c r="AP154" s="53"/>
      <c r="AQ154" s="53"/>
    </row>
    <row r="155" spans="2:43" x14ac:dyDescent="0.45">
      <c r="B155" s="65"/>
      <c r="C155" s="59">
        <v>142</v>
      </c>
      <c r="D155" s="38" t="s">
        <v>594</v>
      </c>
      <c r="E155" s="37"/>
      <c r="F155" s="39"/>
      <c r="G155" s="39"/>
      <c r="H155" s="39"/>
      <c r="I155" s="39"/>
      <c r="J155" s="39"/>
      <c r="K155" s="39"/>
      <c r="L155" s="37">
        <v>-1</v>
      </c>
      <c r="M155" s="37"/>
      <c r="N155" s="37"/>
      <c r="O155" s="37"/>
      <c r="P155" s="37"/>
      <c r="Q155" s="37"/>
      <c r="R155" s="37"/>
      <c r="S155" s="37"/>
      <c r="T155" s="37"/>
      <c r="U155" s="49"/>
      <c r="V155" s="90" t="str">
        <f ca="1"/>
        <v xml:space="preserve"> </v>
      </c>
      <c r="AC155" s="53"/>
      <c r="AD155" s="53"/>
      <c r="AE155" s="53"/>
      <c r="AF155" s="53"/>
      <c r="AG155" s="53"/>
      <c r="AH155" s="53"/>
      <c r="AI155" s="53"/>
      <c r="AJ155" s="53"/>
      <c r="AK155" s="53"/>
      <c r="AL155" s="53"/>
      <c r="AM155" s="53"/>
      <c r="AN155" s="53"/>
      <c r="AO155" s="53"/>
      <c r="AP155" s="53"/>
      <c r="AQ155" s="53"/>
    </row>
    <row r="156" spans="2:43" x14ac:dyDescent="0.45">
      <c r="B156" s="65"/>
      <c r="C156" s="59">
        <v>143</v>
      </c>
      <c r="D156" s="38" t="s">
        <v>594</v>
      </c>
      <c r="E156" s="37"/>
      <c r="F156" s="39"/>
      <c r="G156" s="39"/>
      <c r="H156" s="39"/>
      <c r="I156" s="39" t="s">
        <v>597</v>
      </c>
      <c r="J156" s="39"/>
      <c r="K156" s="39"/>
      <c r="L156" s="37"/>
      <c r="M156" s="37"/>
      <c r="N156" s="37"/>
      <c r="O156" s="37"/>
      <c r="P156" s="37"/>
      <c r="Q156" s="37"/>
      <c r="R156" s="37"/>
      <c r="S156" s="37"/>
      <c r="T156" s="37"/>
      <c r="U156" s="49"/>
      <c r="V156" s="90" t="str">
        <f ca="1"/>
        <v xml:space="preserve"> </v>
      </c>
      <c r="AC156" s="53"/>
      <c r="AD156" s="53"/>
      <c r="AE156" s="53"/>
      <c r="AF156" s="53"/>
      <c r="AG156" s="53"/>
      <c r="AH156" s="53"/>
      <c r="AI156" s="53"/>
      <c r="AJ156" s="53"/>
      <c r="AK156" s="53"/>
      <c r="AL156" s="53"/>
      <c r="AM156" s="53"/>
      <c r="AN156" s="53"/>
      <c r="AO156" s="53"/>
      <c r="AP156" s="53"/>
      <c r="AQ156" s="53"/>
    </row>
    <row r="157" spans="2:43" x14ac:dyDescent="0.45">
      <c r="B157" s="65"/>
      <c r="C157" s="59">
        <v>144</v>
      </c>
      <c r="D157" s="38" t="s">
        <v>594</v>
      </c>
      <c r="E157" s="37"/>
      <c r="F157" s="39"/>
      <c r="G157" s="39"/>
      <c r="H157" s="39"/>
      <c r="I157" s="39"/>
      <c r="J157" s="39"/>
      <c r="K157" s="39">
        <v>-1</v>
      </c>
      <c r="L157" s="37"/>
      <c r="M157" s="37"/>
      <c r="N157" s="37"/>
      <c r="O157" s="37"/>
      <c r="P157" s="37"/>
      <c r="Q157" s="37"/>
      <c r="R157" s="37"/>
      <c r="S157" s="37"/>
      <c r="T157" s="37"/>
      <c r="U157" s="49"/>
      <c r="V157" s="90" t="str">
        <f ca="1"/>
        <v xml:space="preserve"> </v>
      </c>
      <c r="AC157" s="53"/>
      <c r="AD157" s="53"/>
      <c r="AE157" s="53"/>
      <c r="AF157" s="53"/>
      <c r="AG157" s="53"/>
      <c r="AH157" s="53"/>
      <c r="AI157" s="53"/>
      <c r="AJ157" s="53"/>
      <c r="AK157" s="53"/>
      <c r="AL157" s="53"/>
      <c r="AM157" s="53"/>
      <c r="AN157" s="53"/>
      <c r="AO157" s="53"/>
      <c r="AP157" s="53"/>
      <c r="AQ157" s="53"/>
    </row>
    <row r="158" spans="2:43" x14ac:dyDescent="0.45">
      <c r="B158" s="65"/>
      <c r="C158" s="59">
        <v>145</v>
      </c>
      <c r="D158" s="38" t="s">
        <v>594</v>
      </c>
      <c r="E158" s="37"/>
      <c r="F158" s="39"/>
      <c r="G158" s="39"/>
      <c r="H158" s="39"/>
      <c r="I158" s="39"/>
      <c r="J158" s="39"/>
      <c r="K158" s="39"/>
      <c r="L158" s="37"/>
      <c r="M158" s="37"/>
      <c r="N158" s="37"/>
      <c r="O158" s="37"/>
      <c r="P158" s="37"/>
      <c r="Q158" s="37"/>
      <c r="R158" s="37"/>
      <c r="S158" s="37" t="s">
        <v>598</v>
      </c>
      <c r="T158" s="37"/>
      <c r="U158" s="49"/>
      <c r="V158" s="90" t="str">
        <f ca="1"/>
        <v xml:space="preserve"> </v>
      </c>
      <c r="AC158" s="53"/>
      <c r="AD158" s="53"/>
      <c r="AE158" s="53"/>
      <c r="AF158" s="53"/>
      <c r="AG158" s="53"/>
      <c r="AH158" s="53"/>
      <c r="AI158" s="53"/>
      <c r="AJ158" s="53"/>
      <c r="AK158" s="53"/>
      <c r="AL158" s="53"/>
      <c r="AM158" s="53"/>
      <c r="AN158" s="53"/>
      <c r="AO158" s="53"/>
      <c r="AP158" s="53"/>
      <c r="AQ158" s="53"/>
    </row>
    <row r="159" spans="2:43" x14ac:dyDescent="0.45">
      <c r="B159" s="65"/>
      <c r="C159" s="59">
        <v>146</v>
      </c>
      <c r="D159" s="38" t="s">
        <v>594</v>
      </c>
      <c r="E159" s="37" t="s">
        <v>598</v>
      </c>
      <c r="F159" s="39"/>
      <c r="G159" s="39"/>
      <c r="H159" s="39"/>
      <c r="I159" s="39"/>
      <c r="J159" s="39"/>
      <c r="K159" s="39"/>
      <c r="L159" s="37"/>
      <c r="M159" s="37"/>
      <c r="N159" s="37"/>
      <c r="O159" s="37"/>
      <c r="P159" s="37"/>
      <c r="Q159" s="37"/>
      <c r="R159" s="37"/>
      <c r="S159" s="37"/>
      <c r="T159" s="37"/>
      <c r="U159" s="49"/>
      <c r="V159" s="90" t="str">
        <f ca="1"/>
        <v xml:space="preserve"> </v>
      </c>
      <c r="AC159" s="53"/>
      <c r="AD159" s="53"/>
      <c r="AE159" s="53"/>
      <c r="AF159" s="53"/>
      <c r="AG159" s="53"/>
      <c r="AH159" s="53"/>
      <c r="AI159" s="53"/>
      <c r="AJ159" s="53"/>
      <c r="AK159" s="53"/>
      <c r="AL159" s="53"/>
      <c r="AM159" s="53"/>
      <c r="AN159" s="53"/>
      <c r="AO159" s="53"/>
      <c r="AP159" s="53"/>
      <c r="AQ159" s="53"/>
    </row>
    <row r="160" spans="2:43" x14ac:dyDescent="0.45">
      <c r="B160" s="66"/>
      <c r="C160" s="59">
        <v>147</v>
      </c>
      <c r="D160" s="38" t="s">
        <v>594</v>
      </c>
      <c r="E160" s="37" t="s">
        <v>598</v>
      </c>
      <c r="F160" s="39"/>
      <c r="G160" s="39"/>
      <c r="H160" s="39"/>
      <c r="I160" s="39"/>
      <c r="J160" s="39"/>
      <c r="K160" s="39"/>
      <c r="L160" s="37"/>
      <c r="M160" s="37"/>
      <c r="N160" s="37"/>
      <c r="O160" s="37"/>
      <c r="P160" s="37"/>
      <c r="Q160" s="37"/>
      <c r="R160" s="37"/>
      <c r="S160" s="37"/>
      <c r="T160" s="37"/>
      <c r="U160" s="49"/>
      <c r="V160" s="90" t="str">
        <f ca="1"/>
        <v xml:space="preserve"> </v>
      </c>
      <c r="AC160" s="53"/>
      <c r="AD160" s="53"/>
      <c r="AE160" s="53"/>
      <c r="AF160" s="53"/>
      <c r="AG160" s="53"/>
      <c r="AH160" s="53"/>
      <c r="AI160" s="53"/>
      <c r="AJ160" s="53"/>
      <c r="AK160" s="53"/>
      <c r="AL160" s="53"/>
      <c r="AM160" s="53"/>
      <c r="AN160" s="53"/>
      <c r="AO160" s="53"/>
      <c r="AP160" s="53"/>
      <c r="AQ160" s="53"/>
    </row>
    <row r="161" spans="2:43" x14ac:dyDescent="0.45">
      <c r="B161" s="66"/>
      <c r="C161" s="59">
        <v>148</v>
      </c>
      <c r="D161" s="38" t="s">
        <v>594</v>
      </c>
      <c r="E161" s="37" t="s">
        <v>598</v>
      </c>
      <c r="F161" s="39"/>
      <c r="G161" s="39"/>
      <c r="H161" s="39"/>
      <c r="I161" s="39"/>
      <c r="J161" s="39"/>
      <c r="K161" s="39"/>
      <c r="L161" s="37"/>
      <c r="M161" s="37"/>
      <c r="N161" s="37"/>
      <c r="O161" s="37"/>
      <c r="P161" s="37"/>
      <c r="Q161" s="37"/>
      <c r="R161" s="37"/>
      <c r="S161" s="37"/>
      <c r="T161" s="37"/>
      <c r="U161" s="49"/>
      <c r="V161" s="90" t="str">
        <f ca="1"/>
        <v xml:space="preserve"> </v>
      </c>
      <c r="AC161" s="53"/>
      <c r="AD161" s="53"/>
      <c r="AE161" s="53"/>
      <c r="AF161" s="53"/>
      <c r="AG161" s="53"/>
      <c r="AH161" s="53"/>
      <c r="AI161" s="53"/>
      <c r="AJ161" s="53"/>
      <c r="AK161" s="53"/>
      <c r="AL161" s="53"/>
      <c r="AM161" s="53"/>
      <c r="AN161" s="53"/>
      <c r="AO161" s="53"/>
      <c r="AP161" s="53"/>
      <c r="AQ161" s="53"/>
    </row>
    <row r="162" spans="2:43" x14ac:dyDescent="0.45">
      <c r="B162" s="66"/>
      <c r="C162" s="60">
        <v>149</v>
      </c>
      <c r="D162" s="38" t="s">
        <v>594</v>
      </c>
      <c r="E162" s="37" t="s">
        <v>599</v>
      </c>
      <c r="F162" s="39"/>
      <c r="G162" s="39"/>
      <c r="H162" s="39"/>
      <c r="I162" s="39"/>
      <c r="J162" s="39"/>
      <c r="K162" s="39"/>
      <c r="L162" s="37"/>
      <c r="M162" s="37"/>
      <c r="N162" s="37"/>
      <c r="O162" s="37"/>
      <c r="P162" s="37"/>
      <c r="Q162" s="37"/>
      <c r="R162" s="37"/>
      <c r="S162" s="37"/>
      <c r="T162" s="37"/>
      <c r="U162" s="49"/>
      <c r="V162" s="90" t="str">
        <f ca="1"/>
        <v xml:space="preserve"> </v>
      </c>
      <c r="AC162" s="53"/>
      <c r="AD162" s="53"/>
      <c r="AE162" s="53"/>
      <c r="AF162" s="53"/>
      <c r="AG162" s="53"/>
      <c r="AH162" s="53"/>
      <c r="AI162" s="53"/>
      <c r="AJ162" s="53"/>
      <c r="AK162" s="53"/>
      <c r="AL162" s="53"/>
      <c r="AM162" s="53"/>
      <c r="AN162" s="53"/>
      <c r="AO162" s="53"/>
      <c r="AP162" s="53"/>
      <c r="AQ162" s="53"/>
    </row>
    <row r="163" spans="2:43" x14ac:dyDescent="0.45">
      <c r="B163" s="66"/>
      <c r="C163" s="60">
        <v>150</v>
      </c>
      <c r="D163" s="38" t="s">
        <v>594</v>
      </c>
      <c r="E163" s="37"/>
      <c r="F163" s="58" t="s">
        <v>600</v>
      </c>
      <c r="G163" s="39"/>
      <c r="H163" s="39"/>
      <c r="I163" s="39"/>
      <c r="J163" s="39"/>
      <c r="K163" s="39"/>
      <c r="L163" s="37"/>
      <c r="M163" s="37"/>
      <c r="N163" s="37"/>
      <c r="O163" s="37"/>
      <c r="P163" s="37"/>
      <c r="Q163" s="37"/>
      <c r="R163" s="37"/>
      <c r="S163" s="37"/>
      <c r="T163" s="37"/>
      <c r="U163" s="49"/>
      <c r="V163" s="90" t="str">
        <f ca="1"/>
        <v xml:space="preserve"> </v>
      </c>
      <c r="AC163" s="53"/>
      <c r="AD163" s="53"/>
      <c r="AE163" s="53"/>
      <c r="AF163" s="53"/>
      <c r="AG163" s="53"/>
      <c r="AH163" s="53"/>
      <c r="AI163" s="53"/>
      <c r="AJ163" s="53"/>
      <c r="AK163" s="53"/>
      <c r="AL163" s="53"/>
      <c r="AM163" s="53"/>
      <c r="AN163" s="53"/>
      <c r="AO163" s="53"/>
      <c r="AP163" s="53"/>
      <c r="AQ163" s="53"/>
    </row>
    <row r="164" spans="2:43" x14ac:dyDescent="0.45">
      <c r="B164" s="65"/>
      <c r="C164" s="59">
        <v>151</v>
      </c>
      <c r="D164" s="38" t="s">
        <v>594</v>
      </c>
      <c r="E164" s="37" t="s">
        <v>395</v>
      </c>
      <c r="F164" s="39"/>
      <c r="G164" s="39"/>
      <c r="H164" s="39"/>
      <c r="I164" s="39"/>
      <c r="J164" s="39"/>
      <c r="K164" s="39"/>
      <c r="L164" s="37"/>
      <c r="M164" s="37"/>
      <c r="N164" s="37"/>
      <c r="O164" s="37"/>
      <c r="P164" s="37">
        <v>2</v>
      </c>
      <c r="Q164" s="37"/>
      <c r="R164" s="37"/>
      <c r="S164" s="37"/>
      <c r="T164" s="37"/>
      <c r="U164" s="49"/>
      <c r="V164" s="90" t="str">
        <f ca="1"/>
        <v xml:space="preserve"> </v>
      </c>
      <c r="AC164" s="53"/>
      <c r="AD164" s="53"/>
      <c r="AE164" s="53"/>
      <c r="AF164" s="53"/>
      <c r="AG164" s="53"/>
      <c r="AH164" s="53"/>
      <c r="AI164" s="53"/>
      <c r="AJ164" s="53"/>
      <c r="AK164" s="53"/>
      <c r="AL164" s="53"/>
      <c r="AM164" s="53"/>
      <c r="AN164" s="53"/>
      <c r="AO164" s="53"/>
      <c r="AP164" s="53"/>
      <c r="AQ164" s="53"/>
    </row>
    <row r="165" spans="2:43" x14ac:dyDescent="0.45">
      <c r="B165" s="65"/>
      <c r="C165" s="59">
        <v>152</v>
      </c>
      <c r="D165" s="38" t="s">
        <v>594</v>
      </c>
      <c r="E165" s="37"/>
      <c r="F165" s="39"/>
      <c r="G165" s="39"/>
      <c r="H165" s="39"/>
      <c r="I165" s="39"/>
      <c r="J165" s="39"/>
      <c r="K165" s="39"/>
      <c r="L165" s="37"/>
      <c r="M165" s="37"/>
      <c r="N165" s="37"/>
      <c r="O165" s="37"/>
      <c r="P165" s="37" t="s">
        <v>515</v>
      </c>
      <c r="Q165" s="37"/>
      <c r="R165" s="37"/>
      <c r="S165" s="37"/>
      <c r="T165" s="37"/>
      <c r="U165" s="49"/>
      <c r="V165" s="90" t="str">
        <f ca="1"/>
        <v xml:space="preserve"> </v>
      </c>
      <c r="AC165" s="53"/>
      <c r="AD165" s="53"/>
      <c r="AE165" s="53"/>
      <c r="AF165" s="53"/>
      <c r="AG165" s="53"/>
      <c r="AH165" s="53"/>
      <c r="AI165" s="53"/>
      <c r="AJ165" s="53"/>
      <c r="AK165" s="53"/>
      <c r="AL165" s="53"/>
      <c r="AM165" s="53"/>
      <c r="AN165" s="53"/>
      <c r="AO165" s="53"/>
      <c r="AP165" s="53"/>
      <c r="AQ165" s="53"/>
    </row>
    <row r="166" spans="2:43" x14ac:dyDescent="0.45">
      <c r="B166" s="65"/>
      <c r="C166" s="60">
        <v>153</v>
      </c>
      <c r="D166" s="38" t="s">
        <v>594</v>
      </c>
      <c r="E166" s="37"/>
      <c r="F166" s="39"/>
      <c r="G166" s="39"/>
      <c r="H166" s="39"/>
      <c r="I166" s="39"/>
      <c r="J166" s="39"/>
      <c r="K166" s="39"/>
      <c r="L166" s="37"/>
      <c r="M166" s="37"/>
      <c r="N166" s="37"/>
      <c r="O166" s="37"/>
      <c r="P166" s="37"/>
      <c r="Q166" s="37" t="s">
        <v>515</v>
      </c>
      <c r="R166" s="37"/>
      <c r="S166" s="37"/>
      <c r="T166" s="37"/>
      <c r="U166" s="49"/>
      <c r="V166" s="90" t="str">
        <f ca="1"/>
        <v xml:space="preserve"> </v>
      </c>
      <c r="AC166" s="53"/>
      <c r="AD166" s="53"/>
      <c r="AE166" s="53"/>
      <c r="AF166" s="53"/>
      <c r="AG166" s="53"/>
      <c r="AH166" s="53"/>
      <c r="AI166" s="53"/>
      <c r="AJ166" s="53"/>
      <c r="AK166" s="53"/>
      <c r="AL166" s="53"/>
      <c r="AM166" s="53"/>
      <c r="AN166" s="53"/>
      <c r="AO166" s="53"/>
      <c r="AP166" s="53"/>
      <c r="AQ166" s="53"/>
    </row>
    <row r="167" spans="2:43" x14ac:dyDescent="0.45">
      <c r="B167" s="65"/>
      <c r="C167" s="60">
        <v>154</v>
      </c>
      <c r="D167" s="43" t="s">
        <v>592</v>
      </c>
      <c r="E167" s="44"/>
      <c r="F167" s="45"/>
      <c r="G167" s="45"/>
      <c r="H167" s="45"/>
      <c r="I167" s="45"/>
      <c r="J167" s="45"/>
      <c r="K167" s="45">
        <v>1</v>
      </c>
      <c r="L167" s="44">
        <v>5</v>
      </c>
      <c r="M167" s="44">
        <v>5</v>
      </c>
      <c r="N167" s="44">
        <v>2</v>
      </c>
      <c r="O167" s="44">
        <v>2</v>
      </c>
      <c r="P167" s="44"/>
      <c r="Q167" s="44"/>
      <c r="R167" s="44"/>
      <c r="S167" s="44"/>
      <c r="T167" s="44"/>
      <c r="U167" s="49"/>
      <c r="V167" s="90" t="str">
        <f ca="1"/>
        <v xml:space="preserve"> </v>
      </c>
      <c r="AC167" s="53"/>
      <c r="AD167" s="53"/>
      <c r="AE167" s="53"/>
      <c r="AF167" s="53"/>
      <c r="AG167" s="53"/>
      <c r="AH167" s="53"/>
      <c r="AI167" s="53"/>
      <c r="AJ167" s="53"/>
      <c r="AK167" s="53"/>
      <c r="AL167" s="53"/>
      <c r="AM167" s="53"/>
      <c r="AN167" s="53"/>
      <c r="AO167" s="53"/>
      <c r="AP167" s="53"/>
      <c r="AQ167" s="53"/>
    </row>
    <row r="168" spans="2:43" x14ac:dyDescent="0.45">
      <c r="B168" s="65"/>
      <c r="C168" s="60">
        <v>155</v>
      </c>
      <c r="D168" s="38" t="s">
        <v>612</v>
      </c>
      <c r="E168" s="37" t="s">
        <v>613</v>
      </c>
      <c r="F168" s="39"/>
      <c r="G168" s="39"/>
      <c r="H168" s="39" t="s">
        <v>498</v>
      </c>
      <c r="I168" s="39"/>
      <c r="J168" s="39"/>
      <c r="K168" s="39">
        <v>1</v>
      </c>
      <c r="L168" s="37">
        <v>1</v>
      </c>
      <c r="M168" s="37"/>
      <c r="N168" s="37"/>
      <c r="O168" s="37"/>
      <c r="P168" s="37"/>
      <c r="Q168" s="37"/>
      <c r="R168" s="37"/>
      <c r="S168" s="37"/>
      <c r="T168" s="37"/>
      <c r="U168" s="49"/>
      <c r="V168" s="90" t="str">
        <f ca="1"/>
        <v xml:space="preserve"> </v>
      </c>
      <c r="AC168" s="53"/>
      <c r="AD168" s="53"/>
      <c r="AE168" s="53"/>
      <c r="AF168" s="53"/>
      <c r="AG168" s="53"/>
      <c r="AH168" s="53"/>
      <c r="AI168" s="53"/>
      <c r="AJ168" s="53"/>
      <c r="AK168" s="53"/>
      <c r="AL168" s="53"/>
      <c r="AM168" s="53"/>
      <c r="AN168" s="53"/>
      <c r="AO168" s="53"/>
      <c r="AP168" s="53"/>
      <c r="AQ168" s="53"/>
    </row>
    <row r="169" spans="2:43" x14ac:dyDescent="0.45">
      <c r="B169" s="65" cm="1">
        <f t="array" aca="1" ref="B169" ca="1">FileSize(Folder&amp;Tests[[#This Row],[FileName]])</f>
        <v>164899</v>
      </c>
      <c r="C169" s="60" t="s">
        <v>574</v>
      </c>
      <c r="D169" s="38" t="s">
        <v>366</v>
      </c>
      <c r="E169" s="37" t="b">
        <v>0</v>
      </c>
      <c r="F169" s="39" t="s">
        <v>246</v>
      </c>
      <c r="G169" s="39" t="b">
        <v>0</v>
      </c>
      <c r="H169" s="39" t="s">
        <v>246</v>
      </c>
      <c r="I169" s="39" t="s">
        <v>246</v>
      </c>
      <c r="J169" s="39" t="b">
        <v>1</v>
      </c>
      <c r="K169" s="39"/>
      <c r="L169" s="37">
        <v>1</v>
      </c>
      <c r="M169" s="37">
        <v>1</v>
      </c>
      <c r="N169" s="37">
        <v>0</v>
      </c>
      <c r="O169" s="37">
        <v>0</v>
      </c>
      <c r="P169" s="37"/>
      <c r="Q169" s="37"/>
      <c r="R169" s="37"/>
      <c r="S169" s="37"/>
      <c r="T169" s="37" t="s">
        <v>247</v>
      </c>
      <c r="U169" s="46" t="s">
        <v>568</v>
      </c>
      <c r="V169" s="90" t="str">
        <f ca="1"/>
        <v xml:space="preserve"> </v>
      </c>
      <c r="AC169" s="53"/>
      <c r="AD169" s="53"/>
      <c r="AE169" s="53"/>
      <c r="AF169" s="53"/>
      <c r="AG169" s="53"/>
      <c r="AH169" s="53"/>
      <c r="AI169" s="53"/>
      <c r="AJ169" s="53"/>
      <c r="AK169" s="53"/>
      <c r="AL169" s="53"/>
      <c r="AM169" s="53"/>
      <c r="AN169" s="53"/>
      <c r="AO169" s="53"/>
      <c r="AP169" s="53"/>
      <c r="AQ169" s="53"/>
    </row>
    <row r="170" spans="2:43" x14ac:dyDescent="0.45">
      <c r="B170" s="65" cm="1">
        <f t="array" aca="1" ref="B170" ca="1">FileSize(Folder&amp;Tests[[#This Row],[FileName]])</f>
        <v>4</v>
      </c>
      <c r="C170" s="60" t="s">
        <v>574</v>
      </c>
      <c r="D170" s="38" t="s">
        <v>272</v>
      </c>
      <c r="E170" s="37" t="b">
        <v>0</v>
      </c>
      <c r="F170" s="39" t="s">
        <v>246</v>
      </c>
      <c r="G170" s="39" t="b">
        <v>0</v>
      </c>
      <c r="H170" s="39" t="s">
        <v>246</v>
      </c>
      <c r="I170" s="39" t="s">
        <v>246</v>
      </c>
      <c r="J170" s="39" t="b">
        <v>1</v>
      </c>
      <c r="K170" s="39"/>
      <c r="L170" s="37">
        <v>1</v>
      </c>
      <c r="M170" s="37">
        <v>1</v>
      </c>
      <c r="N170" s="37">
        <v>0</v>
      </c>
      <c r="O170" s="37">
        <v>0</v>
      </c>
      <c r="P170" s="37"/>
      <c r="Q170" s="37"/>
      <c r="R170" s="37"/>
      <c r="S170" s="37"/>
      <c r="T170" s="37" t="s">
        <v>247</v>
      </c>
      <c r="U170" s="49" t="s">
        <v>416</v>
      </c>
      <c r="V170" s="90" t="str">
        <f ca="1"/>
        <v xml:space="preserve"> </v>
      </c>
      <c r="AC170" s="53"/>
      <c r="AD170" s="53"/>
      <c r="AE170" s="53"/>
      <c r="AF170" s="53"/>
      <c r="AG170" s="53"/>
      <c r="AH170" s="53"/>
      <c r="AI170" s="53"/>
      <c r="AJ170" s="53"/>
      <c r="AK170" s="53"/>
      <c r="AL170" s="53"/>
      <c r="AM170" s="53"/>
      <c r="AN170" s="53"/>
      <c r="AO170" s="53"/>
      <c r="AP170" s="53"/>
      <c r="AQ170" s="53"/>
    </row>
    <row r="171" spans="2:43" x14ac:dyDescent="0.45">
      <c r="B171" s="65" cm="1">
        <f t="array" aca="1" ref="B171" ca="1">FileSize(Folder&amp;Tests[[#This Row],[FileName]])</f>
        <v>6</v>
      </c>
      <c r="C171" s="60" t="s">
        <v>574</v>
      </c>
      <c r="D171" s="38" t="s">
        <v>275</v>
      </c>
      <c r="E171" s="37" t="b">
        <v>1</v>
      </c>
      <c r="F171" s="39" t="s">
        <v>246</v>
      </c>
      <c r="G171" s="39" t="b">
        <v>0</v>
      </c>
      <c r="H171" s="39" t="s">
        <v>246</v>
      </c>
      <c r="I171" s="39" t="s">
        <v>246</v>
      </c>
      <c r="J171" s="39" t="b">
        <v>1</v>
      </c>
      <c r="K171" s="39"/>
      <c r="L171" s="37">
        <v>1</v>
      </c>
      <c r="M171" s="37">
        <v>1</v>
      </c>
      <c r="N171" s="37">
        <v>0</v>
      </c>
      <c r="O171" s="37">
        <v>0</v>
      </c>
      <c r="P171" s="37"/>
      <c r="Q171" s="37"/>
      <c r="R171" s="37"/>
      <c r="S171" s="37"/>
      <c r="T171" s="37" t="s">
        <v>247</v>
      </c>
      <c r="U171" s="49" t="s">
        <v>416</v>
      </c>
      <c r="V171" s="90" t="str">
        <f ca="1"/>
        <v xml:space="preserve"> </v>
      </c>
      <c r="AC171" s="53"/>
      <c r="AD171" s="53"/>
      <c r="AE171" s="53"/>
      <c r="AF171" s="53"/>
      <c r="AG171" s="53"/>
      <c r="AH171" s="53"/>
      <c r="AI171" s="53"/>
      <c r="AJ171" s="53"/>
      <c r="AK171" s="53"/>
      <c r="AL171" s="53"/>
      <c r="AM171" s="53"/>
      <c r="AN171" s="53"/>
      <c r="AO171" s="53"/>
      <c r="AP171" s="53"/>
      <c r="AQ171" s="53"/>
    </row>
    <row r="172" spans="2:43" x14ac:dyDescent="0.45">
      <c r="B172" s="65" cm="1">
        <f t="array" aca="1" ref="B172" ca="1">FileSize(Folder&amp;Tests[[#This Row],[FileName]])</f>
        <v>11</v>
      </c>
      <c r="C172" s="60" t="s">
        <v>574</v>
      </c>
      <c r="D172" s="38" t="s">
        <v>280</v>
      </c>
      <c r="E172" s="37" t="b">
        <v>1</v>
      </c>
      <c r="F172" s="39" t="s">
        <v>246</v>
      </c>
      <c r="G172" s="39" t="b">
        <v>0</v>
      </c>
      <c r="H172" s="39" t="s">
        <v>246</v>
      </c>
      <c r="I172" s="39" t="s">
        <v>246</v>
      </c>
      <c r="J172" s="39" t="b">
        <v>1</v>
      </c>
      <c r="K172" s="39"/>
      <c r="L172" s="37">
        <v>1</v>
      </c>
      <c r="M172" s="37">
        <v>1</v>
      </c>
      <c r="N172" s="37">
        <v>0</v>
      </c>
      <c r="O172" s="37">
        <v>0</v>
      </c>
      <c r="P172" s="37"/>
      <c r="Q172" s="37"/>
      <c r="R172" s="37"/>
      <c r="S172" s="37"/>
      <c r="T172" s="37" t="s">
        <v>247</v>
      </c>
      <c r="U172" s="49" t="s">
        <v>416</v>
      </c>
      <c r="V172" s="90" t="str">
        <f ca="1"/>
        <v xml:space="preserve"> </v>
      </c>
      <c r="AC172" s="53"/>
      <c r="AD172" s="53"/>
      <c r="AE172" s="53"/>
      <c r="AF172" s="53"/>
      <c r="AG172" s="53"/>
      <c r="AH172" s="53"/>
      <c r="AI172" s="53"/>
      <c r="AJ172" s="53"/>
      <c r="AK172" s="53"/>
      <c r="AL172" s="53"/>
      <c r="AM172" s="53"/>
      <c r="AN172" s="53"/>
      <c r="AO172" s="53"/>
      <c r="AP172" s="53"/>
      <c r="AQ172" s="53"/>
    </row>
    <row r="173" spans="2:43" x14ac:dyDescent="0.45">
      <c r="B173" s="65" cm="1">
        <f t="array" aca="1" ref="B173" ca="1">FileSize(Folder&amp;Tests[[#This Row],[FileName]])</f>
        <v>18</v>
      </c>
      <c r="C173" s="60" t="s">
        <v>574</v>
      </c>
      <c r="D173" s="38" t="s">
        <v>282</v>
      </c>
      <c r="E173" s="37" t="b">
        <v>1</v>
      </c>
      <c r="F173" s="39" t="s">
        <v>246</v>
      </c>
      <c r="G173" s="39" t="b">
        <v>0</v>
      </c>
      <c r="H173" s="39" t="s">
        <v>246</v>
      </c>
      <c r="I173" s="39" t="s">
        <v>246</v>
      </c>
      <c r="J173" s="39" t="b">
        <v>1</v>
      </c>
      <c r="K173" s="39"/>
      <c r="L173" s="37">
        <v>1</v>
      </c>
      <c r="M173" s="37">
        <v>1</v>
      </c>
      <c r="N173" s="37">
        <v>0</v>
      </c>
      <c r="O173" s="37">
        <v>0</v>
      </c>
      <c r="P173" s="37"/>
      <c r="Q173" s="37"/>
      <c r="R173" s="37"/>
      <c r="S173" s="37"/>
      <c r="T173" s="37" t="s">
        <v>247</v>
      </c>
      <c r="U173" s="49" t="s">
        <v>416</v>
      </c>
      <c r="V173" s="90" t="str">
        <f ca="1"/>
        <v xml:space="preserve"> </v>
      </c>
      <c r="AC173" s="53"/>
      <c r="AD173" s="53"/>
      <c r="AE173" s="53"/>
      <c r="AF173" s="53"/>
      <c r="AG173" s="53"/>
      <c r="AH173" s="53"/>
      <c r="AI173" s="53"/>
      <c r="AJ173" s="53"/>
      <c r="AK173" s="53"/>
      <c r="AL173" s="53"/>
      <c r="AM173" s="53"/>
      <c r="AN173" s="53"/>
      <c r="AO173" s="53"/>
      <c r="AP173" s="53"/>
      <c r="AQ173" s="53"/>
    </row>
    <row r="174" spans="2:43" x14ac:dyDescent="0.45">
      <c r="B174" s="65" cm="1">
        <f t="array" aca="1" ref="B174" ca="1">FileSize(Folder&amp;Tests[[#This Row],[FileName]])</f>
        <v>32</v>
      </c>
      <c r="C174" s="60" t="s">
        <v>574</v>
      </c>
      <c r="D174" s="38" t="s">
        <v>297</v>
      </c>
      <c r="E174" s="37" t="b">
        <v>1</v>
      </c>
      <c r="F174" s="39" t="s">
        <v>246</v>
      </c>
      <c r="G174" s="39" t="b">
        <v>0</v>
      </c>
      <c r="H174" s="39" t="s">
        <v>246</v>
      </c>
      <c r="I174" s="39" t="s">
        <v>246</v>
      </c>
      <c r="J174" s="39" t="b">
        <v>1</v>
      </c>
      <c r="K174" s="39"/>
      <c r="L174" s="37">
        <v>1</v>
      </c>
      <c r="M174" s="37">
        <v>1</v>
      </c>
      <c r="N174" s="37">
        <v>0</v>
      </c>
      <c r="O174" s="37">
        <v>0</v>
      </c>
      <c r="P174" s="37"/>
      <c r="Q174" s="37"/>
      <c r="R174" s="37"/>
      <c r="S174" s="37"/>
      <c r="T174" s="37" t="s">
        <v>247</v>
      </c>
      <c r="U174" s="49" t="s">
        <v>416</v>
      </c>
      <c r="V174" s="90" t="str">
        <f ca="1"/>
        <v xml:space="preserve"> </v>
      </c>
      <c r="AC174" s="53"/>
      <c r="AD174" s="53"/>
      <c r="AE174" s="53"/>
      <c r="AF174" s="53"/>
      <c r="AG174" s="53"/>
      <c r="AH174" s="53"/>
      <c r="AI174" s="53"/>
      <c r="AJ174" s="53"/>
      <c r="AK174" s="53"/>
      <c r="AL174" s="53"/>
      <c r="AM174" s="53"/>
      <c r="AN174" s="53"/>
      <c r="AO174" s="53"/>
      <c r="AP174" s="53"/>
      <c r="AQ174" s="53"/>
    </row>
    <row r="175" spans="2:43" x14ac:dyDescent="0.45">
      <c r="B175" s="65" cm="1">
        <f t="array" aca="1" ref="B175" ca="1">FileSize(Folder&amp;Tests[[#This Row],[FileName]])</f>
        <v>58</v>
      </c>
      <c r="C175" s="60" t="s">
        <v>574</v>
      </c>
      <c r="D175" s="38" t="s">
        <v>325</v>
      </c>
      <c r="E175" s="37" t="b">
        <v>1</v>
      </c>
      <c r="F175" s="39" t="s">
        <v>246</v>
      </c>
      <c r="G175" s="39" t="b">
        <v>0</v>
      </c>
      <c r="H175" s="39" t="s">
        <v>246</v>
      </c>
      <c r="I175" s="39" t="s">
        <v>246</v>
      </c>
      <c r="J175" s="39" t="b">
        <v>1</v>
      </c>
      <c r="K175" s="39"/>
      <c r="L175" s="37">
        <v>1</v>
      </c>
      <c r="M175" s="37">
        <v>1</v>
      </c>
      <c r="N175" s="37">
        <v>0</v>
      </c>
      <c r="O175" s="37">
        <v>0</v>
      </c>
      <c r="P175" s="37"/>
      <c r="Q175" s="37"/>
      <c r="R175" s="37"/>
      <c r="S175" s="37"/>
      <c r="T175" s="37" t="s">
        <v>247</v>
      </c>
      <c r="U175" s="49" t="s">
        <v>255</v>
      </c>
      <c r="V175" s="90" t="str">
        <f ca="1"/>
        <v xml:space="preserve"> </v>
      </c>
      <c r="AC175" s="53"/>
      <c r="AD175" s="53"/>
      <c r="AE175" s="53"/>
      <c r="AF175" s="53"/>
      <c r="AG175" s="53"/>
      <c r="AH175" s="53"/>
      <c r="AI175" s="53"/>
      <c r="AJ175" s="53"/>
      <c r="AK175" s="53"/>
      <c r="AL175" s="53"/>
      <c r="AM175" s="53"/>
      <c r="AN175" s="53"/>
      <c r="AO175" s="53"/>
      <c r="AP175" s="53"/>
      <c r="AQ175" s="53"/>
    </row>
    <row r="176" spans="2:43" x14ac:dyDescent="0.45">
      <c r="B176" s="65" cm="1">
        <f t="array" aca="1" ref="B176" ca="1">FileSize(Folder&amp;Tests[[#This Row],[FileName]])</f>
        <v>62</v>
      </c>
      <c r="C176" s="60" t="s">
        <v>574</v>
      </c>
      <c r="D176" s="38" t="s">
        <v>329</v>
      </c>
      <c r="E176" s="37" t="b">
        <v>1</v>
      </c>
      <c r="F176" s="39" t="s">
        <v>246</v>
      </c>
      <c r="G176" s="39" t="b">
        <v>0</v>
      </c>
      <c r="H176" s="39" t="s">
        <v>246</v>
      </c>
      <c r="I176" s="39" t="s">
        <v>246</v>
      </c>
      <c r="J176" s="39" t="b">
        <v>1</v>
      </c>
      <c r="K176" s="39"/>
      <c r="L176" s="37">
        <v>1</v>
      </c>
      <c r="M176" s="37">
        <v>1</v>
      </c>
      <c r="N176" s="37">
        <v>0</v>
      </c>
      <c r="O176" s="37">
        <v>0</v>
      </c>
      <c r="P176" s="37"/>
      <c r="Q176" s="37"/>
      <c r="R176" s="37"/>
      <c r="S176" s="37"/>
      <c r="T176" s="37" t="s">
        <v>247</v>
      </c>
      <c r="U176" s="49" t="s">
        <v>257</v>
      </c>
      <c r="V176" s="90" t="str">
        <f ca="1"/>
        <v xml:space="preserve"> </v>
      </c>
      <c r="AC176" s="53"/>
      <c r="AD176" s="53"/>
      <c r="AE176" s="53"/>
      <c r="AF176" s="53"/>
      <c r="AG176" s="53"/>
      <c r="AH176" s="53"/>
      <c r="AI176" s="53"/>
      <c r="AJ176" s="53"/>
      <c r="AK176" s="53"/>
      <c r="AL176" s="53"/>
      <c r="AM176" s="53"/>
      <c r="AN176" s="53"/>
      <c r="AO176" s="53"/>
      <c r="AP176" s="53"/>
      <c r="AQ176" s="53"/>
    </row>
    <row r="177" spans="2:43" x14ac:dyDescent="0.45">
      <c r="B177" s="65" cm="1">
        <f t="array" aca="1" ref="B177" ca="1">FileSize(Folder&amp;Tests[[#This Row],[FileName]])</f>
        <v>64</v>
      </c>
      <c r="C177" s="60" t="s">
        <v>574</v>
      </c>
      <c r="D177" s="38" t="s">
        <v>330</v>
      </c>
      <c r="E177" s="37" t="b">
        <v>1</v>
      </c>
      <c r="F177" s="39" t="s">
        <v>246</v>
      </c>
      <c r="G177" s="39" t="b">
        <v>0</v>
      </c>
      <c r="H177" s="39" t="s">
        <v>246</v>
      </c>
      <c r="I177" s="39" t="s">
        <v>246</v>
      </c>
      <c r="J177" s="39" t="b">
        <v>1</v>
      </c>
      <c r="K177" s="39"/>
      <c r="L177" s="37">
        <v>1</v>
      </c>
      <c r="M177" s="37">
        <v>1</v>
      </c>
      <c r="N177" s="37">
        <v>0</v>
      </c>
      <c r="O177" s="37">
        <v>0</v>
      </c>
      <c r="P177" s="37"/>
      <c r="Q177" s="37"/>
      <c r="R177" s="37"/>
      <c r="S177" s="37"/>
      <c r="T177" s="37" t="s">
        <v>247</v>
      </c>
      <c r="U177" s="49" t="s">
        <v>258</v>
      </c>
      <c r="V177" s="90" t="str">
        <f ca="1"/>
        <v xml:space="preserve"> </v>
      </c>
      <c r="AC177" s="53"/>
      <c r="AD177" s="53"/>
      <c r="AE177" s="53"/>
      <c r="AF177" s="53"/>
      <c r="AG177" s="53"/>
      <c r="AH177" s="53"/>
      <c r="AI177" s="53"/>
      <c r="AJ177" s="53"/>
      <c r="AK177" s="53"/>
      <c r="AL177" s="53"/>
      <c r="AM177" s="53"/>
      <c r="AN177" s="53"/>
      <c r="AO177" s="53"/>
      <c r="AP177" s="53"/>
      <c r="AQ177" s="53"/>
    </row>
    <row r="178" spans="2:43" x14ac:dyDescent="0.45">
      <c r="B178" s="65" cm="1">
        <f t="array" aca="1" ref="B178" ca="1">FileSize(Folder&amp;Tests[[#This Row],[FileName]])</f>
        <v>65</v>
      </c>
      <c r="C178" s="60" t="s">
        <v>574</v>
      </c>
      <c r="D178" s="38" t="s">
        <v>331</v>
      </c>
      <c r="E178" s="37" t="b">
        <v>0</v>
      </c>
      <c r="F178" s="39" t="s">
        <v>246</v>
      </c>
      <c r="G178" s="39" t="b">
        <v>0</v>
      </c>
      <c r="H178" s="39" t="s">
        <v>246</v>
      </c>
      <c r="I178" s="39" t="s">
        <v>246</v>
      </c>
      <c r="J178" s="39" t="b">
        <v>1</v>
      </c>
      <c r="K178" s="39"/>
      <c r="L178" s="37">
        <v>1</v>
      </c>
      <c r="M178" s="37">
        <v>1</v>
      </c>
      <c r="N178" s="37">
        <v>0</v>
      </c>
      <c r="O178" s="37">
        <v>0</v>
      </c>
      <c r="P178" s="37"/>
      <c r="Q178" s="37"/>
      <c r="R178" s="37"/>
      <c r="S178" s="37"/>
      <c r="T178" s="37" t="s">
        <v>247</v>
      </c>
      <c r="U178" s="49" t="s">
        <v>259</v>
      </c>
      <c r="V178" s="90" t="str">
        <f ca="1"/>
        <v xml:space="preserve"> </v>
      </c>
      <c r="AC178" s="53"/>
      <c r="AD178" s="53"/>
      <c r="AE178" s="53"/>
      <c r="AF178" s="53"/>
      <c r="AG178" s="53"/>
      <c r="AH178" s="53"/>
      <c r="AI178" s="53"/>
      <c r="AJ178" s="53"/>
      <c r="AK178" s="53"/>
      <c r="AL178" s="53"/>
      <c r="AM178" s="53"/>
      <c r="AN178" s="53"/>
      <c r="AO178" s="53"/>
      <c r="AP178" s="53"/>
      <c r="AQ178" s="53"/>
    </row>
    <row r="179" spans="2:43" x14ac:dyDescent="0.45">
      <c r="B179" s="65" cm="1">
        <f t="array" aca="1" ref="B179" ca="1">FileSize(Folder&amp;Tests[[#This Row],[FileName]])</f>
        <v>67</v>
      </c>
      <c r="C179" s="60" t="s">
        <v>574</v>
      </c>
      <c r="D179" s="38" t="s">
        <v>335</v>
      </c>
      <c r="E179" s="37" t="b">
        <v>1</v>
      </c>
      <c r="F179" s="39" t="s">
        <v>246</v>
      </c>
      <c r="G179" s="39" t="b">
        <v>0</v>
      </c>
      <c r="H179" s="39" t="s">
        <v>246</v>
      </c>
      <c r="I179" s="39" t="s">
        <v>246</v>
      </c>
      <c r="J179" s="39" t="b">
        <v>1</v>
      </c>
      <c r="K179" s="39"/>
      <c r="L179" s="37">
        <v>1</v>
      </c>
      <c r="M179" s="37">
        <v>1</v>
      </c>
      <c r="N179" s="37">
        <v>0</v>
      </c>
      <c r="O179" s="37">
        <v>0</v>
      </c>
      <c r="P179" s="37"/>
      <c r="Q179" s="37"/>
      <c r="R179" s="37"/>
      <c r="S179" s="37"/>
      <c r="T179" s="37" t="s">
        <v>247</v>
      </c>
      <c r="U179" s="49" t="s">
        <v>261</v>
      </c>
      <c r="V179" s="90" t="str">
        <f ca="1"/>
        <v xml:space="preserve"> </v>
      </c>
      <c r="AC179" s="53"/>
      <c r="AD179" s="53"/>
      <c r="AE179" s="53"/>
      <c r="AF179" s="53"/>
      <c r="AG179" s="53"/>
      <c r="AH179" s="53"/>
      <c r="AI179" s="53"/>
      <c r="AJ179" s="53"/>
      <c r="AK179" s="53"/>
      <c r="AL179" s="53"/>
      <c r="AM179" s="53"/>
      <c r="AN179" s="53"/>
      <c r="AO179" s="53"/>
      <c r="AP179" s="53"/>
      <c r="AQ179" s="53"/>
    </row>
    <row r="180" spans="2:43" x14ac:dyDescent="0.45">
      <c r="B180" s="65" cm="1">
        <f t="array" aca="1" ref="B180" ca="1">FileSize(Folder&amp;Tests[[#This Row],[FileName]])</f>
        <v>100</v>
      </c>
      <c r="C180" s="60" t="s">
        <v>574</v>
      </c>
      <c r="D180" s="38" t="s">
        <v>341</v>
      </c>
      <c r="E180" s="37" t="b">
        <v>1</v>
      </c>
      <c r="F180" s="39" t="s">
        <v>246</v>
      </c>
      <c r="G180" s="39" t="b">
        <v>0</v>
      </c>
      <c r="H180" s="39" t="s">
        <v>246</v>
      </c>
      <c r="I180" s="39" t="s">
        <v>246</v>
      </c>
      <c r="J180" s="39" t="b">
        <v>1</v>
      </c>
      <c r="K180" s="39"/>
      <c r="L180" s="37">
        <v>1</v>
      </c>
      <c r="M180" s="37">
        <v>1</v>
      </c>
      <c r="N180" s="37">
        <v>0</v>
      </c>
      <c r="O180" s="37">
        <v>0</v>
      </c>
      <c r="P180" s="37"/>
      <c r="Q180" s="37"/>
      <c r="R180" s="37"/>
      <c r="S180" s="40"/>
      <c r="T180" s="37" t="s">
        <v>247</v>
      </c>
      <c r="U180" s="46" t="s">
        <v>263</v>
      </c>
      <c r="V180" s="90" t="str">
        <f ca="1"/>
        <v xml:space="preserve"> </v>
      </c>
      <c r="AC180" s="53"/>
      <c r="AD180" s="53"/>
      <c r="AE180" s="53"/>
      <c r="AF180" s="53"/>
      <c r="AG180" s="53"/>
      <c r="AH180" s="53"/>
      <c r="AI180" s="53"/>
      <c r="AJ180" s="53"/>
      <c r="AK180" s="53"/>
      <c r="AL180" s="53"/>
      <c r="AM180" s="53"/>
      <c r="AN180" s="53"/>
      <c r="AO180" s="53"/>
      <c r="AP180" s="53"/>
      <c r="AQ180" s="53"/>
    </row>
    <row r="181" spans="2:43" x14ac:dyDescent="0.45">
      <c r="B181" s="65" cm="1">
        <f t="array" aca="1" ref="B181" ca="1">FileSize(Folder&amp;Tests[[#This Row],[FileName]])</f>
        <v>106</v>
      </c>
      <c r="C181" s="60" t="s">
        <v>574</v>
      </c>
      <c r="D181" s="38" t="s">
        <v>343</v>
      </c>
      <c r="E181" s="37" t="b">
        <v>1</v>
      </c>
      <c r="F181" s="39" t="s">
        <v>246</v>
      </c>
      <c r="G181" s="39" t="b">
        <v>0</v>
      </c>
      <c r="H181" s="39" t="s">
        <v>498</v>
      </c>
      <c r="I181" s="39" t="s">
        <v>246</v>
      </c>
      <c r="J181" s="39" t="b">
        <v>1</v>
      </c>
      <c r="K181" s="39"/>
      <c r="L181" s="37">
        <v>1</v>
      </c>
      <c r="M181" s="37">
        <v>1</v>
      </c>
      <c r="N181" s="37">
        <v>0</v>
      </c>
      <c r="O181" s="37">
        <v>0</v>
      </c>
      <c r="P181" s="37"/>
      <c r="Q181" s="37"/>
      <c r="R181" s="37"/>
      <c r="S181" s="37"/>
      <c r="T181" s="37" t="s">
        <v>247</v>
      </c>
      <c r="U181" s="46" t="s">
        <v>524</v>
      </c>
      <c r="V181" s="90" t="str">
        <f ca="1"/>
        <v xml:space="preserve"> </v>
      </c>
      <c r="AC181" s="53"/>
      <c r="AD181" s="53"/>
      <c r="AE181" s="53"/>
      <c r="AF181" s="53"/>
      <c r="AG181" s="53"/>
      <c r="AH181" s="53"/>
      <c r="AI181" s="53"/>
      <c r="AJ181" s="53"/>
      <c r="AK181" s="53"/>
      <c r="AL181" s="53"/>
      <c r="AM181" s="53"/>
      <c r="AN181" s="53"/>
      <c r="AO181" s="53"/>
      <c r="AP181" s="53"/>
      <c r="AQ181" s="53"/>
    </row>
    <row r="182" spans="2:43" x14ac:dyDescent="0.45">
      <c r="B182" s="65" cm="1">
        <f t="array" aca="1" ref="B182" ca="1">FileSize(Folder&amp;Tests[[#This Row],[FileName]])</f>
        <v>196</v>
      </c>
      <c r="C182" s="60" t="s">
        <v>574</v>
      </c>
      <c r="D182" s="38" t="s">
        <v>346</v>
      </c>
      <c r="E182" s="37" t="b">
        <v>1</v>
      </c>
      <c r="F182" s="39" t="str">
        <f>CHAR(9)</f>
        <v xml:space="preserve">	</v>
      </c>
      <c r="G182" s="39" t="b">
        <v>0</v>
      </c>
      <c r="H182" s="39" t="s">
        <v>246</v>
      </c>
      <c r="I182" s="39" t="s">
        <v>246</v>
      </c>
      <c r="J182" s="39" t="b">
        <v>1</v>
      </c>
      <c r="K182" s="39"/>
      <c r="L182" s="37">
        <v>1</v>
      </c>
      <c r="M182" s="37">
        <v>1</v>
      </c>
      <c r="N182" s="37">
        <v>0</v>
      </c>
      <c r="O182" s="37">
        <v>0</v>
      </c>
      <c r="P182" s="37"/>
      <c r="Q182" s="37"/>
      <c r="R182" s="37"/>
      <c r="S182" s="40" t="s">
        <v>465</v>
      </c>
      <c r="T182" s="37" t="s">
        <v>247</v>
      </c>
      <c r="U182" s="46" t="s">
        <v>264</v>
      </c>
      <c r="V182" s="90" t="str">
        <f ca="1"/>
        <v xml:space="preserve"> </v>
      </c>
      <c r="AC182" s="53"/>
      <c r="AD182" s="53"/>
      <c r="AE182" s="53"/>
      <c r="AF182" s="53"/>
      <c r="AG182" s="53"/>
      <c r="AH182" s="53"/>
      <c r="AI182" s="53"/>
      <c r="AJ182" s="53"/>
      <c r="AK182" s="53"/>
      <c r="AL182" s="53"/>
      <c r="AM182" s="53"/>
      <c r="AN182" s="53"/>
      <c r="AO182" s="53"/>
      <c r="AP182" s="53"/>
      <c r="AQ182" s="53"/>
    </row>
    <row r="183" spans="2:43" x14ac:dyDescent="0.45">
      <c r="B183" s="65" cm="1">
        <f t="array" aca="1" ref="B183" ca="1">FileSize(Folder&amp;Tests[[#This Row],[FileName]])</f>
        <v>42987</v>
      </c>
      <c r="C183" s="60" t="s">
        <v>574</v>
      </c>
      <c r="D183" s="38" t="s">
        <v>361</v>
      </c>
      <c r="E183" s="37" t="b">
        <v>0</v>
      </c>
      <c r="F183" s="39" t="s">
        <v>246</v>
      </c>
      <c r="G183" s="39" t="b">
        <v>0</v>
      </c>
      <c r="H183" s="39" t="s">
        <v>246</v>
      </c>
      <c r="I183" s="39" t="s">
        <v>246</v>
      </c>
      <c r="J183" s="39" t="b">
        <v>1</v>
      </c>
      <c r="K183" s="39"/>
      <c r="L183" s="37">
        <v>1</v>
      </c>
      <c r="M183" s="37">
        <v>1</v>
      </c>
      <c r="N183" s="37">
        <v>0</v>
      </c>
      <c r="O183" s="37">
        <v>0</v>
      </c>
      <c r="P183" s="37"/>
      <c r="Q183" s="37"/>
      <c r="R183" s="37"/>
      <c r="S183" s="37"/>
      <c r="T183" s="37" t="s">
        <v>247</v>
      </c>
      <c r="U183" s="49" t="s">
        <v>266</v>
      </c>
      <c r="V183" s="90" t="str">
        <f ca="1"/>
        <v xml:space="preserve"> </v>
      </c>
      <c r="AC183" s="53"/>
      <c r="AD183" s="53"/>
      <c r="AE183" s="53"/>
      <c r="AF183" s="53"/>
      <c r="AG183" s="53"/>
      <c r="AH183" s="53"/>
      <c r="AI183" s="53"/>
      <c r="AJ183" s="53"/>
      <c r="AK183" s="53"/>
      <c r="AL183" s="53"/>
      <c r="AM183" s="53"/>
      <c r="AN183" s="53"/>
      <c r="AO183" s="53"/>
      <c r="AP183" s="53"/>
      <c r="AQ183" s="53"/>
    </row>
    <row r="184" spans="2:43" x14ac:dyDescent="0.45">
      <c r="B184" s="66" cm="1">
        <f t="array" aca="1" ref="B184" ca="1">FileSize(Folder&amp;Tests[[#This Row],[FileName]])</f>
        <v>270111</v>
      </c>
      <c r="C184" s="60" t="s">
        <v>574</v>
      </c>
      <c r="D184" s="38" t="s">
        <v>371</v>
      </c>
      <c r="E184" s="37" t="b">
        <v>1</v>
      </c>
      <c r="F184" s="39" t="s">
        <v>246</v>
      </c>
      <c r="G184" s="39" t="b">
        <v>0</v>
      </c>
      <c r="H184" s="39" t="s">
        <v>246</v>
      </c>
      <c r="I184" s="39" t="s">
        <v>246</v>
      </c>
      <c r="J184" s="39" t="b">
        <v>1</v>
      </c>
      <c r="K184" s="39"/>
      <c r="L184" s="37">
        <v>1</v>
      </c>
      <c r="M184" s="37">
        <v>1</v>
      </c>
      <c r="N184" s="37">
        <v>0</v>
      </c>
      <c r="O184" s="37">
        <v>0</v>
      </c>
      <c r="P184" s="37"/>
      <c r="Q184" s="37"/>
      <c r="R184" s="37"/>
      <c r="S184" s="37"/>
      <c r="T184" s="37" t="s">
        <v>247</v>
      </c>
      <c r="U184" s="46" t="s">
        <v>382</v>
      </c>
      <c r="V184" s="90" t="str">
        <f ca="1"/>
        <v xml:space="preserve"> </v>
      </c>
      <c r="AC184" s="53"/>
      <c r="AD184" s="53"/>
      <c r="AE184" s="53"/>
      <c r="AF184" s="53"/>
      <c r="AG184" s="53"/>
      <c r="AH184" s="53"/>
      <c r="AI184" s="53"/>
      <c r="AJ184" s="53"/>
      <c r="AK184" s="53"/>
      <c r="AL184" s="53"/>
      <c r="AM184" s="53"/>
      <c r="AN184" s="53"/>
      <c r="AO184" s="53"/>
      <c r="AP184" s="53"/>
      <c r="AQ184" s="53"/>
    </row>
    <row r="185" spans="2:43" x14ac:dyDescent="0.45">
      <c r="B185" s="65" cm="1">
        <f t="array" aca="1" ref="B185" ca="1">FileSize(Folder&amp;Tests[[#This Row],[FileName]])</f>
        <v>728165</v>
      </c>
      <c r="C185" s="59" t="s">
        <v>574</v>
      </c>
      <c r="D185" s="38" t="s">
        <v>374</v>
      </c>
      <c r="E185" s="37" t="b">
        <v>1</v>
      </c>
      <c r="F185" s="39" t="s">
        <v>246</v>
      </c>
      <c r="G185" s="39" t="b">
        <v>0</v>
      </c>
      <c r="H185" s="39" t="s">
        <v>246</v>
      </c>
      <c r="I185" s="39" t="s">
        <v>246</v>
      </c>
      <c r="J185" s="39" t="b">
        <v>1</v>
      </c>
      <c r="K185" s="39"/>
      <c r="L185" s="37">
        <v>1</v>
      </c>
      <c r="M185" s="37">
        <v>1</v>
      </c>
      <c r="N185" s="37">
        <v>0</v>
      </c>
      <c r="O185" s="37">
        <v>0</v>
      </c>
      <c r="P185" s="37"/>
      <c r="Q185" s="37"/>
      <c r="R185" s="37"/>
      <c r="S185" s="37"/>
      <c r="T185" s="37" t="s">
        <v>248</v>
      </c>
      <c r="U185" s="46" t="s">
        <v>429</v>
      </c>
      <c r="V185" s="90" t="str">
        <f ca="1"/>
        <v xml:space="preserve"> </v>
      </c>
      <c r="AC185" s="53"/>
      <c r="AD185" s="53"/>
      <c r="AE185" s="53"/>
      <c r="AF185" s="53"/>
      <c r="AG185" s="53"/>
      <c r="AH185" s="53"/>
      <c r="AI185" s="53"/>
      <c r="AJ185" s="53"/>
      <c r="AK185" s="53"/>
      <c r="AL185" s="53"/>
      <c r="AM185" s="53"/>
      <c r="AN185" s="53"/>
      <c r="AO185" s="53"/>
      <c r="AP185" s="53"/>
      <c r="AQ185" s="53"/>
    </row>
    <row r="186" spans="2:43" x14ac:dyDescent="0.45">
      <c r="B186" s="65" cm="1">
        <f t="array" aca="1" ref="B186" ca="1">FileSize(Folder&amp;Tests[[#This Row],[FileName]])</f>
        <v>1647418</v>
      </c>
      <c r="C186" s="60" t="s">
        <v>574</v>
      </c>
      <c r="D186" s="43" t="s">
        <v>377</v>
      </c>
      <c r="E186" s="37" t="s">
        <v>384</v>
      </c>
      <c r="F186" s="39" t="s">
        <v>246</v>
      </c>
      <c r="G186" s="39" t="b">
        <v>0</v>
      </c>
      <c r="H186" s="39" t="s">
        <v>246</v>
      </c>
      <c r="I186" s="39" t="s">
        <v>246</v>
      </c>
      <c r="J186" s="39" t="b">
        <v>1</v>
      </c>
      <c r="K186" s="39"/>
      <c r="L186" s="37">
        <v>1</v>
      </c>
      <c r="M186" s="37">
        <v>1</v>
      </c>
      <c r="N186" s="37">
        <v>0</v>
      </c>
      <c r="O186" s="37">
        <v>0</v>
      </c>
      <c r="P186" s="37"/>
      <c r="Q186" s="37"/>
      <c r="R186" s="37"/>
      <c r="S186" s="37"/>
      <c r="T186" s="37" t="s">
        <v>247</v>
      </c>
      <c r="U186" s="51" t="s">
        <v>383</v>
      </c>
      <c r="V186" s="90" t="str">
        <f ca="1"/>
        <v xml:space="preserve"> </v>
      </c>
      <c r="AC186" s="53"/>
      <c r="AD186" s="53"/>
      <c r="AE186" s="53"/>
      <c r="AF186" s="53"/>
      <c r="AG186" s="53"/>
      <c r="AH186" s="53"/>
      <c r="AI186" s="53"/>
      <c r="AJ186" s="53"/>
      <c r="AK186" s="53"/>
      <c r="AL186" s="53"/>
      <c r="AM186" s="53"/>
      <c r="AN186" s="53"/>
      <c r="AO186" s="53"/>
      <c r="AP186" s="53"/>
      <c r="AQ186" s="53"/>
    </row>
    <row r="187" spans="2:43" x14ac:dyDescent="0.45">
      <c r="B187" s="65"/>
      <c r="C187" s="60"/>
      <c r="D187" s="43"/>
      <c r="E187" s="37"/>
      <c r="F187" s="39"/>
      <c r="G187" s="39"/>
      <c r="H187" s="39"/>
      <c r="I187" s="39"/>
      <c r="J187" s="39"/>
      <c r="K187" s="39"/>
      <c r="L187" s="37"/>
      <c r="M187" s="37"/>
      <c r="N187" s="37"/>
      <c r="O187" s="37"/>
      <c r="P187" s="37"/>
      <c r="Q187" s="37"/>
      <c r="R187" s="37"/>
      <c r="S187" s="37"/>
      <c r="T187" s="37"/>
      <c r="U187" s="51"/>
      <c r="V187" s="90" t="str">
        <f ca="1"/>
        <v xml:space="preserve"> </v>
      </c>
      <c r="AC187" s="53"/>
      <c r="AD187" s="53"/>
      <c r="AE187" s="53"/>
      <c r="AF187" s="53"/>
      <c r="AG187" s="53"/>
      <c r="AH187" s="53"/>
      <c r="AI187" s="53"/>
      <c r="AJ187" s="53"/>
      <c r="AK187" s="53"/>
      <c r="AL187" s="53"/>
      <c r="AM187" s="53"/>
      <c r="AN187" s="53"/>
      <c r="AO187" s="53"/>
      <c r="AP187" s="53"/>
      <c r="AQ187" s="53"/>
    </row>
  </sheetData>
  <sheetProtection sheet="1" objects="1" scenarios="1"/>
  <sortState xmlns:xlrd2="http://schemas.microsoft.com/office/spreadsheetml/2017/richdata2" ref="B14:U159">
    <sortCondition ref="B14:B159"/>
  </sortState>
  <mergeCells count="20">
    <mergeCell ref="Q8:Q12"/>
    <mergeCell ref="R8:R12"/>
    <mergeCell ref="S8:S12"/>
    <mergeCell ref="T8:T12"/>
    <mergeCell ref="U8:U12"/>
    <mergeCell ref="B8:B12"/>
    <mergeCell ref="C8:C12"/>
    <mergeCell ref="D8:D12"/>
    <mergeCell ref="E8:E12"/>
    <mergeCell ref="F8:F12"/>
    <mergeCell ref="G8:G12"/>
    <mergeCell ref="H8:H12"/>
    <mergeCell ref="M8:M12"/>
    <mergeCell ref="N8:N12"/>
    <mergeCell ref="O8:O12"/>
    <mergeCell ref="P8:P12"/>
    <mergeCell ref="I8:I12"/>
    <mergeCell ref="J8:J12"/>
    <mergeCell ref="K8:K12"/>
    <mergeCell ref="L8:L12"/>
  </mergeCells>
  <conditionalFormatting sqref="AA14:AA17 AD7:AD11 AC12">
    <cfRule type="expression" dxfId="105" priority="80">
      <formula>ISLOGICAL(AA7)</formula>
    </cfRule>
    <cfRule type="expression" dxfId="104" priority="81">
      <formula>ISNUMBER(AA7)</formula>
    </cfRule>
    <cfRule type="expression" dxfId="103" priority="82">
      <formula>ISNUMBER(SEARCH("""",AA7))</formula>
    </cfRule>
    <cfRule type="expression" dxfId="102" priority="83">
      <formula>ISTEXT(AA7)</formula>
    </cfRule>
    <cfRule type="expression" dxfId="101" priority="84">
      <formula>ISERROR(AA7)</formula>
    </cfRule>
  </conditionalFormatting>
  <conditionalFormatting sqref="AC14:AK14">
    <cfRule type="expression" dxfId="100" priority="75">
      <formula>ISLOGICAL(AC14)</formula>
    </cfRule>
    <cfRule type="expression" dxfId="99" priority="76">
      <formula>ISNUMBER(AC14)</formula>
    </cfRule>
    <cfRule type="expression" dxfId="98" priority="77">
      <formula>ISNUMBER(SEARCH("""",AC14))</formula>
    </cfRule>
    <cfRule type="expression" dxfId="97" priority="78">
      <formula>ISTEXT(AC14)</formula>
    </cfRule>
    <cfRule type="expression" dxfId="96" priority="79">
      <formula>ISERROR(AC14)</formula>
    </cfRule>
  </conditionalFormatting>
  <conditionalFormatting sqref="AL14:AQ14">
    <cfRule type="expression" dxfId="95" priority="70">
      <formula>ISLOGICAL(AL14)</formula>
    </cfRule>
    <cfRule type="expression" dxfId="94" priority="71">
      <formula>ISNUMBER(AL14)</formula>
    </cfRule>
    <cfRule type="expression" dxfId="93" priority="72">
      <formula>ISNUMBER(SEARCH("""",AL14))</formula>
    </cfRule>
    <cfRule type="expression" dxfId="92" priority="73">
      <formula>ISTEXT(AL14)</formula>
    </cfRule>
    <cfRule type="expression" dxfId="91" priority="74">
      <formula>ISERROR(AL14)</formula>
    </cfRule>
  </conditionalFormatting>
  <conditionalFormatting sqref="AA18:AA49">
    <cfRule type="expression" dxfId="90" priority="50">
      <formula>ISLOGICAL(AA18)</formula>
    </cfRule>
    <cfRule type="expression" dxfId="89" priority="51">
      <formula>ISNUMBER(AA18)</formula>
    </cfRule>
    <cfRule type="expression" dxfId="88" priority="52">
      <formula>ISNUMBER(SEARCH("""",AA18))</formula>
    </cfRule>
    <cfRule type="expression" dxfId="87" priority="53">
      <formula>ISTEXT(AA18)</formula>
    </cfRule>
    <cfRule type="expression" dxfId="86" priority="54">
      <formula>ISERROR(AA18)</formula>
    </cfRule>
  </conditionalFormatting>
  <conditionalFormatting sqref="AC15:AK49">
    <cfRule type="expression" dxfId="85" priority="45">
      <formula>ISLOGICAL(AC15)</formula>
    </cfRule>
    <cfRule type="expression" dxfId="84" priority="46">
      <formula>ISNUMBER(AC15)</formula>
    </cfRule>
    <cfRule type="expression" dxfId="83" priority="47">
      <formula>ISNUMBER(SEARCH("""",AC15))</formula>
    </cfRule>
    <cfRule type="expression" dxfId="82" priority="48">
      <formula>ISTEXT(AC15)</formula>
    </cfRule>
    <cfRule type="expression" dxfId="81" priority="49">
      <formula>ISERROR(AC15)</formula>
    </cfRule>
  </conditionalFormatting>
  <conditionalFormatting sqref="AL17:AQ49 AL15:AN16 AP15:AQ16">
    <cfRule type="expression" dxfId="80" priority="40">
      <formula>ISLOGICAL(AL15)</formula>
    </cfRule>
    <cfRule type="expression" dxfId="79" priority="41">
      <formula>ISNUMBER(AL15)</formula>
    </cfRule>
    <cfRule type="expression" dxfId="78" priority="42">
      <formula>ISNUMBER(SEARCH("""",AL15))</formula>
    </cfRule>
    <cfRule type="expression" dxfId="77" priority="43">
      <formula>ISTEXT(AL15)</formula>
    </cfRule>
    <cfRule type="expression" dxfId="76" priority="44">
      <formula>ISERROR(AL15)</formula>
    </cfRule>
  </conditionalFormatting>
  <conditionalFormatting sqref="AO15:AO16">
    <cfRule type="expression" dxfId="75" priority="23">
      <formula>ISLOGICAL(AO15)</formula>
    </cfRule>
    <cfRule type="expression" dxfId="74" priority="24">
      <formula>ISNUMBER(AO15)</formula>
    </cfRule>
    <cfRule type="expression" dxfId="73" priority="25">
      <formula>ISNUMBER(SEARCH("""",AO15))</formula>
    </cfRule>
    <cfRule type="expression" dxfId="72" priority="26">
      <formula>ISTEXT(AO15)</formula>
    </cfRule>
    <cfRule type="expression" dxfId="71" priority="27">
      <formula>ISERROR(AO15)</formula>
    </cfRule>
  </conditionalFormatting>
  <conditionalFormatting sqref="B14:U187">
    <cfRule type="expression" dxfId="70" priority="122">
      <formula>$C14=$C$4</formula>
    </cfRule>
  </conditionalFormatting>
  <conditionalFormatting sqref="O5">
    <cfRule type="expression" dxfId="69" priority="21">
      <formula>$O$5&gt;0</formula>
    </cfRule>
  </conditionalFormatting>
  <conditionalFormatting sqref="AD12:AI12">
    <cfRule type="expression" dxfId="68" priority="11">
      <formula>ISLOGICAL(AD12)</formula>
    </cfRule>
    <cfRule type="expression" dxfId="67" priority="12">
      <formula>ISNUMBER(AD12)</formula>
    </cfRule>
    <cfRule type="expression" dxfId="66" priority="13">
      <formula>ISNUMBER(SEARCH("""",AD12))</formula>
    </cfRule>
    <cfRule type="expression" dxfId="65" priority="14">
      <formula>ISTEXT(AD12)</formula>
    </cfRule>
    <cfRule type="expression" dxfId="64" priority="15">
      <formula>ISERROR(AD12)</formula>
    </cfRule>
  </conditionalFormatting>
  <conditionalFormatting sqref="AJ12">
    <cfRule type="expression" dxfId="63" priority="6">
      <formula>ISLOGICAL(AJ12)</formula>
    </cfRule>
    <cfRule type="expression" dxfId="62" priority="7">
      <formula>ISNUMBER(AJ12)</formula>
    </cfRule>
    <cfRule type="expression" dxfId="61" priority="8">
      <formula>ISNUMBER(SEARCH("""",AJ12))</formula>
    </cfRule>
    <cfRule type="expression" dxfId="60" priority="9">
      <formula>ISTEXT(AJ12)</formula>
    </cfRule>
    <cfRule type="expression" dxfId="59" priority="10">
      <formula>ISERROR(AJ12)</formula>
    </cfRule>
  </conditionalFormatting>
  <conditionalFormatting sqref="AK12:AQ12">
    <cfRule type="expression" dxfId="58" priority="1">
      <formula>ISLOGICAL(AK12)</formula>
    </cfRule>
    <cfRule type="expression" dxfId="57" priority="2">
      <formula>ISNUMBER(AK12)</formula>
    </cfRule>
    <cfRule type="expression" dxfId="56" priority="3">
      <formula>ISNUMBER(SEARCH("""",AK12))</formula>
    </cfRule>
    <cfRule type="expression" dxfId="55" priority="4">
      <formula>ISTEXT(AK12)</formula>
    </cfRule>
    <cfRule type="expression" dxfId="54" priority="5">
      <formula>ISERROR(AK12)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sizeWithCells="1">
                  <from>
                    <xdr:col>12</xdr:col>
                    <xdr:colOff>52388</xdr:colOff>
                    <xdr:row>0</xdr:row>
                    <xdr:rowOff>114300</xdr:rowOff>
                  </from>
                  <to>
                    <xdr:col>13</xdr:col>
                    <xdr:colOff>404813</xdr:colOff>
                    <xdr:row>2</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1.1328125" bestFit="1" customWidth="1"/>
    <col min="13" max="13" width="25.3984375" customWidth="1"/>
    <col min="14" max="14" width="11.265625" bestFit="1" customWidth="1"/>
  </cols>
  <sheetData>
    <row r="1" spans="1:14" ht="28.5" x14ac:dyDescent="0.85">
      <c r="A1" s="1" t="s">
        <v>407</v>
      </c>
    </row>
    <row r="2" spans="1:14" x14ac:dyDescent="0.45">
      <c r="N2" s="15"/>
    </row>
    <row r="5" spans="1:14" x14ac:dyDescent="0.45">
      <c r="A5" t="s">
        <v>622</v>
      </c>
      <c r="B5" s="7" t="s">
        <v>750</v>
      </c>
      <c r="M5" t="s">
        <v>752</v>
      </c>
    </row>
    <row r="6" spans="1:14" ht="42.75" x14ac:dyDescent="0.45">
      <c r="A6" s="16" t="s">
        <v>21</v>
      </c>
      <c r="B6" s="16" t="s">
        <v>22</v>
      </c>
      <c r="C6" s="16" t="s">
        <v>23</v>
      </c>
      <c r="D6" s="16" t="s">
        <v>24</v>
      </c>
      <c r="E6" s="17" t="s">
        <v>618</v>
      </c>
      <c r="F6" s="17" t="s">
        <v>619</v>
      </c>
      <c r="G6" s="17" t="s">
        <v>620</v>
      </c>
      <c r="H6" s="17" t="s">
        <v>621</v>
      </c>
      <c r="I6" s="17" t="str" cm="1">
        <f t="array" aca="1" ref="I6:L6" ca="1">"NCalls"&amp;CHAR(10)&amp;E6:H6</f>
        <v>NCalls
CSVRead
v0.1</v>
      </c>
      <c r="J6" s="17" t="str">
        <f ca="1"/>
        <v>NCalls
sdkn104
v1.9</v>
      </c>
      <c r="K6" s="17" t="str">
        <f ca="1"/>
        <v>NCalls
ws_garcia
v3.1.5</v>
      </c>
      <c r="L6" s="92" t="str">
        <f ca="1"/>
        <v>NCalls
CSV.jl
v0.8.5+</v>
      </c>
      <c r="M6" s="16" t="s">
        <v>31</v>
      </c>
      <c r="N6" s="16" t="s">
        <v>32</v>
      </c>
    </row>
    <row r="7" spans="1:14" x14ac:dyDescent="0.45">
      <c r="A7">
        <f ca="1">LEN(B7)</f>
        <v>1</v>
      </c>
      <c r="B7" t="s">
        <v>33</v>
      </c>
      <c r="C7" s="15">
        <v>1</v>
      </c>
      <c r="D7">
        <v>1</v>
      </c>
      <c r="E7">
        <v>1.7825166304226208E-4</v>
      </c>
      <c r="F7">
        <v>1.2021113622172519E-4</v>
      </c>
      <c r="G7">
        <v>2.4137875482605855E-3</v>
      </c>
      <c r="H7">
        <v>2.8878364329444379E-4</v>
      </c>
      <c r="I7" s="15">
        <v>28051</v>
      </c>
      <c r="J7" s="15">
        <v>41594</v>
      </c>
      <c r="K7" s="15">
        <v>2072</v>
      </c>
      <c r="L7" s="88">
        <v>17314</v>
      </c>
      <c r="M7" s="93" t="s">
        <v>623</v>
      </c>
      <c r="N7" s="15">
        <v>3</v>
      </c>
    </row>
    <row r="8" spans="1:14" x14ac:dyDescent="0.45">
      <c r="A8">
        <f t="shared" ref="A8:A28" ca="1" si="0">LEN(B8)</f>
        <v>1</v>
      </c>
      <c r="B8" t="s">
        <v>33</v>
      </c>
      <c r="C8" s="15">
        <v>2</v>
      </c>
      <c r="D8">
        <v>1</v>
      </c>
      <c r="E8">
        <v>1.8254043881440433E-4</v>
      </c>
      <c r="F8">
        <v>1.2565180810719179E-4</v>
      </c>
      <c r="G8">
        <v>2.6159411610865105E-3</v>
      </c>
      <c r="H8">
        <v>2.8235825615541E-4</v>
      </c>
      <c r="I8" s="15">
        <v>27392</v>
      </c>
      <c r="J8" s="15">
        <v>39793</v>
      </c>
      <c r="K8" s="15">
        <v>1912</v>
      </c>
      <c r="L8" s="88">
        <v>17708</v>
      </c>
      <c r="M8" s="94" t="s">
        <v>624</v>
      </c>
      <c r="N8" s="15">
        <v>6</v>
      </c>
    </row>
    <row r="9" spans="1:14" x14ac:dyDescent="0.45">
      <c r="A9">
        <f t="shared" ca="1" si="0"/>
        <v>1</v>
      </c>
      <c r="B9" t="s">
        <v>33</v>
      </c>
      <c r="C9" s="15">
        <v>4</v>
      </c>
      <c r="D9">
        <v>1</v>
      </c>
      <c r="E9">
        <v>1.8588506264173129E-4</v>
      </c>
      <c r="F9">
        <v>1.2519460914405279E-4</v>
      </c>
      <c r="G9">
        <v>2.5487596839941086E-3</v>
      </c>
      <c r="H9">
        <v>3.2488628979857048E-4</v>
      </c>
      <c r="I9" s="15">
        <v>26899</v>
      </c>
      <c r="J9" s="15">
        <v>39938</v>
      </c>
      <c r="K9" s="15">
        <v>1962</v>
      </c>
      <c r="L9" s="88">
        <v>15390</v>
      </c>
      <c r="M9" s="94" t="s">
        <v>625</v>
      </c>
      <c r="N9" s="15">
        <v>12</v>
      </c>
    </row>
    <row r="10" spans="1:14" x14ac:dyDescent="0.45">
      <c r="A10">
        <f t="shared" ca="1" si="0"/>
        <v>1</v>
      </c>
      <c r="B10" t="s">
        <v>33</v>
      </c>
      <c r="C10" s="15">
        <v>8</v>
      </c>
      <c r="D10">
        <v>1</v>
      </c>
      <c r="E10">
        <v>1.9030784045038511E-4</v>
      </c>
      <c r="F10">
        <v>1.3225346628926708E-4</v>
      </c>
      <c r="G10">
        <v>2.6089885237410054E-3</v>
      </c>
      <c r="H10">
        <v>2.8963679545849504E-4</v>
      </c>
      <c r="I10" s="15">
        <v>26274</v>
      </c>
      <c r="J10" s="15">
        <v>37807</v>
      </c>
      <c r="K10" s="15">
        <v>1917</v>
      </c>
      <c r="L10" s="88">
        <v>17263</v>
      </c>
      <c r="M10" s="94" t="s">
        <v>626</v>
      </c>
      <c r="N10" s="15">
        <v>24</v>
      </c>
    </row>
    <row r="11" spans="1:14" x14ac:dyDescent="0.45">
      <c r="A11">
        <f t="shared" ca="1" si="0"/>
        <v>1</v>
      </c>
      <c r="B11" t="s">
        <v>33</v>
      </c>
      <c r="C11" s="15">
        <v>16</v>
      </c>
      <c r="D11">
        <v>1</v>
      </c>
      <c r="E11">
        <v>1.9929791542110852E-4</v>
      </c>
      <c r="F11">
        <v>1.4035775319998093E-4</v>
      </c>
      <c r="G11">
        <v>2.5406933434975309E-3</v>
      </c>
      <c r="H11">
        <v>2.9238056254020232E-4</v>
      </c>
      <c r="I11" s="15">
        <v>25089</v>
      </c>
      <c r="J11" s="15">
        <v>35624</v>
      </c>
      <c r="K11" s="15">
        <v>1968</v>
      </c>
      <c r="L11" s="88">
        <v>17101</v>
      </c>
      <c r="M11" s="94" t="s">
        <v>627</v>
      </c>
      <c r="N11" s="15">
        <v>48</v>
      </c>
    </row>
    <row r="12" spans="1:14" x14ac:dyDescent="0.45">
      <c r="A12">
        <f t="shared" ca="1" si="0"/>
        <v>1</v>
      </c>
      <c r="B12" t="s">
        <v>33</v>
      </c>
      <c r="C12" s="15">
        <v>32</v>
      </c>
      <c r="D12">
        <v>1</v>
      </c>
      <c r="E12">
        <v>2.1894354337270461E-4</v>
      </c>
      <c r="F12">
        <v>1.5718750078560836E-4</v>
      </c>
      <c r="G12">
        <v>2.6291367507842787E-3</v>
      </c>
      <c r="H12">
        <v>2.9631385563588954E-4</v>
      </c>
      <c r="I12" s="15">
        <v>22837</v>
      </c>
      <c r="J12" s="15">
        <v>31810</v>
      </c>
      <c r="K12" s="15">
        <v>1902</v>
      </c>
      <c r="L12" s="88">
        <v>16874</v>
      </c>
      <c r="M12" s="94" t="s">
        <v>628</v>
      </c>
      <c r="N12" s="15">
        <v>96</v>
      </c>
    </row>
    <row r="13" spans="1:14" x14ac:dyDescent="0.45">
      <c r="A13">
        <f t="shared" ca="1" si="0"/>
        <v>1</v>
      </c>
      <c r="B13" t="s">
        <v>33</v>
      </c>
      <c r="C13" s="15">
        <v>64</v>
      </c>
      <c r="D13">
        <v>1</v>
      </c>
      <c r="E13">
        <v>2.6006724227580315E-4</v>
      </c>
      <c r="F13">
        <v>1.9840885679091422E-4</v>
      </c>
      <c r="G13">
        <v>2.7860935376052328E-3</v>
      </c>
      <c r="H13">
        <v>3.0244374546334384E-4</v>
      </c>
      <c r="I13" s="15">
        <v>19226</v>
      </c>
      <c r="J13" s="15">
        <v>25201</v>
      </c>
      <c r="K13" s="15">
        <v>1795</v>
      </c>
      <c r="L13" s="88">
        <v>16532</v>
      </c>
      <c r="M13" s="94" t="s">
        <v>629</v>
      </c>
      <c r="N13" s="15">
        <v>192</v>
      </c>
    </row>
    <row r="14" spans="1:14" x14ac:dyDescent="0.45">
      <c r="A14">
        <f t="shared" ca="1" si="0"/>
        <v>1</v>
      </c>
      <c r="B14" t="s">
        <v>33</v>
      </c>
      <c r="C14" s="15">
        <v>128</v>
      </c>
      <c r="D14">
        <v>1</v>
      </c>
      <c r="E14">
        <v>3.3526593133937006E-4</v>
      </c>
      <c r="F14">
        <v>2.7365132990384082E-4</v>
      </c>
      <c r="G14">
        <v>3.1430363293588198E-3</v>
      </c>
      <c r="H14">
        <v>3.0669201987364289E-4</v>
      </c>
      <c r="I14" s="15">
        <v>14914</v>
      </c>
      <c r="J14" s="15">
        <v>18272</v>
      </c>
      <c r="K14" s="15">
        <v>1591</v>
      </c>
      <c r="L14" s="88">
        <v>16303</v>
      </c>
      <c r="M14" s="94" t="s">
        <v>630</v>
      </c>
      <c r="N14" s="15">
        <v>384</v>
      </c>
    </row>
    <row r="15" spans="1:14" x14ac:dyDescent="0.45">
      <c r="A15">
        <f t="shared" ca="1" si="0"/>
        <v>1</v>
      </c>
      <c r="B15" t="s">
        <v>33</v>
      </c>
      <c r="C15" s="15">
        <v>256</v>
      </c>
      <c r="D15">
        <v>1</v>
      </c>
      <c r="E15">
        <v>5.0900883460624742E-4</v>
      </c>
      <c r="F15">
        <v>4.2718030756103912E-4</v>
      </c>
      <c r="G15">
        <v>3.6651780952391601E-3</v>
      </c>
      <c r="H15">
        <v>2.8933510792199528E-4</v>
      </c>
      <c r="I15" s="15">
        <v>9825</v>
      </c>
      <c r="J15" s="15">
        <v>11705</v>
      </c>
      <c r="K15" s="15">
        <v>1365</v>
      </c>
      <c r="L15" s="88">
        <v>17281</v>
      </c>
      <c r="M15" s="94" t="s">
        <v>631</v>
      </c>
      <c r="N15" s="15">
        <v>768</v>
      </c>
    </row>
    <row r="16" spans="1:14" x14ac:dyDescent="0.45">
      <c r="A16">
        <f t="shared" ca="1" si="0"/>
        <v>1</v>
      </c>
      <c r="B16" t="s">
        <v>33</v>
      </c>
      <c r="C16" s="15">
        <v>512</v>
      </c>
      <c r="D16">
        <v>1</v>
      </c>
      <c r="E16">
        <v>7.7740873756064238E-4</v>
      </c>
      <c r="F16">
        <v>7.4787343703142095E-4</v>
      </c>
      <c r="G16">
        <v>5.1038947959141856E-3</v>
      </c>
      <c r="H16">
        <v>3.1281281281281281E-4</v>
      </c>
      <c r="I16" s="15">
        <v>6432</v>
      </c>
      <c r="J16" s="15">
        <v>6686</v>
      </c>
      <c r="K16" s="15">
        <v>980</v>
      </c>
      <c r="L16" s="88">
        <v>15984</v>
      </c>
      <c r="M16" s="94" t="s">
        <v>632</v>
      </c>
      <c r="N16" s="15">
        <v>1536</v>
      </c>
    </row>
    <row r="17" spans="1:14" x14ac:dyDescent="0.45">
      <c r="A17">
        <f t="shared" ca="1" si="0"/>
        <v>1</v>
      </c>
      <c r="B17" t="s">
        <v>33</v>
      </c>
      <c r="C17" s="15">
        <v>1024</v>
      </c>
      <c r="D17">
        <v>1</v>
      </c>
      <c r="E17">
        <v>1.4508019727319053E-3</v>
      </c>
      <c r="F17">
        <v>1.3602662132760008E-3</v>
      </c>
      <c r="G17">
        <v>7.5326442771059309E-3</v>
      </c>
      <c r="H17">
        <v>3.6791758646063282E-4</v>
      </c>
      <c r="I17" s="15">
        <v>3447</v>
      </c>
      <c r="J17" s="15">
        <v>3676</v>
      </c>
      <c r="K17" s="15">
        <v>664</v>
      </c>
      <c r="L17" s="88">
        <v>13590</v>
      </c>
      <c r="M17" s="94" t="s">
        <v>633</v>
      </c>
      <c r="N17" s="15">
        <v>3072</v>
      </c>
    </row>
    <row r="18" spans="1:14" x14ac:dyDescent="0.45">
      <c r="A18">
        <f t="shared" ca="1" si="0"/>
        <v>1</v>
      </c>
      <c r="B18" t="s">
        <v>33</v>
      </c>
      <c r="C18" s="15">
        <v>2048</v>
      </c>
      <c r="D18">
        <v>1</v>
      </c>
      <c r="E18">
        <v>2.6886004298747241E-3</v>
      </c>
      <c r="F18">
        <v>2.6847111647884886E-3</v>
      </c>
      <c r="G18">
        <v>1.2581493216084115E-2</v>
      </c>
      <c r="H18">
        <v>5.0926869016092895E-4</v>
      </c>
      <c r="I18" s="15">
        <v>1861</v>
      </c>
      <c r="J18" s="15">
        <v>1863</v>
      </c>
      <c r="K18" s="15">
        <v>398</v>
      </c>
      <c r="L18" s="88">
        <v>9818</v>
      </c>
      <c r="M18" s="94" t="s">
        <v>634</v>
      </c>
      <c r="N18" s="15">
        <v>6144</v>
      </c>
    </row>
    <row r="19" spans="1:14" x14ac:dyDescent="0.45">
      <c r="A19">
        <f t="shared" ca="1" si="0"/>
        <v>1</v>
      </c>
      <c r="B19" t="s">
        <v>33</v>
      </c>
      <c r="C19" s="15">
        <v>4096</v>
      </c>
      <c r="D19">
        <v>1</v>
      </c>
      <c r="E19">
        <v>5.8054944315541418E-3</v>
      </c>
      <c r="F19">
        <v>5.6276131608489115E-3</v>
      </c>
      <c r="G19">
        <v>2.3629852830194035E-2</v>
      </c>
      <c r="H19">
        <v>9.6469226316804938E-4</v>
      </c>
      <c r="I19" s="15">
        <v>862</v>
      </c>
      <c r="J19" s="15">
        <v>889</v>
      </c>
      <c r="K19" s="15">
        <v>212</v>
      </c>
      <c r="L19" s="88">
        <v>5183</v>
      </c>
      <c r="M19" s="94" t="s">
        <v>635</v>
      </c>
      <c r="N19" s="15">
        <v>12288</v>
      </c>
    </row>
    <row r="20" spans="1:14" x14ac:dyDescent="0.45">
      <c r="A20">
        <f t="shared" ca="1" si="0"/>
        <v>1</v>
      </c>
      <c r="B20" t="s">
        <v>33</v>
      </c>
      <c r="C20" s="15">
        <v>8192</v>
      </c>
      <c r="D20">
        <v>1</v>
      </c>
      <c r="E20">
        <v>1.1242335280887469E-2</v>
      </c>
      <c r="F20">
        <v>1.0882035434769932E-2</v>
      </c>
      <c r="G20">
        <v>4.433100265479107E-2</v>
      </c>
      <c r="H20">
        <v>1.5142337976983646E-3</v>
      </c>
      <c r="I20" s="15">
        <v>445</v>
      </c>
      <c r="J20" s="15">
        <v>460</v>
      </c>
      <c r="K20" s="15">
        <v>113</v>
      </c>
      <c r="L20" s="88">
        <v>3302</v>
      </c>
      <c r="M20" s="94" t="s">
        <v>636</v>
      </c>
      <c r="N20" s="15">
        <v>24576</v>
      </c>
    </row>
    <row r="21" spans="1:14" x14ac:dyDescent="0.45">
      <c r="A21">
        <f t="shared" ca="1" si="0"/>
        <v>1</v>
      </c>
      <c r="B21" t="s">
        <v>33</v>
      </c>
      <c r="C21" s="15">
        <v>16384</v>
      </c>
      <c r="D21">
        <v>1</v>
      </c>
      <c r="E21">
        <v>2.2051960352443094E-2</v>
      </c>
      <c r="F21">
        <v>2.4177900483088842E-2</v>
      </c>
      <c r="G21">
        <v>8.4400764999979103E-2</v>
      </c>
      <c r="H21">
        <v>2.7948574622694241E-3</v>
      </c>
      <c r="I21" s="15">
        <v>227</v>
      </c>
      <c r="J21" s="15">
        <v>207</v>
      </c>
      <c r="K21" s="15">
        <v>60</v>
      </c>
      <c r="L21" s="88">
        <v>1789</v>
      </c>
      <c r="M21" s="94" t="s">
        <v>637</v>
      </c>
      <c r="N21" s="15">
        <v>49152</v>
      </c>
    </row>
    <row r="22" spans="1:14" x14ac:dyDescent="0.45">
      <c r="A22">
        <f t="shared" ca="1" si="0"/>
        <v>1</v>
      </c>
      <c r="B22" t="s">
        <v>33</v>
      </c>
      <c r="C22" s="15">
        <v>32768</v>
      </c>
      <c r="D22">
        <v>1</v>
      </c>
      <c r="E22">
        <v>5.384306236553902E-2</v>
      </c>
      <c r="F22">
        <v>4.728155094349893E-2</v>
      </c>
      <c r="G22">
        <v>0.18272163571392802</v>
      </c>
      <c r="H22">
        <v>4.3449176072452916E-3</v>
      </c>
      <c r="I22" s="15">
        <v>93</v>
      </c>
      <c r="J22" s="15">
        <v>106</v>
      </c>
      <c r="K22" s="15">
        <v>28</v>
      </c>
      <c r="L22" s="88">
        <v>1151</v>
      </c>
      <c r="M22" s="94" t="s">
        <v>638</v>
      </c>
      <c r="N22" s="15">
        <v>98304</v>
      </c>
    </row>
    <row r="23" spans="1:14" x14ac:dyDescent="0.45">
      <c r="A23">
        <f t="shared" ca="1" si="0"/>
        <v>1</v>
      </c>
      <c r="B23" t="s">
        <v>33</v>
      </c>
      <c r="C23" s="15">
        <v>65536</v>
      </c>
      <c r="D23">
        <v>1</v>
      </c>
      <c r="E23">
        <v>9.1190247272871519E-2</v>
      </c>
      <c r="F23">
        <v>0.10562462083332018</v>
      </c>
      <c r="G23">
        <v>0.34921748666674829</v>
      </c>
      <c r="H23">
        <v>7.7838256236739331E-3</v>
      </c>
      <c r="I23" s="15">
        <v>55</v>
      </c>
      <c r="J23" s="15">
        <v>48</v>
      </c>
      <c r="K23" s="15">
        <v>15</v>
      </c>
      <c r="L23" s="88">
        <v>643</v>
      </c>
      <c r="M23" s="94" t="s">
        <v>639</v>
      </c>
      <c r="N23" s="15">
        <v>196608</v>
      </c>
    </row>
    <row r="24" spans="1:14" x14ac:dyDescent="0.45">
      <c r="A24">
        <f t="shared" ca="1" si="0"/>
        <v>1</v>
      </c>
      <c r="B24" t="s">
        <v>33</v>
      </c>
      <c r="C24" s="15">
        <v>131072</v>
      </c>
      <c r="D24">
        <v>1</v>
      </c>
      <c r="E24">
        <v>0.20995422499981942</v>
      </c>
      <c r="F24">
        <v>0.19457485185207421</v>
      </c>
      <c r="G24">
        <v>0.6981236749998061</v>
      </c>
      <c r="H24">
        <v>1.6587458034553151E-2</v>
      </c>
      <c r="I24" s="15">
        <v>24</v>
      </c>
      <c r="J24" s="15">
        <v>27</v>
      </c>
      <c r="K24" s="15">
        <v>8</v>
      </c>
      <c r="L24" s="88">
        <v>303</v>
      </c>
      <c r="M24" s="94" t="s">
        <v>640</v>
      </c>
      <c r="N24" s="15">
        <v>393216</v>
      </c>
    </row>
    <row r="25" spans="1:14" x14ac:dyDescent="0.45">
      <c r="A25">
        <f t="shared" ca="1" si="0"/>
        <v>1</v>
      </c>
      <c r="B25" t="s">
        <v>33</v>
      </c>
      <c r="C25" s="15">
        <v>262144</v>
      </c>
      <c r="D25">
        <v>1</v>
      </c>
      <c r="E25">
        <v>0.42913101666757331</v>
      </c>
      <c r="F25">
        <v>0.39071728461511579</v>
      </c>
      <c r="G25">
        <v>1.2405721200018889</v>
      </c>
      <c r="H25">
        <v>3.0932098259160549E-2</v>
      </c>
      <c r="I25" s="15">
        <v>12</v>
      </c>
      <c r="J25" s="15">
        <v>13</v>
      </c>
      <c r="K25" s="15">
        <v>5</v>
      </c>
      <c r="L25" s="88">
        <v>162</v>
      </c>
      <c r="M25" s="94" t="s">
        <v>641</v>
      </c>
      <c r="N25" s="15">
        <v>786432</v>
      </c>
    </row>
    <row r="26" spans="1:14" x14ac:dyDescent="0.45">
      <c r="A26">
        <f t="shared" ca="1" si="0"/>
        <v>1</v>
      </c>
      <c r="B26" t="s">
        <v>33</v>
      </c>
      <c r="C26" s="15">
        <v>524288</v>
      </c>
      <c r="D26">
        <v>1</v>
      </c>
      <c r="E26">
        <v>0.71466515714252765</v>
      </c>
      <c r="F26">
        <v>0.75763624285588904</v>
      </c>
      <c r="G26">
        <v>2.6955672999974922</v>
      </c>
      <c r="H26">
        <v>6.2234569478918006E-2</v>
      </c>
      <c r="I26" s="15">
        <v>7</v>
      </c>
      <c r="J26" s="15">
        <v>7</v>
      </c>
      <c r="K26" s="15">
        <v>2</v>
      </c>
      <c r="L26" s="88">
        <v>81</v>
      </c>
      <c r="M26" s="94" t="s">
        <v>642</v>
      </c>
      <c r="N26" s="15">
        <v>1572864</v>
      </c>
    </row>
    <row r="27" spans="1:14" x14ac:dyDescent="0.45">
      <c r="A27">
        <f t="shared" ca="1" si="0"/>
        <v>1</v>
      </c>
      <c r="B27" t="s">
        <v>33</v>
      </c>
      <c r="C27" s="15">
        <v>1048576</v>
      </c>
      <c r="D27">
        <v>1</v>
      </c>
      <c r="E27">
        <v>1.4652737500000512</v>
      </c>
      <c r="F27">
        <v>1.7331325999984983</v>
      </c>
      <c r="G27">
        <v>5.3613421500049299</v>
      </c>
      <c r="H27">
        <v>0.13415789604187012</v>
      </c>
      <c r="I27" s="15">
        <v>4</v>
      </c>
      <c r="J27" s="15">
        <v>3</v>
      </c>
      <c r="K27" s="15">
        <v>2</v>
      </c>
      <c r="L27" s="88">
        <v>38</v>
      </c>
      <c r="M27" s="94" t="s">
        <v>643</v>
      </c>
      <c r="N27" s="15">
        <v>3145728</v>
      </c>
    </row>
    <row r="28" spans="1:14" x14ac:dyDescent="0.45">
      <c r="A28">
        <f t="shared" ca="1" si="0"/>
        <v>1</v>
      </c>
      <c r="B28" t="s">
        <v>33</v>
      </c>
      <c r="C28" s="15">
        <v>2097152</v>
      </c>
      <c r="D28">
        <v>1</v>
      </c>
      <c r="E28">
        <v>3.0300176499949885</v>
      </c>
      <c r="F28">
        <v>3.392128399995272</v>
      </c>
      <c r="G28">
        <v>10.664455199992517</v>
      </c>
      <c r="H28">
        <v>0.27861110369364422</v>
      </c>
      <c r="I28" s="15">
        <v>2</v>
      </c>
      <c r="J28" s="15">
        <v>2</v>
      </c>
      <c r="K28" s="15">
        <v>1</v>
      </c>
      <c r="L28" s="88">
        <v>18</v>
      </c>
      <c r="M28" s="94" t="s">
        <v>644</v>
      </c>
      <c r="N28" s="15">
        <v>6291456</v>
      </c>
    </row>
    <row r="29" spans="1:14" x14ac:dyDescent="0.45">
      <c r="I29" s="15"/>
      <c r="J29" s="15"/>
      <c r="K29" s="15"/>
      <c r="L29" s="15"/>
    </row>
    <row r="31" spans="1:14" x14ac:dyDescent="0.45">
      <c r="I31" s="15"/>
      <c r="J31" s="15"/>
      <c r="K31" s="15"/>
      <c r="L31" s="15"/>
    </row>
    <row r="32" spans="1:14" x14ac:dyDescent="0.45">
      <c r="I32" s="15"/>
      <c r="J32" s="15"/>
      <c r="K32" s="15"/>
      <c r="L32" s="15"/>
      <c r="M32" t="s">
        <v>753</v>
      </c>
    </row>
    <row r="33" spans="1:14" ht="42.75" x14ac:dyDescent="0.45">
      <c r="A33" s="16" t="s">
        <v>21</v>
      </c>
      <c r="B33" s="16" t="s">
        <v>22</v>
      </c>
      <c r="C33" s="16" t="s">
        <v>23</v>
      </c>
      <c r="D33" s="16" t="s">
        <v>24</v>
      </c>
      <c r="E33" s="17" t="s">
        <v>618</v>
      </c>
      <c r="F33" s="17" t="s">
        <v>619</v>
      </c>
      <c r="G33" s="17" t="s">
        <v>620</v>
      </c>
      <c r="H33" s="17" t="s">
        <v>621</v>
      </c>
      <c r="I33" s="17" t="str" cm="1">
        <f t="array" aca="1" ref="I33:L33" ca="1">"NCalls"&amp;CHAR(10)&amp;E33:H33</f>
        <v>NCalls
CSVRead
v0.1</v>
      </c>
      <c r="J33" s="17" t="str">
        <f ca="1"/>
        <v>NCalls
sdkn104
v1.9</v>
      </c>
      <c r="K33" s="17" t="str">
        <f ca="1"/>
        <v>NCalls
ws_garcia
v3.1.5</v>
      </c>
      <c r="L33" s="92" t="str">
        <f ca="1"/>
        <v>NCalls
CSV.jl
v0.8.5+</v>
      </c>
      <c r="M33" s="16" t="s">
        <v>31</v>
      </c>
      <c r="N33" s="16" t="s">
        <v>32</v>
      </c>
    </row>
    <row r="34" spans="1:14" x14ac:dyDescent="0.45">
      <c r="A34">
        <f ca="1">LEN(B34)</f>
        <v>32</v>
      </c>
      <c r="B34" t="str">
        <f ca="1">REPT("x",32)</f>
        <v>xxxxxxxxxxxxxxxxxxxxxxxxxxxxxxxx</v>
      </c>
      <c r="C34" s="15">
        <v>1</v>
      </c>
      <c r="D34">
        <v>1</v>
      </c>
      <c r="E34">
        <v>1.9182948014552338E-4</v>
      </c>
      <c r="F34">
        <v>1.2760900390483267E-4</v>
      </c>
      <c r="G34">
        <v>2.9985688249393517E-3</v>
      </c>
      <c r="H34">
        <v>3.4204405527431931E-4</v>
      </c>
      <c r="I34" s="15">
        <v>26065</v>
      </c>
      <c r="J34" s="15">
        <v>39183</v>
      </c>
      <c r="K34" s="15">
        <v>1668</v>
      </c>
      <c r="L34" s="88">
        <v>14618</v>
      </c>
      <c r="M34" s="15" t="s">
        <v>645</v>
      </c>
      <c r="N34" s="15">
        <v>34</v>
      </c>
    </row>
    <row r="35" spans="1:14" x14ac:dyDescent="0.45">
      <c r="A35">
        <f t="shared" ref="A35:A54" ca="1" si="1">LEN(B35)</f>
        <v>32</v>
      </c>
      <c r="B35" t="str">
        <f t="shared" ref="B35:B54" ca="1" si="2">REPT("x",32)</f>
        <v>xxxxxxxxxxxxxxxxxxxxxxxxxxxxxxxx</v>
      </c>
      <c r="C35" s="15">
        <v>2</v>
      </c>
      <c r="D35">
        <v>1</v>
      </c>
      <c r="E35">
        <v>1.9308927371747218E-4</v>
      </c>
      <c r="F35">
        <v>1.3174709106213622E-4</v>
      </c>
      <c r="G35">
        <v>2.5797489943215623E-3</v>
      </c>
      <c r="H35">
        <v>2.94681174104227E-4</v>
      </c>
      <c r="I35" s="15">
        <v>25899</v>
      </c>
      <c r="J35" s="15">
        <v>37952</v>
      </c>
      <c r="K35" s="15">
        <v>1939</v>
      </c>
      <c r="L35" s="88">
        <v>17015</v>
      </c>
      <c r="M35" s="15" t="s">
        <v>646</v>
      </c>
      <c r="N35" s="15">
        <v>68</v>
      </c>
    </row>
    <row r="36" spans="1:14" x14ac:dyDescent="0.45">
      <c r="A36">
        <f t="shared" ca="1" si="1"/>
        <v>32</v>
      </c>
      <c r="B36" t="str">
        <f t="shared" ca="1" si="2"/>
        <v>xxxxxxxxxxxxxxxxxxxxxxxxxxxxxxxx</v>
      </c>
      <c r="C36" s="15">
        <v>4</v>
      </c>
      <c r="D36">
        <v>1</v>
      </c>
      <c r="E36">
        <v>2.0722945954904372E-4</v>
      </c>
      <c r="F36">
        <v>1.3998305103749537E-4</v>
      </c>
      <c r="G36">
        <v>2.7544487885451806E-3</v>
      </c>
      <c r="H36">
        <v>2.7922947669015922E-4</v>
      </c>
      <c r="I36" s="15">
        <v>24128</v>
      </c>
      <c r="J36" s="15">
        <v>35719</v>
      </c>
      <c r="K36" s="15">
        <v>1816</v>
      </c>
      <c r="L36" s="88">
        <v>17910</v>
      </c>
      <c r="M36" s="15" t="s">
        <v>647</v>
      </c>
      <c r="N36" s="15">
        <v>136</v>
      </c>
    </row>
    <row r="37" spans="1:14" x14ac:dyDescent="0.45">
      <c r="A37">
        <f t="shared" ca="1" si="1"/>
        <v>32</v>
      </c>
      <c r="B37" t="str">
        <f t="shared" ca="1" si="2"/>
        <v>xxxxxxxxxxxxxxxxxxxxxxxxxxxxxxxx</v>
      </c>
      <c r="C37" s="15">
        <v>8</v>
      </c>
      <c r="D37">
        <v>1</v>
      </c>
      <c r="E37">
        <v>2.1592429502967285E-4</v>
      </c>
      <c r="F37">
        <v>1.5146803186824758E-4</v>
      </c>
      <c r="G37">
        <v>2.6439978329871631E-3</v>
      </c>
      <c r="H37">
        <v>2.8538812785388126E-4</v>
      </c>
      <c r="I37" s="15">
        <v>23157</v>
      </c>
      <c r="J37" s="15">
        <v>33011</v>
      </c>
      <c r="K37" s="15">
        <v>1892</v>
      </c>
      <c r="L37" s="88">
        <v>17520</v>
      </c>
      <c r="M37" s="15" t="s">
        <v>648</v>
      </c>
      <c r="N37" s="15">
        <v>272</v>
      </c>
    </row>
    <row r="38" spans="1:14" x14ac:dyDescent="0.45">
      <c r="A38">
        <f t="shared" ca="1" si="1"/>
        <v>32</v>
      </c>
      <c r="B38" t="str">
        <f t="shared" ca="1" si="2"/>
        <v>xxxxxxxxxxxxxxxxxxxxxxxxxxxxxxxx</v>
      </c>
      <c r="C38" s="15">
        <v>16</v>
      </c>
      <c r="D38">
        <v>1</v>
      </c>
      <c r="E38">
        <v>2.3853964028460413E-4</v>
      </c>
      <c r="F38">
        <v>1.7605011618940068E-4</v>
      </c>
      <c r="G38">
        <v>3.1655094303839836E-3</v>
      </c>
      <c r="H38">
        <v>2.9453345900094249E-4</v>
      </c>
      <c r="I38" s="15">
        <v>20961</v>
      </c>
      <c r="J38" s="15">
        <v>28402</v>
      </c>
      <c r="K38" s="15">
        <v>1580</v>
      </c>
      <c r="L38" s="88">
        <v>16976</v>
      </c>
      <c r="M38" s="15" t="s">
        <v>649</v>
      </c>
      <c r="N38" s="15">
        <v>544</v>
      </c>
    </row>
    <row r="39" spans="1:14" x14ac:dyDescent="0.45">
      <c r="A39">
        <f t="shared" ca="1" si="1"/>
        <v>32</v>
      </c>
      <c r="B39" t="str">
        <f t="shared" ca="1" si="2"/>
        <v>xxxxxxxxxxxxxxxxxxxxxxxxxxxxxxxx</v>
      </c>
      <c r="C39" s="15">
        <v>32</v>
      </c>
      <c r="D39">
        <v>1</v>
      </c>
      <c r="E39">
        <v>2.9229884251181538E-4</v>
      </c>
      <c r="F39">
        <v>2.256310951673509E-4</v>
      </c>
      <c r="G39">
        <v>2.8571615428580636E-3</v>
      </c>
      <c r="H39">
        <v>2.9301453352086266E-4</v>
      </c>
      <c r="I39" s="15">
        <v>17106</v>
      </c>
      <c r="J39" s="15">
        <v>22161</v>
      </c>
      <c r="K39" s="15">
        <v>1750</v>
      </c>
      <c r="L39" s="88">
        <v>17064</v>
      </c>
      <c r="M39" s="15" t="s">
        <v>650</v>
      </c>
      <c r="N39" s="15">
        <v>1088</v>
      </c>
    </row>
    <row r="40" spans="1:14" x14ac:dyDescent="0.45">
      <c r="A40">
        <f t="shared" ca="1" si="1"/>
        <v>32</v>
      </c>
      <c r="B40" t="str">
        <f t="shared" ca="1" si="2"/>
        <v>xxxxxxxxxxxxxxxxxxxxxxxxxxxxxxxx</v>
      </c>
      <c r="C40" s="15">
        <v>64</v>
      </c>
      <c r="D40">
        <v>1</v>
      </c>
      <c r="E40">
        <v>3.8541055958032455E-4</v>
      </c>
      <c r="F40">
        <v>3.1652629613200149E-4</v>
      </c>
      <c r="G40">
        <v>3.1031988833758089E-3</v>
      </c>
      <c r="H40">
        <v>2.7915805929317177E-4</v>
      </c>
      <c r="I40" s="15">
        <v>12974</v>
      </c>
      <c r="J40" s="15">
        <v>15797</v>
      </c>
      <c r="K40" s="15">
        <v>1612</v>
      </c>
      <c r="L40" s="88">
        <v>17911</v>
      </c>
      <c r="M40" s="15" t="s">
        <v>651</v>
      </c>
      <c r="N40" s="15">
        <v>2176</v>
      </c>
    </row>
    <row r="41" spans="1:14" x14ac:dyDescent="0.45">
      <c r="A41">
        <f t="shared" ca="1" si="1"/>
        <v>32</v>
      </c>
      <c r="B41" t="str">
        <f t="shared" ca="1" si="2"/>
        <v>xxxxxxxxxxxxxxxxxxxxxxxxxxxxxxxx</v>
      </c>
      <c r="C41" s="15">
        <v>128</v>
      </c>
      <c r="D41">
        <v>1</v>
      </c>
      <c r="E41">
        <v>5.7018705815250191E-4</v>
      </c>
      <c r="F41">
        <v>5.0299015189733914E-4</v>
      </c>
      <c r="G41">
        <v>3.4754178596181889E-3</v>
      </c>
      <c r="H41">
        <v>3.0894710825506676E-4</v>
      </c>
      <c r="I41" s="15">
        <v>8770</v>
      </c>
      <c r="J41" s="15">
        <v>9941</v>
      </c>
      <c r="K41" s="15">
        <v>1439</v>
      </c>
      <c r="L41" s="88">
        <v>16184</v>
      </c>
      <c r="M41" s="15" t="s">
        <v>652</v>
      </c>
      <c r="N41" s="15">
        <v>4352</v>
      </c>
    </row>
    <row r="42" spans="1:14" x14ac:dyDescent="0.45">
      <c r="A42">
        <f t="shared" ca="1" si="1"/>
        <v>32</v>
      </c>
      <c r="B42" t="str">
        <f t="shared" ca="1" si="2"/>
        <v>xxxxxxxxxxxxxxxxxxxxxxxxxxxxxxxx</v>
      </c>
      <c r="C42" s="15">
        <v>256</v>
      </c>
      <c r="D42">
        <v>1</v>
      </c>
      <c r="E42">
        <v>9.6418492093992435E-4</v>
      </c>
      <c r="F42">
        <v>8.8936520811063163E-4</v>
      </c>
      <c r="G42">
        <v>4.3111851724147686E-3</v>
      </c>
      <c r="H42">
        <v>3.9872408293460925E-4</v>
      </c>
      <c r="I42" s="15">
        <v>5186</v>
      </c>
      <c r="J42" s="15">
        <v>5622</v>
      </c>
      <c r="K42" s="15">
        <v>1160</v>
      </c>
      <c r="L42" s="88">
        <v>12540</v>
      </c>
      <c r="M42" s="15" t="s">
        <v>653</v>
      </c>
      <c r="N42" s="15">
        <v>8704</v>
      </c>
    </row>
    <row r="43" spans="1:14" x14ac:dyDescent="0.45">
      <c r="A43">
        <f t="shared" ca="1" si="1"/>
        <v>32</v>
      </c>
      <c r="B43" t="str">
        <f t="shared" ca="1" si="2"/>
        <v>xxxxxxxxxxxxxxxxxxxxxxxxxxxxxxxx</v>
      </c>
      <c r="C43" s="15">
        <v>512</v>
      </c>
      <c r="D43">
        <v>1</v>
      </c>
      <c r="E43">
        <v>1.7187008247408725E-3</v>
      </c>
      <c r="F43">
        <v>1.6674887962655946E-3</v>
      </c>
      <c r="G43">
        <v>6.0039541416566445E-3</v>
      </c>
      <c r="H43">
        <v>4.164584374479427E-4</v>
      </c>
      <c r="I43" s="15">
        <v>2910</v>
      </c>
      <c r="J43" s="15">
        <v>2999</v>
      </c>
      <c r="K43" s="15">
        <v>833</v>
      </c>
      <c r="L43" s="88">
        <v>12006</v>
      </c>
      <c r="M43" s="15" t="s">
        <v>654</v>
      </c>
      <c r="N43" s="15">
        <v>17408</v>
      </c>
    </row>
    <row r="44" spans="1:14" x14ac:dyDescent="0.45">
      <c r="A44">
        <f t="shared" ca="1" si="1"/>
        <v>32</v>
      </c>
      <c r="B44" t="str">
        <f t="shared" ca="1" si="2"/>
        <v>xxxxxxxxxxxxxxxxxxxxxxxxxxxxxxxx</v>
      </c>
      <c r="C44" s="15">
        <v>1024</v>
      </c>
      <c r="D44">
        <v>1</v>
      </c>
      <c r="E44">
        <v>3.2684004575119115E-3</v>
      </c>
      <c r="F44">
        <v>3.2331603749199307E-3</v>
      </c>
      <c r="G44">
        <v>9.6003917466416493E-3</v>
      </c>
      <c r="H44">
        <v>5.2537564358516337E-4</v>
      </c>
      <c r="I44" s="15">
        <v>1530</v>
      </c>
      <c r="J44" s="15">
        <v>1547</v>
      </c>
      <c r="K44" s="15">
        <v>521</v>
      </c>
      <c r="L44" s="88">
        <v>9517</v>
      </c>
      <c r="M44" s="15" t="s">
        <v>655</v>
      </c>
      <c r="N44" s="15">
        <v>34816</v>
      </c>
    </row>
    <row r="45" spans="1:14" x14ac:dyDescent="0.45">
      <c r="A45">
        <f t="shared" ca="1" si="1"/>
        <v>32</v>
      </c>
      <c r="B45" t="str">
        <f t="shared" ca="1" si="2"/>
        <v>xxxxxxxxxxxxxxxxxxxxxxxxxxxxxxxx</v>
      </c>
      <c r="C45" s="15">
        <v>2048</v>
      </c>
      <c r="D45">
        <v>1</v>
      </c>
      <c r="E45">
        <v>6.4640130490813347E-3</v>
      </c>
      <c r="F45">
        <v>6.4272446015493281E-3</v>
      </c>
      <c r="G45">
        <v>1.6108350482319372E-2</v>
      </c>
      <c r="H45">
        <v>7.1633237822349568E-4</v>
      </c>
      <c r="I45" s="15">
        <v>774</v>
      </c>
      <c r="J45" s="15">
        <v>778</v>
      </c>
      <c r="K45" s="15">
        <v>311</v>
      </c>
      <c r="L45" s="88">
        <v>6980</v>
      </c>
      <c r="M45" s="15" t="s">
        <v>656</v>
      </c>
      <c r="N45" s="15">
        <v>69632</v>
      </c>
    </row>
    <row r="46" spans="1:14" x14ac:dyDescent="0.45">
      <c r="A46">
        <f t="shared" ca="1" si="1"/>
        <v>32</v>
      </c>
      <c r="B46" t="str">
        <f t="shared" ca="1" si="2"/>
        <v>xxxxxxxxxxxxxxxxxxxxxxxxxxxxxxxx</v>
      </c>
      <c r="C46" s="15">
        <v>4096</v>
      </c>
      <c r="D46">
        <v>1</v>
      </c>
      <c r="E46">
        <v>1.3552663143633343E-2</v>
      </c>
      <c r="F46">
        <v>1.29244780361662E-2</v>
      </c>
      <c r="G46">
        <v>3.0811925766849605E-2</v>
      </c>
      <c r="H46">
        <v>1.126887536623845E-3</v>
      </c>
      <c r="I46" s="15">
        <v>369</v>
      </c>
      <c r="J46" s="15">
        <v>387</v>
      </c>
      <c r="K46" s="15">
        <v>163</v>
      </c>
      <c r="L46" s="88">
        <v>4437</v>
      </c>
      <c r="M46" s="15" t="s">
        <v>657</v>
      </c>
      <c r="N46" s="15">
        <v>139264</v>
      </c>
    </row>
    <row r="47" spans="1:14" x14ac:dyDescent="0.45">
      <c r="A47">
        <f t="shared" ca="1" si="1"/>
        <v>32</v>
      </c>
      <c r="B47" t="str">
        <f t="shared" ca="1" si="2"/>
        <v>xxxxxxxxxxxxxxxxxxxxxxxxxxxxxxxx</v>
      </c>
      <c r="C47" s="15">
        <v>8192</v>
      </c>
      <c r="D47">
        <v>1</v>
      </c>
      <c r="E47">
        <v>2.6439413684190522E-2</v>
      </c>
      <c r="F47">
        <v>2.7156889189201457E-2</v>
      </c>
      <c r="G47">
        <v>5.0880858585864039E-2</v>
      </c>
      <c r="H47">
        <v>2.2231110466851126E-3</v>
      </c>
      <c r="I47" s="15">
        <v>190</v>
      </c>
      <c r="J47" s="15">
        <v>185</v>
      </c>
      <c r="K47" s="15">
        <v>99</v>
      </c>
      <c r="L47" s="88">
        <v>2250</v>
      </c>
      <c r="M47" s="15" t="s">
        <v>658</v>
      </c>
      <c r="N47" s="15">
        <v>278528</v>
      </c>
    </row>
    <row r="48" spans="1:14" x14ac:dyDescent="0.45">
      <c r="A48">
        <f t="shared" ca="1" si="1"/>
        <v>32</v>
      </c>
      <c r="B48" t="str">
        <f t="shared" ca="1" si="2"/>
        <v>xxxxxxxxxxxxxxxxxxxxxxxxxxxxxxxx</v>
      </c>
      <c r="C48" s="15">
        <v>16384</v>
      </c>
      <c r="D48">
        <v>1</v>
      </c>
      <c r="E48">
        <v>5.2480843750042062E-2</v>
      </c>
      <c r="F48">
        <v>5.32247723404385E-2</v>
      </c>
      <c r="G48">
        <v>0.10325959999986202</v>
      </c>
      <c r="H48">
        <v>4.2898800115438104E-3</v>
      </c>
      <c r="I48" s="15">
        <v>96</v>
      </c>
      <c r="J48" s="15">
        <v>94</v>
      </c>
      <c r="K48" s="15">
        <v>49</v>
      </c>
      <c r="L48" s="88">
        <v>1166</v>
      </c>
      <c r="M48" s="15" t="s">
        <v>659</v>
      </c>
      <c r="N48" s="15">
        <v>557056</v>
      </c>
    </row>
    <row r="49" spans="1:14" x14ac:dyDescent="0.45">
      <c r="A49">
        <f t="shared" ca="1" si="1"/>
        <v>32</v>
      </c>
      <c r="B49" t="str">
        <f t="shared" ca="1" si="2"/>
        <v>xxxxxxxxxxxxxxxxxxxxxxxxxxxxxxxx</v>
      </c>
      <c r="C49" s="15">
        <v>32768</v>
      </c>
      <c r="D49">
        <v>1</v>
      </c>
      <c r="E49">
        <v>0.10752704680836611</v>
      </c>
      <c r="F49">
        <v>0.11205619111133273</v>
      </c>
      <c r="G49">
        <v>0.2046126239997102</v>
      </c>
      <c r="H49">
        <v>7.6079024369955783E-3</v>
      </c>
      <c r="I49" s="15">
        <v>47</v>
      </c>
      <c r="J49" s="15">
        <v>45</v>
      </c>
      <c r="K49" s="15">
        <v>25</v>
      </c>
      <c r="L49" s="88">
        <v>658</v>
      </c>
      <c r="M49" s="15" t="s">
        <v>660</v>
      </c>
      <c r="N49" s="15">
        <v>1114112</v>
      </c>
    </row>
    <row r="50" spans="1:14" x14ac:dyDescent="0.45">
      <c r="A50">
        <f t="shared" ca="1" si="1"/>
        <v>32</v>
      </c>
      <c r="B50" t="str">
        <f t="shared" ca="1" si="2"/>
        <v>xxxxxxxxxxxxxxxxxxxxxxxxxxxxxxxx</v>
      </c>
      <c r="C50" s="15">
        <v>65536</v>
      </c>
      <c r="D50">
        <v>1</v>
      </c>
      <c r="E50">
        <v>0.22232559130466339</v>
      </c>
      <c r="F50">
        <v>0.20395857199968304</v>
      </c>
      <c r="G50">
        <v>0.37880259285676793</v>
      </c>
      <c r="H50">
        <v>1.4204545454545454E-2</v>
      </c>
      <c r="I50" s="15">
        <v>23</v>
      </c>
      <c r="J50" s="15">
        <v>25</v>
      </c>
      <c r="K50" s="15">
        <v>14</v>
      </c>
      <c r="L50" s="88">
        <v>352</v>
      </c>
      <c r="M50" s="15" t="s">
        <v>661</v>
      </c>
      <c r="N50" s="15">
        <v>2228224</v>
      </c>
    </row>
    <row r="51" spans="1:14" x14ac:dyDescent="0.45">
      <c r="A51">
        <f t="shared" ca="1" si="1"/>
        <v>32</v>
      </c>
      <c r="B51" t="str">
        <f t="shared" ca="1" si="2"/>
        <v>xxxxxxxxxxxxxxxxxxxxxxxxxxxxxxxx</v>
      </c>
      <c r="C51" s="15">
        <v>131072</v>
      </c>
      <c r="D51">
        <v>1</v>
      </c>
      <c r="E51">
        <v>0.45519489090921444</v>
      </c>
      <c r="F51">
        <v>0.44357764166731312</v>
      </c>
      <c r="G51">
        <v>0.73575400000014013</v>
      </c>
      <c r="H51">
        <v>2.889655239280613E-2</v>
      </c>
      <c r="I51" s="15">
        <v>11</v>
      </c>
      <c r="J51" s="15">
        <v>12</v>
      </c>
      <c r="K51" s="15">
        <v>7</v>
      </c>
      <c r="L51" s="88">
        <v>174</v>
      </c>
      <c r="M51" s="15" t="s">
        <v>662</v>
      </c>
      <c r="N51" s="15">
        <v>4456448</v>
      </c>
    </row>
    <row r="52" spans="1:14" x14ac:dyDescent="0.45">
      <c r="A52">
        <f t="shared" ca="1" si="1"/>
        <v>32</v>
      </c>
      <c r="B52" t="str">
        <f t="shared" ca="1" si="2"/>
        <v>xxxxxxxxxxxxxxxxxxxxxxxxxxxxxxxx</v>
      </c>
      <c r="C52" s="15">
        <v>262144</v>
      </c>
      <c r="D52">
        <v>1</v>
      </c>
      <c r="E52">
        <v>0.8694475666658642</v>
      </c>
      <c r="F52">
        <v>0.85204649999892956</v>
      </c>
      <c r="G52">
        <v>1.3921698999984073</v>
      </c>
      <c r="H52">
        <v>6.137804868744641E-2</v>
      </c>
      <c r="I52" s="15">
        <v>6</v>
      </c>
      <c r="J52" s="15">
        <v>6</v>
      </c>
      <c r="K52" s="15">
        <v>4</v>
      </c>
      <c r="L52" s="88">
        <v>82</v>
      </c>
      <c r="M52" s="15" t="s">
        <v>663</v>
      </c>
      <c r="N52" s="15">
        <v>8912896</v>
      </c>
    </row>
    <row r="53" spans="1:14" x14ac:dyDescent="0.45">
      <c r="A53">
        <f t="shared" ca="1" si="1"/>
        <v>32</v>
      </c>
      <c r="B53" t="str">
        <f t="shared" ca="1" si="2"/>
        <v>xxxxxxxxxxxxxxxxxxxxxxxxxxxxxxxx</v>
      </c>
      <c r="C53" s="15">
        <v>524288</v>
      </c>
      <c r="D53">
        <v>1</v>
      </c>
      <c r="E53">
        <v>1.8097039666705921</v>
      </c>
      <c r="F53">
        <v>1.6747168250003597</v>
      </c>
      <c r="G53">
        <v>2.7329019000026165</v>
      </c>
      <c r="H53">
        <v>0.11160000165303548</v>
      </c>
      <c r="I53" s="15">
        <v>3</v>
      </c>
      <c r="J53" s="15">
        <v>4</v>
      </c>
      <c r="K53" s="15">
        <v>2</v>
      </c>
      <c r="L53" s="88">
        <v>45</v>
      </c>
      <c r="M53" s="15" t="s">
        <v>664</v>
      </c>
      <c r="N53" s="15">
        <v>17825792</v>
      </c>
    </row>
    <row r="54" spans="1:14" x14ac:dyDescent="0.45">
      <c r="A54">
        <f t="shared" ca="1" si="1"/>
        <v>32</v>
      </c>
      <c r="B54" t="str">
        <f t="shared" ca="1" si="2"/>
        <v>xxxxxxxxxxxxxxxxxxxxxxxxxxxxxxxx</v>
      </c>
      <c r="C54" s="15">
        <v>1048576</v>
      </c>
      <c r="D54">
        <v>1</v>
      </c>
      <c r="E54">
        <v>3.6026096999994479</v>
      </c>
      <c r="F54">
        <v>3.3939983000018401</v>
      </c>
      <c r="G54">
        <v>5.3755577999982052</v>
      </c>
      <c r="H54">
        <v>0.24123809451148623</v>
      </c>
      <c r="I54" s="15">
        <v>2</v>
      </c>
      <c r="J54" s="15">
        <v>2</v>
      </c>
      <c r="K54" s="15">
        <v>1</v>
      </c>
      <c r="L54" s="88">
        <v>21</v>
      </c>
      <c r="M54" s="15" t="s">
        <v>665</v>
      </c>
      <c r="N54" s="15">
        <v>35651584</v>
      </c>
    </row>
    <row r="55" spans="1:14" x14ac:dyDescent="0.45">
      <c r="C55" s="15"/>
      <c r="I55" s="15"/>
      <c r="J55" s="15"/>
      <c r="K55" s="15"/>
      <c r="L55" s="88"/>
    </row>
    <row r="56" spans="1:14" x14ac:dyDescent="0.45">
      <c r="I56" s="15"/>
      <c r="J56" s="15"/>
      <c r="K56" s="15"/>
      <c r="L56" s="15"/>
    </row>
    <row r="57" spans="1:14" x14ac:dyDescent="0.45">
      <c r="I57" s="15"/>
      <c r="J57" s="15"/>
      <c r="K57" s="15"/>
      <c r="L57" s="15"/>
    </row>
    <row r="58" spans="1:14" x14ac:dyDescent="0.45">
      <c r="I58" s="15"/>
      <c r="J58" s="15"/>
      <c r="K58" s="15"/>
      <c r="L58" s="15"/>
    </row>
    <row r="59" spans="1:14" x14ac:dyDescent="0.45">
      <c r="I59" s="15"/>
      <c r="J59" s="15"/>
      <c r="K59" s="15"/>
      <c r="L59" s="15"/>
      <c r="M59" t="s">
        <v>754</v>
      </c>
    </row>
    <row r="60" spans="1:14" ht="42.75" x14ac:dyDescent="0.45">
      <c r="A60" s="16" t="s">
        <v>21</v>
      </c>
      <c r="B60" s="16" t="s">
        <v>22</v>
      </c>
      <c r="C60" s="16" t="s">
        <v>23</v>
      </c>
      <c r="D60" s="16" t="s">
        <v>24</v>
      </c>
      <c r="E60" s="17" t="s">
        <v>618</v>
      </c>
      <c r="F60" s="17" t="s">
        <v>619</v>
      </c>
      <c r="G60" s="17" t="s">
        <v>620</v>
      </c>
      <c r="H60" s="17" t="s">
        <v>621</v>
      </c>
      <c r="I60" s="17" t="str" cm="1">
        <f t="array" aca="1" ref="I60:L60" ca="1">"NCalls"&amp;CHAR(10)&amp;E60:H60</f>
        <v>NCalls
CSVRead
v0.1</v>
      </c>
      <c r="J60" s="17" t="str">
        <f ca="1"/>
        <v>NCalls
sdkn104
v1.9</v>
      </c>
      <c r="K60" s="17" t="str">
        <f ca="1"/>
        <v>NCalls
ws_garcia
v3.1.5</v>
      </c>
      <c r="L60" s="92" t="str">
        <f ca="1"/>
        <v>NCalls
CSV.jl
v0.8.5+</v>
      </c>
      <c r="M60" s="16" t="s">
        <v>31</v>
      </c>
      <c r="N60" s="16" t="s">
        <v>32</v>
      </c>
    </row>
    <row r="61" spans="1:14" x14ac:dyDescent="0.45">
      <c r="A61">
        <f ca="1">LEN(B61)</f>
        <v>20</v>
      </c>
      <c r="B61" t="str">
        <f ca="1">"""xxxxxxxx"&amp;CHAR(13)&amp;CHAR(10)&amp;"yyyyyyyy"""</f>
        <v>"xxxxxxxx_x000D_
yyyyyyyy"</v>
      </c>
      <c r="C61" s="15">
        <v>1</v>
      </c>
      <c r="D61">
        <v>1</v>
      </c>
      <c r="E61">
        <v>2.0244862741914922E-4</v>
      </c>
      <c r="F61">
        <v>1.3690905780241837E-4</v>
      </c>
      <c r="G61">
        <v>2.8429202956192891E-3</v>
      </c>
      <c r="H61">
        <v>2.6981132692403869E-4</v>
      </c>
      <c r="I61" s="15">
        <v>24698</v>
      </c>
      <c r="J61" s="15">
        <v>36521</v>
      </c>
      <c r="K61" s="15">
        <v>1759</v>
      </c>
      <c r="L61" s="88">
        <v>18550</v>
      </c>
      <c r="M61" s="15" t="s">
        <v>666</v>
      </c>
      <c r="N61" s="15">
        <v>26</v>
      </c>
    </row>
    <row r="62" spans="1:14" x14ac:dyDescent="0.45">
      <c r="A62">
        <f t="shared" ref="A62:A81" ca="1" si="3">LEN(B62)</f>
        <v>20</v>
      </c>
      <c r="B62" t="str">
        <f t="shared" ref="B62:B81" ca="1" si="4">"""xxxxxxxx"&amp;CHAR(13)&amp;CHAR(10)&amp;"yyyyyyyy"""</f>
        <v>"xxxxxxxx_x000D_
yyyyyyyy"</v>
      </c>
      <c r="C62" s="15">
        <v>2</v>
      </c>
      <c r="D62">
        <v>1</v>
      </c>
      <c r="E62">
        <v>1.9928465125557156E-4</v>
      </c>
      <c r="F62">
        <v>1.4190598552577024E-4</v>
      </c>
      <c r="G62">
        <v>2.90226279744066E-3</v>
      </c>
      <c r="H62">
        <v>2.5379422364346985E-4</v>
      </c>
      <c r="I62" s="15">
        <v>25090</v>
      </c>
      <c r="J62" s="15">
        <v>35235</v>
      </c>
      <c r="K62" s="15">
        <v>1723</v>
      </c>
      <c r="L62" s="88">
        <v>19701</v>
      </c>
      <c r="M62" s="15" t="s">
        <v>667</v>
      </c>
      <c r="N62" s="15">
        <v>52</v>
      </c>
    </row>
    <row r="63" spans="1:14" x14ac:dyDescent="0.45">
      <c r="A63">
        <f t="shared" ca="1" si="3"/>
        <v>20</v>
      </c>
      <c r="B63" t="str">
        <f t="shared" ca="1" si="4"/>
        <v>"xxxxxxxx_x000D_
yyyyyyyy"</v>
      </c>
      <c r="C63" s="15">
        <v>4</v>
      </c>
      <c r="D63">
        <v>1</v>
      </c>
      <c r="E63">
        <v>2.1181304329390247E-4</v>
      </c>
      <c r="F63">
        <v>1.4979840019182901E-4</v>
      </c>
      <c r="G63">
        <v>3.2350304657191263E-3</v>
      </c>
      <c r="H63">
        <v>2.5272947836635666E-4</v>
      </c>
      <c r="I63" s="15">
        <v>23606</v>
      </c>
      <c r="J63" s="15">
        <v>33379</v>
      </c>
      <c r="K63" s="15">
        <v>1546</v>
      </c>
      <c r="L63" s="88">
        <v>19784</v>
      </c>
      <c r="M63" s="15" t="s">
        <v>668</v>
      </c>
      <c r="N63" s="15">
        <v>104</v>
      </c>
    </row>
    <row r="64" spans="1:14" x14ac:dyDescent="0.45">
      <c r="A64">
        <f t="shared" ca="1" si="3"/>
        <v>20</v>
      </c>
      <c r="B64" t="str">
        <f t="shared" ca="1" si="4"/>
        <v>"xxxxxxxx_x000D_
yyyyyyyy"</v>
      </c>
      <c r="C64" s="15">
        <v>8</v>
      </c>
      <c r="D64">
        <v>1</v>
      </c>
      <c r="E64">
        <v>2.2426063419462295E-4</v>
      </c>
      <c r="F64">
        <v>1.7462316476893461E-4</v>
      </c>
      <c r="G64">
        <v>3.2186463964018136E-3</v>
      </c>
      <c r="H64">
        <v>2.6289228447252022E-4</v>
      </c>
      <c r="I64" s="15">
        <v>22296</v>
      </c>
      <c r="J64" s="15">
        <v>28634</v>
      </c>
      <c r="K64" s="15">
        <v>1554</v>
      </c>
      <c r="L64" s="88">
        <v>19023</v>
      </c>
      <c r="M64" s="15" t="s">
        <v>669</v>
      </c>
      <c r="N64" s="15">
        <v>208</v>
      </c>
    </row>
    <row r="65" spans="1:14" x14ac:dyDescent="0.45">
      <c r="A65">
        <f t="shared" ca="1" si="3"/>
        <v>20</v>
      </c>
      <c r="B65" t="str">
        <f t="shared" ca="1" si="4"/>
        <v>"xxxxxxxx_x000D_
yyyyyyyy"</v>
      </c>
      <c r="C65" s="15">
        <v>16</v>
      </c>
      <c r="D65">
        <v>1</v>
      </c>
      <c r="E65">
        <v>2.7207434976637566E-4</v>
      </c>
      <c r="F65">
        <v>2.1660434933325291E-4</v>
      </c>
      <c r="G65">
        <v>3.4499608275805728E-3</v>
      </c>
      <c r="H65">
        <v>2.6372698982013817E-4</v>
      </c>
      <c r="I65" s="15">
        <v>18378</v>
      </c>
      <c r="J65" s="15">
        <v>23084</v>
      </c>
      <c r="K65" s="15">
        <v>1450</v>
      </c>
      <c r="L65" s="88">
        <v>18959</v>
      </c>
      <c r="M65" s="15" t="s">
        <v>670</v>
      </c>
      <c r="N65" s="15">
        <v>416</v>
      </c>
    </row>
    <row r="66" spans="1:14" x14ac:dyDescent="0.45">
      <c r="A66">
        <f t="shared" ca="1" si="3"/>
        <v>20</v>
      </c>
      <c r="B66" t="str">
        <f t="shared" ca="1" si="4"/>
        <v>"xxxxxxxx_x000D_
yyyyyyyy"</v>
      </c>
      <c r="C66" s="15">
        <v>32</v>
      </c>
      <c r="D66">
        <v>1</v>
      </c>
      <c r="E66">
        <v>3.5134921649871076E-4</v>
      </c>
      <c r="F66">
        <v>2.9276184788306887E-4</v>
      </c>
      <c r="G66">
        <v>4.2691772184388337E-3</v>
      </c>
      <c r="H66">
        <v>2.8628685943315199E-4</v>
      </c>
      <c r="I66" s="15">
        <v>14231</v>
      </c>
      <c r="J66" s="15">
        <v>17079</v>
      </c>
      <c r="K66" s="15">
        <v>1172</v>
      </c>
      <c r="L66" s="88">
        <v>17465</v>
      </c>
      <c r="M66" s="15" t="s">
        <v>671</v>
      </c>
      <c r="N66" s="15">
        <v>832</v>
      </c>
    </row>
    <row r="67" spans="1:14" x14ac:dyDescent="0.45">
      <c r="A67">
        <f t="shared" ca="1" si="3"/>
        <v>20</v>
      </c>
      <c r="B67" t="str">
        <f t="shared" ca="1" si="4"/>
        <v>"xxxxxxxx_x000D_
yyyyyyyy"</v>
      </c>
      <c r="C67" s="15">
        <v>64</v>
      </c>
      <c r="D67">
        <v>1</v>
      </c>
      <c r="E67">
        <v>4.7322997350044348E-4</v>
      </c>
      <c r="F67">
        <v>4.6516386640655565E-4</v>
      </c>
      <c r="G67">
        <v>6.0192326113163346E-3</v>
      </c>
      <c r="H67">
        <v>2.810409757742679E-4</v>
      </c>
      <c r="I67" s="15">
        <v>10566</v>
      </c>
      <c r="J67" s="15">
        <v>10749</v>
      </c>
      <c r="K67" s="15">
        <v>831</v>
      </c>
      <c r="L67" s="88">
        <v>17791</v>
      </c>
      <c r="M67" s="15" t="s">
        <v>672</v>
      </c>
      <c r="N67" s="15">
        <v>1664</v>
      </c>
    </row>
    <row r="68" spans="1:14" x14ac:dyDescent="0.45">
      <c r="A68">
        <f t="shared" ca="1" si="3"/>
        <v>20</v>
      </c>
      <c r="B68" t="str">
        <f t="shared" ca="1" si="4"/>
        <v>"xxxxxxxx_x000D_
yyyyyyyy"</v>
      </c>
      <c r="C68" s="15">
        <v>128</v>
      </c>
      <c r="D68">
        <v>1</v>
      </c>
      <c r="E68">
        <v>7.746503640602521E-4</v>
      </c>
      <c r="F68">
        <v>7.6926156923246502E-4</v>
      </c>
      <c r="G68">
        <v>9.4919349146161697E-3</v>
      </c>
      <c r="H68">
        <v>2.9140925515794383E-4</v>
      </c>
      <c r="I68" s="15">
        <v>6455</v>
      </c>
      <c r="J68" s="15">
        <v>6500</v>
      </c>
      <c r="K68" s="15">
        <v>527</v>
      </c>
      <c r="L68" s="88">
        <v>17158</v>
      </c>
      <c r="M68" s="15" t="s">
        <v>673</v>
      </c>
      <c r="N68" s="15">
        <v>3328</v>
      </c>
    </row>
    <row r="69" spans="1:14" x14ac:dyDescent="0.45">
      <c r="A69">
        <f t="shared" ca="1" si="3"/>
        <v>20</v>
      </c>
      <c r="B69" t="str">
        <f t="shared" ca="1" si="4"/>
        <v>"xxxxxxxx_x000D_
yyyyyyyy"</v>
      </c>
      <c r="C69" s="15">
        <v>256</v>
      </c>
      <c r="D69">
        <v>1</v>
      </c>
      <c r="E69">
        <v>1.3697028485339089E-3</v>
      </c>
      <c r="F69">
        <v>1.4354992824319635E-3</v>
      </c>
      <c r="G69">
        <v>1.7036155102018988E-2</v>
      </c>
      <c r="H69">
        <v>3.2575412078962801E-4</v>
      </c>
      <c r="I69" s="15">
        <v>3651</v>
      </c>
      <c r="J69" s="15">
        <v>3484</v>
      </c>
      <c r="K69" s="15">
        <v>294</v>
      </c>
      <c r="L69" s="88">
        <v>15349</v>
      </c>
      <c r="M69" s="15" t="s">
        <v>674</v>
      </c>
      <c r="N69" s="15">
        <v>6656</v>
      </c>
    </row>
    <row r="70" spans="1:14" x14ac:dyDescent="0.45">
      <c r="A70">
        <f t="shared" ca="1" si="3"/>
        <v>20</v>
      </c>
      <c r="B70" t="str">
        <f t="shared" ca="1" si="4"/>
        <v>"xxxxxxxx_x000D_
yyyyyyyy"</v>
      </c>
      <c r="C70" s="15">
        <v>512</v>
      </c>
      <c r="D70">
        <v>1</v>
      </c>
      <c r="E70">
        <v>2.5299184623148578E-3</v>
      </c>
      <c r="F70">
        <v>2.8402249858048806E-3</v>
      </c>
      <c r="G70">
        <v>2.9887224999973632E-2</v>
      </c>
      <c r="H70">
        <v>4.5570543200874956E-4</v>
      </c>
      <c r="I70" s="15">
        <v>1977</v>
      </c>
      <c r="J70" s="15">
        <v>1761</v>
      </c>
      <c r="K70" s="15">
        <v>168</v>
      </c>
      <c r="L70" s="88">
        <v>10972</v>
      </c>
      <c r="M70" s="15" t="s">
        <v>675</v>
      </c>
      <c r="N70" s="15">
        <v>13312</v>
      </c>
    </row>
    <row r="71" spans="1:14" x14ac:dyDescent="0.45">
      <c r="A71">
        <f t="shared" ca="1" si="3"/>
        <v>20</v>
      </c>
      <c r="B71" t="str">
        <f t="shared" ca="1" si="4"/>
        <v>"xxxxxxxx_x000D_
yyyyyyyy"</v>
      </c>
      <c r="C71" s="15">
        <v>1024</v>
      </c>
      <c r="D71">
        <v>1</v>
      </c>
      <c r="E71">
        <v>5.0252205823286553E-3</v>
      </c>
      <c r="F71">
        <v>5.6961735763107341E-3</v>
      </c>
      <c r="G71">
        <v>5.6038191111131001E-2</v>
      </c>
      <c r="H71">
        <v>6.0790273556231007E-4</v>
      </c>
      <c r="I71" s="15">
        <v>996</v>
      </c>
      <c r="J71" s="15">
        <v>878</v>
      </c>
      <c r="K71" s="15">
        <v>90</v>
      </c>
      <c r="L71" s="88">
        <v>8225</v>
      </c>
      <c r="M71" s="15" t="s">
        <v>676</v>
      </c>
      <c r="N71" s="15">
        <v>26624</v>
      </c>
    </row>
    <row r="72" spans="1:14" x14ac:dyDescent="0.45">
      <c r="A72">
        <f t="shared" ca="1" si="3"/>
        <v>20</v>
      </c>
      <c r="B72" t="str">
        <f t="shared" ca="1" si="4"/>
        <v>"xxxxxxxx_x000D_
yyyyyyyy"</v>
      </c>
      <c r="C72" s="15">
        <v>2048</v>
      </c>
      <c r="D72">
        <v>1</v>
      </c>
      <c r="E72">
        <v>9.9033110890892513E-3</v>
      </c>
      <c r="F72">
        <v>1.0696755341887495E-2</v>
      </c>
      <c r="G72">
        <v>0.10328604285729982</v>
      </c>
      <c r="H72">
        <v>7.6452599388379206E-4</v>
      </c>
      <c r="I72" s="15">
        <v>505</v>
      </c>
      <c r="J72" s="15">
        <v>468</v>
      </c>
      <c r="K72" s="15">
        <v>49</v>
      </c>
      <c r="L72" s="88">
        <v>6540</v>
      </c>
      <c r="M72" s="15" t="s">
        <v>677</v>
      </c>
      <c r="N72" s="15">
        <v>53248</v>
      </c>
    </row>
    <row r="73" spans="1:14" x14ac:dyDescent="0.45">
      <c r="A73">
        <f t="shared" ca="1" si="3"/>
        <v>20</v>
      </c>
      <c r="B73" t="str">
        <f t="shared" ca="1" si="4"/>
        <v>"xxxxxxxx_x000D_
yyyyyyyy"</v>
      </c>
      <c r="C73" s="15">
        <v>4096</v>
      </c>
      <c r="D73">
        <v>1</v>
      </c>
      <c r="E73">
        <v>2.0019838800013533E-2</v>
      </c>
      <c r="F73">
        <v>2.1841196506551069E-2</v>
      </c>
      <c r="G73">
        <v>0.20242177599982825</v>
      </c>
      <c r="H73">
        <v>1.1544321712694671E-3</v>
      </c>
      <c r="I73" s="15">
        <v>250</v>
      </c>
      <c r="J73" s="15">
        <v>229</v>
      </c>
      <c r="K73" s="15">
        <v>25</v>
      </c>
      <c r="L73" s="88">
        <v>4332</v>
      </c>
      <c r="M73" s="15" t="s">
        <v>678</v>
      </c>
      <c r="N73" s="15">
        <v>106496</v>
      </c>
    </row>
    <row r="74" spans="1:14" x14ac:dyDescent="0.45">
      <c r="A74">
        <f t="shared" ca="1" si="3"/>
        <v>20</v>
      </c>
      <c r="B74" t="str">
        <f t="shared" ca="1" si="4"/>
        <v>"xxxxxxxx_x000D_
yyyyyyyy"</v>
      </c>
      <c r="C74" s="15">
        <v>8192</v>
      </c>
      <c r="D74">
        <v>1</v>
      </c>
      <c r="E74">
        <v>3.5514561702160441E-2</v>
      </c>
      <c r="F74">
        <v>4.2096745378108882E-2</v>
      </c>
      <c r="G74">
        <v>0.40062185384606264</v>
      </c>
      <c r="H74">
        <v>2.8555111364934323E-3</v>
      </c>
      <c r="I74" s="15">
        <v>141</v>
      </c>
      <c r="J74" s="15">
        <v>119</v>
      </c>
      <c r="K74" s="15">
        <v>13</v>
      </c>
      <c r="L74" s="88">
        <v>1751</v>
      </c>
      <c r="M74" s="15" t="s">
        <v>679</v>
      </c>
      <c r="N74" s="15">
        <v>212992</v>
      </c>
    </row>
    <row r="75" spans="1:14" x14ac:dyDescent="0.45">
      <c r="A75">
        <f t="shared" ca="1" si="3"/>
        <v>20</v>
      </c>
      <c r="B75" t="str">
        <f t="shared" ca="1" si="4"/>
        <v>"xxxxxxxx_x000D_
yyyyyyyy"</v>
      </c>
      <c r="C75" s="15">
        <v>16384</v>
      </c>
      <c r="D75">
        <v>1</v>
      </c>
      <c r="E75">
        <v>7.4085911764782131E-2</v>
      </c>
      <c r="F75">
        <v>9.1219878181635239E-2</v>
      </c>
      <c r="G75">
        <v>0.79099648571614778</v>
      </c>
      <c r="H75">
        <v>4.6800748559222031E-3</v>
      </c>
      <c r="I75" s="15">
        <v>68</v>
      </c>
      <c r="J75" s="15">
        <v>55</v>
      </c>
      <c r="K75" s="15">
        <v>7</v>
      </c>
      <c r="L75" s="88">
        <v>1069</v>
      </c>
      <c r="M75" s="15" t="s">
        <v>680</v>
      </c>
      <c r="N75" s="15">
        <v>425984</v>
      </c>
    </row>
    <row r="76" spans="1:14" x14ac:dyDescent="0.45">
      <c r="A76">
        <f t="shared" ca="1" si="3"/>
        <v>20</v>
      </c>
      <c r="B76" t="str">
        <f t="shared" ca="1" si="4"/>
        <v>"xxxxxxxx_x000D_
yyyyyyyy"</v>
      </c>
      <c r="C76" s="15">
        <v>32768</v>
      </c>
      <c r="D76">
        <v>1</v>
      </c>
      <c r="E76">
        <v>0.15853903437482586</v>
      </c>
      <c r="F76">
        <v>0.16944249999990765</v>
      </c>
      <c r="G76">
        <v>1.5009664250028436</v>
      </c>
      <c r="H76">
        <v>8.4619288113718313E-3</v>
      </c>
      <c r="I76" s="15">
        <v>32</v>
      </c>
      <c r="J76" s="15">
        <v>30</v>
      </c>
      <c r="K76" s="15">
        <v>4</v>
      </c>
      <c r="L76" s="88">
        <v>591</v>
      </c>
      <c r="M76" s="15" t="s">
        <v>681</v>
      </c>
      <c r="N76" s="15">
        <v>851968</v>
      </c>
    </row>
    <row r="77" spans="1:14" x14ac:dyDescent="0.45">
      <c r="A77">
        <f t="shared" ca="1" si="3"/>
        <v>20</v>
      </c>
      <c r="B77" t="str">
        <f t="shared" ca="1" si="4"/>
        <v>"xxxxxxxx_x000D_
yyyyyyyy"</v>
      </c>
      <c r="C77" s="15">
        <v>65536</v>
      </c>
      <c r="D77">
        <v>1</v>
      </c>
      <c r="E77">
        <v>0.30818634705878245</v>
      </c>
      <c r="F77">
        <v>0.33349430625003151</v>
      </c>
      <c r="G77">
        <v>2.9242617499985499</v>
      </c>
      <c r="H77">
        <v>1.488095238095238E-2</v>
      </c>
      <c r="I77" s="15">
        <v>17</v>
      </c>
      <c r="J77" s="15">
        <v>16</v>
      </c>
      <c r="K77" s="15">
        <v>2</v>
      </c>
      <c r="L77" s="88">
        <v>336</v>
      </c>
      <c r="M77" s="15" t="s">
        <v>682</v>
      </c>
      <c r="N77" s="15">
        <v>1703936</v>
      </c>
    </row>
    <row r="78" spans="1:14" x14ac:dyDescent="0.45">
      <c r="A78">
        <f t="shared" ca="1" si="3"/>
        <v>20</v>
      </c>
      <c r="B78" t="str">
        <f t="shared" ca="1" si="4"/>
        <v>"xxxxxxxx_x000D_
yyyyyyyy"</v>
      </c>
      <c r="C78" s="15">
        <v>131072</v>
      </c>
      <c r="D78">
        <v>1</v>
      </c>
      <c r="E78">
        <v>0.62820731250030803</v>
      </c>
      <c r="F78">
        <v>0.69426177500099584</v>
      </c>
      <c r="G78">
        <v>6.0862780000024941</v>
      </c>
      <c r="H78">
        <v>3.2751633450875874E-2</v>
      </c>
      <c r="I78" s="15">
        <v>8</v>
      </c>
      <c r="J78" s="15">
        <v>8</v>
      </c>
      <c r="K78" s="15">
        <v>1</v>
      </c>
      <c r="L78" s="88">
        <v>153</v>
      </c>
      <c r="M78" s="15" t="s">
        <v>683</v>
      </c>
      <c r="N78" s="15">
        <v>3407872</v>
      </c>
    </row>
    <row r="79" spans="1:14" x14ac:dyDescent="0.45">
      <c r="A79">
        <f t="shared" ca="1" si="3"/>
        <v>20</v>
      </c>
      <c r="B79" t="str">
        <f t="shared" ca="1" si="4"/>
        <v>"xxxxxxxx_x000D_
yyyyyyyy"</v>
      </c>
      <c r="C79" s="15">
        <v>262144</v>
      </c>
      <c r="D79">
        <v>1</v>
      </c>
      <c r="E79">
        <v>1.1941440599999624</v>
      </c>
      <c r="F79">
        <v>1.3213401499997417</v>
      </c>
      <c r="G79">
        <v>12.365972500003409</v>
      </c>
      <c r="H79">
        <v>6.1341465973272558E-2</v>
      </c>
      <c r="I79" s="15">
        <v>5</v>
      </c>
      <c r="J79" s="15">
        <v>4</v>
      </c>
      <c r="K79" s="15">
        <v>1</v>
      </c>
      <c r="L79" s="88">
        <v>82</v>
      </c>
      <c r="M79" s="15" t="s">
        <v>684</v>
      </c>
      <c r="N79" s="15">
        <v>6815744</v>
      </c>
    </row>
    <row r="80" spans="1:14" x14ac:dyDescent="0.45">
      <c r="A80">
        <f t="shared" ca="1" si="3"/>
        <v>20</v>
      </c>
      <c r="B80" t="str">
        <f t="shared" ca="1" si="4"/>
        <v>"xxxxxxxx_x000D_
yyyyyyyy"</v>
      </c>
      <c r="C80" s="15">
        <v>524288</v>
      </c>
      <c r="D80">
        <v>1</v>
      </c>
      <c r="E80">
        <v>2.6974948499992024</v>
      </c>
      <c r="F80">
        <v>3.0613693999985117</v>
      </c>
      <c r="G80">
        <v>26.033402900007786</v>
      </c>
      <c r="H80">
        <v>0.12019047282990955</v>
      </c>
      <c r="I80" s="15">
        <v>2</v>
      </c>
      <c r="J80" s="15">
        <v>2</v>
      </c>
      <c r="K80" s="15">
        <v>1</v>
      </c>
      <c r="L80" s="88">
        <v>42</v>
      </c>
      <c r="M80" s="15" t="s">
        <v>685</v>
      </c>
      <c r="N80" s="15">
        <v>13631488</v>
      </c>
    </row>
    <row r="81" spans="1:14" x14ac:dyDescent="0.45">
      <c r="A81">
        <f t="shared" ca="1" si="3"/>
        <v>20</v>
      </c>
      <c r="B81" t="str">
        <f t="shared" ca="1" si="4"/>
        <v>"xxxxxxxx_x000D_
yyyyyyyy"</v>
      </c>
      <c r="C81" s="15">
        <v>1048576</v>
      </c>
      <c r="D81">
        <v>1</v>
      </c>
      <c r="E81">
        <v>5.2263193999970099</v>
      </c>
      <c r="F81">
        <v>5.5903821000101743</v>
      </c>
      <c r="G81">
        <v>55.774275699994178</v>
      </c>
      <c r="H81">
        <v>0.31800000369548798</v>
      </c>
      <c r="I81" s="15">
        <v>1</v>
      </c>
      <c r="J81" s="15">
        <v>1</v>
      </c>
      <c r="K81" s="15">
        <v>1</v>
      </c>
      <c r="L81" s="88">
        <v>16</v>
      </c>
      <c r="M81" s="15" t="s">
        <v>686</v>
      </c>
      <c r="N81" s="15">
        <v>27262976</v>
      </c>
    </row>
    <row r="82" spans="1:14" x14ac:dyDescent="0.45">
      <c r="C82" s="15"/>
      <c r="I82" s="15"/>
      <c r="J82" s="15"/>
      <c r="K82" s="15"/>
      <c r="L82" s="88"/>
    </row>
    <row r="83" spans="1:14" x14ac:dyDescent="0.45">
      <c r="I83" s="15"/>
      <c r="J83" s="15"/>
      <c r="K83" s="15"/>
      <c r="L83" s="15"/>
    </row>
    <row r="84" spans="1:14" x14ac:dyDescent="0.45">
      <c r="I84" s="15"/>
      <c r="J84" s="15"/>
      <c r="K84" s="15"/>
      <c r="L84" s="15"/>
    </row>
    <row r="85" spans="1:14" x14ac:dyDescent="0.45">
      <c r="I85" s="15"/>
      <c r="J85" s="15"/>
      <c r="K85" s="15"/>
      <c r="L85" s="15"/>
    </row>
    <row r="86" spans="1:14" x14ac:dyDescent="0.45">
      <c r="I86" s="15"/>
      <c r="J86" s="15"/>
      <c r="K86" s="15"/>
      <c r="L86" s="15"/>
      <c r="M86" t="s">
        <v>755</v>
      </c>
    </row>
    <row r="87" spans="1:14" ht="42.75" x14ac:dyDescent="0.45">
      <c r="A87" s="16" t="s">
        <v>21</v>
      </c>
      <c r="B87" s="16" t="s">
        <v>22</v>
      </c>
      <c r="C87" s="16" t="s">
        <v>23</v>
      </c>
      <c r="D87" s="16" t="s">
        <v>24</v>
      </c>
      <c r="E87" s="17" t="s">
        <v>618</v>
      </c>
      <c r="F87" s="17" t="s">
        <v>619</v>
      </c>
      <c r="G87" s="17" t="s">
        <v>620</v>
      </c>
      <c r="H87" s="17" t="s">
        <v>621</v>
      </c>
      <c r="I87" s="17" t="str" cm="1">
        <f t="array" aca="1" ref="I87:L87" ca="1">"NCalls"&amp;CHAR(10)&amp;E87:H87</f>
        <v>NCalls
CSVRead
v0.1</v>
      </c>
      <c r="J87" s="17" t="str">
        <f ca="1"/>
        <v>NCalls
sdkn104
v1.9</v>
      </c>
      <c r="K87" s="17" t="str">
        <f ca="1"/>
        <v>NCalls
ws_garcia
v3.1.5</v>
      </c>
      <c r="L87" s="92" t="str">
        <f ca="1"/>
        <v>NCalls
CSV.jl
v0.8.5+</v>
      </c>
      <c r="M87" s="16" t="s">
        <v>31</v>
      </c>
      <c r="N87" s="16" t="s">
        <v>32</v>
      </c>
    </row>
    <row r="88" spans="1:14" x14ac:dyDescent="0.45">
      <c r="A88">
        <f ca="1">LEN(B88)</f>
        <v>17</v>
      </c>
      <c r="B88">
        <v>0.71905720709757637</v>
      </c>
      <c r="C88" s="20">
        <v>1</v>
      </c>
      <c r="D88" s="21">
        <v>10</v>
      </c>
      <c r="E88">
        <v>2.0765196644382107E-4</v>
      </c>
      <c r="F88">
        <v>1.4596306048570036E-4</v>
      </c>
      <c r="G88">
        <v>3.099081598517189E-3</v>
      </c>
      <c r="H88">
        <v>3.1533804238143291E-4</v>
      </c>
      <c r="I88" s="15">
        <v>24079</v>
      </c>
      <c r="J88" s="15">
        <v>34256</v>
      </c>
      <c r="K88" s="15">
        <v>1614</v>
      </c>
      <c r="L88" s="88">
        <v>15856</v>
      </c>
      <c r="M88" s="15" t="s">
        <v>687</v>
      </c>
      <c r="N88" s="15">
        <v>181</v>
      </c>
    </row>
    <row r="89" spans="1:14" x14ac:dyDescent="0.45">
      <c r="A89">
        <f t="shared" ref="A89:A106" ca="1" si="5">LEN(B89)</f>
        <v>17</v>
      </c>
      <c r="B89">
        <v>0.71905720709757637</v>
      </c>
      <c r="C89" s="20">
        <v>2</v>
      </c>
      <c r="D89" s="21">
        <v>10</v>
      </c>
      <c r="E89">
        <v>2.3058720715717185E-4</v>
      </c>
      <c r="F89">
        <v>1.6583470199991435E-4</v>
      </c>
      <c r="G89">
        <v>3.1085589185787304E-3</v>
      </c>
      <c r="H89">
        <v>3.1409008103524091E-4</v>
      </c>
      <c r="I89" s="15">
        <v>21684</v>
      </c>
      <c r="J89" s="15">
        <v>30151</v>
      </c>
      <c r="K89" s="15">
        <v>1609</v>
      </c>
      <c r="L89" s="88">
        <v>15919</v>
      </c>
      <c r="M89" s="15" t="s">
        <v>688</v>
      </c>
      <c r="N89" s="15">
        <v>362</v>
      </c>
    </row>
    <row r="90" spans="1:14" x14ac:dyDescent="0.45">
      <c r="A90">
        <f t="shared" ca="1" si="5"/>
        <v>17</v>
      </c>
      <c r="B90">
        <v>0.71905720709757637</v>
      </c>
      <c r="C90" s="20">
        <v>4</v>
      </c>
      <c r="D90" s="21">
        <v>10</v>
      </c>
      <c r="E90">
        <v>2.7154695340500127E-4</v>
      </c>
      <c r="F90">
        <v>2.0560981988665701E-4</v>
      </c>
      <c r="G90">
        <v>3.0551304825931925E-3</v>
      </c>
      <c r="H90">
        <v>3.1729914963827898E-4</v>
      </c>
      <c r="I90" s="15">
        <v>18414</v>
      </c>
      <c r="J90" s="15">
        <v>24318</v>
      </c>
      <c r="K90" s="15">
        <v>1637</v>
      </c>
      <c r="L90" s="88">
        <v>15758</v>
      </c>
      <c r="M90" s="15" t="s">
        <v>689</v>
      </c>
      <c r="N90" s="15">
        <v>724</v>
      </c>
    </row>
    <row r="91" spans="1:14" x14ac:dyDescent="0.45">
      <c r="A91">
        <f t="shared" ca="1" si="5"/>
        <v>17</v>
      </c>
      <c r="B91">
        <v>0.71905720709757637</v>
      </c>
      <c r="C91" s="20">
        <v>8</v>
      </c>
      <c r="D91" s="21">
        <v>10</v>
      </c>
      <c r="E91">
        <v>3.4786869087316254E-4</v>
      </c>
      <c r="F91">
        <v>2.8371701089391983E-4</v>
      </c>
      <c r="G91">
        <v>3.2043866111502715E-3</v>
      </c>
      <c r="H91">
        <v>3.3485132601125098E-4</v>
      </c>
      <c r="I91" s="15">
        <v>14376</v>
      </c>
      <c r="J91" s="15">
        <v>17624</v>
      </c>
      <c r="K91" s="15">
        <v>1561</v>
      </c>
      <c r="L91" s="88">
        <v>14932</v>
      </c>
      <c r="M91" s="15" t="s">
        <v>690</v>
      </c>
      <c r="N91" s="15">
        <v>1448</v>
      </c>
    </row>
    <row r="92" spans="1:14" x14ac:dyDescent="0.45">
      <c r="A92">
        <f t="shared" ca="1" si="5"/>
        <v>17</v>
      </c>
      <c r="B92">
        <v>0.71905720709757637</v>
      </c>
      <c r="C92" s="20">
        <v>16</v>
      </c>
      <c r="D92" s="21">
        <v>10</v>
      </c>
      <c r="E92">
        <v>5.2282730029215812E-4</v>
      </c>
      <c r="F92">
        <v>4.4500342648708531E-4</v>
      </c>
      <c r="G92">
        <v>3.5240446088800814E-3</v>
      </c>
      <c r="H92">
        <v>3.3333333333333332E-4</v>
      </c>
      <c r="I92" s="15">
        <v>9564</v>
      </c>
      <c r="J92" s="15">
        <v>11236</v>
      </c>
      <c r="K92" s="15">
        <v>1419</v>
      </c>
      <c r="L92" s="88">
        <v>15000</v>
      </c>
      <c r="M92" s="15" t="s">
        <v>691</v>
      </c>
      <c r="N92" s="15">
        <v>2896</v>
      </c>
    </row>
    <row r="93" spans="1:14" x14ac:dyDescent="0.45">
      <c r="A93">
        <f t="shared" ca="1" si="5"/>
        <v>17</v>
      </c>
      <c r="B93">
        <v>0.71905720709757637</v>
      </c>
      <c r="C93" s="20">
        <v>32</v>
      </c>
      <c r="D93" s="21">
        <v>10</v>
      </c>
      <c r="E93">
        <v>8.225340845549289E-4</v>
      </c>
      <c r="F93">
        <v>7.4446825963853406E-4</v>
      </c>
      <c r="G93">
        <v>4.2680311433429775E-3</v>
      </c>
      <c r="H93">
        <v>3.5984166966534722E-4</v>
      </c>
      <c r="I93" s="15">
        <v>6079</v>
      </c>
      <c r="J93" s="15">
        <v>6717</v>
      </c>
      <c r="K93" s="15">
        <v>1172</v>
      </c>
      <c r="L93" s="88">
        <v>13895</v>
      </c>
      <c r="M93" s="15" t="s">
        <v>692</v>
      </c>
      <c r="N93" s="15">
        <v>5792</v>
      </c>
    </row>
    <row r="94" spans="1:14" x14ac:dyDescent="0.45">
      <c r="A94">
        <f t="shared" ca="1" si="5"/>
        <v>17</v>
      </c>
      <c r="B94">
        <v>0.71905720709757637</v>
      </c>
      <c r="C94" s="20">
        <v>64</v>
      </c>
      <c r="D94" s="21">
        <v>10</v>
      </c>
      <c r="E94">
        <v>1.4616594389252121E-3</v>
      </c>
      <c r="F94">
        <v>1.3470701239251366E-3</v>
      </c>
      <c r="G94">
        <v>5.4215827735537214E-3</v>
      </c>
      <c r="H94">
        <v>4.8449612403100775E-4</v>
      </c>
      <c r="I94" s="15">
        <v>3422</v>
      </c>
      <c r="J94" s="15">
        <v>3712</v>
      </c>
      <c r="K94" s="15">
        <v>923</v>
      </c>
      <c r="L94" s="88">
        <v>10320</v>
      </c>
      <c r="M94" s="15" t="s">
        <v>693</v>
      </c>
      <c r="N94" s="15">
        <v>11584</v>
      </c>
    </row>
    <row r="95" spans="1:14" x14ac:dyDescent="0.45">
      <c r="A95">
        <f t="shared" ca="1" si="5"/>
        <v>17</v>
      </c>
      <c r="B95">
        <v>0.71905720709757637</v>
      </c>
      <c r="C95" s="20">
        <v>128</v>
      </c>
      <c r="D95" s="21">
        <v>10</v>
      </c>
      <c r="E95">
        <v>2.6592150451879106E-3</v>
      </c>
      <c r="F95">
        <v>2.6265148109294906E-3</v>
      </c>
      <c r="G95">
        <v>8.2184643678104106E-3</v>
      </c>
      <c r="H95">
        <v>5.207248489897938E-4</v>
      </c>
      <c r="I95" s="15">
        <v>1881</v>
      </c>
      <c r="J95" s="15">
        <v>1904</v>
      </c>
      <c r="K95" s="15">
        <v>609</v>
      </c>
      <c r="L95" s="88">
        <v>9602</v>
      </c>
      <c r="M95" s="15" t="s">
        <v>694</v>
      </c>
      <c r="N95" s="15">
        <v>23168</v>
      </c>
    </row>
    <row r="96" spans="1:14" x14ac:dyDescent="0.45">
      <c r="A96">
        <f t="shared" ca="1" si="5"/>
        <v>17</v>
      </c>
      <c r="B96">
        <v>0.71905720709757637</v>
      </c>
      <c r="C96" s="20">
        <v>256</v>
      </c>
      <c r="D96" s="21">
        <v>10</v>
      </c>
      <c r="E96">
        <v>5.3788662365648983E-3</v>
      </c>
      <c r="F96">
        <v>5.1724118924541531E-3</v>
      </c>
      <c r="G96">
        <v>1.3431299195711342E-2</v>
      </c>
      <c r="H96">
        <v>7.9026394815868495E-4</v>
      </c>
      <c r="I96" s="15">
        <v>930</v>
      </c>
      <c r="J96" s="15">
        <v>967</v>
      </c>
      <c r="K96" s="15">
        <v>373</v>
      </c>
      <c r="L96" s="88">
        <v>6327</v>
      </c>
      <c r="M96" s="15" t="s">
        <v>695</v>
      </c>
      <c r="N96" s="15">
        <v>46336</v>
      </c>
    </row>
    <row r="97" spans="1:14" x14ac:dyDescent="0.45">
      <c r="A97">
        <f t="shared" ca="1" si="5"/>
        <v>17</v>
      </c>
      <c r="B97">
        <v>0.71905720709757637</v>
      </c>
      <c r="C97" s="20">
        <v>512</v>
      </c>
      <c r="D97" s="21">
        <v>10</v>
      </c>
      <c r="E97">
        <v>1.1322684615382416E-2</v>
      </c>
      <c r="F97">
        <v>9.959408349904211E-3</v>
      </c>
      <c r="G97">
        <v>2.3977464114877833E-2</v>
      </c>
      <c r="H97">
        <v>2.0056157240272766E-3</v>
      </c>
      <c r="I97" s="15">
        <v>442</v>
      </c>
      <c r="J97" s="15">
        <v>503</v>
      </c>
      <c r="K97" s="15">
        <v>209</v>
      </c>
      <c r="L97" s="88">
        <v>2493</v>
      </c>
      <c r="M97" s="15" t="s">
        <v>696</v>
      </c>
      <c r="N97" s="15">
        <v>92672</v>
      </c>
    </row>
    <row r="98" spans="1:14" x14ac:dyDescent="0.45">
      <c r="A98">
        <f t="shared" ca="1" si="5"/>
        <v>17</v>
      </c>
      <c r="B98">
        <v>0.71905720709757637</v>
      </c>
      <c r="C98" s="20">
        <v>1024</v>
      </c>
      <c r="D98" s="21">
        <v>10</v>
      </c>
      <c r="E98">
        <v>2.1288756170171372E-2</v>
      </c>
      <c r="F98">
        <v>2.1552405603431218E-2</v>
      </c>
      <c r="G98">
        <v>4.373122695656291E-2</v>
      </c>
      <c r="H98">
        <v>1.7023082501371944E-3</v>
      </c>
      <c r="I98" s="15">
        <v>235</v>
      </c>
      <c r="J98" s="15">
        <v>232</v>
      </c>
      <c r="K98" s="15">
        <v>115</v>
      </c>
      <c r="L98" s="88">
        <v>2946</v>
      </c>
      <c r="M98" s="15" t="s">
        <v>697</v>
      </c>
      <c r="N98" s="15">
        <v>185344</v>
      </c>
    </row>
    <row r="99" spans="1:14" x14ac:dyDescent="0.45">
      <c r="A99">
        <f t="shared" ca="1" si="5"/>
        <v>17</v>
      </c>
      <c r="B99">
        <v>0.71905720709757637</v>
      </c>
      <c r="C99" s="20">
        <v>2048</v>
      </c>
      <c r="D99" s="21">
        <v>10</v>
      </c>
      <c r="E99">
        <v>4.4028511403507366E-2</v>
      </c>
      <c r="F99">
        <v>4.3330279310386438E-2</v>
      </c>
      <c r="G99">
        <v>7.8787584375049846E-2</v>
      </c>
      <c r="H99">
        <v>2.277322479935943E-3</v>
      </c>
      <c r="I99" s="15">
        <v>114</v>
      </c>
      <c r="J99" s="15">
        <v>116</v>
      </c>
      <c r="K99" s="15">
        <v>64</v>
      </c>
      <c r="L99" s="88">
        <v>2196</v>
      </c>
      <c r="M99" s="15" t="s">
        <v>698</v>
      </c>
      <c r="N99" s="15">
        <v>370688</v>
      </c>
    </row>
    <row r="100" spans="1:14" x14ac:dyDescent="0.45">
      <c r="A100">
        <f t="shared" ca="1" si="5"/>
        <v>17</v>
      </c>
      <c r="B100">
        <v>0.71905720709757637</v>
      </c>
      <c r="C100" s="20">
        <v>4096</v>
      </c>
      <c r="D100" s="21">
        <v>10</v>
      </c>
      <c r="E100">
        <v>8.8496570175425809E-2</v>
      </c>
      <c r="F100">
        <v>8.7773545614031154E-2</v>
      </c>
      <c r="G100">
        <v>0.153951348484649</v>
      </c>
      <c r="H100">
        <v>3.3944331296673455E-3</v>
      </c>
      <c r="I100" s="15">
        <v>57</v>
      </c>
      <c r="J100" s="15">
        <v>57</v>
      </c>
      <c r="K100" s="15">
        <v>33</v>
      </c>
      <c r="L100" s="88">
        <v>1473</v>
      </c>
      <c r="M100" s="15" t="s">
        <v>699</v>
      </c>
      <c r="N100" s="15">
        <v>741376</v>
      </c>
    </row>
    <row r="101" spans="1:14" x14ac:dyDescent="0.45">
      <c r="A101">
        <f t="shared" ca="1" si="5"/>
        <v>17</v>
      </c>
      <c r="B101">
        <v>0.71905720709757637</v>
      </c>
      <c r="C101" s="20">
        <v>8192</v>
      </c>
      <c r="D101" s="21">
        <v>10</v>
      </c>
      <c r="E101">
        <v>0.18051135172397059</v>
      </c>
      <c r="F101">
        <v>0.17750439655130071</v>
      </c>
      <c r="G101">
        <v>0.29687959999993085</v>
      </c>
      <c r="H101">
        <v>6.5688071369656102E-3</v>
      </c>
      <c r="I101" s="15">
        <v>29</v>
      </c>
      <c r="J101" s="15">
        <v>29</v>
      </c>
      <c r="K101" s="15">
        <v>17</v>
      </c>
      <c r="L101" s="88">
        <v>763</v>
      </c>
      <c r="M101" s="15" t="s">
        <v>700</v>
      </c>
      <c r="N101" s="15">
        <v>1482752</v>
      </c>
    </row>
    <row r="102" spans="1:14" x14ac:dyDescent="0.45">
      <c r="A102">
        <f t="shared" ca="1" si="5"/>
        <v>17</v>
      </c>
      <c r="B102">
        <v>0.71905720709757637</v>
      </c>
      <c r="C102" s="20">
        <v>16384</v>
      </c>
      <c r="D102" s="21">
        <v>10</v>
      </c>
      <c r="E102">
        <v>0.37439970000039985</v>
      </c>
      <c r="F102">
        <v>0.34581138666641587</v>
      </c>
      <c r="G102">
        <v>0.60904513333257959</v>
      </c>
      <c r="H102">
        <v>1.1565819623563912E-2</v>
      </c>
      <c r="I102" s="15">
        <v>14</v>
      </c>
      <c r="J102" s="15">
        <v>15</v>
      </c>
      <c r="K102" s="15">
        <v>9</v>
      </c>
      <c r="L102" s="88">
        <v>433</v>
      </c>
      <c r="M102" s="15" t="s">
        <v>701</v>
      </c>
      <c r="N102" s="15">
        <v>2965504</v>
      </c>
    </row>
    <row r="103" spans="1:14" x14ac:dyDescent="0.45">
      <c r="A103">
        <f t="shared" ca="1" si="5"/>
        <v>17</v>
      </c>
      <c r="B103">
        <v>0.71905720709757637</v>
      </c>
      <c r="C103" s="20">
        <v>32768</v>
      </c>
      <c r="D103" s="21">
        <v>10</v>
      </c>
      <c r="E103">
        <v>0.75612782857206184</v>
      </c>
      <c r="F103">
        <v>0.72890220000200701</v>
      </c>
      <c r="G103">
        <v>1.1558656199980759</v>
      </c>
      <c r="H103">
        <v>2.665957491448585E-2</v>
      </c>
      <c r="I103" s="15">
        <v>7</v>
      </c>
      <c r="J103" s="15">
        <v>7</v>
      </c>
      <c r="K103" s="15">
        <v>5</v>
      </c>
      <c r="L103" s="88">
        <v>188</v>
      </c>
      <c r="M103" s="15" t="s">
        <v>702</v>
      </c>
      <c r="N103" s="15">
        <v>5931008</v>
      </c>
    </row>
    <row r="104" spans="1:14" x14ac:dyDescent="0.45">
      <c r="A104">
        <f t="shared" ca="1" si="5"/>
        <v>17</v>
      </c>
      <c r="B104">
        <v>0.71905720709757637</v>
      </c>
      <c r="C104" s="20">
        <v>65536</v>
      </c>
      <c r="D104" s="21">
        <v>10</v>
      </c>
      <c r="E104">
        <v>1.5795238250029797</v>
      </c>
      <c r="F104">
        <v>1.5481717000002391</v>
      </c>
      <c r="G104">
        <v>2.2153163333326424</v>
      </c>
      <c r="H104">
        <v>4.3938597043355308E-2</v>
      </c>
      <c r="I104" s="15">
        <v>4</v>
      </c>
      <c r="J104" s="15">
        <v>4</v>
      </c>
      <c r="K104" s="15">
        <v>3</v>
      </c>
      <c r="L104" s="88">
        <v>114</v>
      </c>
      <c r="M104" s="15" t="s">
        <v>703</v>
      </c>
      <c r="N104" s="15">
        <v>11862016</v>
      </c>
    </row>
    <row r="105" spans="1:14" x14ac:dyDescent="0.45">
      <c r="A105">
        <f t="shared" ca="1" si="5"/>
        <v>17</v>
      </c>
      <c r="B105">
        <v>0.71905720709757637</v>
      </c>
      <c r="C105" s="20">
        <v>131072</v>
      </c>
      <c r="D105" s="21">
        <v>10</v>
      </c>
      <c r="E105">
        <v>3.1921819499984849</v>
      </c>
      <c r="F105">
        <v>2.960993150001741</v>
      </c>
      <c r="G105">
        <v>4.5033841499971459</v>
      </c>
      <c r="H105">
        <v>9.2944445433440034E-2</v>
      </c>
      <c r="I105" s="15">
        <v>2</v>
      </c>
      <c r="J105" s="15">
        <v>2</v>
      </c>
      <c r="K105" s="15">
        <v>2</v>
      </c>
      <c r="L105" s="88">
        <v>54</v>
      </c>
      <c r="M105" s="15" t="s">
        <v>704</v>
      </c>
      <c r="N105" s="15">
        <v>23724032</v>
      </c>
    </row>
    <row r="106" spans="1:14" x14ac:dyDescent="0.45">
      <c r="A106">
        <f t="shared" ca="1" si="5"/>
        <v>17</v>
      </c>
      <c r="B106">
        <v>0.71905720709757637</v>
      </c>
      <c r="C106" s="20">
        <v>262144</v>
      </c>
      <c r="D106" s="21">
        <v>10</v>
      </c>
      <c r="E106">
        <v>6.6548141999955988</v>
      </c>
      <c r="F106">
        <v>6.2094688999932259</v>
      </c>
      <c r="G106">
        <v>9.5091138999996474</v>
      </c>
      <c r="H106">
        <v>0.16703333059946696</v>
      </c>
      <c r="I106" s="15">
        <v>1</v>
      </c>
      <c r="J106" s="15">
        <v>1</v>
      </c>
      <c r="K106" s="15">
        <v>1</v>
      </c>
      <c r="L106" s="88">
        <v>30</v>
      </c>
      <c r="M106" s="15" t="s">
        <v>705</v>
      </c>
      <c r="N106" s="15">
        <v>47448064</v>
      </c>
    </row>
    <row r="107" spans="1:14" x14ac:dyDescent="0.45">
      <c r="C107" s="15"/>
      <c r="I107" s="15"/>
      <c r="J107" s="15"/>
      <c r="K107" s="15"/>
      <c r="L107" s="88"/>
      <c r="M107" s="15"/>
    </row>
    <row r="108" spans="1:14" x14ac:dyDescent="0.45">
      <c r="C108" s="15"/>
      <c r="I108" s="15"/>
      <c r="J108" s="15"/>
      <c r="K108" s="15"/>
      <c r="L108" s="88"/>
      <c r="M108" s="15"/>
    </row>
    <row r="109" spans="1:14" x14ac:dyDescent="0.45">
      <c r="I109" s="15"/>
      <c r="J109" s="15"/>
      <c r="K109" s="15"/>
      <c r="L109" s="88"/>
    </row>
    <row r="110" spans="1:14" x14ac:dyDescent="0.45">
      <c r="C110" s="20"/>
      <c r="D110" s="21"/>
      <c r="I110" s="15"/>
      <c r="J110" s="15"/>
      <c r="K110" s="15"/>
      <c r="L110" s="15"/>
      <c r="M110" s="15"/>
    </row>
    <row r="111" spans="1:14" x14ac:dyDescent="0.45">
      <c r="I111" s="15"/>
      <c r="J111" s="15"/>
      <c r="K111" s="15"/>
      <c r="L111" s="15"/>
    </row>
    <row r="112" spans="1:14" x14ac:dyDescent="0.45">
      <c r="I112" s="15"/>
      <c r="J112" s="15"/>
      <c r="K112" s="15"/>
      <c r="L112" s="15"/>
    </row>
    <row r="113" spans="1:14" x14ac:dyDescent="0.45">
      <c r="I113" s="15"/>
      <c r="J113" s="15"/>
      <c r="K113" s="15"/>
      <c r="L113" s="15"/>
      <c r="M113" t="s">
        <v>756</v>
      </c>
    </row>
    <row r="114" spans="1:14" ht="42.75" x14ac:dyDescent="0.45">
      <c r="A114" s="16" t="s">
        <v>21</v>
      </c>
      <c r="B114" s="16" t="s">
        <v>22</v>
      </c>
      <c r="C114" s="16" t="s">
        <v>23</v>
      </c>
      <c r="D114" s="16" t="s">
        <v>24</v>
      </c>
      <c r="E114" s="17" t="s">
        <v>618</v>
      </c>
      <c r="F114" s="17" t="s">
        <v>619</v>
      </c>
      <c r="G114" s="17" t="s">
        <v>620</v>
      </c>
      <c r="H114" s="17" t="s">
        <v>621</v>
      </c>
      <c r="I114" s="17" t="str" cm="1">
        <f t="array" aca="1" ref="I114:L114" ca="1">"NCalls"&amp;CHAR(10)&amp;E114:H114</f>
        <v>NCalls
CSVRead
v0.1</v>
      </c>
      <c r="J114" s="17" t="str">
        <f ca="1"/>
        <v>NCalls
sdkn104
v1.9</v>
      </c>
      <c r="K114" s="17" t="str">
        <f ca="1"/>
        <v>NCalls
ws_garcia
v3.1.5</v>
      </c>
      <c r="L114" s="92" t="str">
        <f ca="1"/>
        <v>NCalls
CSV.jl
v0.8.5+</v>
      </c>
      <c r="M114" s="16" t="s">
        <v>31</v>
      </c>
      <c r="N114" s="16" t="s">
        <v>32</v>
      </c>
    </row>
    <row r="115" spans="1:14" x14ac:dyDescent="0.45">
      <c r="A115">
        <f ca="1">LEN(B115)</f>
        <v>16</v>
      </c>
      <c r="B115" t="str">
        <f ca="1">REPT("x",16)</f>
        <v>xxxxxxxxxxxxxxxx</v>
      </c>
      <c r="C115" s="20">
        <v>8</v>
      </c>
      <c r="D115" s="20">
        <v>1</v>
      </c>
      <c r="E115">
        <v>1.9567376041952045E-4</v>
      </c>
      <c r="F115">
        <v>1.4180967979778524E-4</v>
      </c>
      <c r="G115">
        <v>2.9789989279338201E-3</v>
      </c>
      <c r="H115">
        <v>2.5893595100434359E-4</v>
      </c>
      <c r="I115" s="15">
        <v>25553</v>
      </c>
      <c r="J115" s="15">
        <v>35259</v>
      </c>
      <c r="K115" s="15">
        <v>1679</v>
      </c>
      <c r="L115" s="88">
        <v>19360</v>
      </c>
      <c r="M115" s="15" t="s">
        <v>706</v>
      </c>
      <c r="N115" s="15">
        <v>144</v>
      </c>
    </row>
    <row r="116" spans="1:14" x14ac:dyDescent="0.45">
      <c r="A116">
        <f t="shared" ref="A116:A128" ca="1" si="6">LEN(B116)</f>
        <v>16</v>
      </c>
      <c r="B116" t="str">
        <f t="shared" ref="B116:B128" ca="1" si="7">REPT("x",16)</f>
        <v>xxxxxxxxxxxxxxxx</v>
      </c>
      <c r="C116" s="20">
        <v>8</v>
      </c>
      <c r="D116" s="20">
        <v>2</v>
      </c>
      <c r="E116">
        <v>2.2771954274255647E-4</v>
      </c>
      <c r="F116">
        <v>1.5990630336739601E-4</v>
      </c>
      <c r="G116">
        <v>3.5163277074447886E-3</v>
      </c>
      <c r="H116">
        <v>2.8167427187200721E-4</v>
      </c>
      <c r="I116" s="15">
        <v>21957</v>
      </c>
      <c r="J116" s="15">
        <v>31269</v>
      </c>
      <c r="K116" s="15">
        <v>1422</v>
      </c>
      <c r="L116" s="88">
        <v>17751</v>
      </c>
      <c r="M116" s="15" t="s">
        <v>707</v>
      </c>
      <c r="N116" s="15">
        <v>280</v>
      </c>
    </row>
    <row r="117" spans="1:14" x14ac:dyDescent="0.45">
      <c r="A117">
        <f t="shared" ca="1" si="6"/>
        <v>16</v>
      </c>
      <c r="B117" t="str">
        <f t="shared" ca="1" si="7"/>
        <v>xxxxxxxxxxxxxxxx</v>
      </c>
      <c r="C117" s="20">
        <v>8</v>
      </c>
      <c r="D117" s="20">
        <v>4</v>
      </c>
      <c r="E117">
        <v>2.4567479487028275E-4</v>
      </c>
      <c r="F117">
        <v>1.9825323738144381E-4</v>
      </c>
      <c r="G117">
        <v>3.1342786340857564E-3</v>
      </c>
      <c r="H117">
        <v>3.0484087306426044E-4</v>
      </c>
      <c r="I117" s="15">
        <v>20353</v>
      </c>
      <c r="J117" s="15">
        <v>25221</v>
      </c>
      <c r="K117" s="15">
        <v>1596</v>
      </c>
      <c r="L117" s="88">
        <v>16402</v>
      </c>
      <c r="M117" s="15" t="s">
        <v>708</v>
      </c>
      <c r="N117" s="15">
        <v>552</v>
      </c>
    </row>
    <row r="118" spans="1:14" x14ac:dyDescent="0.45">
      <c r="A118">
        <f t="shared" ca="1" si="6"/>
        <v>16</v>
      </c>
      <c r="B118" t="str">
        <f t="shared" ca="1" si="7"/>
        <v>xxxxxxxxxxxxxxxx</v>
      </c>
      <c r="C118" s="20">
        <v>8</v>
      </c>
      <c r="D118" s="20">
        <v>8</v>
      </c>
      <c r="E118">
        <v>3.2799258773391821E-4</v>
      </c>
      <c r="F118">
        <v>2.5084919480303962E-4</v>
      </c>
      <c r="G118">
        <v>3.4322735072004431E-3</v>
      </c>
      <c r="H118">
        <v>3.5080333964779346E-4</v>
      </c>
      <c r="I118" s="15">
        <v>15245</v>
      </c>
      <c r="J118" s="15">
        <v>19933</v>
      </c>
      <c r="K118" s="15">
        <v>1457</v>
      </c>
      <c r="L118" s="88">
        <v>14253</v>
      </c>
      <c r="M118" s="15" t="s">
        <v>709</v>
      </c>
      <c r="N118" s="15">
        <v>1096</v>
      </c>
    </row>
    <row r="119" spans="1:14" x14ac:dyDescent="0.45">
      <c r="A119">
        <f t="shared" ca="1" si="6"/>
        <v>16</v>
      </c>
      <c r="B119" t="str">
        <f t="shared" ca="1" si="7"/>
        <v>xxxxxxxxxxxxxxxx</v>
      </c>
      <c r="C119" s="20">
        <v>8</v>
      </c>
      <c r="D119" s="20">
        <v>16</v>
      </c>
      <c r="E119">
        <v>4.3705287537163873E-4</v>
      </c>
      <c r="F119">
        <v>3.6923214206637255E-4</v>
      </c>
      <c r="G119">
        <v>3.6743506245408481E-3</v>
      </c>
      <c r="H119">
        <v>4.3353854157634613E-4</v>
      </c>
      <c r="I119" s="15">
        <v>11442</v>
      </c>
      <c r="J119" s="15">
        <v>13543</v>
      </c>
      <c r="K119" s="15">
        <v>1361</v>
      </c>
      <c r="L119" s="88">
        <v>11533</v>
      </c>
      <c r="M119" s="15" t="s">
        <v>710</v>
      </c>
      <c r="N119" s="15">
        <v>2184</v>
      </c>
    </row>
    <row r="120" spans="1:14" x14ac:dyDescent="0.45">
      <c r="A120">
        <f t="shared" ca="1" si="6"/>
        <v>16</v>
      </c>
      <c r="B120" t="str">
        <f t="shared" ca="1" si="7"/>
        <v>xxxxxxxxxxxxxxxx</v>
      </c>
      <c r="C120" s="20">
        <v>8</v>
      </c>
      <c r="D120" s="20">
        <v>32</v>
      </c>
      <c r="E120">
        <v>7.1503490633514032E-4</v>
      </c>
      <c r="F120">
        <v>6.1625587872827462E-4</v>
      </c>
      <c r="G120">
        <v>5.2760155063142408E-3</v>
      </c>
      <c r="H120">
        <v>5.6465273856578201E-4</v>
      </c>
      <c r="I120" s="15">
        <v>6993</v>
      </c>
      <c r="J120" s="15">
        <v>8114</v>
      </c>
      <c r="K120" s="15">
        <v>948</v>
      </c>
      <c r="L120" s="88">
        <v>8855</v>
      </c>
      <c r="M120" s="15" t="s">
        <v>711</v>
      </c>
      <c r="N120" s="15">
        <v>4360</v>
      </c>
    </row>
    <row r="121" spans="1:14" x14ac:dyDescent="0.45">
      <c r="A121">
        <f t="shared" ca="1" si="6"/>
        <v>16</v>
      </c>
      <c r="B121" t="str">
        <f t="shared" ca="1" si="7"/>
        <v>xxxxxxxxxxxxxxxx</v>
      </c>
      <c r="C121" s="20">
        <v>8</v>
      </c>
      <c r="D121" s="20">
        <v>64</v>
      </c>
      <c r="E121">
        <v>1.1955584747764486E-3</v>
      </c>
      <c r="F121">
        <v>1.0857582066884071E-3</v>
      </c>
      <c r="G121">
        <v>8.6422293609668081E-3</v>
      </c>
      <c r="H121">
        <v>9.1390970572107475E-4</v>
      </c>
      <c r="I121" s="15">
        <v>4183</v>
      </c>
      <c r="J121" s="15">
        <v>4606</v>
      </c>
      <c r="K121" s="15">
        <v>579</v>
      </c>
      <c r="L121" s="88">
        <v>5471</v>
      </c>
      <c r="M121" s="15" t="s">
        <v>712</v>
      </c>
      <c r="N121" s="15">
        <v>8712</v>
      </c>
    </row>
    <row r="122" spans="1:14" x14ac:dyDescent="0.45">
      <c r="A122">
        <f t="shared" ca="1" si="6"/>
        <v>16</v>
      </c>
      <c r="B122" t="str">
        <f t="shared" ca="1" si="7"/>
        <v>xxxxxxxxxxxxxxxx</v>
      </c>
      <c r="C122" s="20">
        <v>8</v>
      </c>
      <c r="D122" s="20">
        <v>128</v>
      </c>
      <c r="E122">
        <v>2.1496584621988478E-3</v>
      </c>
      <c r="F122">
        <v>2.0120196299285016E-3</v>
      </c>
      <c r="G122">
        <v>2.3480568075128459E-2</v>
      </c>
      <c r="H122">
        <v>1.4240956992309882E-3</v>
      </c>
      <c r="I122" s="15">
        <v>2328</v>
      </c>
      <c r="J122" s="15">
        <v>2486</v>
      </c>
      <c r="K122" s="15">
        <v>213</v>
      </c>
      <c r="L122" s="88">
        <v>3511</v>
      </c>
      <c r="M122" s="15" t="s">
        <v>713</v>
      </c>
      <c r="N122" s="15">
        <v>17416</v>
      </c>
    </row>
    <row r="123" spans="1:14" x14ac:dyDescent="0.45">
      <c r="A123">
        <f t="shared" ca="1" si="6"/>
        <v>16</v>
      </c>
      <c r="B123" t="str">
        <f t="shared" ca="1" si="7"/>
        <v>xxxxxxxxxxxxxxxx</v>
      </c>
      <c r="C123" s="20">
        <v>8</v>
      </c>
      <c r="D123" s="20">
        <v>256</v>
      </c>
      <c r="E123">
        <v>4.1380458229954755E-3</v>
      </c>
      <c r="F123">
        <v>3.9663632831075189E-3</v>
      </c>
      <c r="G123">
        <v>8.1056106451620924E-2</v>
      </c>
      <c r="H123">
        <v>2.6709334055582683E-3</v>
      </c>
      <c r="I123" s="15">
        <v>1209</v>
      </c>
      <c r="J123" s="15">
        <v>1261</v>
      </c>
      <c r="K123" s="15">
        <v>62</v>
      </c>
      <c r="L123" s="88">
        <v>1875</v>
      </c>
      <c r="M123" s="15" t="s">
        <v>714</v>
      </c>
      <c r="N123" s="15">
        <v>34824</v>
      </c>
    </row>
    <row r="124" spans="1:14" x14ac:dyDescent="0.45">
      <c r="A124">
        <f t="shared" ca="1" si="6"/>
        <v>16</v>
      </c>
      <c r="B124" t="str">
        <f t="shared" ca="1" si="7"/>
        <v>xxxxxxxxxxxxxxxx</v>
      </c>
      <c r="C124" s="20">
        <v>8</v>
      </c>
      <c r="D124" s="20">
        <v>512</v>
      </c>
      <c r="E124">
        <v>8.2100286885149407E-3</v>
      </c>
      <c r="F124">
        <v>7.9057421801004141E-3</v>
      </c>
      <c r="G124">
        <v>0.30125079411749645</v>
      </c>
      <c r="H124">
        <v>4.8459303933520654E-3</v>
      </c>
      <c r="I124" s="15">
        <v>610</v>
      </c>
      <c r="J124" s="15">
        <v>633</v>
      </c>
      <c r="K124" s="15">
        <v>17</v>
      </c>
      <c r="L124" s="88">
        <v>1032</v>
      </c>
      <c r="M124" s="15" t="s">
        <v>715</v>
      </c>
      <c r="N124" s="15">
        <v>69640</v>
      </c>
    </row>
    <row r="125" spans="1:14" x14ac:dyDescent="0.45">
      <c r="A125">
        <f t="shared" ca="1" si="6"/>
        <v>16</v>
      </c>
      <c r="B125" t="str">
        <f t="shared" ca="1" si="7"/>
        <v>xxxxxxxxxxxxxxxx</v>
      </c>
      <c r="C125" s="20">
        <v>8</v>
      </c>
      <c r="D125" s="20">
        <v>1024</v>
      </c>
      <c r="E125">
        <v>1.6433055737660816E-2</v>
      </c>
      <c r="F125">
        <v>1.5816940694011024E-2</v>
      </c>
      <c r="G125">
        <v>1.1194302399992011</v>
      </c>
      <c r="H125">
        <v>1.0362318583897181E-2</v>
      </c>
      <c r="I125" s="15">
        <v>305</v>
      </c>
      <c r="J125" s="15">
        <v>317</v>
      </c>
      <c r="K125" s="15">
        <v>5</v>
      </c>
      <c r="L125" s="88">
        <v>483</v>
      </c>
      <c r="M125" s="15" t="s">
        <v>716</v>
      </c>
      <c r="N125" s="15">
        <v>139272</v>
      </c>
    </row>
    <row r="126" spans="1:14" x14ac:dyDescent="0.45">
      <c r="A126">
        <f t="shared" ca="1" si="6"/>
        <v>16</v>
      </c>
      <c r="B126" t="str">
        <f t="shared" ca="1" si="7"/>
        <v>xxxxxxxxxxxxxxxx</v>
      </c>
      <c r="C126" s="20">
        <v>8</v>
      </c>
      <c r="D126" s="20">
        <v>2048</v>
      </c>
      <c r="E126">
        <v>3.2801305228810806E-2</v>
      </c>
      <c r="F126">
        <v>3.2765556209198701E-2</v>
      </c>
      <c r="G126">
        <v>4.4798031999962404</v>
      </c>
      <c r="H126">
        <v>2.0457142226550044E-2</v>
      </c>
      <c r="I126" s="15">
        <v>153</v>
      </c>
      <c r="J126" s="15">
        <v>153</v>
      </c>
      <c r="K126" s="15">
        <v>2</v>
      </c>
      <c r="L126" s="88">
        <v>245</v>
      </c>
      <c r="M126" s="15" t="s">
        <v>717</v>
      </c>
      <c r="N126" s="15">
        <v>278536</v>
      </c>
    </row>
    <row r="127" spans="1:14" x14ac:dyDescent="0.45">
      <c r="A127">
        <f t="shared" ca="1" si="6"/>
        <v>16</v>
      </c>
      <c r="B127" t="str">
        <f t="shared" ca="1" si="7"/>
        <v>xxxxxxxxxxxxxxxx</v>
      </c>
      <c r="C127" s="20">
        <v>8</v>
      </c>
      <c r="D127" s="20">
        <v>4096</v>
      </c>
      <c r="E127">
        <v>7.0974408450715148E-2</v>
      </c>
      <c r="F127">
        <v>6.5247337662315524E-2</v>
      </c>
      <c r="G127">
        <v>16.964383899990935</v>
      </c>
      <c r="H127">
        <v>4.3181035025366424E-2</v>
      </c>
      <c r="I127" s="15">
        <v>71</v>
      </c>
      <c r="J127" s="15">
        <v>77</v>
      </c>
      <c r="K127" s="15">
        <v>1</v>
      </c>
      <c r="L127" s="88">
        <v>116</v>
      </c>
      <c r="M127" s="15" t="s">
        <v>718</v>
      </c>
      <c r="N127" s="15">
        <v>557064</v>
      </c>
    </row>
    <row r="128" spans="1:14" x14ac:dyDescent="0.45">
      <c r="A128">
        <f t="shared" ca="1" si="6"/>
        <v>16</v>
      </c>
      <c r="B128" t="str">
        <f t="shared" ca="1" si="7"/>
        <v>xxxxxxxxxxxxxxxx</v>
      </c>
      <c r="C128" s="20">
        <v>8</v>
      </c>
      <c r="D128" s="20">
        <v>8192</v>
      </c>
      <c r="E128">
        <v>0.14451789428588069</v>
      </c>
      <c r="F128">
        <v>0.13311467105239372</v>
      </c>
      <c r="G128">
        <v>67.253347999998368</v>
      </c>
      <c r="H128">
        <v>8.1112903933371269E-2</v>
      </c>
      <c r="I128" s="15">
        <v>35</v>
      </c>
      <c r="J128" s="15">
        <v>38</v>
      </c>
      <c r="K128" s="15">
        <v>1</v>
      </c>
      <c r="L128" s="88">
        <v>62</v>
      </c>
      <c r="M128" s="15" t="s">
        <v>719</v>
      </c>
      <c r="N128" s="15">
        <v>1114120</v>
      </c>
    </row>
    <row r="129" spans="1:14" x14ac:dyDescent="0.45">
      <c r="I129" s="15"/>
      <c r="J129" s="15"/>
      <c r="K129" s="15"/>
      <c r="L129" s="88"/>
    </row>
    <row r="130" spans="1:14" x14ac:dyDescent="0.45">
      <c r="I130" s="15"/>
      <c r="J130" s="15"/>
      <c r="K130" s="15"/>
      <c r="L130" s="88"/>
    </row>
    <row r="131" spans="1:14" x14ac:dyDescent="0.45">
      <c r="I131" s="15"/>
      <c r="J131" s="15"/>
      <c r="K131" s="15"/>
      <c r="L131" s="88"/>
    </row>
    <row r="132" spans="1:14" x14ac:dyDescent="0.45">
      <c r="I132" s="15"/>
      <c r="J132" s="15"/>
      <c r="K132" s="15"/>
      <c r="L132" s="88"/>
    </row>
    <row r="133" spans="1:14" x14ac:dyDescent="0.45">
      <c r="I133" s="15"/>
      <c r="J133" s="15"/>
      <c r="K133" s="15"/>
      <c r="L133" s="88"/>
    </row>
    <row r="134" spans="1:14" x14ac:dyDescent="0.45">
      <c r="I134" s="15"/>
      <c r="J134" s="15"/>
      <c r="K134" s="15"/>
      <c r="L134" s="88"/>
    </row>
    <row r="135" spans="1:14" x14ac:dyDescent="0.45">
      <c r="I135" s="15"/>
      <c r="J135" s="15"/>
      <c r="K135" s="15"/>
      <c r="L135" s="88"/>
    </row>
    <row r="136" spans="1:14" x14ac:dyDescent="0.45">
      <c r="I136" s="15"/>
      <c r="J136" s="15"/>
      <c r="K136" s="15"/>
      <c r="L136" s="88"/>
    </row>
    <row r="137" spans="1:14" x14ac:dyDescent="0.45">
      <c r="I137" s="15"/>
      <c r="J137" s="15"/>
      <c r="K137" s="15"/>
      <c r="L137" s="15"/>
    </row>
    <row r="138" spans="1:14" x14ac:dyDescent="0.45">
      <c r="I138" s="15"/>
      <c r="J138" s="15"/>
      <c r="K138" s="15"/>
      <c r="L138" s="15"/>
    </row>
    <row r="139" spans="1:14" x14ac:dyDescent="0.45">
      <c r="I139" s="15"/>
      <c r="J139" s="15"/>
      <c r="K139" s="15"/>
      <c r="L139" s="15"/>
    </row>
    <row r="140" spans="1:14" x14ac:dyDescent="0.45">
      <c r="I140" s="15"/>
      <c r="J140" s="15"/>
      <c r="K140" s="15"/>
      <c r="L140" s="15"/>
      <c r="M140" t="s">
        <v>757</v>
      </c>
    </row>
    <row r="141" spans="1:14" ht="42.75" x14ac:dyDescent="0.45">
      <c r="A141" s="16" t="s">
        <v>21</v>
      </c>
      <c r="B141" s="16" t="s">
        <v>22</v>
      </c>
      <c r="C141" s="16" t="s">
        <v>23</v>
      </c>
      <c r="D141" s="16" t="s">
        <v>24</v>
      </c>
      <c r="E141" s="17" t="s">
        <v>618</v>
      </c>
      <c r="F141" s="17" t="s">
        <v>619</v>
      </c>
      <c r="G141" s="17" t="s">
        <v>620</v>
      </c>
      <c r="H141" s="17" t="s">
        <v>621</v>
      </c>
      <c r="I141" s="17" t="str" cm="1">
        <f t="array" aca="1" ref="I141:L141" ca="1">"NCalls"&amp;CHAR(10)&amp;E141:H141</f>
        <v>NCalls
CSVRead
v0.1</v>
      </c>
      <c r="J141" s="17" t="str">
        <f ca="1"/>
        <v>NCalls
sdkn104
v1.9</v>
      </c>
      <c r="K141" s="17" t="str">
        <f ca="1"/>
        <v>NCalls
ws_garcia
v3.1.5</v>
      </c>
      <c r="L141" s="92" t="str">
        <f ca="1"/>
        <v>NCalls
CSV.jl
v0.8.5+</v>
      </c>
      <c r="M141" s="16" t="s">
        <v>31</v>
      </c>
      <c r="N141" s="16" t="s">
        <v>32</v>
      </c>
    </row>
    <row r="142" spans="1:14" x14ac:dyDescent="0.45">
      <c r="A142" s="88" cm="1">
        <f t="array" aca="1" ref="A142:A156" ca="1">LEN(B142:B156)</f>
        <v>1</v>
      </c>
      <c r="B142" t="s">
        <v>33</v>
      </c>
      <c r="C142" s="15">
        <v>1024</v>
      </c>
      <c r="D142">
        <v>8</v>
      </c>
      <c r="E142">
        <v>1.2172309975679385E-2</v>
      </c>
      <c r="F142">
        <v>1.1262498873858587E-2</v>
      </c>
      <c r="G142">
        <v>3.2158681410249135E-2</v>
      </c>
      <c r="H142">
        <v>1.364256480218281E-3</v>
      </c>
      <c r="I142" s="15">
        <v>411</v>
      </c>
      <c r="J142" s="15">
        <v>444</v>
      </c>
      <c r="K142" s="15">
        <v>156</v>
      </c>
      <c r="L142" s="88">
        <v>3665</v>
      </c>
      <c r="M142" s="15" t="s">
        <v>720</v>
      </c>
      <c r="N142" s="15">
        <v>17408</v>
      </c>
    </row>
    <row r="143" spans="1:14" x14ac:dyDescent="0.45">
      <c r="A143" s="88">
        <f ca="1"/>
        <v>2</v>
      </c>
      <c r="B143" t="s">
        <v>136</v>
      </c>
      <c r="C143" s="15">
        <v>1024</v>
      </c>
      <c r="D143">
        <v>8</v>
      </c>
      <c r="E143">
        <v>1.0746676609461703E-2</v>
      </c>
      <c r="F143">
        <v>1.0144919028329175E-2</v>
      </c>
      <c r="G143">
        <v>3.1148657763918418E-2</v>
      </c>
      <c r="H143">
        <v>2.6033316845077204E-3</v>
      </c>
      <c r="I143" s="15">
        <v>466</v>
      </c>
      <c r="J143" s="15">
        <v>494</v>
      </c>
      <c r="K143" s="15">
        <v>161</v>
      </c>
      <c r="L143" s="88">
        <v>1921</v>
      </c>
      <c r="M143" s="15" t="s">
        <v>721</v>
      </c>
      <c r="N143" s="15">
        <v>25600</v>
      </c>
    </row>
    <row r="144" spans="1:14" x14ac:dyDescent="0.45">
      <c r="A144" s="88">
        <f ca="1"/>
        <v>4</v>
      </c>
      <c r="B144" t="s">
        <v>138</v>
      </c>
      <c r="C144" s="15">
        <v>1024</v>
      </c>
      <c r="D144">
        <v>8</v>
      </c>
      <c r="E144">
        <v>1.1803808254729308E-2</v>
      </c>
      <c r="F144">
        <v>1.1389733257390303E-2</v>
      </c>
      <c r="G144">
        <v>3.2205062820512699E-2</v>
      </c>
      <c r="H144">
        <v>2.742965371061713E-3</v>
      </c>
      <c r="I144" s="15">
        <v>424</v>
      </c>
      <c r="J144" s="15">
        <v>439</v>
      </c>
      <c r="K144" s="15">
        <v>156</v>
      </c>
      <c r="L144" s="88">
        <v>1848</v>
      </c>
      <c r="M144" s="15" t="s">
        <v>722</v>
      </c>
      <c r="N144" s="15">
        <v>41984</v>
      </c>
    </row>
    <row r="145" spans="1:14" x14ac:dyDescent="0.45">
      <c r="A145" s="88">
        <f ca="1"/>
        <v>8</v>
      </c>
      <c r="B145" t="s">
        <v>140</v>
      </c>
      <c r="C145" s="15">
        <v>1024</v>
      </c>
      <c r="D145">
        <v>8</v>
      </c>
      <c r="E145">
        <v>1.3129493438315168E-2</v>
      </c>
      <c r="F145">
        <v>1.3266031746059611E-2</v>
      </c>
      <c r="G145">
        <v>3.2358455483899304E-2</v>
      </c>
      <c r="H145">
        <v>1.7979144192736426E-3</v>
      </c>
      <c r="I145" s="15">
        <v>381</v>
      </c>
      <c r="J145" s="15">
        <v>378</v>
      </c>
      <c r="K145" s="15">
        <v>155</v>
      </c>
      <c r="L145" s="88">
        <v>2781</v>
      </c>
      <c r="M145" s="15" t="s">
        <v>723</v>
      </c>
      <c r="N145" s="15">
        <v>74752</v>
      </c>
    </row>
    <row r="146" spans="1:14" x14ac:dyDescent="0.45">
      <c r="A146" s="88">
        <f ca="1"/>
        <v>16</v>
      </c>
      <c r="B146" t="s">
        <v>142</v>
      </c>
      <c r="C146" s="15">
        <v>1024</v>
      </c>
      <c r="D146">
        <v>8</v>
      </c>
      <c r="E146">
        <v>1.7669189399301219E-2</v>
      </c>
      <c r="F146">
        <v>1.642777901639032E-2</v>
      </c>
      <c r="G146">
        <v>3.3397867333357374E-2</v>
      </c>
      <c r="H146">
        <v>1.3818734256758089E-3</v>
      </c>
      <c r="I146" s="15">
        <v>283</v>
      </c>
      <c r="J146" s="15">
        <v>305</v>
      </c>
      <c r="K146" s="15">
        <v>150</v>
      </c>
      <c r="L146" s="88">
        <v>3619</v>
      </c>
      <c r="M146" s="15" t="s">
        <v>724</v>
      </c>
      <c r="N146" s="15">
        <v>140288</v>
      </c>
    </row>
    <row r="147" spans="1:14" x14ac:dyDescent="0.45">
      <c r="A147" s="88">
        <f ca="1"/>
        <v>32</v>
      </c>
      <c r="B147" t="s">
        <v>144</v>
      </c>
      <c r="C147" s="15">
        <v>1024</v>
      </c>
      <c r="D147">
        <v>8</v>
      </c>
      <c r="E147">
        <v>2.5157282914587263E-2</v>
      </c>
      <c r="F147">
        <v>2.4553175490177191E-2</v>
      </c>
      <c r="G147">
        <v>3.3718014765107357E-2</v>
      </c>
      <c r="H147">
        <v>1.85459940652819E-3</v>
      </c>
      <c r="I147" s="15">
        <v>199</v>
      </c>
      <c r="J147" s="15">
        <v>204</v>
      </c>
      <c r="K147" s="15">
        <v>149</v>
      </c>
      <c r="L147" s="88">
        <v>2696</v>
      </c>
      <c r="M147" s="15" t="s">
        <v>725</v>
      </c>
      <c r="N147" s="15">
        <v>271360</v>
      </c>
    </row>
    <row r="148" spans="1:14" x14ac:dyDescent="0.45">
      <c r="A148" s="88">
        <f ca="1"/>
        <v>64</v>
      </c>
      <c r="B148" t="s">
        <v>146</v>
      </c>
      <c r="C148" s="15">
        <v>1024</v>
      </c>
      <c r="D148">
        <v>8</v>
      </c>
      <c r="E148">
        <v>3.9095916406267861E-2</v>
      </c>
      <c r="F148">
        <v>3.9295590624988108E-2</v>
      </c>
      <c r="G148">
        <v>3.6162417985539944E-2</v>
      </c>
      <c r="H148">
        <v>2.5863494596905399E-3</v>
      </c>
      <c r="I148" s="15">
        <v>128</v>
      </c>
      <c r="J148" s="15">
        <v>128</v>
      </c>
      <c r="K148" s="15">
        <v>139</v>
      </c>
      <c r="L148" s="88">
        <v>1934</v>
      </c>
      <c r="M148" s="15" t="s">
        <v>726</v>
      </c>
      <c r="N148" s="15">
        <v>533504</v>
      </c>
    </row>
    <row r="149" spans="1:14" x14ac:dyDescent="0.45">
      <c r="A149" s="88">
        <f ca="1"/>
        <v>128</v>
      </c>
      <c r="B149" t="s">
        <v>148</v>
      </c>
      <c r="C149" s="15">
        <v>1024</v>
      </c>
      <c r="D149">
        <v>8</v>
      </c>
      <c r="E149">
        <v>7.1182290140890295E-2</v>
      </c>
      <c r="F149">
        <v>6.7392165333343051E-2</v>
      </c>
      <c r="G149">
        <v>4.4442310619458504E-2</v>
      </c>
      <c r="H149">
        <v>2.4955089458686386E-3</v>
      </c>
      <c r="I149" s="15">
        <v>71</v>
      </c>
      <c r="J149" s="15">
        <v>75</v>
      </c>
      <c r="K149" s="15">
        <v>113</v>
      </c>
      <c r="L149" s="88">
        <v>2004</v>
      </c>
      <c r="M149" s="15" t="s">
        <v>727</v>
      </c>
      <c r="N149" s="15">
        <v>1057792</v>
      </c>
    </row>
    <row r="150" spans="1:14" x14ac:dyDescent="0.45">
      <c r="A150" s="88">
        <f ca="1"/>
        <v>256</v>
      </c>
      <c r="B150" t="s">
        <v>150</v>
      </c>
      <c r="C150" s="15">
        <v>1024</v>
      </c>
      <c r="D150">
        <v>8</v>
      </c>
      <c r="E150">
        <v>0.1259918600000674</v>
      </c>
      <c r="F150">
        <v>0.12475409512209319</v>
      </c>
      <c r="G150">
        <v>5.6344891011157715E-2</v>
      </c>
      <c r="H150">
        <v>4.0428455355867032E-3</v>
      </c>
      <c r="I150" s="15">
        <v>40</v>
      </c>
      <c r="J150" s="15">
        <v>41</v>
      </c>
      <c r="K150" s="15">
        <v>89</v>
      </c>
      <c r="L150" s="88">
        <v>1237</v>
      </c>
      <c r="M150" s="15" t="s">
        <v>728</v>
      </c>
      <c r="N150" s="15">
        <v>2106368</v>
      </c>
    </row>
    <row r="151" spans="1:14" x14ac:dyDescent="0.45">
      <c r="A151" s="88">
        <f ca="1"/>
        <v>512</v>
      </c>
      <c r="B151" t="s">
        <v>152</v>
      </c>
      <c r="C151" s="15">
        <v>1024</v>
      </c>
      <c r="D151">
        <v>8</v>
      </c>
      <c r="E151">
        <v>0.23897656666702546</v>
      </c>
      <c r="F151">
        <v>0.24079097619064019</v>
      </c>
      <c r="G151">
        <v>9.3250253703714675E-2</v>
      </c>
      <c r="H151">
        <v>1.0026052146254178E-2</v>
      </c>
      <c r="I151" s="15">
        <v>21</v>
      </c>
      <c r="J151" s="15">
        <v>21</v>
      </c>
      <c r="K151" s="15">
        <v>54</v>
      </c>
      <c r="L151" s="88">
        <v>499</v>
      </c>
      <c r="M151" s="15" t="s">
        <v>729</v>
      </c>
      <c r="N151" s="15">
        <v>4203520</v>
      </c>
    </row>
    <row r="152" spans="1:14" x14ac:dyDescent="0.45">
      <c r="A152" s="88">
        <f ca="1"/>
        <v>1024</v>
      </c>
      <c r="B152" t="s">
        <v>154</v>
      </c>
      <c r="C152" s="15">
        <v>1024</v>
      </c>
      <c r="D152">
        <v>8</v>
      </c>
      <c r="E152">
        <v>0.46386593636336992</v>
      </c>
      <c r="F152">
        <v>0.46295607272689021</v>
      </c>
      <c r="G152">
        <v>0.20654669600015041</v>
      </c>
      <c r="H152">
        <v>9.9365077321491545E-3</v>
      </c>
      <c r="I152" s="15">
        <v>11</v>
      </c>
      <c r="J152" s="15">
        <v>11</v>
      </c>
      <c r="K152" s="15">
        <v>25</v>
      </c>
      <c r="L152" s="88">
        <v>504</v>
      </c>
      <c r="M152" s="15" t="s">
        <v>730</v>
      </c>
      <c r="N152" s="15">
        <v>8397824</v>
      </c>
    </row>
    <row r="153" spans="1:14" x14ac:dyDescent="0.45">
      <c r="A153" s="88">
        <f ca="1"/>
        <v>2048</v>
      </c>
      <c r="B153" t="s">
        <v>156</v>
      </c>
      <c r="C153" s="15">
        <v>1024</v>
      </c>
      <c r="D153">
        <v>8</v>
      </c>
      <c r="E153">
        <v>1.0037485400011064</v>
      </c>
      <c r="F153">
        <v>0.90855526666806929</v>
      </c>
      <c r="G153">
        <v>0.63603143749969604</v>
      </c>
      <c r="H153">
        <v>2.1982456508435701E-2</v>
      </c>
      <c r="I153" s="15">
        <v>5</v>
      </c>
      <c r="J153" s="15">
        <v>6</v>
      </c>
      <c r="K153" s="15">
        <v>8</v>
      </c>
      <c r="L153" s="88">
        <v>228</v>
      </c>
      <c r="M153" s="15" t="s">
        <v>731</v>
      </c>
      <c r="N153" s="15">
        <v>16786432</v>
      </c>
    </row>
    <row r="154" spans="1:14" x14ac:dyDescent="0.45">
      <c r="A154" s="88">
        <f ca="1"/>
        <v>4096</v>
      </c>
      <c r="B154" t="s">
        <v>158</v>
      </c>
      <c r="C154" s="15">
        <v>1024</v>
      </c>
      <c r="D154">
        <v>8</v>
      </c>
      <c r="E154">
        <v>1.9239916999989266</v>
      </c>
      <c r="F154">
        <v>1.827991066670317</v>
      </c>
      <c r="G154">
        <v>2.7983285000009346</v>
      </c>
      <c r="H154">
        <v>5.067999839782715E-2</v>
      </c>
      <c r="I154" s="15">
        <v>3</v>
      </c>
      <c r="J154" s="15">
        <v>3</v>
      </c>
      <c r="K154" s="15">
        <v>2</v>
      </c>
      <c r="L154" s="88">
        <v>100</v>
      </c>
      <c r="M154" s="15" t="s">
        <v>732</v>
      </c>
      <c r="N154" s="15">
        <v>33563648</v>
      </c>
    </row>
    <row r="155" spans="1:14" x14ac:dyDescent="0.45">
      <c r="A155" s="88">
        <f ca="1"/>
        <v>8192</v>
      </c>
      <c r="B155" t="s">
        <v>160</v>
      </c>
      <c r="C155" s="15">
        <v>1024</v>
      </c>
      <c r="D155">
        <v>8</v>
      </c>
      <c r="E155">
        <v>4.189063999998325</v>
      </c>
      <c r="F155">
        <v>4.0287727499962784</v>
      </c>
      <c r="G155">
        <v>10.728441900006146</v>
      </c>
      <c r="H155">
        <v>9.8156863567875882E-2</v>
      </c>
      <c r="I155" s="15">
        <v>2</v>
      </c>
      <c r="J155" s="15">
        <v>2</v>
      </c>
      <c r="K155" s="15">
        <v>1</v>
      </c>
      <c r="L155" s="88">
        <v>51</v>
      </c>
      <c r="M155" s="15" t="s">
        <v>733</v>
      </c>
      <c r="N155" s="15">
        <v>67118080</v>
      </c>
    </row>
    <row r="156" spans="1:14" x14ac:dyDescent="0.45">
      <c r="A156" s="88">
        <f ca="1"/>
        <v>16384</v>
      </c>
      <c r="B156" t="s">
        <v>162</v>
      </c>
      <c r="C156" s="15">
        <v>1024</v>
      </c>
      <c r="D156">
        <v>8</v>
      </c>
      <c r="E156">
        <v>9.3848721000103978</v>
      </c>
      <c r="F156">
        <v>8.1646181999967666</v>
      </c>
      <c r="G156">
        <v>59.894796999986283</v>
      </c>
      <c r="H156">
        <v>0.14027778307596842</v>
      </c>
      <c r="I156" s="15">
        <v>1</v>
      </c>
      <c r="J156" s="15">
        <v>1</v>
      </c>
      <c r="K156" s="15">
        <v>1</v>
      </c>
      <c r="L156" s="88">
        <v>36</v>
      </c>
      <c r="M156" s="15" t="s">
        <v>734</v>
      </c>
      <c r="N156" s="15">
        <v>134226944</v>
      </c>
    </row>
    <row r="157" spans="1:14" x14ac:dyDescent="0.45">
      <c r="I157" s="15"/>
      <c r="J157" s="15"/>
      <c r="K157" s="15"/>
      <c r="L157" s="88"/>
    </row>
    <row r="158" spans="1:14" x14ac:dyDescent="0.45">
      <c r="I158" s="15"/>
      <c r="J158" s="15"/>
      <c r="K158" s="15"/>
      <c r="L158" s="88"/>
    </row>
    <row r="159" spans="1:14" x14ac:dyDescent="0.45">
      <c r="I159" s="15"/>
      <c r="J159" s="15"/>
      <c r="K159" s="15"/>
      <c r="L159" s="88"/>
    </row>
    <row r="160" spans="1:14" x14ac:dyDescent="0.45">
      <c r="I160" s="15"/>
      <c r="J160" s="15"/>
      <c r="K160" s="15"/>
      <c r="L160" s="88"/>
    </row>
    <row r="161" spans="1:14" x14ac:dyDescent="0.45">
      <c r="I161" s="15"/>
      <c r="J161" s="15"/>
      <c r="K161" s="15"/>
      <c r="L161" s="88"/>
    </row>
    <row r="162" spans="1:14" x14ac:dyDescent="0.45">
      <c r="I162" s="15"/>
      <c r="J162" s="15"/>
      <c r="K162" s="15"/>
      <c r="L162" s="88"/>
    </row>
    <row r="163" spans="1:14" x14ac:dyDescent="0.45">
      <c r="I163" s="15"/>
      <c r="J163" s="15"/>
      <c r="K163" s="15"/>
      <c r="L163" s="88"/>
    </row>
    <row r="164" spans="1:14" x14ac:dyDescent="0.45">
      <c r="I164" s="15"/>
      <c r="J164" s="15"/>
      <c r="K164" s="15"/>
      <c r="L164" s="15"/>
    </row>
    <row r="165" spans="1:14" x14ac:dyDescent="0.45">
      <c r="I165" s="15"/>
      <c r="J165" s="15"/>
      <c r="K165" s="15"/>
      <c r="L165" s="15"/>
    </row>
    <row r="166" spans="1:14" x14ac:dyDescent="0.45">
      <c r="I166" s="15"/>
      <c r="J166" s="15"/>
      <c r="K166" s="15"/>
      <c r="L166" s="15"/>
    </row>
    <row r="167" spans="1:14" x14ac:dyDescent="0.45">
      <c r="I167" s="15"/>
      <c r="J167" s="15"/>
      <c r="K167" s="15"/>
      <c r="L167" s="15"/>
      <c r="M167" t="s">
        <v>758</v>
      </c>
    </row>
    <row r="168" spans="1:14" ht="42.75" x14ac:dyDescent="0.45">
      <c r="A168" s="16" t="s">
        <v>21</v>
      </c>
      <c r="B168" s="16" t="s">
        <v>22</v>
      </c>
      <c r="C168" s="16" t="s">
        <v>23</v>
      </c>
      <c r="D168" s="16" t="s">
        <v>24</v>
      </c>
      <c r="E168" s="17" t="s">
        <v>618</v>
      </c>
      <c r="F168" s="17" t="s">
        <v>619</v>
      </c>
      <c r="G168" s="17" t="s">
        <v>620</v>
      </c>
      <c r="H168" s="17" t="s">
        <v>621</v>
      </c>
      <c r="I168" s="17" t="str" cm="1">
        <f t="array" aca="1" ref="I168:L168" ca="1">"NCalls"&amp;CHAR(10)&amp;E168:H168</f>
        <v>NCalls
CSVRead
v0.1</v>
      </c>
      <c r="J168" s="17" t="str">
        <f ca="1"/>
        <v>NCalls
sdkn104
v1.9</v>
      </c>
      <c r="K168" s="17" t="str">
        <f ca="1"/>
        <v>NCalls
ws_garcia
v3.1.5</v>
      </c>
      <c r="L168" s="92" t="str">
        <f ca="1"/>
        <v>NCalls
CSV.jl
v0.8.5+</v>
      </c>
      <c r="M168" s="16" t="s">
        <v>31</v>
      </c>
      <c r="N168" s="16" t="s">
        <v>32</v>
      </c>
    </row>
    <row r="169" spans="1:14" x14ac:dyDescent="0.45">
      <c r="A169" s="88">
        <v>3</v>
      </c>
      <c r="B169" t="s">
        <v>165</v>
      </c>
      <c r="C169" s="15">
        <v>1024</v>
      </c>
      <c r="D169">
        <v>8</v>
      </c>
      <c r="E169">
        <v>2.7480745355215667E-2</v>
      </c>
      <c r="F169">
        <v>2.9243922222212327E-2</v>
      </c>
      <c r="G169">
        <v>5.6957622727250884E-2</v>
      </c>
      <c r="H169">
        <v>2.2690562284576913E-3</v>
      </c>
      <c r="I169" s="15">
        <v>183</v>
      </c>
      <c r="J169" s="15">
        <v>171</v>
      </c>
      <c r="K169" s="15">
        <v>88</v>
      </c>
      <c r="L169" s="88">
        <v>2204</v>
      </c>
      <c r="M169" s="95" t="s">
        <v>735</v>
      </c>
      <c r="N169" s="15">
        <v>66560</v>
      </c>
    </row>
    <row r="170" spans="1:14" x14ac:dyDescent="0.45">
      <c r="A170" s="88">
        <v>4</v>
      </c>
      <c r="B170" t="s">
        <v>167</v>
      </c>
      <c r="C170" s="15">
        <v>1024</v>
      </c>
      <c r="D170">
        <v>8</v>
      </c>
      <c r="E170">
        <v>2.8253174011281818E-2</v>
      </c>
      <c r="F170">
        <v>2.9301115789512656E-2</v>
      </c>
      <c r="G170">
        <v>5.662108876407565E-2</v>
      </c>
      <c r="H170">
        <v>2.2025539821488695E-3</v>
      </c>
      <c r="I170" s="15">
        <v>177</v>
      </c>
      <c r="J170" s="15">
        <v>171</v>
      </c>
      <c r="K170" s="15">
        <v>89</v>
      </c>
      <c r="L170" s="88">
        <v>2271</v>
      </c>
      <c r="M170" s="15" t="s">
        <v>736</v>
      </c>
      <c r="N170" s="15">
        <v>74752</v>
      </c>
    </row>
    <row r="171" spans="1:14" x14ac:dyDescent="0.45">
      <c r="A171" s="88">
        <v>6</v>
      </c>
      <c r="B171" t="s">
        <v>168</v>
      </c>
      <c r="C171" s="15">
        <v>1024</v>
      </c>
      <c r="D171">
        <v>8</v>
      </c>
      <c r="E171">
        <v>3.0058265269474645E-2</v>
      </c>
      <c r="F171">
        <v>3.1990789172034205E-2</v>
      </c>
      <c r="G171">
        <v>5.4407388043530416E-2</v>
      </c>
      <c r="H171">
        <v>2.303546719263359E-3</v>
      </c>
      <c r="I171" s="15">
        <v>167</v>
      </c>
      <c r="J171" s="15">
        <v>157</v>
      </c>
      <c r="K171" s="15">
        <v>92</v>
      </c>
      <c r="L171" s="88">
        <v>2171</v>
      </c>
      <c r="M171" s="15" t="s">
        <v>737</v>
      </c>
      <c r="N171" s="15">
        <v>91136</v>
      </c>
    </row>
    <row r="172" spans="1:14" x14ac:dyDescent="0.45">
      <c r="A172" s="88">
        <v>10</v>
      </c>
      <c r="B172" t="s">
        <v>170</v>
      </c>
      <c r="C172" s="15">
        <v>1024</v>
      </c>
      <c r="D172">
        <v>8</v>
      </c>
      <c r="E172">
        <v>3.1294944374985791E-2</v>
      </c>
      <c r="F172">
        <v>3.5719386428536379E-2</v>
      </c>
      <c r="G172">
        <v>6.2741443750019249E-2</v>
      </c>
      <c r="H172">
        <v>1.7024174327545114E-3</v>
      </c>
      <c r="I172" s="15">
        <v>160</v>
      </c>
      <c r="J172" s="15">
        <v>140</v>
      </c>
      <c r="K172" s="15">
        <v>80</v>
      </c>
      <c r="L172" s="88">
        <v>2937</v>
      </c>
      <c r="M172" s="15" t="s">
        <v>738</v>
      </c>
      <c r="N172" s="15">
        <v>123904</v>
      </c>
    </row>
    <row r="173" spans="1:14" x14ac:dyDescent="0.45">
      <c r="A173" s="88">
        <v>18</v>
      </c>
      <c r="B173" t="s">
        <v>172</v>
      </c>
      <c r="C173" s="15">
        <v>1024</v>
      </c>
      <c r="D173">
        <v>8</v>
      </c>
      <c r="E173">
        <v>4.2394476271110142E-2</v>
      </c>
      <c r="F173">
        <v>3.857771692307254E-2</v>
      </c>
      <c r="G173">
        <v>6.0965904819250322E-2</v>
      </c>
      <c r="H173">
        <v>1.8529084577698228E-3</v>
      </c>
      <c r="I173" s="15">
        <v>118</v>
      </c>
      <c r="J173" s="15">
        <v>130</v>
      </c>
      <c r="K173" s="15">
        <v>83</v>
      </c>
      <c r="L173" s="88">
        <v>2699</v>
      </c>
      <c r="M173" s="15" t="s">
        <v>739</v>
      </c>
      <c r="N173" s="15">
        <v>189440</v>
      </c>
    </row>
    <row r="174" spans="1:14" x14ac:dyDescent="0.45">
      <c r="A174" s="88">
        <v>34</v>
      </c>
      <c r="B174" t="s">
        <v>174</v>
      </c>
      <c r="C174" s="15">
        <v>1024</v>
      </c>
      <c r="D174">
        <v>8</v>
      </c>
      <c r="E174">
        <v>4.492691517862113E-2</v>
      </c>
      <c r="F174">
        <v>4.4399313274276465E-2</v>
      </c>
      <c r="G174">
        <v>6.8145598648501421E-2</v>
      </c>
      <c r="H174">
        <v>2.866209132661814E-3</v>
      </c>
      <c r="I174" s="15">
        <v>112</v>
      </c>
      <c r="J174" s="15">
        <v>113</v>
      </c>
      <c r="K174" s="15">
        <v>74</v>
      </c>
      <c r="L174" s="88">
        <v>1749</v>
      </c>
      <c r="M174" s="15" t="s">
        <v>740</v>
      </c>
      <c r="N174" s="15">
        <v>320512</v>
      </c>
    </row>
    <row r="175" spans="1:14" x14ac:dyDescent="0.45">
      <c r="A175" s="88">
        <v>66</v>
      </c>
      <c r="B175" t="s">
        <v>176</v>
      </c>
      <c r="C175" s="15">
        <v>1024</v>
      </c>
      <c r="D175">
        <v>8</v>
      </c>
      <c r="E175">
        <v>5.576290555553795E-2</v>
      </c>
      <c r="F175">
        <v>6.1497142682882686E-2</v>
      </c>
      <c r="G175">
        <v>6.9637228767084572E-2</v>
      </c>
      <c r="H175">
        <v>3.0562347188264061E-3</v>
      </c>
      <c r="I175" s="15">
        <v>90</v>
      </c>
      <c r="J175" s="15">
        <v>82</v>
      </c>
      <c r="K175" s="15">
        <v>73</v>
      </c>
      <c r="L175" s="88">
        <v>1636</v>
      </c>
      <c r="M175" s="15" t="s">
        <v>741</v>
      </c>
      <c r="N175" s="15">
        <v>582656</v>
      </c>
    </row>
    <row r="176" spans="1:14" x14ac:dyDescent="0.45">
      <c r="A176" s="88">
        <v>130</v>
      </c>
      <c r="B176" t="s">
        <v>178</v>
      </c>
      <c r="C176" s="15">
        <v>1024</v>
      </c>
      <c r="D176">
        <v>8</v>
      </c>
      <c r="E176">
        <v>8.8914294736847907E-2</v>
      </c>
      <c r="F176">
        <v>8.6818718965364028E-2</v>
      </c>
      <c r="G176">
        <v>6.9146531506852973E-2</v>
      </c>
      <c r="H176">
        <v>3.271208171059969E-3</v>
      </c>
      <c r="I176" s="15">
        <v>57</v>
      </c>
      <c r="J176" s="15">
        <v>58</v>
      </c>
      <c r="K176" s="15">
        <v>73</v>
      </c>
      <c r="L176" s="88">
        <v>1556</v>
      </c>
      <c r="M176" s="15" t="s">
        <v>742</v>
      </c>
      <c r="N176" s="15">
        <v>1106944</v>
      </c>
    </row>
    <row r="177" spans="1:14" x14ac:dyDescent="0.45">
      <c r="A177" s="88">
        <v>258</v>
      </c>
      <c r="B177" t="s">
        <v>180</v>
      </c>
      <c r="C177" s="15">
        <v>1024</v>
      </c>
      <c r="D177">
        <v>8</v>
      </c>
      <c r="E177">
        <v>0.14990738529398667</v>
      </c>
      <c r="F177">
        <v>0.14970804411774119</v>
      </c>
      <c r="G177">
        <v>8.2194501639307541E-2</v>
      </c>
      <c r="H177">
        <v>5.5465632161650052E-3</v>
      </c>
      <c r="I177" s="15">
        <v>34</v>
      </c>
      <c r="J177" s="15">
        <v>34</v>
      </c>
      <c r="K177" s="15">
        <v>61</v>
      </c>
      <c r="L177" s="88">
        <v>902</v>
      </c>
      <c r="M177" s="15" t="s">
        <v>743</v>
      </c>
      <c r="N177" s="15">
        <v>2155520</v>
      </c>
    </row>
    <row r="178" spans="1:14" x14ac:dyDescent="0.45">
      <c r="A178" s="88">
        <v>514</v>
      </c>
      <c r="B178" t="s">
        <v>182</v>
      </c>
      <c r="C178" s="15">
        <v>1024</v>
      </c>
      <c r="D178">
        <v>8</v>
      </c>
      <c r="E178">
        <v>0.27538592105281023</v>
      </c>
      <c r="F178">
        <v>0.25676593499956651</v>
      </c>
      <c r="G178">
        <v>0.10124507000000449</v>
      </c>
      <c r="H178">
        <v>1.0118342950734396E-2</v>
      </c>
      <c r="I178" s="15">
        <v>19</v>
      </c>
      <c r="J178" s="15">
        <v>20</v>
      </c>
      <c r="K178" s="15">
        <v>50</v>
      </c>
      <c r="L178" s="88">
        <v>507</v>
      </c>
      <c r="M178" s="15" t="s">
        <v>744</v>
      </c>
      <c r="N178" s="15">
        <v>4252672</v>
      </c>
    </row>
    <row r="179" spans="1:14" x14ac:dyDescent="0.45">
      <c r="A179" s="88">
        <v>1026</v>
      </c>
      <c r="B179" t="s">
        <v>184</v>
      </c>
      <c r="C179" s="15">
        <v>1024</v>
      </c>
      <c r="D179">
        <v>8</v>
      </c>
      <c r="E179">
        <v>0.51140808000054672</v>
      </c>
      <c r="F179">
        <v>0.48357401818264573</v>
      </c>
      <c r="G179">
        <v>0.22336176521734477</v>
      </c>
      <c r="H179">
        <v>1.3891667127609253E-2</v>
      </c>
      <c r="I179" s="15">
        <v>10</v>
      </c>
      <c r="J179" s="15">
        <v>11</v>
      </c>
      <c r="K179" s="15">
        <v>23</v>
      </c>
      <c r="L179" s="88">
        <v>360</v>
      </c>
      <c r="M179" s="15" t="s">
        <v>745</v>
      </c>
      <c r="N179" s="15">
        <v>8446976</v>
      </c>
    </row>
    <row r="180" spans="1:14" x14ac:dyDescent="0.45">
      <c r="A180" s="88">
        <v>2050</v>
      </c>
      <c r="B180" t="s">
        <v>186</v>
      </c>
      <c r="C180" s="15">
        <v>1024</v>
      </c>
      <c r="D180">
        <v>8</v>
      </c>
      <c r="E180">
        <v>0.9868954166668118</v>
      </c>
      <c r="F180">
        <v>0.95054456666548504</v>
      </c>
      <c r="G180">
        <v>0.68654616250023537</v>
      </c>
      <c r="H180">
        <v>2.1743478982344917E-2</v>
      </c>
      <c r="I180" s="15">
        <v>6</v>
      </c>
      <c r="J180" s="15">
        <v>6</v>
      </c>
      <c r="K180" s="15">
        <v>8</v>
      </c>
      <c r="L180" s="88">
        <v>230</v>
      </c>
      <c r="M180" s="15" t="s">
        <v>746</v>
      </c>
      <c r="N180" s="15">
        <v>16835584</v>
      </c>
    </row>
    <row r="181" spans="1:14" x14ac:dyDescent="0.45">
      <c r="A181" s="88">
        <v>4098</v>
      </c>
      <c r="B181" t="s">
        <v>188</v>
      </c>
      <c r="C181" s="15">
        <v>1024</v>
      </c>
      <c r="D181">
        <v>8</v>
      </c>
      <c r="E181">
        <v>1.987398933333073</v>
      </c>
      <c r="F181">
        <v>1.8621561666659545</v>
      </c>
      <c r="G181">
        <v>2.8599371499949484</v>
      </c>
      <c r="H181">
        <v>4.6444444744675246E-2</v>
      </c>
      <c r="I181" s="15">
        <v>3</v>
      </c>
      <c r="J181" s="15">
        <v>3</v>
      </c>
      <c r="K181" s="15">
        <v>2</v>
      </c>
      <c r="L181" s="88">
        <v>108</v>
      </c>
      <c r="M181" s="15" t="s">
        <v>747</v>
      </c>
      <c r="N181" s="15">
        <v>33612800</v>
      </c>
    </row>
    <row r="182" spans="1:14" x14ac:dyDescent="0.45">
      <c r="A182" s="88">
        <v>8194</v>
      </c>
      <c r="B182" t="s">
        <v>190</v>
      </c>
      <c r="C182" s="15">
        <v>1024</v>
      </c>
      <c r="D182">
        <v>8</v>
      </c>
      <c r="E182">
        <v>4.2660489499976393</v>
      </c>
      <c r="F182">
        <v>4.0105305500037502</v>
      </c>
      <c r="G182">
        <v>11.153487300005509</v>
      </c>
      <c r="H182">
        <v>9.0999999216624675E-2</v>
      </c>
      <c r="I182" s="15">
        <v>2</v>
      </c>
      <c r="J182" s="15">
        <v>2</v>
      </c>
      <c r="K182" s="15">
        <v>1</v>
      </c>
      <c r="L182" s="88">
        <v>56</v>
      </c>
      <c r="M182" s="15" t="s">
        <v>748</v>
      </c>
      <c r="N182" s="15">
        <v>67167232</v>
      </c>
    </row>
    <row r="183" spans="1:14" x14ac:dyDescent="0.45">
      <c r="A183" s="88">
        <v>16386</v>
      </c>
      <c r="B183" t="s">
        <v>192</v>
      </c>
      <c r="C183" s="15">
        <v>1024</v>
      </c>
      <c r="D183">
        <v>8</v>
      </c>
      <c r="E183">
        <v>10.389126899986877</v>
      </c>
      <c r="F183">
        <v>9.1573321000032593</v>
      </c>
      <c r="G183">
        <v>60.529189100008807</v>
      </c>
      <c r="H183">
        <v>0.74888888994852698</v>
      </c>
      <c r="I183" s="15">
        <v>1</v>
      </c>
      <c r="J183" s="15">
        <v>1</v>
      </c>
      <c r="K183" s="15">
        <v>1</v>
      </c>
      <c r="L183" s="88">
        <v>9</v>
      </c>
      <c r="M183" s="15" t="s">
        <v>749</v>
      </c>
      <c r="N183" s="15">
        <v>134276096</v>
      </c>
    </row>
    <row r="184" spans="1:14" x14ac:dyDescent="0.45">
      <c r="I184" s="15"/>
      <c r="J184" s="15"/>
      <c r="K184" s="15"/>
      <c r="L184" s="88"/>
    </row>
    <row r="185" spans="1:14" x14ac:dyDescent="0.45">
      <c r="I185" s="15"/>
      <c r="J185" s="15"/>
      <c r="K185" s="15"/>
      <c r="L185" s="88"/>
    </row>
    <row r="186" spans="1:14" x14ac:dyDescent="0.45">
      <c r="I186" s="15"/>
      <c r="J186" s="15"/>
      <c r="K186" s="15"/>
      <c r="L186" s="88"/>
    </row>
    <row r="187" spans="1:14" x14ac:dyDescent="0.45">
      <c r="I187" s="15"/>
      <c r="J187" s="15"/>
      <c r="K187" s="15"/>
      <c r="L187" s="88"/>
    </row>
    <row r="188" spans="1:14" x14ac:dyDescent="0.45">
      <c r="I188" s="15"/>
      <c r="J188" s="15"/>
      <c r="K188" s="15"/>
      <c r="L188" s="88"/>
    </row>
    <row r="189" spans="1:14" x14ac:dyDescent="0.45">
      <c r="I189" s="15"/>
      <c r="J189" s="15"/>
      <c r="K189" s="15"/>
      <c r="L189" s="88"/>
    </row>
    <row r="190" spans="1:14" x14ac:dyDescent="0.45">
      <c r="I190" s="15"/>
      <c r="J190" s="15"/>
      <c r="K190" s="15"/>
      <c r="L190" s="88"/>
    </row>
    <row r="191" spans="1:14" x14ac:dyDescent="0.45">
      <c r="I191" s="15"/>
      <c r="J191" s="15"/>
      <c r="K191" s="15"/>
      <c r="L191" s="15"/>
    </row>
    <row r="192" spans="1:14" x14ac:dyDescent="0.45">
      <c r="I192" s="15"/>
      <c r="J192" s="15"/>
      <c r="K192" s="15"/>
      <c r="L192" s="15"/>
    </row>
    <row r="193" spans="9:12" x14ac:dyDescent="0.45">
      <c r="I193" s="15"/>
      <c r="J193" s="15"/>
      <c r="K193" s="15"/>
      <c r="L193" s="15"/>
    </row>
    <row r="194" spans="9:12" x14ac:dyDescent="0.45">
      <c r="I194" s="15"/>
      <c r="J194" s="15"/>
      <c r="K194" s="15"/>
      <c r="L194" s="15"/>
    </row>
    <row r="195" spans="9:12" x14ac:dyDescent="0.45">
      <c r="I195" s="15"/>
      <c r="J195" s="15"/>
      <c r="K195" s="15"/>
      <c r="L195" s="15"/>
    </row>
    <row r="196" spans="9:12" x14ac:dyDescent="0.45">
      <c r="I196" s="15"/>
      <c r="J196" s="15"/>
      <c r="K196" s="15"/>
      <c r="L196" s="15"/>
    </row>
    <row r="197" spans="9:12" x14ac:dyDescent="0.45">
      <c r="I197" s="15"/>
      <c r="J197" s="15"/>
      <c r="K197" s="15"/>
      <c r="L197" s="15"/>
    </row>
    <row r="198" spans="9:12" x14ac:dyDescent="0.45">
      <c r="I198" s="15"/>
      <c r="J198" s="15"/>
      <c r="K198" s="15"/>
      <c r="L198" s="15"/>
    </row>
    <row r="199" spans="9:12" x14ac:dyDescent="0.45">
      <c r="I199" s="15"/>
      <c r="J199" s="15"/>
      <c r="K199" s="15"/>
      <c r="L199" s="15"/>
    </row>
    <row r="200" spans="9:12" x14ac:dyDescent="0.45">
      <c r="I200" s="15"/>
      <c r="J200" s="15"/>
      <c r="K200" s="15"/>
      <c r="L200" s="15"/>
    </row>
    <row r="201" spans="9:12" x14ac:dyDescent="0.45">
      <c r="I201" s="15"/>
      <c r="J201" s="15"/>
      <c r="K201" s="15"/>
      <c r="L201" s="15"/>
    </row>
    <row r="202" spans="9:12" x14ac:dyDescent="0.45">
      <c r="I202" s="15"/>
      <c r="J202" s="15"/>
      <c r="K202" s="15"/>
      <c r="L202" s="15"/>
    </row>
    <row r="203" spans="9:12" x14ac:dyDescent="0.45">
      <c r="I203" s="15"/>
      <c r="J203" s="15"/>
      <c r="K203" s="15"/>
      <c r="L203" s="15"/>
    </row>
    <row r="204" spans="9:12" x14ac:dyDescent="0.45">
      <c r="I204" s="15"/>
      <c r="J204" s="15"/>
      <c r="K204" s="15"/>
      <c r="L204" s="15"/>
    </row>
    <row r="205" spans="9:12" x14ac:dyDescent="0.45">
      <c r="I205" s="15"/>
      <c r="J205" s="15"/>
      <c r="K205" s="15"/>
      <c r="L205" s="15"/>
    </row>
    <row r="206" spans="9:12" x14ac:dyDescent="0.45">
      <c r="I206" s="15"/>
      <c r="J206" s="15"/>
      <c r="K206" s="15"/>
      <c r="L206" s="15"/>
    </row>
    <row r="207" spans="9:12" x14ac:dyDescent="0.45">
      <c r="I207" s="15"/>
      <c r="J207" s="15"/>
      <c r="K207" s="15"/>
      <c r="L207" s="15"/>
    </row>
    <row r="208" spans="9:12" x14ac:dyDescent="0.45">
      <c r="I208" s="15"/>
      <c r="J208" s="15"/>
      <c r="K208" s="15"/>
      <c r="L208" s="15"/>
    </row>
    <row r="209" spans="9:12" x14ac:dyDescent="0.45">
      <c r="I209" s="15"/>
      <c r="J209" s="15"/>
      <c r="K209" s="15"/>
      <c r="L209" s="15"/>
    </row>
    <row r="210" spans="9:12" x14ac:dyDescent="0.45">
      <c r="I210" s="15"/>
      <c r="J210" s="15"/>
      <c r="K210" s="15"/>
      <c r="L210" s="15"/>
    </row>
    <row r="211" spans="9:12" x14ac:dyDescent="0.45">
      <c r="I211" s="15"/>
      <c r="J211" s="15"/>
      <c r="K211" s="15"/>
      <c r="L211" s="15"/>
    </row>
    <row r="212" spans="9:12" x14ac:dyDescent="0.45">
      <c r="I212" s="15"/>
      <c r="J212" s="15"/>
      <c r="K212" s="15"/>
      <c r="L212" s="15"/>
    </row>
    <row r="213" spans="9:12" x14ac:dyDescent="0.45">
      <c r="I213" s="15"/>
      <c r="J213" s="15"/>
      <c r="K213" s="15"/>
      <c r="L213" s="15"/>
    </row>
    <row r="214" spans="9:12" x14ac:dyDescent="0.45">
      <c r="I214" s="15"/>
      <c r="J214" s="15"/>
      <c r="K214" s="15"/>
      <c r="L214" s="15"/>
    </row>
    <row r="215" spans="9:12" x14ac:dyDescent="0.45">
      <c r="I215" s="15"/>
      <c r="J215" s="15"/>
      <c r="K215" s="15"/>
      <c r="L215" s="15"/>
    </row>
    <row r="216" spans="9:12" x14ac:dyDescent="0.45">
      <c r="I216" s="15"/>
      <c r="J216" s="15"/>
      <c r="K216" s="15"/>
      <c r="L216" s="15"/>
    </row>
    <row r="217" spans="9:12" x14ac:dyDescent="0.45">
      <c r="I217" s="15"/>
      <c r="J217" s="15"/>
      <c r="K217" s="15"/>
      <c r="L217" s="15"/>
    </row>
    <row r="218" spans="9:12" x14ac:dyDescent="0.45">
      <c r="I218" s="15"/>
      <c r="J218" s="15"/>
      <c r="K218" s="15"/>
      <c r="L218" s="1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547</v>
      </c>
    </row>
    <row r="2" spans="2:13" x14ac:dyDescent="0.45">
      <c r="J2" s="42" t="s">
        <v>504</v>
      </c>
      <c r="K2" s="19" t="s">
        <v>506</v>
      </c>
    </row>
    <row r="3" spans="2:13" x14ac:dyDescent="0.45">
      <c r="B3" s="19" t="s">
        <v>546</v>
      </c>
      <c r="J3" s="42" t="s">
        <v>507</v>
      </c>
      <c r="K3" s="19" t="s">
        <v>519</v>
      </c>
    </row>
    <row r="4" spans="2:13" x14ac:dyDescent="0.45">
      <c r="B4" s="68" t="s">
        <v>544</v>
      </c>
      <c r="F4" s="19"/>
      <c r="G4" s="19"/>
      <c r="H4" s="19"/>
      <c r="I4" s="19"/>
      <c r="J4" s="70" t="s">
        <v>505</v>
      </c>
      <c r="K4" s="19" t="s">
        <v>520</v>
      </c>
    </row>
    <row r="5" spans="2:13" x14ac:dyDescent="0.45">
      <c r="B5" s="69" t="s">
        <v>545</v>
      </c>
      <c r="F5" s="19"/>
      <c r="G5" s="19"/>
      <c r="H5" s="19"/>
      <c r="I5" s="19"/>
      <c r="J5" s="70" t="s">
        <v>518</v>
      </c>
      <c r="K5" s="19" t="s">
        <v>510</v>
      </c>
    </row>
    <row r="6" spans="2:13" x14ac:dyDescent="0.45">
      <c r="F6" s="19"/>
      <c r="G6" s="19"/>
      <c r="H6" s="19"/>
      <c r="I6" s="19"/>
      <c r="J6" s="70" t="s">
        <v>517</v>
      </c>
      <c r="K6" t="str">
        <f>K4&amp;"("&amp;K5&amp;")?"</f>
        <v>T[0-2][0-9]:[0-5][0-9]:[0-5][0-9](\.[0-9]+)?</v>
      </c>
    </row>
    <row r="7" spans="2:13" x14ac:dyDescent="0.45">
      <c r="J7" s="42" t="s">
        <v>542</v>
      </c>
      <c r="K7" s="19" t="s">
        <v>535</v>
      </c>
    </row>
    <row r="8" spans="2:13" x14ac:dyDescent="0.45">
      <c r="F8" s="19"/>
      <c r="G8" s="19"/>
      <c r="H8" s="19"/>
      <c r="I8" s="19"/>
      <c r="J8" s="70" t="s">
        <v>548</v>
      </c>
      <c r="K8" t="str">
        <f>K6&amp;"("&amp;K7&amp;")?"</f>
        <v>T[0-2][0-9]:[0-5][0-9]:[0-5][0-9](\.[0-9]+)?((Z|((\+|\-)[0-2][0-9]:[0-5][0-9])))?</v>
      </c>
    </row>
    <row r="9" spans="2:13" x14ac:dyDescent="0.45">
      <c r="B9" s="52"/>
      <c r="F9" s="67"/>
      <c r="G9" s="67"/>
      <c r="H9" s="67"/>
      <c r="I9" s="67"/>
      <c r="J9" s="70" t="s">
        <v>543</v>
      </c>
      <c r="K9" t="str">
        <f>K6&amp;K7</f>
        <v>T[0-2][0-9]:[0-5][0-9]:[0-5][0-9](\.[0-9]+)?(Z|((\+|\-)[0-2][0-9]:[0-5][0-9]))</v>
      </c>
    </row>
    <row r="10" spans="2:13" x14ac:dyDescent="0.45">
      <c r="F10" s="19"/>
      <c r="G10" s="19"/>
      <c r="H10" s="19"/>
      <c r="I10" s="19"/>
      <c r="J10" s="42" t="s">
        <v>508</v>
      </c>
      <c r="K10" t="s">
        <v>509</v>
      </c>
    </row>
    <row r="11" spans="2:13" x14ac:dyDescent="0.45">
      <c r="B11" t="s">
        <v>512</v>
      </c>
      <c r="F11" s="19"/>
      <c r="G11" s="19"/>
      <c r="H11" s="19"/>
      <c r="I11" s="19"/>
      <c r="J11" s="70" t="s">
        <v>549</v>
      </c>
      <c r="K11" s="85" t="str">
        <f>K2&amp;K3&amp;K10</f>
        <v>^[0-9][0-9][0-9][0-9]\-[[0-1][0-9]\-[0-3][0-9]$</v>
      </c>
    </row>
    <row r="12" spans="2:13" x14ac:dyDescent="0.45">
      <c r="B12" s="61" t="s">
        <v>494</v>
      </c>
      <c r="J12" s="70" t="s">
        <v>550</v>
      </c>
      <c r="K12" s="85" t="str">
        <f>K2&amp;K3&amp;"("&amp;K6&amp;")?"&amp;K10</f>
        <v>^[0-9][0-9][0-9][0-9]\-[[0-1][0-9]\-[0-3][0-9](T[0-2][0-9]:[0-5][0-9]:[0-5][0-9](\.[0-9]+)?)?$</v>
      </c>
    </row>
    <row r="13" spans="2:13" x14ac:dyDescent="0.45">
      <c r="B13" t="s">
        <v>513</v>
      </c>
      <c r="J13" s="70" t="s">
        <v>551</v>
      </c>
      <c r="K13" s="85" t="str">
        <f>K2&amp;K3&amp;"("&amp;K9&amp;")?"&amp;K10</f>
        <v>^[0-9][0-9][0-9][0-9]\-[[0-1][0-9]\-[0-3][0-9](T[0-2][0-9]:[0-5][0-9]:[0-5][0-9](\.[0-9]+)?(Z|((\+|\-)[0-2][0-9]:[0-5][0-9])))?$</v>
      </c>
    </row>
    <row r="14" spans="2:13" x14ac:dyDescent="0.45">
      <c r="B14" s="7" t="s">
        <v>495</v>
      </c>
      <c r="J14" s="70" t="s">
        <v>552</v>
      </c>
      <c r="K14" s="85" t="str">
        <f>K2&amp;K3&amp;"("&amp;K8&amp;")?"&amp;K10</f>
        <v>^[0-9][0-9][0-9][0-9]\-[[0-1][0-9]\-[0-3][0-9](T[0-2][0-9]:[0-5][0-9]:[0-5][0-9](\.[0-9]+)?((Z|((\+|\-)[0-2][0-9]:[0-5][0-9])))?)?$</v>
      </c>
    </row>
    <row r="15" spans="2:13" x14ac:dyDescent="0.45">
      <c r="E15" s="67"/>
    </row>
    <row r="16" spans="2:13" x14ac:dyDescent="0.45">
      <c r="B16" t="s">
        <v>514</v>
      </c>
      <c r="C16" s="19" t="str" cm="1">
        <f t="array" ref="C16:F16">TRANSPOSE(J11:J14)</f>
        <v>rxNoNo - accept date, reject datetime</v>
      </c>
      <c r="D16" s="19" t="str">
        <v>rxYesNo - accept date, accept datetime without time zone, reject datetime with time zone</v>
      </c>
      <c r="E16" s="19" t="str">
        <v>rxNoYes - accept date, reject datetime without time zone, accept datetime with time zone</v>
      </c>
      <c r="F16" t="str">
        <v>rxYesYes - accept date, accept datetime without time zone, accept datetime with time zone</v>
      </c>
      <c r="H16" t="s">
        <v>515</v>
      </c>
      <c r="I16" s="19" t="str" cm="1">
        <f t="array" ref="I16:L16">TRANSPOSE(J11:J14)</f>
        <v>rxNoNo - accept date, reject datetime</v>
      </c>
      <c r="J16" s="19" t="str">
        <v>rxYesNo - accept date, accept datetime without time zone, reject datetime with time zone</v>
      </c>
      <c r="K16" s="19" t="str">
        <v>rxNoYes - accept date, reject datetime without time zone, accept datetime with time zone</v>
      </c>
      <c r="L16" t="str">
        <v>rxYesYes - accept date, accept datetime without time zone, accept datetime with time zone</v>
      </c>
      <c r="M16" s="19"/>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62"/>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62"/>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62"/>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62"/>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62"/>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62"/>
    </row>
    <row r="23" spans="2:13" x14ac:dyDescent="0.45">
      <c r="B23" t="str">
        <f ca="1"/>
        <v>2022-08-17T18:58:38.966-07:00</v>
      </c>
      <c r="C23" t="b">
        <f ca="1"/>
        <v>0</v>
      </c>
      <c r="D23" t="b">
        <f ca="1"/>
        <v>0</v>
      </c>
      <c r="E23" t="b">
        <f ca="1"/>
        <v>1</v>
      </c>
      <c r="F23" t="b">
        <f ca="1"/>
        <v>1</v>
      </c>
      <c r="G23" s="19"/>
      <c r="H23" t="str">
        <f ca="1"/>
        <v>2021-06-29T17:58:60.492-12:00</v>
      </c>
      <c r="I23" t="b">
        <f ca="1"/>
        <v>0</v>
      </c>
      <c r="J23" t="b">
        <f ca="1"/>
        <v>0</v>
      </c>
      <c r="K23" t="b">
        <f ca="1"/>
        <v>0</v>
      </c>
      <c r="L23" t="b">
        <f ca="1"/>
        <v>0</v>
      </c>
      <c r="M23" s="62"/>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62"/>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62"/>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62"/>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62"/>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62"/>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62"/>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62"/>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62"/>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62"/>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62"/>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62"/>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62"/>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62"/>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62"/>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62"/>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62"/>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62"/>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62"/>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62"/>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62"/>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62"/>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62"/>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62"/>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62"/>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62"/>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62"/>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62"/>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62"/>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62"/>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62"/>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62"/>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62"/>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62"/>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62"/>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62"/>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62"/>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62"/>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62"/>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62"/>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62"/>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62"/>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62"/>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62"/>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62"/>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62"/>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62"/>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62"/>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62"/>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62"/>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62"/>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62"/>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62"/>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62"/>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62"/>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62"/>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62"/>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62"/>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62"/>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62"/>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62"/>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62"/>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62"/>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62"/>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62"/>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62"/>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62"/>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62"/>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62"/>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62"/>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62"/>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62"/>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62"/>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62"/>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62"/>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62"/>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62"/>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62"/>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62"/>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62"/>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62"/>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62"/>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62"/>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62"/>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62"/>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62"/>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62"/>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62"/>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62"/>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62"/>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62"/>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62"/>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62"/>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62"/>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62"/>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62"/>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62"/>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62"/>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62"/>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62"/>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62"/>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62"/>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62"/>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62"/>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62"/>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62"/>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62"/>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62"/>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62"/>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62"/>
    </row>
    <row r="133" spans="2:13" x14ac:dyDescent="0.45">
      <c r="B133" s="19" t="str">
        <f ca="1"/>
        <v>2023-09-24</v>
      </c>
      <c r="C133" t="b">
        <f ca="1"/>
        <v>1</v>
      </c>
      <c r="D133" t="b">
        <f ca="1"/>
        <v>1</v>
      </c>
      <c r="E133" t="b">
        <f ca="1"/>
        <v>1</v>
      </c>
      <c r="F133" t="b">
        <f ca="1"/>
        <v>1</v>
      </c>
      <c r="H133" t="str">
        <f ca="1"/>
        <v>2023-03-08T06:29:x8Z</v>
      </c>
      <c r="I133" t="b">
        <f ca="1"/>
        <v>0</v>
      </c>
      <c r="J133" t="b">
        <f ca="1"/>
        <v>0</v>
      </c>
      <c r="K133" t="b">
        <f ca="1"/>
        <v>0</v>
      </c>
      <c r="L133" t="b">
        <f ca="1"/>
        <v>0</v>
      </c>
      <c r="M133" s="62"/>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62"/>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62"/>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62"/>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62"/>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62"/>
    </row>
    <row r="139" spans="2:13" x14ac:dyDescent="0.45">
      <c r="B139" s="19" t="str">
        <f ca="1"/>
        <v>2022-02-26</v>
      </c>
      <c r="C139" t="b">
        <f ca="1"/>
        <v>1</v>
      </c>
      <c r="D139" t="b">
        <f ca="1"/>
        <v>1</v>
      </c>
      <c r="E139" t="b">
        <f ca="1"/>
        <v>1</v>
      </c>
      <c r="F139" t="b">
        <f ca="1"/>
        <v>1</v>
      </c>
      <c r="H139" t="str">
        <f ca="1"/>
        <v>20x2-09-01T00:08:26.304</v>
      </c>
      <c r="I139" t="b">
        <f ca="1"/>
        <v>0</v>
      </c>
      <c r="J139" t="b">
        <f ca="1"/>
        <v>0</v>
      </c>
      <c r="K139" t="b">
        <f ca="1"/>
        <v>0</v>
      </c>
      <c r="L139" t="b">
        <f ca="1"/>
        <v>0</v>
      </c>
      <c r="M139" s="62"/>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62"/>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62"/>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62"/>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62"/>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62"/>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62"/>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62"/>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62"/>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62"/>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62"/>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62"/>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4" t="s">
        <v>194</v>
      </c>
    </row>
    <row r="3" spans="2:21" x14ac:dyDescent="0.45">
      <c r="I3" s="22" t="s">
        <v>195</v>
      </c>
      <c r="U3" s="22" t="s">
        <v>196</v>
      </c>
    </row>
    <row r="4" spans="2:21" x14ac:dyDescent="0.45">
      <c r="I4" s="23" t="s">
        <v>203</v>
      </c>
      <c r="U4" s="24" t="s">
        <v>197</v>
      </c>
    </row>
    <row r="5" spans="2:21" x14ac:dyDescent="0.45">
      <c r="B5" s="25" t="s">
        <v>198</v>
      </c>
      <c r="C5" s="26" t="s">
        <v>199</v>
      </c>
      <c r="D5" s="72" t="s">
        <v>200</v>
      </c>
      <c r="E5" s="27" t="s">
        <v>201</v>
      </c>
      <c r="F5" s="28" t="s">
        <v>202</v>
      </c>
      <c r="I5" s="23" t="s">
        <v>212</v>
      </c>
      <c r="U5" s="24" t="s">
        <v>204</v>
      </c>
    </row>
    <row r="6" spans="2:21" x14ac:dyDescent="0.45">
      <c r="B6" s="71">
        <v>54</v>
      </c>
      <c r="C6" s="29">
        <v>44438</v>
      </c>
      <c r="D6" s="73">
        <v>0.32952546296291985</v>
      </c>
      <c r="E6" s="30" t="s">
        <v>205</v>
      </c>
      <c r="F6" s="31" t="s">
        <v>759</v>
      </c>
      <c r="I6" s="23" t="s">
        <v>208</v>
      </c>
    </row>
    <row r="7" spans="2:21" x14ac:dyDescent="0.45">
      <c r="B7" s="71">
        <v>53</v>
      </c>
      <c r="C7" s="29">
        <v>44436</v>
      </c>
      <c r="D7" s="73">
        <v>0.65918981481809169</v>
      </c>
      <c r="E7" s="30" t="s">
        <v>205</v>
      </c>
      <c r="F7" s="31" t="s">
        <v>617</v>
      </c>
      <c r="I7" s="19" t="s">
        <v>409</v>
      </c>
    </row>
    <row r="8" spans="2:21" x14ac:dyDescent="0.45">
      <c r="B8" s="71">
        <v>52</v>
      </c>
      <c r="C8" s="29">
        <v>44435</v>
      </c>
      <c r="D8" s="73">
        <v>0.85357638888672227</v>
      </c>
      <c r="E8" s="30" t="s">
        <v>205</v>
      </c>
      <c r="F8" s="32" t="s">
        <v>593</v>
      </c>
      <c r="I8" s="23" t="s">
        <v>212</v>
      </c>
    </row>
    <row r="9" spans="2:21" x14ac:dyDescent="0.45">
      <c r="B9" s="71">
        <v>51</v>
      </c>
      <c r="C9" s="29">
        <v>44434</v>
      </c>
      <c r="D9" s="73">
        <v>0.80643518518627388</v>
      </c>
      <c r="E9" s="30" t="s">
        <v>205</v>
      </c>
      <c r="F9" s="31" t="s">
        <v>582</v>
      </c>
      <c r="I9" s="23" t="s">
        <v>386</v>
      </c>
    </row>
    <row r="10" spans="2:21" x14ac:dyDescent="0.45">
      <c r="B10" s="71">
        <v>50</v>
      </c>
      <c r="C10" s="29">
        <v>44434</v>
      </c>
      <c r="D10" s="73">
        <v>0.80153935185080627</v>
      </c>
      <c r="E10" s="30" t="s">
        <v>205</v>
      </c>
      <c r="F10" s="31" t="s">
        <v>581</v>
      </c>
      <c r="I10" s="23" t="s">
        <v>410</v>
      </c>
    </row>
    <row r="11" spans="2:21" x14ac:dyDescent="0.45">
      <c r="B11" s="71">
        <v>49</v>
      </c>
      <c r="C11" s="29">
        <v>44434</v>
      </c>
      <c r="D11" s="73">
        <v>0.77059027777431766</v>
      </c>
      <c r="E11" s="30" t="s">
        <v>205</v>
      </c>
      <c r="F11" s="31" t="s">
        <v>578</v>
      </c>
      <c r="I11" s="23" t="s">
        <v>411</v>
      </c>
    </row>
    <row r="12" spans="2:21" x14ac:dyDescent="0.45">
      <c r="B12" s="71">
        <v>48</v>
      </c>
      <c r="C12" s="29">
        <v>44434</v>
      </c>
      <c r="D12" s="73">
        <v>0.57442129629635019</v>
      </c>
      <c r="E12" s="30" t="s">
        <v>205</v>
      </c>
      <c r="F12" s="32" t="s">
        <v>577</v>
      </c>
      <c r="I12" s="23" t="s">
        <v>412</v>
      </c>
      <c r="U12" s="22" t="s">
        <v>453</v>
      </c>
    </row>
    <row r="13" spans="2:21" x14ac:dyDescent="0.45">
      <c r="B13" s="71">
        <v>47</v>
      </c>
      <c r="C13" s="29">
        <v>44434</v>
      </c>
      <c r="D13" s="73">
        <v>0.57239583333284827</v>
      </c>
      <c r="E13" s="30" t="s">
        <v>205</v>
      </c>
      <c r="F13" s="31" t="s">
        <v>556</v>
      </c>
      <c r="I13" s="23" t="s">
        <v>427</v>
      </c>
      <c r="U13" t="s">
        <v>454</v>
      </c>
    </row>
    <row r="14" spans="2:21" x14ac:dyDescent="0.45">
      <c r="B14" s="63">
        <v>46</v>
      </c>
      <c r="C14" s="29">
        <v>44433</v>
      </c>
      <c r="D14" s="73">
        <v>1.0671296295186039E-2</v>
      </c>
      <c r="E14" s="30" t="s">
        <v>205</v>
      </c>
      <c r="F14" s="31" t="s">
        <v>525</v>
      </c>
      <c r="I14" s="23" t="s">
        <v>442</v>
      </c>
      <c r="U14" s="24" t="s">
        <v>455</v>
      </c>
    </row>
    <row r="15" spans="2:21" x14ac:dyDescent="0.45">
      <c r="B15" s="63">
        <v>45</v>
      </c>
      <c r="C15" s="29">
        <v>44432</v>
      </c>
      <c r="D15" s="73">
        <v>0.82049768518481869</v>
      </c>
      <c r="E15" s="30" t="s">
        <v>205</v>
      </c>
      <c r="F15" s="31" t="s">
        <v>516</v>
      </c>
      <c r="I15" s="23" t="s">
        <v>443</v>
      </c>
      <c r="U15" t="s">
        <v>456</v>
      </c>
    </row>
    <row r="16" spans="2:21" x14ac:dyDescent="0.45">
      <c r="B16" s="63">
        <v>44</v>
      </c>
      <c r="C16" s="29">
        <v>44432</v>
      </c>
      <c r="D16" s="73">
        <v>0.799525462964084</v>
      </c>
      <c r="E16" s="30" t="s">
        <v>205</v>
      </c>
      <c r="F16" s="32" t="s">
        <v>511</v>
      </c>
      <c r="I16" s="23" t="s">
        <v>423</v>
      </c>
      <c r="U16" s="24" t="s">
        <v>457</v>
      </c>
    </row>
    <row r="17" spans="2:21" x14ac:dyDescent="0.45">
      <c r="B17" s="63">
        <v>43</v>
      </c>
      <c r="C17" s="29">
        <v>44432</v>
      </c>
      <c r="D17" s="73">
        <v>0.43258101851824904</v>
      </c>
      <c r="E17" s="30" t="s">
        <v>205</v>
      </c>
      <c r="F17" s="31" t="s">
        <v>500</v>
      </c>
      <c r="I17" s="23" t="s">
        <v>424</v>
      </c>
      <c r="U17" t="s">
        <v>397</v>
      </c>
    </row>
    <row r="18" spans="2:21" x14ac:dyDescent="0.45">
      <c r="B18" s="63">
        <v>42</v>
      </c>
      <c r="C18" s="29">
        <v>44432</v>
      </c>
      <c r="D18" s="73">
        <v>0.40347222222044365</v>
      </c>
      <c r="E18" s="30" t="s">
        <v>205</v>
      </c>
      <c r="F18" s="31" t="s">
        <v>499</v>
      </c>
      <c r="I18" s="23" t="s">
        <v>425</v>
      </c>
      <c r="U18" s="24" t="s">
        <v>458</v>
      </c>
    </row>
    <row r="19" spans="2:21" x14ac:dyDescent="0.45">
      <c r="B19" s="63">
        <v>41</v>
      </c>
      <c r="C19" s="29">
        <v>44429</v>
      </c>
      <c r="D19" s="73">
        <v>0.79307870370394085</v>
      </c>
      <c r="E19" s="30" t="s">
        <v>205</v>
      </c>
      <c r="F19" s="31" t="s">
        <v>483</v>
      </c>
      <c r="I19" s="23" t="s">
        <v>426</v>
      </c>
    </row>
    <row r="20" spans="2:21" x14ac:dyDescent="0.45">
      <c r="B20" s="63">
        <v>40</v>
      </c>
      <c r="C20" s="29">
        <v>44429</v>
      </c>
      <c r="D20" s="73">
        <v>0.49694444444321562</v>
      </c>
      <c r="E20" s="30" t="s">
        <v>205</v>
      </c>
      <c r="F20" s="31" t="s">
        <v>482</v>
      </c>
      <c r="I20" s="23" t="s">
        <v>447</v>
      </c>
      <c r="U20" s="56" t="s">
        <v>463</v>
      </c>
    </row>
    <row r="21" spans="2:21" x14ac:dyDescent="0.45">
      <c r="B21" s="63">
        <v>39</v>
      </c>
      <c r="C21" s="29">
        <v>44428</v>
      </c>
      <c r="D21" s="73">
        <v>0.52388888888526708</v>
      </c>
      <c r="E21" s="30" t="s">
        <v>205</v>
      </c>
      <c r="F21" s="31" t="s">
        <v>464</v>
      </c>
      <c r="I21" s="23" t="s">
        <v>448</v>
      </c>
    </row>
    <row r="22" spans="2:21" x14ac:dyDescent="0.45">
      <c r="B22" s="63">
        <v>38</v>
      </c>
      <c r="C22" s="29">
        <v>44428</v>
      </c>
      <c r="D22" s="73">
        <v>0.37546296296204673</v>
      </c>
      <c r="E22" s="30" t="s">
        <v>205</v>
      </c>
      <c r="F22" s="31" t="s">
        <v>459</v>
      </c>
      <c r="I22" s="23" t="s">
        <v>449</v>
      </c>
    </row>
    <row r="23" spans="2:21" x14ac:dyDescent="0.45">
      <c r="B23" s="63">
        <v>37</v>
      </c>
      <c r="C23" s="29">
        <v>44427</v>
      </c>
      <c r="D23" s="73">
        <v>0.80869212962716119</v>
      </c>
      <c r="E23" s="30" t="s">
        <v>205</v>
      </c>
      <c r="F23" s="31" t="s">
        <v>451</v>
      </c>
      <c r="I23" s="23" t="s">
        <v>460</v>
      </c>
    </row>
    <row r="24" spans="2:21" x14ac:dyDescent="0.45">
      <c r="B24" s="63">
        <v>36</v>
      </c>
      <c r="C24" s="29">
        <v>44427</v>
      </c>
      <c r="D24" s="73">
        <v>0.74518518518743804</v>
      </c>
      <c r="E24" s="30" t="s">
        <v>205</v>
      </c>
      <c r="F24" s="31" t="s">
        <v>446</v>
      </c>
      <c r="I24" s="23" t="s">
        <v>461</v>
      </c>
    </row>
    <row r="25" spans="2:21" x14ac:dyDescent="0.45">
      <c r="B25" s="63">
        <v>35</v>
      </c>
      <c r="C25" s="29">
        <v>44427</v>
      </c>
      <c r="D25" s="73">
        <v>0.51920138888817746</v>
      </c>
      <c r="E25" s="30" t="s">
        <v>205</v>
      </c>
      <c r="F25" s="31" t="s">
        <v>437</v>
      </c>
      <c r="I25" s="57" t="s">
        <v>462</v>
      </c>
      <c r="T25" s="42" t="str">
        <f t="array" aca="1" ref="T25:T40" ca="1">"*"</f>
        <v>*</v>
      </c>
      <c r="U25" s="22" t="s">
        <v>763</v>
      </c>
    </row>
    <row r="26" spans="2:21" x14ac:dyDescent="0.45">
      <c r="B26" s="63">
        <v>34</v>
      </c>
      <c r="C26" s="29">
        <v>44426</v>
      </c>
      <c r="D26" s="73">
        <v>0.84697916666482342</v>
      </c>
      <c r="E26" s="30" t="s">
        <v>205</v>
      </c>
      <c r="F26" s="31" t="s">
        <v>422</v>
      </c>
      <c r="I26" s="23" t="s">
        <v>481</v>
      </c>
      <c r="T26" s="42" t="str">
        <f ca="1"/>
        <v>*</v>
      </c>
      <c r="U26" t="s">
        <v>778</v>
      </c>
    </row>
    <row r="27" spans="2:21" x14ac:dyDescent="0.45">
      <c r="B27" s="63">
        <v>33</v>
      </c>
      <c r="C27" s="29">
        <v>44426</v>
      </c>
      <c r="D27" s="73">
        <v>0.84443287036992842</v>
      </c>
      <c r="E27" s="30" t="s">
        <v>205</v>
      </c>
      <c r="F27" s="31" t="s">
        <v>421</v>
      </c>
      <c r="I27" t="s">
        <v>575</v>
      </c>
      <c r="T27" s="42" t="str">
        <f ca="1"/>
        <v>*</v>
      </c>
      <c r="U27" t="s">
        <v>764</v>
      </c>
    </row>
    <row r="28" spans="2:21" x14ac:dyDescent="0.45">
      <c r="B28" s="63">
        <v>32</v>
      </c>
      <c r="C28" s="29">
        <v>44424</v>
      </c>
      <c r="D28" s="73">
        <v>0.93637731481430819</v>
      </c>
      <c r="E28" s="30" t="s">
        <v>205</v>
      </c>
      <c r="F28" s="32" t="s">
        <v>413</v>
      </c>
      <c r="I28" t="s">
        <v>576</v>
      </c>
      <c r="T28" s="42" t="str">
        <f ca="1"/>
        <v>*</v>
      </c>
      <c r="U28" t="s">
        <v>765</v>
      </c>
    </row>
    <row r="29" spans="2:21" x14ac:dyDescent="0.45">
      <c r="B29" s="63">
        <v>31</v>
      </c>
      <c r="C29" s="29">
        <v>44424</v>
      </c>
      <c r="D29" s="73">
        <v>0.49105324073752854</v>
      </c>
      <c r="E29" s="30" t="s">
        <v>205</v>
      </c>
      <c r="F29" s="31" t="s">
        <v>408</v>
      </c>
      <c r="I29" t="s">
        <v>579</v>
      </c>
      <c r="T29" s="42" t="str">
        <f ca="1"/>
        <v>*</v>
      </c>
      <c r="U29" t="s">
        <v>766</v>
      </c>
    </row>
    <row r="30" spans="2:21" x14ac:dyDescent="0.45">
      <c r="B30" s="63">
        <v>30</v>
      </c>
      <c r="C30" s="29">
        <v>44423</v>
      </c>
      <c r="D30" s="73">
        <v>0.49593750000349246</v>
      </c>
      <c r="E30" s="30" t="s">
        <v>205</v>
      </c>
      <c r="F30" s="31" t="s">
        <v>268</v>
      </c>
      <c r="I30" s="23" t="s">
        <v>526</v>
      </c>
      <c r="T30" s="42" t="str">
        <f ca="1"/>
        <v>*</v>
      </c>
      <c r="U30" t="s">
        <v>767</v>
      </c>
    </row>
    <row r="31" spans="2:21" x14ac:dyDescent="0.45">
      <c r="B31" s="63">
        <v>29</v>
      </c>
      <c r="C31" s="29">
        <v>44423</v>
      </c>
      <c r="D31" s="73">
        <v>0.437638888892252</v>
      </c>
      <c r="E31" s="30" t="s">
        <v>205</v>
      </c>
      <c r="F31" s="31" t="s">
        <v>206</v>
      </c>
      <c r="I31" s="23" t="s">
        <v>527</v>
      </c>
      <c r="T31" s="42" t="str">
        <f ca="1"/>
        <v>*</v>
      </c>
      <c r="U31" t="s">
        <v>768</v>
      </c>
    </row>
    <row r="32" spans="2:21" x14ac:dyDescent="0.45">
      <c r="B32" s="63">
        <v>28</v>
      </c>
      <c r="C32" s="29">
        <v>44423</v>
      </c>
      <c r="D32" s="73">
        <v>0.33465277777577285</v>
      </c>
      <c r="E32" s="30" t="s">
        <v>205</v>
      </c>
      <c r="F32" s="31" t="s">
        <v>207</v>
      </c>
      <c r="I32" s="23" t="s">
        <v>528</v>
      </c>
      <c r="T32" s="42" t="str">
        <f ca="1"/>
        <v>*</v>
      </c>
      <c r="U32" t="s">
        <v>769</v>
      </c>
    </row>
    <row r="33" spans="2:21" x14ac:dyDescent="0.45">
      <c r="B33" s="63">
        <v>27</v>
      </c>
      <c r="C33" s="29">
        <v>44421</v>
      </c>
      <c r="D33" s="73">
        <v>0.84150462962861639</v>
      </c>
      <c r="E33" s="30" t="s">
        <v>205</v>
      </c>
      <c r="F33" s="31" t="s">
        <v>209</v>
      </c>
      <c r="I33" s="23" t="s">
        <v>529</v>
      </c>
      <c r="T33" s="42" t="str">
        <f ca="1"/>
        <v>*</v>
      </c>
      <c r="U33" t="s">
        <v>770</v>
      </c>
    </row>
    <row r="34" spans="2:21" x14ac:dyDescent="0.45">
      <c r="B34" s="63">
        <v>26</v>
      </c>
      <c r="C34" s="29">
        <v>44421</v>
      </c>
      <c r="D34" s="73">
        <v>0.83098379629518604</v>
      </c>
      <c r="E34" s="30" t="s">
        <v>205</v>
      </c>
      <c r="F34" s="31" t="s">
        <v>210</v>
      </c>
      <c r="I34" t="s">
        <v>530</v>
      </c>
      <c r="T34" s="42" t="str">
        <f ca="1"/>
        <v>*</v>
      </c>
      <c r="U34" t="s">
        <v>771</v>
      </c>
    </row>
    <row r="35" spans="2:21" x14ac:dyDescent="0.45">
      <c r="B35" s="63">
        <v>25</v>
      </c>
      <c r="C35" s="29">
        <v>44421</v>
      </c>
      <c r="D35" s="73">
        <v>0.73097222221986158</v>
      </c>
      <c r="E35" s="30" t="s">
        <v>205</v>
      </c>
      <c r="F35" s="31" t="s">
        <v>211</v>
      </c>
      <c r="I35" s="23" t="s">
        <v>531</v>
      </c>
      <c r="T35" s="42" t="str">
        <f ca="1"/>
        <v>*</v>
      </c>
      <c r="U35" t="s">
        <v>772</v>
      </c>
    </row>
    <row r="36" spans="2:21" x14ac:dyDescent="0.45">
      <c r="B36" s="63">
        <v>24</v>
      </c>
      <c r="C36" s="29">
        <v>44421</v>
      </c>
      <c r="D36" s="73">
        <v>0.71106481481547235</v>
      </c>
      <c r="E36" s="30" t="s">
        <v>205</v>
      </c>
      <c r="F36" s="31" t="s">
        <v>213</v>
      </c>
      <c r="I36" s="57" t="s">
        <v>534</v>
      </c>
      <c r="T36" s="42" t="str">
        <f ca="1"/>
        <v>*</v>
      </c>
      <c r="U36" t="s">
        <v>773</v>
      </c>
    </row>
    <row r="37" spans="2:21" x14ac:dyDescent="0.45">
      <c r="B37" s="63">
        <v>23</v>
      </c>
      <c r="C37" s="29">
        <v>44420</v>
      </c>
      <c r="D37" s="73">
        <v>0.80428240740729962</v>
      </c>
      <c r="E37" s="30" t="s">
        <v>205</v>
      </c>
      <c r="F37" s="31" t="s">
        <v>214</v>
      </c>
      <c r="I37" s="23" t="s">
        <v>541</v>
      </c>
      <c r="T37" s="42" t="str">
        <f ca="1"/>
        <v>*</v>
      </c>
      <c r="U37" t="s">
        <v>774</v>
      </c>
    </row>
    <row r="38" spans="2:21" x14ac:dyDescent="0.45">
      <c r="B38" s="63">
        <v>22</v>
      </c>
      <c r="C38" s="29">
        <v>44420</v>
      </c>
      <c r="D38" s="73">
        <v>0.74781249999796273</v>
      </c>
      <c r="E38" s="30" t="s">
        <v>205</v>
      </c>
      <c r="F38" s="32" t="s">
        <v>215</v>
      </c>
      <c r="I38" s="23" t="s">
        <v>580</v>
      </c>
      <c r="T38" s="42" t="str">
        <f ca="1"/>
        <v>*</v>
      </c>
      <c r="U38" t="s">
        <v>775</v>
      </c>
    </row>
    <row r="39" spans="2:21" x14ac:dyDescent="0.45">
      <c r="B39" s="63">
        <v>21</v>
      </c>
      <c r="C39" s="29">
        <v>44419</v>
      </c>
      <c r="D39" s="73">
        <v>0.98854166666569654</v>
      </c>
      <c r="E39" s="30" t="s">
        <v>205</v>
      </c>
      <c r="F39" s="31" t="s">
        <v>216</v>
      </c>
      <c r="I39" t="s">
        <v>760</v>
      </c>
      <c r="T39" s="42" t="str">
        <f ca="1"/>
        <v>*</v>
      </c>
      <c r="U39" t="s">
        <v>776</v>
      </c>
    </row>
    <row r="40" spans="2:21" x14ac:dyDescent="0.45">
      <c r="B40" s="63">
        <v>20</v>
      </c>
      <c r="C40" s="29">
        <v>44419</v>
      </c>
      <c r="D40" s="73">
        <v>0.98135416666627862</v>
      </c>
      <c r="E40" s="30" t="s">
        <v>205</v>
      </c>
      <c r="F40" s="31" t="s">
        <v>217</v>
      </c>
      <c r="I40" t="s">
        <v>761</v>
      </c>
      <c r="T40" s="42" t="str">
        <f ca="1"/>
        <v>*</v>
      </c>
      <c r="U40" t="s">
        <v>777</v>
      </c>
    </row>
    <row r="41" spans="2:21" x14ac:dyDescent="0.45">
      <c r="B41" s="63">
        <v>19</v>
      </c>
      <c r="C41" s="29">
        <v>44419</v>
      </c>
      <c r="D41" s="73">
        <v>0.82271990740991896</v>
      </c>
      <c r="E41" s="30" t="s">
        <v>205</v>
      </c>
      <c r="F41" s="31" t="s">
        <v>218</v>
      </c>
      <c r="I41" t="s">
        <v>762</v>
      </c>
    </row>
    <row r="42" spans="2:21" x14ac:dyDescent="0.45">
      <c r="B42" s="63">
        <v>18</v>
      </c>
      <c r="C42" s="29">
        <v>44419</v>
      </c>
      <c r="D42" s="73">
        <v>0.73975694444379769</v>
      </c>
      <c r="E42" s="30" t="s">
        <v>205</v>
      </c>
      <c r="F42" s="31" t="s">
        <v>219</v>
      </c>
    </row>
    <row r="43" spans="2:21" x14ac:dyDescent="0.45">
      <c r="B43" s="63">
        <v>17</v>
      </c>
      <c r="C43" s="29">
        <v>44419</v>
      </c>
      <c r="D43" s="73">
        <v>0.708356481482042</v>
      </c>
      <c r="E43" s="30" t="s">
        <v>205</v>
      </c>
      <c r="F43" s="31" t="s">
        <v>220</v>
      </c>
    </row>
    <row r="44" spans="2:21" x14ac:dyDescent="0.45">
      <c r="B44" s="63">
        <v>16</v>
      </c>
      <c r="C44" s="29">
        <v>44419</v>
      </c>
      <c r="D44" s="73">
        <v>0.51960648148087785</v>
      </c>
      <c r="E44" s="30" t="s">
        <v>205</v>
      </c>
      <c r="F44" s="31" t="s">
        <v>221</v>
      </c>
      <c r="I44" s="22" t="s">
        <v>475</v>
      </c>
    </row>
    <row r="45" spans="2:21" x14ac:dyDescent="0.45">
      <c r="B45" s="63">
        <v>15</v>
      </c>
      <c r="C45" s="29">
        <v>44419</v>
      </c>
      <c r="D45" s="73">
        <v>0.49577546296495711</v>
      </c>
      <c r="E45" s="30" t="s">
        <v>205</v>
      </c>
      <c r="F45" s="32" t="s">
        <v>222</v>
      </c>
      <c r="I45" t="s">
        <v>476</v>
      </c>
    </row>
    <row r="46" spans="2:21" x14ac:dyDescent="0.45">
      <c r="B46" s="63">
        <v>14</v>
      </c>
      <c r="C46" s="29">
        <v>44419</v>
      </c>
      <c r="D46" s="73">
        <v>0.49174768518423662</v>
      </c>
      <c r="E46" s="30" t="s">
        <v>205</v>
      </c>
      <c r="F46" s="31" t="s">
        <v>223</v>
      </c>
      <c r="I46" t="s">
        <v>477</v>
      </c>
    </row>
    <row r="47" spans="2:21" x14ac:dyDescent="0.45">
      <c r="B47" s="63">
        <v>13</v>
      </c>
      <c r="C47" s="29">
        <v>44419</v>
      </c>
      <c r="D47" s="73">
        <v>0.49034722222131677</v>
      </c>
      <c r="E47" s="30" t="s">
        <v>205</v>
      </c>
      <c r="F47" s="31" t="s">
        <v>224</v>
      </c>
      <c r="I47" t="s">
        <v>478</v>
      </c>
    </row>
    <row r="48" spans="2:21" x14ac:dyDescent="0.45">
      <c r="B48" s="63">
        <v>12</v>
      </c>
      <c r="C48" s="29">
        <v>44419</v>
      </c>
      <c r="D48" s="73">
        <v>0.48190972222073469</v>
      </c>
      <c r="E48" s="30" t="s">
        <v>205</v>
      </c>
      <c r="F48" s="31" t="s">
        <v>225</v>
      </c>
      <c r="I48" t="s">
        <v>487</v>
      </c>
    </row>
    <row r="49" spans="2:9" x14ac:dyDescent="0.45">
      <c r="B49" s="63">
        <v>11</v>
      </c>
      <c r="C49" s="29">
        <v>44418</v>
      </c>
      <c r="D49" s="73">
        <v>0.95467592592467554</v>
      </c>
      <c r="E49" s="30" t="s">
        <v>205</v>
      </c>
      <c r="F49" s="32" t="s">
        <v>226</v>
      </c>
      <c r="I49" s="19" t="s">
        <v>485</v>
      </c>
    </row>
    <row r="50" spans="2:9" x14ac:dyDescent="0.45">
      <c r="B50" s="63">
        <v>10</v>
      </c>
      <c r="C50" s="29">
        <v>44418</v>
      </c>
      <c r="D50" s="73">
        <v>0.73436342592322035</v>
      </c>
      <c r="E50" s="30" t="s">
        <v>205</v>
      </c>
      <c r="F50" s="32" t="s">
        <v>227</v>
      </c>
      <c r="I50" t="s">
        <v>486</v>
      </c>
    </row>
    <row r="51" spans="2:9" x14ac:dyDescent="0.45">
      <c r="B51" s="63">
        <v>9</v>
      </c>
      <c r="C51" s="29">
        <v>44417</v>
      </c>
      <c r="D51" s="73">
        <v>0.54605324073781958</v>
      </c>
      <c r="E51" s="30" t="s">
        <v>205</v>
      </c>
      <c r="F51" s="31" t="s">
        <v>228</v>
      </c>
      <c r="I51" s="19" t="s">
        <v>479</v>
      </c>
    </row>
    <row r="52" spans="2:9" x14ac:dyDescent="0.45">
      <c r="B52" s="63">
        <v>8</v>
      </c>
      <c r="C52" s="29">
        <v>44416</v>
      </c>
      <c r="D52" s="73">
        <v>0.54939814814861165</v>
      </c>
      <c r="E52" s="30" t="s">
        <v>205</v>
      </c>
      <c r="F52" s="31" t="s">
        <v>229</v>
      </c>
      <c r="I52" t="s">
        <v>480</v>
      </c>
    </row>
    <row r="53" spans="2:9" x14ac:dyDescent="0.45">
      <c r="B53" s="63">
        <v>7</v>
      </c>
      <c r="C53" s="29">
        <v>44415</v>
      </c>
      <c r="D53" s="73">
        <v>0.96137731481576338</v>
      </c>
      <c r="E53" s="30" t="s">
        <v>205</v>
      </c>
      <c r="F53" s="31" t="s">
        <v>230</v>
      </c>
    </row>
    <row r="54" spans="2:9" x14ac:dyDescent="0.45">
      <c r="B54" s="63">
        <v>6</v>
      </c>
      <c r="C54" s="29">
        <v>44414</v>
      </c>
      <c r="D54" s="73">
        <v>0.66607638888672227</v>
      </c>
      <c r="E54" s="30" t="s">
        <v>205</v>
      </c>
      <c r="F54" s="32" t="s">
        <v>231</v>
      </c>
    </row>
    <row r="55" spans="2:9" x14ac:dyDescent="0.45">
      <c r="B55" s="63">
        <v>5</v>
      </c>
      <c r="C55" s="29">
        <v>44412</v>
      </c>
      <c r="D55" s="73">
        <v>0.34912037036701804</v>
      </c>
      <c r="E55" s="30" t="s">
        <v>205</v>
      </c>
      <c r="F55" s="32" t="s">
        <v>232</v>
      </c>
    </row>
    <row r="56" spans="2:9" x14ac:dyDescent="0.45">
      <c r="B56" s="63">
        <v>4</v>
      </c>
      <c r="C56" s="29">
        <v>44411</v>
      </c>
      <c r="D56" s="73">
        <v>0.37682870370190358</v>
      </c>
      <c r="E56" s="30" t="s">
        <v>205</v>
      </c>
      <c r="F56" s="31" t="s">
        <v>233</v>
      </c>
    </row>
    <row r="57" spans="2:9" x14ac:dyDescent="0.45">
      <c r="B57" s="63">
        <v>3</v>
      </c>
      <c r="C57" s="29">
        <v>44406</v>
      </c>
      <c r="D57" s="73">
        <v>0.59842592592758592</v>
      </c>
      <c r="E57" s="30" t="s">
        <v>205</v>
      </c>
      <c r="F57" s="31" t="s">
        <v>234</v>
      </c>
    </row>
    <row r="58" spans="2:9" x14ac:dyDescent="0.45">
      <c r="B58" s="63">
        <v>2</v>
      </c>
      <c r="C58" s="29">
        <v>44406</v>
      </c>
      <c r="D58" s="73">
        <v>0.57677083333692281</v>
      </c>
      <c r="E58" s="30" t="s">
        <v>205</v>
      </c>
      <c r="F58" s="32" t="s">
        <v>235</v>
      </c>
    </row>
    <row r="59" spans="2:9" x14ac:dyDescent="0.45">
      <c r="B59" s="33">
        <v>1</v>
      </c>
      <c r="C59" s="34">
        <v>44400</v>
      </c>
      <c r="D59" s="74">
        <v>0.58872685184906004</v>
      </c>
      <c r="E59" s="35" t="s">
        <v>205</v>
      </c>
      <c r="F59" s="36" t="s">
        <v>236</v>
      </c>
    </row>
    <row r="65" spans="9:9" x14ac:dyDescent="0.45">
      <c r="I65" s="22" t="s">
        <v>583</v>
      </c>
    </row>
    <row r="66" spans="9:9" x14ac:dyDescent="0.45">
      <c r="I66" t="s">
        <v>584</v>
      </c>
    </row>
    <row r="67" spans="9:9" x14ac:dyDescent="0.45">
      <c r="I67" t="s">
        <v>585</v>
      </c>
    </row>
    <row r="71" spans="9:9" x14ac:dyDescent="0.45">
      <c r="I71" t="s">
        <v>586</v>
      </c>
    </row>
    <row r="72" spans="9:9" x14ac:dyDescent="0.45">
      <c r="I72" s="88" cm="1">
        <f t="array" aca="1" ref="I72" ca="1">FileSize(I71)</f>
        <v>971112</v>
      </c>
    </row>
    <row r="75" spans="9:9" x14ac:dyDescent="0.45">
      <c r="I75" s="87" t="s">
        <v>587</v>
      </c>
    </row>
    <row r="76" spans="9:9" x14ac:dyDescent="0.45">
      <c r="I76" s="87" t="s">
        <v>588</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Demo</vt:lpstr>
      <vt:lpstr>Performance_old</vt:lpstr>
      <vt:lpstr>ConvertTypes</vt:lpstr>
      <vt:lpstr>Col-by-col</vt:lpstr>
      <vt:lpstr>Test</vt:lpstr>
      <vt:lpstr>Performance</vt:lpstr>
      <vt:lpstr>RegExp</vt:lpstr>
      <vt:lpstr>Audit</vt:lpstr>
      <vt:lpstr>Test!CallToCSVRead</vt:lpstr>
      <vt:lpstr>Test!CaseNo</vt:lpstr>
      <vt:lpstr>'Col-by-col'!ConvertTypes</vt:lpstr>
      <vt:lpstr>ConvertTypes!CSVContents</vt:lpstr>
      <vt:lpstr>Demo!CSVContents</vt:lpstr>
      <vt:lpstr>ConvertTypes!Data</vt:lpstr>
      <vt:lpstr>Demo!Data</vt:lpstr>
      <vt:lpstr>Demo!DateFormat</vt:lpstr>
      <vt:lpstr>Demo!DateTimeFormat</vt:lpstr>
      <vt:lpstr>Demo!EOL</vt:lpstr>
      <vt:lpstr>Test!FileName</vt:lpstr>
      <vt:lpstr>Test!FileTable</vt:lpstr>
      <vt:lpstr>Test!Folder</vt:lpstr>
      <vt:lpstr>FormattedRange1</vt:lpstr>
      <vt:lpstr>FormattedRange2</vt:lpstr>
      <vt:lpstr>FormattedRange3</vt:lpstr>
      <vt:lpstr>Performance!FunctionNames</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Performance_old!PutFormulasHere1</vt:lpstr>
      <vt:lpstr>Performance_old!PutFormulasHere2</vt:lpstr>
      <vt:lpstr>Performance_old!PutFormulasHere3</vt:lpstr>
      <vt:lpstr>Performance_old!PutFormulasHere4</vt:lpstr>
      <vt:lpstr>Performance_old!PutFormulasHere5</vt:lpstr>
      <vt:lpstr>Performance_old!PutFormulasHere6</vt:lpstr>
      <vt:lpstr>Performance_old!PutFormulasHere7</vt:lpstr>
      <vt:lpstr>Demo!QuoteAllStrings</vt:lpstr>
      <vt:lpstr>Test!RowNo</vt:lpstr>
      <vt:lpstr>rxNoNo</vt:lpstr>
      <vt:lpstr>rxNoYes</vt:lpstr>
      <vt:lpstr>rxYesNo</vt:lpstr>
      <vt:lpstr>rxYesYes</vt:lpstr>
      <vt:lpstr>Test!Test_Failures</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2021-08-30T07:31:57Z</dcterms:modified>
</cp:coreProperties>
</file>