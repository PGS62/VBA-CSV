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04DD677-2C84-45F0-BAD4-BE23046D07B0}"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8" r:id="rId8"/>
    <sheet name="GIF2" sheetId="37" r:id="rId9"/>
    <sheet name="GIF3" sheetId="39" r:id="rId10"/>
    <sheet name="Audit" sheetId="3" r:id="rId11"/>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0">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37" l="1" a="1"/>
  <c r="J2" i="37"/>
  <c r="H2" i="37" a="1"/>
  <c r="H2" i="37"/>
  <c r="F2" i="37" a="1"/>
  <c r="F2" i="37"/>
  <c r="D6" i="37"/>
  <c r="C3" i="37" a="1"/>
  <c r="C3" i="37"/>
  <c r="B3" i="37" a="1"/>
  <c r="B3" i="37"/>
  <c r="A3" i="37" a="1"/>
  <c r="A3" i="37"/>
  <c r="A31" i="39" a="1"/>
  <c r="A31" i="39"/>
  <c r="A23" i="39" a="1"/>
  <c r="A23" i="39"/>
  <c r="A13" i="39" a="1"/>
  <c r="A13" i="39"/>
  <c r="A10" i="39" a="1"/>
  <c r="A10" i="39"/>
  <c r="D6" i="39"/>
  <c r="C3" i="39" a="1"/>
  <c r="C3" i="39"/>
  <c r="B3" i="39" a="1"/>
  <c r="B3" i="39"/>
  <c r="A3" i="39" a="1"/>
  <c r="A3" i="39"/>
  <c r="B3" i="38" a="1"/>
  <c r="B3" i="38"/>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46" i="3" a="1"/>
  <c r="G6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50" i="3"/>
  <c r="G52" i="3"/>
  <c r="G5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48" i="3"/>
  <c r="G56" i="3"/>
  <c r="X17" i="4"/>
  <c r="X25" i="4"/>
  <c r="X33" i="4"/>
  <c r="X41" i="4"/>
  <c r="X49" i="4"/>
  <c r="X57" i="4"/>
  <c r="G49" i="3"/>
  <c r="G57" i="3"/>
  <c r="L12" i="11"/>
  <c r="X23" i="4"/>
  <c r="X31" i="4"/>
  <c r="X39" i="4"/>
  <c r="X47" i="4"/>
  <c r="X55" i="4"/>
  <c r="G51" i="3"/>
  <c r="X21" i="4"/>
  <c r="X29" i="4"/>
  <c r="X37" i="4"/>
  <c r="X45" i="4"/>
  <c r="X53" i="4"/>
  <c r="G46" i="3"/>
  <c r="G53" i="3"/>
  <c r="G59" i="3"/>
  <c r="G54" i="3"/>
  <c r="G60" i="3"/>
  <c r="X19" i="4"/>
  <c r="X27" i="4"/>
  <c r="X35" i="4"/>
  <c r="X43" i="4"/>
  <c r="X51" i="4"/>
  <c r="G47" i="3"/>
  <c r="G55"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<sst xmlns="http://schemas.openxmlformats.org/spreadsheetml/2006/main" count="1530" uniqueCount="676">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</sst>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9">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 fillId="0" borderId="0" xfId="0" quotePrefix="1" applyFont="1" applyAlignment="1">
      <alignment horizontal="left"/>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A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2" Type="http://schemas.openxmlformats.org/officeDocument/2006/relationships/hyperlink" Target="https://github.com/ws-garcia/VBA-CSV-interface" TargetMode="External"/><Relationship Id="rId16" Type="http://schemas.openxmlformats.org/officeDocument/2006/relationships/ctrlProp" Target="../ctrlProps/ctrlProp3.xm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vmlDrawing" Target="../drawings/vmlDrawing4.vm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562</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3" t="s">
        <v>220</v>
      </c>
      <c r="C8" s="53"/>
    </row>
    <row r="9" spans="1:14" x14ac:dyDescent="0.45">
      <c r="B9" s="52" t="s">
        <v>330</v>
      </c>
      <c r="C9" s="52"/>
    </row>
    <row r="10" spans="1:14" x14ac:dyDescent="0.45">
      <c r="C10" s="5"/>
      <c r="M10" s="3" t="s">
        <v>6</v>
      </c>
    </row>
    <row r="11" spans="1:14" x14ac:dyDescent="0.45">
      <c r="B11" s="2" t="s">
        <v>7</v>
      </c>
      <c r="E11" s="3" t="s">
        <v>8</v>
      </c>
      <c r="G11" s="2" t="s">
        <v>565</v>
      </c>
      <c r="M11" s="10" t="b">
        <f ca="1">AND(ROWS(B13:C52)=ROWS(_xlfn.ANCHORARRAY(G13)),COLUMNS(B13:C52)=COLUMNS(_xlfn.ANCHORARRAY(G13)),AND(_xlfn.ANCHORARRAY(M13)))</f>
        <v>1</v>
      </c>
    </row>
    <row r="12" spans="1:14" x14ac:dyDescent="0.45">
      <c r="G12" s="2" t="s">
        <v>564</v>
      </c>
      <c r="J12" s="2" t="s">
        <v>563</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93</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567</v>
      </c>
    </row>
    <row r="3" spans="2:21" x14ac:dyDescent="0.45">
      <c r="B3" s="3" t="s">
        <v>566</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8" t="s">
        <v>359</v>
      </c>
      <c r="C6" s="68" t="s">
        <v>360</v>
      </c>
      <c r="D6" s="68" t="s">
        <v>361</v>
      </c>
      <c r="E6" s="68" t="s">
        <v>362</v>
      </c>
      <c r="F6" s="68" t="s">
        <v>363</v>
      </c>
      <c r="G6" s="68" t="s">
        <v>364</v>
      </c>
      <c r="H6" s="68" t="s">
        <v>365</v>
      </c>
      <c r="I6" s="68" t="s">
        <v>366</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361</v>
      </c>
      <c r="L7" s="9" t="s">
        <v>203</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49</v>
      </c>
      <c r="C8" s="68">
        <v>44432.534178240741</v>
      </c>
      <c r="D8" s="68">
        <v>44432.534178240741</v>
      </c>
      <c r="E8" s="68">
        <v>44432.534178240741</v>
      </c>
      <c r="F8" s="68">
        <v>44432.534178240741</v>
      </c>
      <c r="G8" s="68">
        <v>44432.534178240741</v>
      </c>
      <c r="H8" s="68">
        <v>44432.534178240741</v>
      </c>
      <c r="I8" s="68">
        <v>44432.534178240741</v>
      </c>
      <c r="K8" s="9" t="s">
        <v>362</v>
      </c>
      <c r="L8" s="9" t="s">
        <v>212</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363</v>
      </c>
      <c r="L9" s="67" t="s">
        <v>367</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364</v>
      </c>
      <c r="L10" s="9" t="s">
        <v>216</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205</v>
      </c>
      <c r="D11" s="68" t="s">
        <v>205</v>
      </c>
      <c r="E11" s="68" t="s">
        <v>205</v>
      </c>
      <c r="F11" s="68" t="s">
        <v>205</v>
      </c>
      <c r="G11" s="68" t="s">
        <v>205</v>
      </c>
      <c r="H11" s="68" t="s">
        <v>205</v>
      </c>
      <c r="I11" s="68" t="s">
        <v>205</v>
      </c>
      <c r="K11" s="9" t="s">
        <v>365</v>
      </c>
      <c r="L11" s="9" t="s">
        <v>217</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288</v>
      </c>
      <c r="D12" s="68" t="s">
        <v>288</v>
      </c>
      <c r="E12" s="68" t="s">
        <v>288</v>
      </c>
      <c r="F12" s="68" t="s">
        <v>288</v>
      </c>
      <c r="G12" s="68" t="s">
        <v>288</v>
      </c>
      <c r="H12" s="68" t="s">
        <v>288</v>
      </c>
      <c r="I12" s="68" t="s">
        <v>288</v>
      </c>
      <c r="K12" s="9" t="s">
        <v>366</v>
      </c>
      <c r="L12" s="67" t="s">
        <v>368</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206</v>
      </c>
      <c r="D13" s="68" t="s">
        <v>206</v>
      </c>
      <c r="E13" s="68" t="s">
        <v>206</v>
      </c>
      <c r="F13" s="68" t="s">
        <v>206</v>
      </c>
      <c r="G13" s="68" t="s">
        <v>206</v>
      </c>
      <c r="H13" s="68" t="s">
        <v>206</v>
      </c>
      <c r="I13" s="68" t="s">
        <v>206</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208</v>
      </c>
      <c r="D14" s="68" t="s">
        <v>208</v>
      </c>
      <c r="E14" s="68" t="s">
        <v>208</v>
      </c>
      <c r="F14" s="68" t="s">
        <v>208</v>
      </c>
      <c r="G14" s="68" t="s">
        <v>208</v>
      </c>
      <c r="H14" s="68" t="s">
        <v>208</v>
      </c>
      <c r="I14" s="68" t="s">
        <v>208</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207</v>
      </c>
      <c r="D15" s="68" t="s">
        <v>207</v>
      </c>
      <c r="E15" s="68" t="s">
        <v>207</v>
      </c>
      <c r="F15" s="68" t="s">
        <v>207</v>
      </c>
      <c r="G15" s="68" t="s">
        <v>207</v>
      </c>
      <c r="H15" s="68" t="s">
        <v>207</v>
      </c>
      <c r="I15" s="68" t="s">
        <v>207</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211</v>
      </c>
      <c r="D16" s="68" t="s">
        <v>211</v>
      </c>
      <c r="E16" s="68" t="s">
        <v>211</v>
      </c>
      <c r="F16" s="68" t="s">
        <v>211</v>
      </c>
      <c r="G16" s="68" t="s">
        <v>211</v>
      </c>
      <c r="H16" s="68" t="s">
        <v>211</v>
      </c>
      <c r="I16" s="68" t="s">
        <v>211</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329</v>
      </c>
      <c r="D17" s="68" t="s">
        <v>329</v>
      </c>
      <c r="E17" s="68" t="s">
        <v>329</v>
      </c>
      <c r="F17" s="68" t="s">
        <v>329</v>
      </c>
      <c r="G17" s="68" t="s">
        <v>329</v>
      </c>
      <c r="H17" s="68" t="s">
        <v>329</v>
      </c>
      <c r="I17" s="68" t="s">
        <v>329</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547</v>
      </c>
      <c r="C1" s="12"/>
    </row>
    <row r="2" spans="2:41" x14ac:dyDescent="0.45">
      <c r="B2" s="36" t="s">
        <v>107</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326</v>
      </c>
      <c r="J3" s="47" t="b">
        <v>0</v>
      </c>
    </row>
    <row r="4" spans="2:41" x14ac:dyDescent="0.45">
      <c r="B4" s="36" t="s">
        <v>581</v>
      </c>
      <c r="C4" s="47">
        <v>1</v>
      </c>
      <c r="I4" s="36" t="s">
        <v>239</v>
      </c>
      <c r="J4">
        <v>200</v>
      </c>
      <c r="AF4" s="35"/>
      <c r="AG4" s="35"/>
      <c r="AH4" s="35"/>
    </row>
    <row r="5" spans="2:41" x14ac:dyDescent="0.45">
      <c r="B5" s="36" t="s">
        <v>237</v>
      </c>
      <c r="C5">
        <f ca="1">MATCH(TestNo,Tests[TestNo],0)</f>
        <v>1</v>
      </c>
      <c r="I5" s="36" t="s">
        <v>240</v>
      </c>
      <c r="J5">
        <v>0</v>
      </c>
      <c r="K5" s="3" t="s">
        <v>569</v>
      </c>
      <c r="AF5" s="35"/>
      <c r="AG5" s="35"/>
      <c r="AH5" s="35"/>
    </row>
    <row r="6" spans="2:41" x14ac:dyDescent="0.45">
      <c r="I6" s="36" t="s">
        <v>327</v>
      </c>
      <c r="J6">
        <v>3</v>
      </c>
    </row>
    <row r="7" spans="2:41" x14ac:dyDescent="0.45">
      <c r="N7" s="36"/>
      <c r="AB7" s="58"/>
    </row>
    <row r="8" spans="2:41" x14ac:dyDescent="0.45">
      <c r="B8" s="92" t="str">
        <f ca="1">B14</f>
        <v>File Size</v>
      </c>
      <c r="C8" s="92" t="s">
        <v>581</v>
      </c>
      <c r="D8" s="92" t="str">
        <f t="shared" ref="D8:U8" ca="1" si="0">D14</f>
        <v>FileName</v>
      </c>
      <c r="E8" s="92" t="str">
        <f t="shared" ca="1" si="0"/>
        <v>ConvertTypes</v>
      </c>
      <c r="F8" s="92" t="str">
        <f t="shared" ca="1" si="0"/>
        <v>Delimiter</v>
      </c>
      <c r="G8" s="92" t="str">
        <f t="shared" ca="1" si="0"/>
        <v>IgnoreRepeated</v>
      </c>
      <c r="H8" s="92" t="str">
        <f t="shared" ca="1" si="0"/>
        <v>DateFormat</v>
      </c>
      <c r="I8" s="92" t="str">
        <f t="shared" ca="1" si="0"/>
        <v>Comment</v>
      </c>
      <c r="J8" s="92" t="str">
        <f t="shared" ca="1" si="0"/>
        <v>IgnoreEmptyLines</v>
      </c>
      <c r="K8" s="92" t="str">
        <f t="shared" ca="1" si="0"/>
        <v>HeaderRowNum</v>
      </c>
      <c r="L8" s="92" t="str">
        <f t="shared" ca="1" si="0"/>
        <v>SkipToRow</v>
      </c>
      <c r="M8" s="92" t="str">
        <f t="shared" ca="1" si="0"/>
        <v>SkipToCol</v>
      </c>
      <c r="N8" s="92" t="str">
        <f t="shared" ca="1" si="0"/>
        <v>NumRows</v>
      </c>
      <c r="O8" s="92" t="str">
        <f t="shared" ca="1" si="0"/>
        <v>NumCols</v>
      </c>
      <c r="P8" s="92" t="str">
        <f t="shared" ca="1" si="0"/>
        <v>TrueStrings</v>
      </c>
      <c r="Q8" s="92" t="str">
        <f t="shared" ca="1" si="0"/>
        <v>FalseStrings</v>
      </c>
      <c r="R8" s="92" t="str">
        <f t="shared" ca="1" si="0"/>
        <v>MissingStrings</v>
      </c>
      <c r="S8" s="92" t="str">
        <f t="shared" ca="1" si="0"/>
        <v>Encoding</v>
      </c>
      <c r="T8" s="92" t="str">
        <f t="shared" ca="1" si="0"/>
        <v>DecimalSeparator</v>
      </c>
      <c r="U8" s="92" t="str">
        <f t="shared" ca="1" si="0"/>
        <v>Notes</v>
      </c>
      <c r="V8" s="65" t="str" cm="1">
        <f t="array" aca="1" ref="V8:V215" ca="1">fill(" ",ROWS(Tests[TestNo])+6,1)</f>
        <v xml:space="preserve"> </v>
      </c>
      <c r="AB8" s="58"/>
    </row>
    <row r="9" spans="2:41" ht="14.25" customHeight="1" x14ac:dyDescent="0.45">
      <c r="B9" s="92"/>
      <c r="C9" s="92"/>
      <c r="D9" s="92"/>
      <c r="E9" s="92"/>
      <c r="F9" s="92"/>
      <c r="G9" s="92"/>
      <c r="H9" s="92"/>
      <c r="I9" s="92"/>
      <c r="J9" s="92"/>
      <c r="K9" s="92"/>
      <c r="L9" s="92"/>
      <c r="M9" s="92"/>
      <c r="N9" s="92"/>
      <c r="O9" s="92"/>
      <c r="P9" s="92"/>
      <c r="Q9" s="92"/>
      <c r="R9" s="92"/>
      <c r="S9" s="92"/>
      <c r="T9" s="92"/>
      <c r="U9" s="92"/>
      <c r="V9" s="65" t="str">
        <f ca="1"/>
        <v xml:space="preserve"> </v>
      </c>
      <c r="AA9" s="57"/>
      <c r="AB9" s="58"/>
    </row>
    <row r="10" spans="2:41" ht="14.25" customHeight="1" x14ac:dyDescent="0.45">
      <c r="B10" s="92"/>
      <c r="C10" s="92"/>
      <c r="D10" s="92"/>
      <c r="E10" s="92"/>
      <c r="F10" s="92"/>
      <c r="G10" s="92"/>
      <c r="H10" s="92"/>
      <c r="I10" s="92"/>
      <c r="J10" s="92"/>
      <c r="K10" s="92"/>
      <c r="L10" s="92"/>
      <c r="M10" s="92"/>
      <c r="N10" s="92"/>
      <c r="O10" s="92"/>
      <c r="P10" s="92"/>
      <c r="Q10" s="92"/>
      <c r="R10" s="92"/>
      <c r="S10" s="92"/>
      <c r="T10" s="92"/>
      <c r="U10" s="92"/>
      <c r="V10" s="65" t="str">
        <f ca="1"/>
        <v xml:space="preserve"> </v>
      </c>
      <c r="AA10" s="57"/>
      <c r="AB10" s="58"/>
    </row>
    <row r="11" spans="2:41" x14ac:dyDescent="0.45">
      <c r="B11" s="92"/>
      <c r="C11" s="92"/>
      <c r="D11" s="92"/>
      <c r="E11" s="92"/>
      <c r="F11" s="92"/>
      <c r="G11" s="92"/>
      <c r="H11" s="92"/>
      <c r="I11" s="92"/>
      <c r="J11" s="92"/>
      <c r="K11" s="92"/>
      <c r="L11" s="92"/>
      <c r="M11" s="92"/>
      <c r="N11" s="92"/>
      <c r="O11" s="92"/>
      <c r="P11" s="92"/>
      <c r="Q11" s="92"/>
      <c r="R11" s="92"/>
      <c r="S11" s="92"/>
      <c r="T11" s="92"/>
      <c r="U11" s="92"/>
      <c r="V11" s="65" t="str">
        <f ca="1"/>
        <v xml:space="preserve"> </v>
      </c>
      <c r="AB11" s="58"/>
    </row>
    <row r="12" spans="2:41" x14ac:dyDescent="0.45">
      <c r="B12" s="92"/>
      <c r="C12" s="92"/>
      <c r="D12" s="92"/>
      <c r="E12" s="92"/>
      <c r="F12" s="92"/>
      <c r="G12" s="92"/>
      <c r="H12" s="92"/>
      <c r="I12" s="92"/>
      <c r="J12" s="92"/>
      <c r="K12" s="92"/>
      <c r="L12" s="92"/>
      <c r="M12" s="92"/>
      <c r="N12" s="92"/>
      <c r="O12" s="92"/>
      <c r="P12" s="92"/>
      <c r="Q12" s="92"/>
      <c r="R12" s="92"/>
      <c r="S12" s="92"/>
      <c r="T12" s="92"/>
      <c r="U12" s="92"/>
      <c r="V12" s="65" t="str">
        <f ca="1"/>
        <v xml:space="preserve"> </v>
      </c>
      <c r="AB12" s="58"/>
    </row>
    <row r="13" spans="2:41" x14ac:dyDescent="0.45">
      <c r="B13" s="93"/>
      <c r="C13" s="93"/>
      <c r="D13" s="93"/>
      <c r="E13" s="93"/>
      <c r="F13" s="93"/>
      <c r="G13" s="93"/>
      <c r="H13" s="93"/>
      <c r="I13" s="93"/>
      <c r="J13" s="93"/>
      <c r="K13" s="93"/>
      <c r="L13" s="93"/>
      <c r="M13" s="93"/>
      <c r="N13" s="93"/>
      <c r="O13" s="93"/>
      <c r="P13" s="93"/>
      <c r="Q13" s="93"/>
      <c r="R13" s="93"/>
      <c r="S13" s="93"/>
      <c r="T13" s="93"/>
      <c r="U13" s="93"/>
      <c r="V13" s="65" t="str">
        <f ca="1"/>
        <v xml:space="preserve"> </v>
      </c>
      <c r="Z13" s="51" t="s">
        <v>348</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241</v>
      </c>
      <c r="C14" s="76" t="s">
        <v>581</v>
      </c>
      <c r="D14" s="76" t="s">
        <v>1</v>
      </c>
      <c r="E14" s="76" t="s">
        <v>84</v>
      </c>
      <c r="F14" s="76" t="s">
        <v>85</v>
      </c>
      <c r="G14" s="76" t="s">
        <v>86</v>
      </c>
      <c r="H14" s="76" t="s">
        <v>4</v>
      </c>
      <c r="I14" s="76" t="s">
        <v>52</v>
      </c>
      <c r="J14" s="76" t="s">
        <v>311</v>
      </c>
      <c r="K14" s="76" t="s">
        <v>347</v>
      </c>
      <c r="L14" s="76" t="s">
        <v>87</v>
      </c>
      <c r="M14" s="76" t="s">
        <v>88</v>
      </c>
      <c r="N14" s="76" t="s">
        <v>89</v>
      </c>
      <c r="O14" s="76" t="s">
        <v>90</v>
      </c>
      <c r="P14" s="76" t="s">
        <v>258</v>
      </c>
      <c r="Q14" s="76" t="s">
        <v>259</v>
      </c>
      <c r="R14" s="76" t="s">
        <v>257</v>
      </c>
      <c r="S14" s="76" t="s">
        <v>246</v>
      </c>
      <c r="T14" s="76" t="s">
        <v>91</v>
      </c>
      <c r="U14" s="72" t="s">
        <v>92</v>
      </c>
      <c r="V14" t="str">
        <f ca="1"/>
        <v xml:space="preserve"> </v>
      </c>
      <c r="W14" s="3" t="str">
        <f ca="1">"VBA code for Test"&amp;TestNo</f>
        <v>VBA code for Test1</v>
      </c>
      <c r="X14" s="41"/>
      <c r="Y14" s="3" t="s">
        <v>372</v>
      </c>
      <c r="Z14" t="s">
        <v>371</v>
      </c>
      <c r="AA14" t="str">
        <f ca="1">ROWS(_xlfn.ANCHORARRAY(CallToCSVRead))&amp;" x "&amp;COLUMNS(_xlfn.ANCHORARRAY(CallToCSVRead))</f>
        <v>1 x 3</v>
      </c>
    </row>
    <row r="15" spans="2:41" x14ac:dyDescent="0.45">
      <c r="B15" s="75" cm="1">
        <f t="array" aca="1" ref="B15" ca="1">filesize(Folder&amp;Tests[[#This Row],[FileName]])</f>
        <v>5</v>
      </c>
      <c r="C15" s="45">
        <v>1</v>
      </c>
      <c r="D15" s="33" t="s">
        <v>109</v>
      </c>
      <c r="E15" s="32" t="b">
        <v>1</v>
      </c>
      <c r="F15" s="34" t="s">
        <v>93</v>
      </c>
      <c r="G15" s="34" t="b">
        <v>0</v>
      </c>
      <c r="H15" s="34" t="s">
        <v>93</v>
      </c>
      <c r="I15" s="34" t="s">
        <v>93</v>
      </c>
      <c r="J15" s="34" t="b">
        <v>1</v>
      </c>
      <c r="K15" s="34"/>
      <c r="L15" s="32">
        <v>1</v>
      </c>
      <c r="M15" s="32">
        <v>1</v>
      </c>
      <c r="N15" s="32">
        <v>0</v>
      </c>
      <c r="O15" s="32">
        <v>0</v>
      </c>
      <c r="P15" s="32"/>
      <c r="Q15" s="32"/>
      <c r="R15" s="32"/>
      <c r="S15" s="32"/>
      <c r="T15" s="32" t="s">
        <v>94</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111</v>
      </c>
      <c r="E16" s="32" t="b">
        <v>1</v>
      </c>
      <c r="F16" s="34" t="s">
        <v>93</v>
      </c>
      <c r="G16" s="34" t="b">
        <v>0</v>
      </c>
      <c r="H16" s="34" t="s">
        <v>93</v>
      </c>
      <c r="I16" s="34" t="s">
        <v>93</v>
      </c>
      <c r="J16" s="34" t="b">
        <v>0</v>
      </c>
      <c r="K16" s="34"/>
      <c r="L16" s="32">
        <v>1</v>
      </c>
      <c r="M16" s="32">
        <v>1</v>
      </c>
      <c r="N16" s="32">
        <v>0</v>
      </c>
      <c r="O16" s="32">
        <v>0</v>
      </c>
      <c r="P16" s="32"/>
      <c r="Q16" s="32"/>
      <c r="R16" s="32"/>
      <c r="S16" s="32"/>
      <c r="T16" s="32" t="s">
        <v>94</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112</v>
      </c>
      <c r="E17" s="32" t="b">
        <v>1</v>
      </c>
      <c r="F17" s="34" t="s">
        <v>93</v>
      </c>
      <c r="G17" s="34" t="b">
        <v>0</v>
      </c>
      <c r="H17" s="34" t="s">
        <v>93</v>
      </c>
      <c r="I17" s="34" t="s">
        <v>93</v>
      </c>
      <c r="J17" s="34" t="b">
        <v>1</v>
      </c>
      <c r="K17" s="34"/>
      <c r="L17" s="32">
        <v>1</v>
      </c>
      <c r="M17" s="32">
        <v>1</v>
      </c>
      <c r="N17" s="32">
        <v>0</v>
      </c>
      <c r="O17" s="32">
        <v>0</v>
      </c>
      <c r="P17" s="32"/>
      <c r="Q17" s="32"/>
      <c r="R17" s="32"/>
      <c r="S17" s="32"/>
      <c r="T17" s="32" t="s">
        <v>94</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115</v>
      </c>
      <c r="E18" s="32" t="b">
        <v>1</v>
      </c>
      <c r="F18" s="34" t="s">
        <v>93</v>
      </c>
      <c r="G18" s="32" t="b">
        <v>0</v>
      </c>
      <c r="H18" s="34" t="s">
        <v>93</v>
      </c>
      <c r="I18" s="34" t="s">
        <v>93</v>
      </c>
      <c r="J18" s="34" t="b">
        <v>1</v>
      </c>
      <c r="K18" s="34"/>
      <c r="L18" s="32">
        <v>1</v>
      </c>
      <c r="M18" s="32">
        <v>1</v>
      </c>
      <c r="N18" s="32">
        <v>0</v>
      </c>
      <c r="O18" s="32">
        <v>0</v>
      </c>
      <c r="P18" s="32"/>
      <c r="Q18" s="32"/>
      <c r="R18" s="32"/>
      <c r="S18" s="32"/>
      <c r="T18" s="32" t="s">
        <v>95</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116</v>
      </c>
      <c r="E19" s="32" t="b">
        <v>1</v>
      </c>
      <c r="F19" s="34" t="s">
        <v>93</v>
      </c>
      <c r="G19" s="34" t="b">
        <v>0</v>
      </c>
      <c r="H19" s="34" t="s">
        <v>93</v>
      </c>
      <c r="I19" s="34" t="s">
        <v>93</v>
      </c>
      <c r="J19" s="34" t="b">
        <v>1</v>
      </c>
      <c r="K19" s="34"/>
      <c r="L19" s="32">
        <v>1</v>
      </c>
      <c r="M19" s="32">
        <v>1</v>
      </c>
      <c r="N19" s="32">
        <v>0</v>
      </c>
      <c r="O19" s="32">
        <v>0</v>
      </c>
      <c r="P19" s="32"/>
      <c r="Q19" s="32"/>
      <c r="R19" s="32"/>
      <c r="S19" s="32"/>
      <c r="T19" s="32" t="s">
        <v>94</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117</v>
      </c>
      <c r="E20" s="32" t="b">
        <v>1</v>
      </c>
      <c r="F20" s="34" t="s">
        <v>96</v>
      </c>
      <c r="G20" s="34" t="b">
        <v>1</v>
      </c>
      <c r="H20" s="34" t="s">
        <v>93</v>
      </c>
      <c r="I20" s="34" t="s">
        <v>93</v>
      </c>
      <c r="J20" s="34" t="b">
        <v>1</v>
      </c>
      <c r="K20" s="34"/>
      <c r="L20" s="32">
        <v>1</v>
      </c>
      <c r="M20" s="32">
        <v>1</v>
      </c>
      <c r="N20" s="32">
        <v>0</v>
      </c>
      <c r="O20" s="32">
        <v>0</v>
      </c>
      <c r="P20" s="32"/>
      <c r="Q20" s="32"/>
      <c r="R20" s="32"/>
      <c r="S20" s="32"/>
      <c r="T20" s="32" t="s">
        <v>94</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118</v>
      </c>
      <c r="E21" s="32" t="b">
        <v>1</v>
      </c>
      <c r="F21" s="34" t="s">
        <v>93</v>
      </c>
      <c r="G21" s="34" t="b">
        <v>0</v>
      </c>
      <c r="H21" s="34" t="s">
        <v>93</v>
      </c>
      <c r="I21" s="34" t="s">
        <v>93</v>
      </c>
      <c r="J21" s="34" t="b">
        <v>1</v>
      </c>
      <c r="K21" s="34"/>
      <c r="L21" s="32">
        <v>1</v>
      </c>
      <c r="M21" s="32">
        <v>1</v>
      </c>
      <c r="N21" s="32">
        <v>0</v>
      </c>
      <c r="O21" s="32">
        <v>0</v>
      </c>
      <c r="P21" s="32"/>
      <c r="Q21" s="32"/>
      <c r="R21" s="32"/>
      <c r="S21" s="32"/>
      <c r="T21" s="32" t="s">
        <v>94</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119</v>
      </c>
      <c r="E22" s="32" t="b">
        <v>1</v>
      </c>
      <c r="F22" s="34" t="s">
        <v>93</v>
      </c>
      <c r="G22" s="34" t="b">
        <v>0</v>
      </c>
      <c r="H22" s="34" t="s">
        <v>93</v>
      </c>
      <c r="I22" s="34" t="s">
        <v>225</v>
      </c>
      <c r="J22" s="34" t="b">
        <v>1</v>
      </c>
      <c r="K22" s="34"/>
      <c r="L22" s="32">
        <v>1</v>
      </c>
      <c r="M22" s="32">
        <v>1</v>
      </c>
      <c r="N22" s="32">
        <v>0</v>
      </c>
      <c r="O22" s="32">
        <v>0</v>
      </c>
      <c r="P22" s="32"/>
      <c r="Q22" s="32"/>
      <c r="R22" s="32"/>
      <c r="S22" s="32"/>
      <c r="T22" s="32" t="s">
        <v>94</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120</v>
      </c>
      <c r="E23" s="32" t="b">
        <v>1</v>
      </c>
      <c r="F23" s="34" t="s">
        <v>93</v>
      </c>
      <c r="G23" s="34" t="b">
        <v>0</v>
      </c>
      <c r="H23" s="34" t="s">
        <v>93</v>
      </c>
      <c r="I23" s="34" t="s">
        <v>226</v>
      </c>
      <c r="J23" s="34" t="b">
        <v>1</v>
      </c>
      <c r="K23" s="34"/>
      <c r="L23" s="32">
        <v>1</v>
      </c>
      <c r="M23" s="32">
        <v>1</v>
      </c>
      <c r="N23" s="32">
        <v>0</v>
      </c>
      <c r="O23" s="32">
        <v>0</v>
      </c>
      <c r="P23" s="32"/>
      <c r="Q23" s="32"/>
      <c r="R23" s="32"/>
      <c r="S23" s="32"/>
      <c r="T23" s="32" t="s">
        <v>94</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121</v>
      </c>
      <c r="E24" s="32" t="b">
        <v>1</v>
      </c>
      <c r="F24" s="34" t="s">
        <v>93</v>
      </c>
      <c r="G24" s="34" t="b">
        <v>0</v>
      </c>
      <c r="H24" s="34" t="s">
        <v>93</v>
      </c>
      <c r="I24" s="34" t="s">
        <v>93</v>
      </c>
      <c r="J24" s="34" t="b">
        <v>1</v>
      </c>
      <c r="K24" s="34"/>
      <c r="L24" s="32">
        <v>1</v>
      </c>
      <c r="M24" s="32">
        <v>1</v>
      </c>
      <c r="N24" s="32">
        <v>0</v>
      </c>
      <c r="O24" s="32">
        <v>0</v>
      </c>
      <c r="P24" s="32"/>
      <c r="Q24" s="32"/>
      <c r="R24" s="32"/>
      <c r="S24" s="32"/>
      <c r="T24" s="32" t="s">
        <v>94</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122</v>
      </c>
      <c r="E25" s="32" t="b">
        <v>1</v>
      </c>
      <c r="F25" s="34" t="s">
        <v>93</v>
      </c>
      <c r="G25" s="34" t="b">
        <v>0</v>
      </c>
      <c r="H25" s="34" t="s">
        <v>93</v>
      </c>
      <c r="I25" s="34" t="s">
        <v>93</v>
      </c>
      <c r="J25" s="34" t="b">
        <v>1</v>
      </c>
      <c r="K25" s="34"/>
      <c r="L25" s="32">
        <v>1</v>
      </c>
      <c r="M25" s="32">
        <v>1</v>
      </c>
      <c r="N25" s="32">
        <v>0</v>
      </c>
      <c r="O25" s="32">
        <v>0</v>
      </c>
      <c r="P25" s="32"/>
      <c r="Q25" s="32"/>
      <c r="R25" s="32"/>
      <c r="S25" s="32"/>
      <c r="T25" s="32" t="s">
        <v>94</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124</v>
      </c>
      <c r="E26" s="32" t="b">
        <v>1</v>
      </c>
      <c r="F26" s="34" t="s">
        <v>93</v>
      </c>
      <c r="G26" s="34" t="b">
        <v>0</v>
      </c>
      <c r="H26" s="34" t="s">
        <v>93</v>
      </c>
      <c r="I26" s="34" t="s">
        <v>93</v>
      </c>
      <c r="J26" s="34" t="b">
        <v>1</v>
      </c>
      <c r="K26" s="34"/>
      <c r="L26" s="32">
        <v>1</v>
      </c>
      <c r="M26" s="32">
        <v>1</v>
      </c>
      <c r="N26" s="32">
        <v>0</v>
      </c>
      <c r="O26" s="32">
        <v>0</v>
      </c>
      <c r="P26" s="32"/>
      <c r="Q26" s="32"/>
      <c r="R26" s="32"/>
      <c r="S26" s="32"/>
      <c r="T26" s="32" t="s">
        <v>94</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125</v>
      </c>
      <c r="E27" s="32" t="b">
        <v>1</v>
      </c>
      <c r="F27" s="34" t="s">
        <v>93</v>
      </c>
      <c r="G27" s="34" t="b">
        <v>0</v>
      </c>
      <c r="H27" s="34" t="s">
        <v>93</v>
      </c>
      <c r="I27" s="34" t="s">
        <v>93</v>
      </c>
      <c r="J27" s="34" t="b">
        <v>1</v>
      </c>
      <c r="K27" s="34"/>
      <c r="L27" s="32">
        <v>1</v>
      </c>
      <c r="M27" s="32">
        <v>1</v>
      </c>
      <c r="N27" s="32">
        <v>0</v>
      </c>
      <c r="O27" s="32">
        <v>0</v>
      </c>
      <c r="P27" s="32"/>
      <c r="Q27" s="32"/>
      <c r="R27" s="32"/>
      <c r="S27" s="32"/>
      <c r="T27" s="32" t="s">
        <v>94</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126</v>
      </c>
      <c r="E28" s="32" t="b">
        <v>1</v>
      </c>
      <c r="F28" s="34" t="s">
        <v>93</v>
      </c>
      <c r="G28" s="34" t="b">
        <v>0</v>
      </c>
      <c r="H28" s="34" t="s">
        <v>93</v>
      </c>
      <c r="I28" s="34" t="s">
        <v>93</v>
      </c>
      <c r="J28" s="34" t="b">
        <v>1</v>
      </c>
      <c r="K28" s="34"/>
      <c r="L28" s="32">
        <v>1</v>
      </c>
      <c r="M28" s="32">
        <v>1</v>
      </c>
      <c r="N28" s="32">
        <v>0</v>
      </c>
      <c r="O28" s="32">
        <v>0</v>
      </c>
      <c r="P28" s="32"/>
      <c r="Q28" s="32"/>
      <c r="R28" s="32"/>
      <c r="S28" s="32"/>
      <c r="T28" s="32" t="s">
        <v>94</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127</v>
      </c>
      <c r="E29" s="32" t="b">
        <v>1</v>
      </c>
      <c r="F29" s="34" t="s">
        <v>93</v>
      </c>
      <c r="G29" s="34" t="b">
        <v>0</v>
      </c>
      <c r="H29" s="34" t="s">
        <v>93</v>
      </c>
      <c r="I29" s="34" t="s">
        <v>93</v>
      </c>
      <c r="J29" s="34" t="b">
        <v>1</v>
      </c>
      <c r="K29" s="34"/>
      <c r="L29" s="32">
        <v>1</v>
      </c>
      <c r="M29" s="32">
        <v>1</v>
      </c>
      <c r="N29" s="32">
        <v>0</v>
      </c>
      <c r="O29" s="32">
        <v>0</v>
      </c>
      <c r="P29" s="32"/>
      <c r="Q29" s="32"/>
      <c r="R29" s="32"/>
      <c r="S29" s="32"/>
      <c r="T29" s="32" t="s">
        <v>94</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128</v>
      </c>
      <c r="E30" s="32" t="b">
        <v>1</v>
      </c>
      <c r="F30" s="34" t="s">
        <v>93</v>
      </c>
      <c r="G30" s="34" t="b">
        <v>0</v>
      </c>
      <c r="H30" s="34" t="s">
        <v>93</v>
      </c>
      <c r="I30" s="34" t="s">
        <v>93</v>
      </c>
      <c r="J30" s="34" t="b">
        <v>1</v>
      </c>
      <c r="K30" s="34"/>
      <c r="L30" s="32">
        <v>1</v>
      </c>
      <c r="M30" s="32">
        <v>1</v>
      </c>
      <c r="N30" s="32">
        <v>0</v>
      </c>
      <c r="O30" s="32">
        <v>0</v>
      </c>
      <c r="P30" s="32"/>
      <c r="Q30" s="32"/>
      <c r="R30" s="32"/>
      <c r="S30" s="32"/>
      <c r="T30" s="32" t="s">
        <v>94</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131</v>
      </c>
      <c r="E31" s="32" t="b">
        <v>1</v>
      </c>
      <c r="F31" s="34" t="s">
        <v>93</v>
      </c>
      <c r="G31" s="34" t="b">
        <v>0</v>
      </c>
      <c r="H31" s="34" t="s">
        <v>93</v>
      </c>
      <c r="I31" s="34" t="s">
        <v>93</v>
      </c>
      <c r="J31" s="34" t="b">
        <v>1</v>
      </c>
      <c r="K31" s="34"/>
      <c r="L31" s="32">
        <v>1</v>
      </c>
      <c r="M31" s="32">
        <v>1</v>
      </c>
      <c r="N31" s="32">
        <v>0</v>
      </c>
      <c r="O31" s="32">
        <v>0</v>
      </c>
      <c r="P31" s="32"/>
      <c r="Q31" s="32"/>
      <c r="R31" s="32"/>
      <c r="S31" s="32"/>
      <c r="T31" s="32" t="s">
        <v>94</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132</v>
      </c>
      <c r="E32" s="32" t="b">
        <v>1</v>
      </c>
      <c r="F32" s="34" t="s">
        <v>96</v>
      </c>
      <c r="G32" s="34" t="b">
        <v>0</v>
      </c>
      <c r="H32" s="34" t="s">
        <v>93</v>
      </c>
      <c r="I32" s="34" t="s">
        <v>93</v>
      </c>
      <c r="J32" s="34" t="b">
        <v>1</v>
      </c>
      <c r="K32" s="34"/>
      <c r="L32" s="32">
        <v>1</v>
      </c>
      <c r="M32" s="32">
        <v>1</v>
      </c>
      <c r="N32" s="32">
        <v>0</v>
      </c>
      <c r="O32" s="32">
        <v>0</v>
      </c>
      <c r="P32" s="32"/>
      <c r="Q32" s="32"/>
      <c r="R32" s="32"/>
      <c r="S32" s="32"/>
      <c r="T32" s="32" t="s">
        <v>94</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136</v>
      </c>
      <c r="E33" s="32" t="b">
        <v>1</v>
      </c>
      <c r="F33" s="34" t="s">
        <v>93</v>
      </c>
      <c r="G33" s="34" t="b">
        <v>0</v>
      </c>
      <c r="H33" s="34" t="s">
        <v>93</v>
      </c>
      <c r="I33" s="34" t="s">
        <v>93</v>
      </c>
      <c r="J33" s="34" t="b">
        <v>1</v>
      </c>
      <c r="K33" s="34"/>
      <c r="L33" s="32">
        <v>1</v>
      </c>
      <c r="M33" s="32">
        <v>1</v>
      </c>
      <c r="N33" s="32">
        <v>0</v>
      </c>
      <c r="O33" s="32">
        <v>0</v>
      </c>
      <c r="P33" s="32"/>
      <c r="Q33" s="32"/>
      <c r="R33" s="34" t="s">
        <v>277</v>
      </c>
      <c r="S33" s="32"/>
      <c r="T33" s="32" t="s">
        <v>94</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137</v>
      </c>
      <c r="E34" s="32" t="b">
        <v>1</v>
      </c>
      <c r="F34" s="34" t="s">
        <v>93</v>
      </c>
      <c r="G34" s="34" t="b">
        <v>0</v>
      </c>
      <c r="H34" s="34" t="s">
        <v>93</v>
      </c>
      <c r="I34" s="34" t="s">
        <v>93</v>
      </c>
      <c r="J34" s="34" t="b">
        <v>1</v>
      </c>
      <c r="K34" s="34"/>
      <c r="L34" s="32">
        <v>1</v>
      </c>
      <c r="M34" s="32">
        <v>1</v>
      </c>
      <c r="N34" s="32">
        <v>0</v>
      </c>
      <c r="O34" s="32">
        <v>0</v>
      </c>
      <c r="P34" s="32"/>
      <c r="Q34" s="32"/>
      <c r="R34" s="32"/>
      <c r="S34" s="32"/>
      <c r="T34" s="32" t="s">
        <v>94</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138</v>
      </c>
      <c r="E35" s="32" t="b">
        <v>1</v>
      </c>
      <c r="F35" s="34" t="s">
        <v>93</v>
      </c>
      <c r="G35" s="34" t="b">
        <v>0</v>
      </c>
      <c r="H35" s="34" t="s">
        <v>93</v>
      </c>
      <c r="I35" s="34" t="s">
        <v>93</v>
      </c>
      <c r="J35" s="34" t="b">
        <v>1</v>
      </c>
      <c r="K35" s="34"/>
      <c r="L35" s="32">
        <v>4</v>
      </c>
      <c r="M35" s="32">
        <v>1</v>
      </c>
      <c r="N35" s="32">
        <v>0</v>
      </c>
      <c r="O35" s="32">
        <v>0</v>
      </c>
      <c r="P35" s="32"/>
      <c r="Q35" s="32"/>
      <c r="R35" s="32"/>
      <c r="S35" s="32"/>
      <c r="T35" s="32" t="s">
        <v>94</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139</v>
      </c>
      <c r="E36" s="32" t="b">
        <v>1</v>
      </c>
      <c r="F36" s="34" t="s">
        <v>93</v>
      </c>
      <c r="G36" s="34" t="b">
        <v>0</v>
      </c>
      <c r="H36" s="34" t="s">
        <v>93</v>
      </c>
      <c r="I36" s="34" t="s">
        <v>93</v>
      </c>
      <c r="J36" s="34" t="b">
        <v>1</v>
      </c>
      <c r="K36" s="34"/>
      <c r="L36" s="32">
        <v>1</v>
      </c>
      <c r="M36" s="32">
        <v>1</v>
      </c>
      <c r="N36" s="32">
        <v>0</v>
      </c>
      <c r="O36" s="32">
        <v>0</v>
      </c>
      <c r="P36" s="32"/>
      <c r="Q36" s="32"/>
      <c r="R36" s="32"/>
      <c r="S36" s="32"/>
      <c r="T36" s="32" t="s">
        <v>94</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140</v>
      </c>
      <c r="E37" s="32" t="b">
        <v>1</v>
      </c>
      <c r="F37" s="34" t="s">
        <v>93</v>
      </c>
      <c r="G37" s="34" t="b">
        <v>0</v>
      </c>
      <c r="H37" s="34" t="s">
        <v>93</v>
      </c>
      <c r="I37" s="34" t="s">
        <v>93</v>
      </c>
      <c r="J37" s="34" t="b">
        <v>1</v>
      </c>
      <c r="K37" s="34"/>
      <c r="L37" s="32">
        <v>1</v>
      </c>
      <c r="M37" s="32">
        <v>1</v>
      </c>
      <c r="N37" s="32">
        <v>0</v>
      </c>
      <c r="O37" s="32">
        <v>0</v>
      </c>
      <c r="P37" s="32"/>
      <c r="Q37" s="32"/>
      <c r="R37" s="32"/>
      <c r="S37" s="32"/>
      <c r="T37" s="32" t="s">
        <v>94</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141</v>
      </c>
      <c r="E38" s="32" t="b">
        <v>1</v>
      </c>
      <c r="F38" s="34" t="s">
        <v>93</v>
      </c>
      <c r="G38" s="34" t="b">
        <v>0</v>
      </c>
      <c r="H38" s="34" t="s">
        <v>265</v>
      </c>
      <c r="I38" s="34" t="s">
        <v>93</v>
      </c>
      <c r="J38" s="34" t="b">
        <v>1</v>
      </c>
      <c r="K38" s="34"/>
      <c r="L38" s="32">
        <v>1</v>
      </c>
      <c r="M38" s="32">
        <v>1</v>
      </c>
      <c r="N38" s="32">
        <v>0</v>
      </c>
      <c r="O38" s="32">
        <v>0</v>
      </c>
      <c r="P38" s="32"/>
      <c r="Q38" s="32"/>
      <c r="R38" s="32"/>
      <c r="S38" s="32"/>
      <c r="T38" s="32" t="s">
        <v>94</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142</v>
      </c>
      <c r="E39" s="32" t="b">
        <v>1</v>
      </c>
      <c r="F39" s="34" t="s">
        <v>93</v>
      </c>
      <c r="G39" s="34" t="b">
        <v>0</v>
      </c>
      <c r="H39" s="32" t="s">
        <v>99</v>
      </c>
      <c r="I39" s="34" t="s">
        <v>93</v>
      </c>
      <c r="J39" s="34" t="b">
        <v>1</v>
      </c>
      <c r="K39" s="34"/>
      <c r="L39" s="32">
        <v>1</v>
      </c>
      <c r="M39" s="32">
        <v>1</v>
      </c>
      <c r="N39" s="32">
        <v>0</v>
      </c>
      <c r="O39" s="32">
        <v>0</v>
      </c>
      <c r="P39" s="32"/>
      <c r="Q39" s="32"/>
      <c r="R39" s="32"/>
      <c r="S39" s="32"/>
      <c r="T39" s="32" t="s">
        <v>94</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143</v>
      </c>
      <c r="E40" s="32" t="b">
        <v>1</v>
      </c>
      <c r="F40" s="34" t="s">
        <v>96</v>
      </c>
      <c r="G40" s="34" t="b">
        <v>1</v>
      </c>
      <c r="H40" s="34" t="s">
        <v>93</v>
      </c>
      <c r="I40" s="34" t="s">
        <v>93</v>
      </c>
      <c r="J40" s="34" t="b">
        <v>1</v>
      </c>
      <c r="K40" s="34"/>
      <c r="L40" s="32">
        <v>1</v>
      </c>
      <c r="M40" s="32">
        <v>1</v>
      </c>
      <c r="N40" s="32">
        <v>0</v>
      </c>
      <c r="O40" s="32">
        <v>0</v>
      </c>
      <c r="P40" s="32"/>
      <c r="Q40" s="32"/>
      <c r="R40" s="32"/>
      <c r="S40" s="32"/>
      <c r="T40" s="32" t="s">
        <v>94</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144</v>
      </c>
      <c r="E41" s="32" t="b">
        <v>0</v>
      </c>
      <c r="F41" s="34" t="s">
        <v>93</v>
      </c>
      <c r="G41" s="34" t="b">
        <v>0</v>
      </c>
      <c r="H41" s="34" t="s">
        <v>93</v>
      </c>
      <c r="I41" s="34" t="s">
        <v>93</v>
      </c>
      <c r="J41" s="34" t="b">
        <v>1</v>
      </c>
      <c r="K41" s="34"/>
      <c r="L41" s="32">
        <v>1</v>
      </c>
      <c r="M41" s="32">
        <v>1</v>
      </c>
      <c r="N41" s="32">
        <v>0</v>
      </c>
      <c r="O41" s="32">
        <v>0</v>
      </c>
      <c r="P41" s="32"/>
      <c r="Q41" s="32"/>
      <c r="R41" s="32"/>
      <c r="S41" s="32"/>
      <c r="T41" s="32" t="s">
        <v>94</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145</v>
      </c>
      <c r="E42" s="32" t="b">
        <v>0</v>
      </c>
      <c r="F42" s="34" t="s">
        <v>93</v>
      </c>
      <c r="G42" s="34" t="b">
        <v>0</v>
      </c>
      <c r="H42" s="34" t="s">
        <v>93</v>
      </c>
      <c r="I42" s="34" t="s">
        <v>93</v>
      </c>
      <c r="J42" s="34" t="b">
        <v>1</v>
      </c>
      <c r="K42" s="34"/>
      <c r="L42" s="32">
        <v>1</v>
      </c>
      <c r="M42" s="32">
        <v>1</v>
      </c>
      <c r="N42" s="32">
        <v>0</v>
      </c>
      <c r="O42" s="32">
        <v>0</v>
      </c>
      <c r="P42" s="32"/>
      <c r="Q42" s="32"/>
      <c r="R42" s="32"/>
      <c r="S42" s="32"/>
      <c r="T42" s="32" t="s">
        <v>94</v>
      </c>
      <c r="U42" s="39" t="s">
        <v>100</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146</v>
      </c>
      <c r="E43" s="32" t="b">
        <v>0</v>
      </c>
      <c r="F43" s="34" t="s">
        <v>93</v>
      </c>
      <c r="G43" s="34" t="b">
        <v>0</v>
      </c>
      <c r="H43" s="34" t="s">
        <v>93</v>
      </c>
      <c r="I43" s="34" t="s">
        <v>93</v>
      </c>
      <c r="J43" s="34" t="b">
        <v>1</v>
      </c>
      <c r="K43" s="34"/>
      <c r="L43" s="32">
        <v>1</v>
      </c>
      <c r="M43" s="32">
        <v>1</v>
      </c>
      <c r="N43" s="32">
        <v>0</v>
      </c>
      <c r="O43" s="32">
        <v>0</v>
      </c>
      <c r="P43" s="32"/>
      <c r="Q43" s="32"/>
      <c r="R43" s="32"/>
      <c r="S43" s="32"/>
      <c r="T43" s="32" t="s">
        <v>94</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147</v>
      </c>
      <c r="E44" s="32" t="b">
        <v>1</v>
      </c>
      <c r="F44" s="34" t="s">
        <v>93</v>
      </c>
      <c r="G44" s="34" t="b">
        <v>0</v>
      </c>
      <c r="H44" s="34" t="s">
        <v>93</v>
      </c>
      <c r="I44" s="34" t="s">
        <v>93</v>
      </c>
      <c r="J44" s="34" t="b">
        <v>1</v>
      </c>
      <c r="K44" s="34"/>
      <c r="L44" s="32">
        <v>1</v>
      </c>
      <c r="M44" s="32">
        <v>1</v>
      </c>
      <c r="N44" s="32">
        <v>0</v>
      </c>
      <c r="O44" s="32">
        <v>0</v>
      </c>
      <c r="P44" s="32"/>
      <c r="Q44" s="32"/>
      <c r="R44" s="32"/>
      <c r="S44" s="32"/>
      <c r="T44" s="32" t="s">
        <v>94</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148</v>
      </c>
      <c r="E45" s="32" t="b">
        <v>1</v>
      </c>
      <c r="F45" s="34" t="s">
        <v>93</v>
      </c>
      <c r="G45" s="34" t="b">
        <v>0</v>
      </c>
      <c r="H45" s="34" t="s">
        <v>93</v>
      </c>
      <c r="I45" s="34" t="s">
        <v>93</v>
      </c>
      <c r="J45" s="34" t="b">
        <v>1</v>
      </c>
      <c r="K45" s="34"/>
      <c r="L45" s="32">
        <v>1</v>
      </c>
      <c r="M45" s="32">
        <v>1</v>
      </c>
      <c r="N45" s="32">
        <v>0</v>
      </c>
      <c r="O45" s="32">
        <v>0</v>
      </c>
      <c r="P45" s="32" t="s">
        <v>278</v>
      </c>
      <c r="Q45" s="32" t="s">
        <v>279</v>
      </c>
      <c r="R45" s="32"/>
      <c r="S45" s="32"/>
      <c r="T45" s="32" t="s">
        <v>94</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149</v>
      </c>
      <c r="E46" s="32" t="b">
        <v>1</v>
      </c>
      <c r="F46" s="34" t="s">
        <v>93</v>
      </c>
      <c r="G46" s="34" t="b">
        <v>0</v>
      </c>
      <c r="H46" s="34" t="s">
        <v>93</v>
      </c>
      <c r="I46" s="34" t="s">
        <v>93</v>
      </c>
      <c r="J46" s="34" t="b">
        <v>1</v>
      </c>
      <c r="K46" s="34"/>
      <c r="L46" s="32">
        <v>1</v>
      </c>
      <c r="M46" s="32">
        <v>1</v>
      </c>
      <c r="N46" s="32">
        <v>0</v>
      </c>
      <c r="O46" s="32">
        <v>0</v>
      </c>
      <c r="P46" s="32"/>
      <c r="Q46" s="32"/>
      <c r="R46" s="32"/>
      <c r="S46" s="32"/>
      <c r="T46" s="32" t="s">
        <v>94</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150</v>
      </c>
      <c r="E47" s="32" t="b">
        <v>1</v>
      </c>
      <c r="F47" s="34" t="s">
        <v>93</v>
      </c>
      <c r="G47" s="34" t="b">
        <v>0</v>
      </c>
      <c r="H47" s="34" t="s">
        <v>93</v>
      </c>
      <c r="I47" s="34" t="s">
        <v>93</v>
      </c>
      <c r="J47" s="34" t="b">
        <v>1</v>
      </c>
      <c r="K47" s="34"/>
      <c r="L47" s="32">
        <v>1</v>
      </c>
      <c r="M47" s="32">
        <v>1</v>
      </c>
      <c r="N47" s="32">
        <v>0</v>
      </c>
      <c r="O47" s="32">
        <v>0</v>
      </c>
      <c r="P47" s="32"/>
      <c r="Q47" s="32"/>
      <c r="R47" s="32"/>
      <c r="S47" s="32"/>
      <c r="T47" s="32" t="s">
        <v>94</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151</v>
      </c>
      <c r="E48" s="32" t="b">
        <v>1</v>
      </c>
      <c r="F48" s="34" t="s">
        <v>93</v>
      </c>
      <c r="G48" s="34" t="b">
        <v>0</v>
      </c>
      <c r="H48" s="34" t="s">
        <v>93</v>
      </c>
      <c r="I48" s="34" t="s">
        <v>93</v>
      </c>
      <c r="J48" s="34" t="b">
        <v>1</v>
      </c>
      <c r="K48" s="34"/>
      <c r="L48" s="32">
        <v>1</v>
      </c>
      <c r="M48" s="32">
        <v>1</v>
      </c>
      <c r="N48" s="32">
        <v>0</v>
      </c>
      <c r="O48" s="32">
        <v>0</v>
      </c>
      <c r="P48" s="32"/>
      <c r="Q48" s="32"/>
      <c r="R48" s="32"/>
      <c r="S48" s="32"/>
      <c r="T48" s="32" t="s">
        <v>94</v>
      </c>
      <c r="U48" s="37" t="s">
        <v>535</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152</v>
      </c>
      <c r="E49" s="32" t="b">
        <v>1</v>
      </c>
      <c r="F49" s="34" t="s">
        <v>93</v>
      </c>
      <c r="G49" s="34" t="b">
        <v>0</v>
      </c>
      <c r="H49" s="34" t="s">
        <v>93</v>
      </c>
      <c r="I49" s="34" t="s">
        <v>93</v>
      </c>
      <c r="J49" s="34" t="b">
        <v>1</v>
      </c>
      <c r="K49" s="34"/>
      <c r="L49" s="32">
        <v>1</v>
      </c>
      <c r="M49" s="32">
        <v>1</v>
      </c>
      <c r="N49" s="32">
        <v>0</v>
      </c>
      <c r="O49" s="32">
        <v>0</v>
      </c>
      <c r="P49" s="32"/>
      <c r="Q49" s="32"/>
      <c r="R49" s="32" t="s">
        <v>277</v>
      </c>
      <c r="S49" s="32"/>
      <c r="T49" s="32" t="s">
        <v>94</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153</v>
      </c>
      <c r="E50" s="32" t="s">
        <v>216</v>
      </c>
      <c r="F50" s="34" t="s">
        <v>93</v>
      </c>
      <c r="G50" s="34" t="b">
        <v>0</v>
      </c>
      <c r="H50" s="34" t="s">
        <v>93</v>
      </c>
      <c r="I50" s="34" t="s">
        <v>93</v>
      </c>
      <c r="J50" s="34" t="b">
        <v>1</v>
      </c>
      <c r="K50" s="34"/>
      <c r="L50" s="32">
        <v>1</v>
      </c>
      <c r="M50" s="32">
        <v>1</v>
      </c>
      <c r="N50" s="32">
        <v>0</v>
      </c>
      <c r="O50" s="32">
        <v>0</v>
      </c>
      <c r="P50" s="32"/>
      <c r="Q50" s="32"/>
      <c r="R50" s="32"/>
      <c r="S50" s="32"/>
      <c r="T50" s="32" t="s">
        <v>94</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154</v>
      </c>
      <c r="E51" s="32" t="b">
        <v>1</v>
      </c>
      <c r="F51" s="34" t="s">
        <v>93</v>
      </c>
      <c r="G51" s="34" t="b">
        <v>0</v>
      </c>
      <c r="H51" s="34" t="s">
        <v>93</v>
      </c>
      <c r="I51" s="34" t="s">
        <v>93</v>
      </c>
      <c r="J51" s="34" t="b">
        <v>1</v>
      </c>
      <c r="K51" s="34"/>
      <c r="L51" s="32">
        <v>1</v>
      </c>
      <c r="M51" s="32">
        <v>1</v>
      </c>
      <c r="N51" s="32">
        <v>0</v>
      </c>
      <c r="O51" s="32">
        <v>0</v>
      </c>
      <c r="P51" s="32"/>
      <c r="Q51" s="32"/>
      <c r="R51" s="32"/>
      <c r="S51" s="32"/>
      <c r="T51" s="32" t="s">
        <v>94</v>
      </c>
      <c r="U51" s="37" t="s">
        <v>204</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155</v>
      </c>
      <c r="E52" s="32" t="b">
        <v>1</v>
      </c>
      <c r="F52" s="34" t="s">
        <v>93</v>
      </c>
      <c r="G52" s="34" t="b">
        <v>0</v>
      </c>
      <c r="H52" s="34" t="s">
        <v>93</v>
      </c>
      <c r="I52" s="34" t="s">
        <v>93</v>
      </c>
      <c r="J52" s="34" t="b">
        <v>1</v>
      </c>
      <c r="K52" s="34"/>
      <c r="L52" s="32">
        <v>1</v>
      </c>
      <c r="M52" s="32">
        <v>1</v>
      </c>
      <c r="N52" s="32">
        <v>0</v>
      </c>
      <c r="O52" s="32">
        <v>0</v>
      </c>
      <c r="P52" s="32"/>
      <c r="Q52" s="32"/>
      <c r="R52" s="32"/>
      <c r="S52" s="32"/>
      <c r="T52" s="32" t="s">
        <v>94</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156</v>
      </c>
      <c r="E53" s="32" t="b">
        <v>1</v>
      </c>
      <c r="F53" s="34" t="s">
        <v>93</v>
      </c>
      <c r="G53" s="34" t="b">
        <v>0</v>
      </c>
      <c r="H53" s="34" t="s">
        <v>93</v>
      </c>
      <c r="I53" s="34" t="s">
        <v>93</v>
      </c>
      <c r="J53" s="34" t="b">
        <v>1</v>
      </c>
      <c r="K53" s="34"/>
      <c r="L53" s="32">
        <v>1</v>
      </c>
      <c r="M53" s="32">
        <v>1</v>
      </c>
      <c r="N53" s="32">
        <v>0</v>
      </c>
      <c r="O53" s="32">
        <v>0</v>
      </c>
      <c r="P53" s="32"/>
      <c r="Q53" s="32"/>
      <c r="R53" s="32"/>
      <c r="S53" s="32"/>
      <c r="T53" s="32" t="s">
        <v>94</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157</v>
      </c>
      <c r="E54" s="32" t="b">
        <v>1</v>
      </c>
      <c r="F54" s="34" t="s">
        <v>93</v>
      </c>
      <c r="G54" s="34" t="b">
        <v>0</v>
      </c>
      <c r="H54" s="34" t="s">
        <v>93</v>
      </c>
      <c r="I54" s="34" t="s">
        <v>93</v>
      </c>
      <c r="J54" s="34" t="b">
        <v>1</v>
      </c>
      <c r="K54" s="34"/>
      <c r="L54" s="32">
        <v>1</v>
      </c>
      <c r="M54" s="32">
        <v>1</v>
      </c>
      <c r="N54" s="32">
        <v>0</v>
      </c>
      <c r="O54" s="32">
        <v>0</v>
      </c>
      <c r="P54" s="32"/>
      <c r="Q54" s="32"/>
      <c r="R54" s="44" t="s">
        <v>280</v>
      </c>
      <c r="S54" s="32"/>
      <c r="T54" s="32" t="s">
        <v>95</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158</v>
      </c>
      <c r="E55" s="32" t="b">
        <v>1</v>
      </c>
      <c r="F55" s="34" t="s">
        <v>93</v>
      </c>
      <c r="G55" s="34" t="b">
        <v>0</v>
      </c>
      <c r="H55" s="34" t="s">
        <v>265</v>
      </c>
      <c r="I55" s="34" t="s">
        <v>93</v>
      </c>
      <c r="J55" s="34" t="b">
        <v>1</v>
      </c>
      <c r="K55" s="34"/>
      <c r="L55" s="32">
        <v>1</v>
      </c>
      <c r="M55" s="32">
        <v>1</v>
      </c>
      <c r="N55" s="32">
        <v>0</v>
      </c>
      <c r="O55" s="32">
        <v>0</v>
      </c>
      <c r="P55" s="32"/>
      <c r="Q55" s="32"/>
      <c r="R55" s="32"/>
      <c r="S55" s="32"/>
      <c r="T55" s="32" t="s">
        <v>94</v>
      </c>
      <c r="U55" s="39" t="s">
        <v>101</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159</v>
      </c>
      <c r="E56" s="32" t="b">
        <v>1</v>
      </c>
      <c r="F56" s="34" t="s">
        <v>93</v>
      </c>
      <c r="G56" s="34" t="b">
        <v>0</v>
      </c>
      <c r="H56" s="34" t="s">
        <v>93</v>
      </c>
      <c r="I56" s="34" t="s">
        <v>93</v>
      </c>
      <c r="J56" s="34" t="b">
        <v>1</v>
      </c>
      <c r="K56" s="34"/>
      <c r="L56" s="32">
        <v>1</v>
      </c>
      <c r="M56" s="32">
        <v>1</v>
      </c>
      <c r="N56" s="32">
        <v>0</v>
      </c>
      <c r="O56" s="32">
        <v>0</v>
      </c>
      <c r="P56" s="32"/>
      <c r="Q56" s="32"/>
      <c r="R56" s="32" t="s">
        <v>281</v>
      </c>
      <c r="S56" s="32"/>
      <c r="T56" s="32" t="s">
        <v>94</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160</v>
      </c>
      <c r="E57" s="32" t="b">
        <v>1</v>
      </c>
      <c r="F57" s="34" t="s">
        <v>102</v>
      </c>
      <c r="G57" s="34" t="b">
        <v>0</v>
      </c>
      <c r="H57" s="34" t="s">
        <v>93</v>
      </c>
      <c r="I57" s="34" t="s">
        <v>93</v>
      </c>
      <c r="J57" s="34" t="b">
        <v>1</v>
      </c>
      <c r="K57" s="34"/>
      <c r="L57" s="32">
        <v>1</v>
      </c>
      <c r="M57" s="32">
        <v>1</v>
      </c>
      <c r="N57" s="32">
        <v>0</v>
      </c>
      <c r="O57" s="32">
        <v>0</v>
      </c>
      <c r="P57" s="32"/>
      <c r="Q57" s="32"/>
      <c r="R57" s="32"/>
      <c r="S57" s="32"/>
      <c r="T57" s="32" t="s">
        <v>94</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161</v>
      </c>
      <c r="E58" s="32" t="b">
        <v>1</v>
      </c>
      <c r="F58" s="34" t="s">
        <v>93</v>
      </c>
      <c r="G58" s="34" t="b">
        <v>0</v>
      </c>
      <c r="H58" s="34" t="s">
        <v>93</v>
      </c>
      <c r="I58" s="34" t="s">
        <v>93</v>
      </c>
      <c r="J58" s="34" t="b">
        <v>1</v>
      </c>
      <c r="K58" s="34"/>
      <c r="L58" s="32">
        <v>1</v>
      </c>
      <c r="M58" s="32">
        <v>1</v>
      </c>
      <c r="N58" s="32">
        <v>0</v>
      </c>
      <c r="O58" s="32">
        <v>0</v>
      </c>
      <c r="P58" s="32"/>
      <c r="Q58" s="32"/>
      <c r="R58" s="32"/>
      <c r="S58" s="32"/>
      <c r="T58" s="32" t="s">
        <v>94</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162</v>
      </c>
      <c r="E59" s="32" t="b">
        <v>1</v>
      </c>
      <c r="F59" s="34" t="s">
        <v>93</v>
      </c>
      <c r="G59" s="34" t="b">
        <v>0</v>
      </c>
      <c r="H59" s="34" t="s">
        <v>93</v>
      </c>
      <c r="I59" s="34" t="s">
        <v>93</v>
      </c>
      <c r="J59" s="34" t="b">
        <v>1</v>
      </c>
      <c r="K59" s="34"/>
      <c r="L59" s="32">
        <v>1</v>
      </c>
      <c r="M59" s="32">
        <v>1</v>
      </c>
      <c r="N59" s="32">
        <v>0</v>
      </c>
      <c r="O59" s="32">
        <v>0</v>
      </c>
      <c r="P59" s="32"/>
      <c r="Q59" s="32"/>
      <c r="R59" s="32"/>
      <c r="S59" s="32"/>
      <c r="T59" s="32" t="s">
        <v>94</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164</v>
      </c>
      <c r="E60" s="32" t="b">
        <v>1</v>
      </c>
      <c r="F60" s="34" t="s">
        <v>93</v>
      </c>
      <c r="G60" s="34" t="b">
        <v>0</v>
      </c>
      <c r="H60" s="34" t="s">
        <v>93</v>
      </c>
      <c r="I60" s="34" t="s">
        <v>225</v>
      </c>
      <c r="J60" s="34" t="b">
        <v>1</v>
      </c>
      <c r="K60" s="34"/>
      <c r="L60" s="32">
        <v>1</v>
      </c>
      <c r="M60" s="32">
        <v>1</v>
      </c>
      <c r="N60" s="32">
        <v>0</v>
      </c>
      <c r="O60" s="32">
        <v>0</v>
      </c>
      <c r="P60" s="32"/>
      <c r="Q60" s="32"/>
      <c r="R60" s="32"/>
      <c r="S60" s="32"/>
      <c r="T60" s="32" t="s">
        <v>94</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165</v>
      </c>
      <c r="E61" s="32" t="b">
        <v>1</v>
      </c>
      <c r="F61" s="34" t="s">
        <v>93</v>
      </c>
      <c r="G61" s="34" t="b">
        <v>0</v>
      </c>
      <c r="H61" s="34" t="s">
        <v>93</v>
      </c>
      <c r="I61" s="34" t="s">
        <v>93</v>
      </c>
      <c r="J61" s="34" t="b">
        <v>1</v>
      </c>
      <c r="K61" s="34"/>
      <c r="L61" s="32">
        <v>1</v>
      </c>
      <c r="M61" s="32">
        <v>1</v>
      </c>
      <c r="N61" s="32">
        <v>0</v>
      </c>
      <c r="O61" s="32">
        <v>0</v>
      </c>
      <c r="P61" s="32"/>
      <c r="Q61" s="32"/>
      <c r="R61" s="32"/>
      <c r="S61" s="32"/>
      <c r="T61" s="32" t="s">
        <v>94</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166</v>
      </c>
      <c r="E62" s="32" t="b">
        <v>1</v>
      </c>
      <c r="F62" s="34" t="s">
        <v>93</v>
      </c>
      <c r="G62" s="34" t="b">
        <v>0</v>
      </c>
      <c r="H62" s="34" t="s">
        <v>93</v>
      </c>
      <c r="I62" s="34" t="s">
        <v>225</v>
      </c>
      <c r="J62" s="34" t="b">
        <v>1</v>
      </c>
      <c r="K62" s="34"/>
      <c r="L62" s="32">
        <v>1</v>
      </c>
      <c r="M62" s="32">
        <v>1</v>
      </c>
      <c r="N62" s="32">
        <v>0</v>
      </c>
      <c r="O62" s="32">
        <v>0</v>
      </c>
      <c r="P62" s="32"/>
      <c r="Q62" s="32"/>
      <c r="R62" s="32"/>
      <c r="S62" s="32"/>
      <c r="T62" s="32" t="s">
        <v>94</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167</v>
      </c>
      <c r="E63" s="32" t="b">
        <v>1</v>
      </c>
      <c r="F63" s="34" t="s">
        <v>93</v>
      </c>
      <c r="G63" s="34" t="b">
        <v>0</v>
      </c>
      <c r="H63" s="34" t="s">
        <v>93</v>
      </c>
      <c r="I63" s="34" t="s">
        <v>93</v>
      </c>
      <c r="J63" s="34" t="b">
        <v>1</v>
      </c>
      <c r="K63" s="34"/>
      <c r="L63" s="32">
        <v>1</v>
      </c>
      <c r="M63" s="32">
        <v>1</v>
      </c>
      <c r="N63" s="32">
        <v>0</v>
      </c>
      <c r="O63" s="32">
        <v>0</v>
      </c>
      <c r="P63" s="32"/>
      <c r="Q63" s="32"/>
      <c r="R63" s="32"/>
      <c r="S63" s="71" t="s">
        <v>256</v>
      </c>
      <c r="T63" s="32" t="s">
        <v>94</v>
      </c>
      <c r="U63" s="37" t="s">
        <v>612</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168</v>
      </c>
      <c r="E64" s="32" t="b">
        <v>1</v>
      </c>
      <c r="F64" s="34" t="s">
        <v>93</v>
      </c>
      <c r="G64" s="34" t="b">
        <v>0</v>
      </c>
      <c r="H64" s="34" t="s">
        <v>93</v>
      </c>
      <c r="I64" s="34" t="s">
        <v>93</v>
      </c>
      <c r="J64" s="34" t="b">
        <v>1</v>
      </c>
      <c r="K64" s="34"/>
      <c r="L64" s="32">
        <v>1</v>
      </c>
      <c r="M64" s="32">
        <v>1</v>
      </c>
      <c r="N64" s="32">
        <v>0</v>
      </c>
      <c r="O64" s="32">
        <v>0</v>
      </c>
      <c r="P64" s="32"/>
      <c r="Q64" s="32"/>
      <c r="R64" s="32"/>
      <c r="S64" s="71" t="s">
        <v>256</v>
      </c>
      <c r="T64" s="32" t="s">
        <v>94</v>
      </c>
      <c r="U64" s="37" t="s">
        <v>612</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169</v>
      </c>
      <c r="E65" s="32" t="b">
        <v>1</v>
      </c>
      <c r="F65" s="34" t="s">
        <v>93</v>
      </c>
      <c r="G65" s="34" t="b">
        <v>0</v>
      </c>
      <c r="H65" s="34" t="s">
        <v>285</v>
      </c>
      <c r="I65" s="34" t="s">
        <v>93</v>
      </c>
      <c r="J65" s="34" t="b">
        <v>1</v>
      </c>
      <c r="K65" s="34"/>
      <c r="L65" s="32">
        <v>1</v>
      </c>
      <c r="M65" s="32">
        <v>1</v>
      </c>
      <c r="N65" s="32">
        <v>0</v>
      </c>
      <c r="O65" s="32">
        <v>0</v>
      </c>
      <c r="P65" s="32"/>
      <c r="Q65" s="32"/>
      <c r="R65" s="32"/>
      <c r="S65" s="32"/>
      <c r="T65" s="32" t="s">
        <v>94</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170</v>
      </c>
      <c r="E66" s="32" t="b">
        <v>1</v>
      </c>
      <c r="F66" s="34" t="s">
        <v>93</v>
      </c>
      <c r="G66" s="34" t="b">
        <v>0</v>
      </c>
      <c r="H66" s="34" t="s">
        <v>93</v>
      </c>
      <c r="I66" s="34" t="s">
        <v>225</v>
      </c>
      <c r="J66" s="34" t="b">
        <v>1</v>
      </c>
      <c r="K66" s="34"/>
      <c r="L66" s="32">
        <v>1</v>
      </c>
      <c r="M66" s="32">
        <v>1</v>
      </c>
      <c r="N66" s="32">
        <v>0</v>
      </c>
      <c r="O66" s="32">
        <v>0</v>
      </c>
      <c r="P66" s="32"/>
      <c r="Q66" s="32"/>
      <c r="R66" s="32"/>
      <c r="S66" s="32"/>
      <c r="T66" s="32" t="s">
        <v>94</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171</v>
      </c>
      <c r="E67" s="32" t="b">
        <v>1</v>
      </c>
      <c r="F67" s="34" t="s">
        <v>93</v>
      </c>
      <c r="G67" s="34" t="b">
        <v>0</v>
      </c>
      <c r="H67" s="34" t="s">
        <v>99</v>
      </c>
      <c r="I67" s="34" t="s">
        <v>93</v>
      </c>
      <c r="J67" s="34" t="b">
        <v>1</v>
      </c>
      <c r="K67" s="34"/>
      <c r="L67" s="32">
        <v>1</v>
      </c>
      <c r="M67" s="32">
        <v>1</v>
      </c>
      <c r="N67" s="32">
        <v>0</v>
      </c>
      <c r="O67" s="32">
        <v>0</v>
      </c>
      <c r="P67" s="32"/>
      <c r="Q67" s="32"/>
      <c r="R67" s="44" t="s">
        <v>282</v>
      </c>
      <c r="S67" s="32" t="s">
        <v>603</v>
      </c>
      <c r="T67" s="32" t="s">
        <v>95</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172</v>
      </c>
      <c r="E68" s="32" t="s">
        <v>203</v>
      </c>
      <c r="F68" s="34" t="s">
        <v>93</v>
      </c>
      <c r="G68" s="34" t="b">
        <v>0</v>
      </c>
      <c r="H68" s="34" t="s">
        <v>93</v>
      </c>
      <c r="I68" s="34" t="s">
        <v>225</v>
      </c>
      <c r="J68" s="34" t="b">
        <v>1</v>
      </c>
      <c r="K68" s="34"/>
      <c r="L68" s="32">
        <v>1</v>
      </c>
      <c r="M68" s="32">
        <v>1</v>
      </c>
      <c r="N68" s="32">
        <v>0</v>
      </c>
      <c r="O68" s="32">
        <v>0</v>
      </c>
      <c r="P68" s="32"/>
      <c r="Q68" s="32"/>
      <c r="R68" s="32"/>
      <c r="S68" s="32"/>
      <c r="T68" s="32" t="s">
        <v>94</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173</v>
      </c>
      <c r="E69" s="32" t="b">
        <v>1</v>
      </c>
      <c r="F69" s="34" t="s">
        <v>96</v>
      </c>
      <c r="G69" s="34" t="b">
        <v>1</v>
      </c>
      <c r="H69" s="34" t="s">
        <v>93</v>
      </c>
      <c r="I69" s="34" t="s">
        <v>93</v>
      </c>
      <c r="J69" s="34" t="b">
        <v>1</v>
      </c>
      <c r="K69" s="34"/>
      <c r="L69" s="32">
        <v>1</v>
      </c>
      <c r="M69" s="32">
        <v>1</v>
      </c>
      <c r="N69" s="32">
        <v>0</v>
      </c>
      <c r="O69" s="32">
        <v>0</v>
      </c>
      <c r="P69" s="32"/>
      <c r="Q69" s="32"/>
      <c r="R69" s="32"/>
      <c r="S69" s="32"/>
      <c r="T69" s="32" t="s">
        <v>94</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175</v>
      </c>
      <c r="E70" s="32" t="b">
        <v>1</v>
      </c>
      <c r="F70" s="34" t="s">
        <v>93</v>
      </c>
      <c r="G70" s="34" t="b">
        <v>0</v>
      </c>
      <c r="H70" s="34" t="s">
        <v>285</v>
      </c>
      <c r="I70" s="34" t="s">
        <v>93</v>
      </c>
      <c r="J70" s="34" t="b">
        <v>1</v>
      </c>
      <c r="K70" s="34"/>
      <c r="L70" s="32">
        <v>1</v>
      </c>
      <c r="M70" s="32">
        <v>1</v>
      </c>
      <c r="N70" s="32">
        <v>0</v>
      </c>
      <c r="O70" s="32">
        <v>0</v>
      </c>
      <c r="P70" s="32"/>
      <c r="Q70" s="32"/>
      <c r="R70" s="32"/>
      <c r="S70" s="32"/>
      <c r="T70" s="32" t="s">
        <v>94</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176</v>
      </c>
      <c r="E71" s="32" t="s">
        <v>243</v>
      </c>
      <c r="F71" s="34" t="s">
        <v>93</v>
      </c>
      <c r="G71" s="34" t="b">
        <v>0</v>
      </c>
      <c r="H71" s="34" t="s">
        <v>93</v>
      </c>
      <c r="I71" s="34" t="s">
        <v>93</v>
      </c>
      <c r="J71" s="34" t="b">
        <v>1</v>
      </c>
      <c r="K71" s="34"/>
      <c r="L71" s="32">
        <v>1</v>
      </c>
      <c r="M71" s="32">
        <v>1</v>
      </c>
      <c r="N71" s="32">
        <v>0</v>
      </c>
      <c r="O71" s="32">
        <v>0</v>
      </c>
      <c r="P71" s="32"/>
      <c r="Q71" s="32"/>
      <c r="R71" s="32"/>
      <c r="S71" s="32"/>
      <c r="T71" s="32" t="s">
        <v>94</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177</v>
      </c>
      <c r="E72" s="32" t="b">
        <v>1</v>
      </c>
      <c r="F72" s="34" t="s">
        <v>96</v>
      </c>
      <c r="G72" s="34" t="b">
        <v>1</v>
      </c>
      <c r="H72" s="34" t="s">
        <v>93</v>
      </c>
      <c r="I72" s="34" t="s">
        <v>93</v>
      </c>
      <c r="J72" s="34" t="b">
        <v>1</v>
      </c>
      <c r="K72" s="34"/>
      <c r="L72" s="32">
        <v>1</v>
      </c>
      <c r="M72" s="32">
        <v>1</v>
      </c>
      <c r="N72" s="32">
        <v>0</v>
      </c>
      <c r="O72" s="32">
        <v>0</v>
      </c>
      <c r="P72" s="32"/>
      <c r="Q72" s="32"/>
      <c r="R72" s="32"/>
      <c r="S72" s="32"/>
      <c r="T72" s="32" t="s">
        <v>94</v>
      </c>
      <c r="U72" s="37" t="s">
        <v>619</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186</v>
      </c>
      <c r="E73" s="32" t="s">
        <v>104</v>
      </c>
      <c r="F73" s="34" t="s">
        <v>93</v>
      </c>
      <c r="G73" s="34" t="b">
        <v>0</v>
      </c>
      <c r="H73" s="34" t="s">
        <v>260</v>
      </c>
      <c r="I73" s="34" t="s">
        <v>93</v>
      </c>
      <c r="J73" s="34" t="b">
        <v>1</v>
      </c>
      <c r="K73" s="34"/>
      <c r="L73" s="32">
        <v>1</v>
      </c>
      <c r="M73" s="32">
        <v>1</v>
      </c>
      <c r="N73" s="32">
        <v>3</v>
      </c>
      <c r="O73" s="32">
        <v>0</v>
      </c>
      <c r="P73" s="32"/>
      <c r="Q73" s="32"/>
      <c r="R73" s="32"/>
      <c r="S73" s="32"/>
      <c r="T73" s="32" t="s">
        <v>94</v>
      </c>
      <c r="U73" s="37" t="s">
        <v>620</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178</v>
      </c>
      <c r="E74" s="32" t="b">
        <v>1</v>
      </c>
      <c r="F74" s="34" t="s">
        <v>93</v>
      </c>
      <c r="G74" s="34" t="b">
        <v>0</v>
      </c>
      <c r="H74" s="34" t="s">
        <v>93</v>
      </c>
      <c r="I74" s="34" t="s">
        <v>93</v>
      </c>
      <c r="J74" s="34" t="b">
        <v>1</v>
      </c>
      <c r="K74" s="34"/>
      <c r="L74" s="32">
        <v>1</v>
      </c>
      <c r="M74" s="32">
        <v>1</v>
      </c>
      <c r="N74" s="32">
        <v>0</v>
      </c>
      <c r="O74" s="32">
        <v>0</v>
      </c>
      <c r="P74" s="32"/>
      <c r="Q74" s="32"/>
      <c r="R74" s="32"/>
      <c r="S74" s="32"/>
      <c r="T74" s="32" t="s">
        <v>94</v>
      </c>
      <c r="U74" s="37" t="s">
        <v>106</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179</v>
      </c>
      <c r="E75" s="32" t="s">
        <v>242</v>
      </c>
      <c r="F75" s="34" t="str">
        <f ca="1">CHAR(9)</f>
        <v xml:space="preserve">	</v>
      </c>
      <c r="G75" s="34" t="b">
        <v>0</v>
      </c>
      <c r="H75" s="34" t="s">
        <v>93</v>
      </c>
      <c r="I75" s="34" t="s">
        <v>93</v>
      </c>
      <c r="J75" s="34" t="b">
        <v>1</v>
      </c>
      <c r="K75" s="34"/>
      <c r="L75" s="32">
        <v>1</v>
      </c>
      <c r="M75" s="32">
        <v>1</v>
      </c>
      <c r="N75" s="32">
        <v>0</v>
      </c>
      <c r="O75" s="32">
        <v>0</v>
      </c>
      <c r="P75" s="32"/>
      <c r="Q75" s="32"/>
      <c r="R75" s="32"/>
      <c r="S75" s="32"/>
      <c r="T75" s="32" t="s">
        <v>94</v>
      </c>
      <c r="U75" s="39" t="s">
        <v>103</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180</v>
      </c>
      <c r="E76" s="32" t="b">
        <v>1</v>
      </c>
      <c r="F76" s="34" t="s">
        <v>93</v>
      </c>
      <c r="G76" s="34" t="b">
        <v>0</v>
      </c>
      <c r="H76" s="34" t="s">
        <v>93</v>
      </c>
      <c r="I76" s="34" t="s">
        <v>93</v>
      </c>
      <c r="J76" s="34" t="b">
        <v>1</v>
      </c>
      <c r="K76" s="34"/>
      <c r="L76" s="32">
        <v>1</v>
      </c>
      <c r="M76" s="32">
        <v>1</v>
      </c>
      <c r="N76" s="32">
        <v>0</v>
      </c>
      <c r="O76" s="32">
        <v>0</v>
      </c>
      <c r="P76" s="32"/>
      <c r="Q76" s="32"/>
      <c r="R76" s="32"/>
      <c r="S76" s="32"/>
      <c r="T76" s="32" t="s">
        <v>94</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181</v>
      </c>
      <c r="E77" s="32" t="s">
        <v>203</v>
      </c>
      <c r="F77" s="34" t="s">
        <v>93</v>
      </c>
      <c r="G77" s="34" t="b">
        <v>0</v>
      </c>
      <c r="H77" s="34" t="s">
        <v>93</v>
      </c>
      <c r="I77" s="34" t="s">
        <v>93</v>
      </c>
      <c r="J77" s="34" t="b">
        <v>1</v>
      </c>
      <c r="K77" s="34"/>
      <c r="L77" s="32">
        <v>1</v>
      </c>
      <c r="M77" s="32">
        <v>1</v>
      </c>
      <c r="N77" s="32">
        <v>0</v>
      </c>
      <c r="O77" s="32">
        <v>0</v>
      </c>
      <c r="P77" s="32"/>
      <c r="Q77" s="32"/>
      <c r="R77" s="32"/>
      <c r="S77" s="32"/>
      <c r="T77" s="32" t="s">
        <v>94</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227</v>
      </c>
      <c r="E78" s="32" t="b" cm="1">
        <v>1</v>
      </c>
      <c r="F78" s="34" t="s">
        <v>93</v>
      </c>
      <c r="G78" s="34" t="b">
        <v>0</v>
      </c>
      <c r="H78" s="34" t="s">
        <v>265</v>
      </c>
      <c r="I78" s="34" t="s">
        <v>93</v>
      </c>
      <c r="J78" s="34" t="b">
        <v>1</v>
      </c>
      <c r="K78" s="34"/>
      <c r="L78" s="32">
        <v>1</v>
      </c>
      <c r="M78" s="32">
        <v>1</v>
      </c>
      <c r="N78" s="32">
        <v>0</v>
      </c>
      <c r="O78" s="32">
        <v>0</v>
      </c>
      <c r="P78" s="32"/>
      <c r="Q78" s="32"/>
      <c r="R78" s="32"/>
      <c r="S78" s="32"/>
      <c r="T78" s="32" t="s">
        <v>94</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227</v>
      </c>
      <c r="E79" s="32" t="b">
        <v>0</v>
      </c>
      <c r="F79" s="34" t="s">
        <v>93</v>
      </c>
      <c r="G79" s="34" t="b">
        <v>0</v>
      </c>
      <c r="H79" s="34" t="s">
        <v>93</v>
      </c>
      <c r="I79" s="34" t="s">
        <v>93</v>
      </c>
      <c r="J79" s="34" t="b">
        <v>1</v>
      </c>
      <c r="K79" s="34"/>
      <c r="L79" s="32">
        <v>1</v>
      </c>
      <c r="M79" s="32">
        <v>1</v>
      </c>
      <c r="N79" s="32">
        <v>0</v>
      </c>
      <c r="O79" s="32">
        <v>0</v>
      </c>
      <c r="P79" s="32"/>
      <c r="Q79" s="32"/>
      <c r="R79" s="32"/>
      <c r="S79" s="32"/>
      <c r="T79" s="32" t="s">
        <v>94</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227</v>
      </c>
      <c r="E80" s="32" t="s">
        <v>203</v>
      </c>
      <c r="F80" s="34" t="s">
        <v>93</v>
      </c>
      <c r="G80" s="34" t="b">
        <v>0</v>
      </c>
      <c r="H80" s="34" t="s">
        <v>93</v>
      </c>
      <c r="I80" s="34" t="s">
        <v>93</v>
      </c>
      <c r="J80" s="34" t="b">
        <v>1</v>
      </c>
      <c r="K80" s="34"/>
      <c r="L80" s="32">
        <v>1</v>
      </c>
      <c r="M80" s="32">
        <v>1</v>
      </c>
      <c r="N80" s="32">
        <v>0</v>
      </c>
      <c r="O80" s="32">
        <v>0</v>
      </c>
      <c r="P80" s="32"/>
      <c r="Q80" s="32"/>
      <c r="R80" s="32"/>
      <c r="S80" s="32"/>
      <c r="T80" s="32" t="s">
        <v>94</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227</v>
      </c>
      <c r="E81" s="32" t="s">
        <v>212</v>
      </c>
      <c r="F81" s="34" t="s">
        <v>93</v>
      </c>
      <c r="G81" s="34" t="b">
        <v>0</v>
      </c>
      <c r="H81" s="34" t="s">
        <v>265</v>
      </c>
      <c r="I81" s="34" t="s">
        <v>93</v>
      </c>
      <c r="J81" s="34" t="b">
        <v>1</v>
      </c>
      <c r="K81" s="34"/>
      <c r="L81" s="32">
        <v>1</v>
      </c>
      <c r="M81" s="32">
        <v>1</v>
      </c>
      <c r="N81" s="32">
        <v>0</v>
      </c>
      <c r="O81" s="32">
        <v>0</v>
      </c>
      <c r="P81" s="32"/>
      <c r="Q81" s="32"/>
      <c r="R81" s="32"/>
      <c r="S81" s="32"/>
      <c r="T81" s="32" t="s">
        <v>94</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227</v>
      </c>
      <c r="E82" s="32" t="s">
        <v>213</v>
      </c>
      <c r="F82" s="34" t="s">
        <v>93</v>
      </c>
      <c r="G82" s="34" t="b">
        <v>0</v>
      </c>
      <c r="H82" s="34" t="s">
        <v>93</v>
      </c>
      <c r="I82" s="34" t="s">
        <v>93</v>
      </c>
      <c r="J82" s="34" t="b">
        <v>1</v>
      </c>
      <c r="K82" s="34"/>
      <c r="L82" s="32">
        <v>1</v>
      </c>
      <c r="M82" s="32">
        <v>1</v>
      </c>
      <c r="N82" s="32">
        <v>0</v>
      </c>
      <c r="O82" s="32">
        <v>0</v>
      </c>
      <c r="P82" s="32"/>
      <c r="Q82" s="32"/>
      <c r="R82" s="32"/>
      <c r="S82" s="32"/>
      <c r="T82" s="32" t="s">
        <v>94</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227</v>
      </c>
      <c r="E83" s="32" t="s">
        <v>214</v>
      </c>
      <c r="F83" s="34" t="s">
        <v>93</v>
      </c>
      <c r="G83" s="34" t="b">
        <v>0</v>
      </c>
      <c r="H83" s="34" t="s">
        <v>93</v>
      </c>
      <c r="I83" s="34" t="s">
        <v>93</v>
      </c>
      <c r="J83" s="34" t="b">
        <v>1</v>
      </c>
      <c r="K83" s="34"/>
      <c r="L83" s="32">
        <v>1</v>
      </c>
      <c r="M83" s="32">
        <v>1</v>
      </c>
      <c r="N83" s="32">
        <v>0</v>
      </c>
      <c r="O83" s="32">
        <v>0</v>
      </c>
      <c r="P83" s="32"/>
      <c r="Q83" s="32"/>
      <c r="R83" s="32"/>
      <c r="S83" s="32"/>
      <c r="T83" s="32" t="s">
        <v>94</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227</v>
      </c>
      <c r="E84" s="32" t="s">
        <v>216</v>
      </c>
      <c r="F84" s="34" t="s">
        <v>93</v>
      </c>
      <c r="G84" s="34" t="b">
        <v>0</v>
      </c>
      <c r="H84" s="34" t="s">
        <v>93</v>
      </c>
      <c r="I84" s="34" t="s">
        <v>93</v>
      </c>
      <c r="J84" s="34" t="b">
        <v>1</v>
      </c>
      <c r="K84" s="34"/>
      <c r="L84" s="32">
        <v>1</v>
      </c>
      <c r="M84" s="32">
        <v>1</v>
      </c>
      <c r="N84" s="32">
        <v>0</v>
      </c>
      <c r="O84" s="32">
        <v>0</v>
      </c>
      <c r="P84" s="32"/>
      <c r="Q84" s="32"/>
      <c r="R84" s="32"/>
      <c r="S84" s="32"/>
      <c r="T84" s="32" t="s">
        <v>94</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227</v>
      </c>
      <c r="E85" s="32" t="s">
        <v>217</v>
      </c>
      <c r="F85" s="34" t="s">
        <v>93</v>
      </c>
      <c r="G85" s="34" t="b">
        <v>0</v>
      </c>
      <c r="H85" s="34" t="s">
        <v>265</v>
      </c>
      <c r="I85" s="34" t="s">
        <v>93</v>
      </c>
      <c r="J85" s="34" t="b">
        <v>1</v>
      </c>
      <c r="K85" s="34"/>
      <c r="L85" s="32">
        <v>1</v>
      </c>
      <c r="M85" s="32">
        <v>1</v>
      </c>
      <c r="N85" s="32">
        <v>0</v>
      </c>
      <c r="O85" s="32">
        <v>0</v>
      </c>
      <c r="P85" s="32"/>
      <c r="Q85" s="32"/>
      <c r="R85" s="32"/>
      <c r="S85" s="32"/>
      <c r="T85" s="32" t="s">
        <v>94</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227</v>
      </c>
      <c r="E86" s="32" t="s">
        <v>218</v>
      </c>
      <c r="F86" s="34" t="s">
        <v>93</v>
      </c>
      <c r="G86" s="34" t="b">
        <v>0</v>
      </c>
      <c r="H86" s="34" t="s">
        <v>93</v>
      </c>
      <c r="I86" s="34" t="s">
        <v>93</v>
      </c>
      <c r="J86" s="34" t="b">
        <v>1</v>
      </c>
      <c r="K86" s="34"/>
      <c r="L86" s="32">
        <v>1</v>
      </c>
      <c r="M86" s="32">
        <v>1</v>
      </c>
      <c r="N86" s="32">
        <v>0</v>
      </c>
      <c r="O86" s="32">
        <v>0</v>
      </c>
      <c r="P86" s="32"/>
      <c r="Q86" s="32"/>
      <c r="R86" s="32"/>
      <c r="S86" s="32"/>
      <c r="T86" s="32" t="s">
        <v>94</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227</v>
      </c>
      <c r="E87" s="32" t="s">
        <v>219</v>
      </c>
      <c r="F87" s="34" t="s">
        <v>93</v>
      </c>
      <c r="G87" s="34" t="b">
        <v>0</v>
      </c>
      <c r="H87" s="34" t="s">
        <v>93</v>
      </c>
      <c r="I87" s="34" t="s">
        <v>93</v>
      </c>
      <c r="J87" s="34" t="b">
        <v>1</v>
      </c>
      <c r="K87" s="34"/>
      <c r="L87" s="32">
        <v>1</v>
      </c>
      <c r="M87" s="32">
        <v>1</v>
      </c>
      <c r="N87" s="32">
        <v>0</v>
      </c>
      <c r="O87" s="32">
        <v>0</v>
      </c>
      <c r="P87" s="32"/>
      <c r="Q87" s="32"/>
      <c r="R87" s="32"/>
      <c r="S87" s="32"/>
      <c r="T87" s="32" t="s">
        <v>94</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227</v>
      </c>
      <c r="E88" s="32" t="s">
        <v>209</v>
      </c>
      <c r="F88" s="34" t="s">
        <v>93</v>
      </c>
      <c r="G88" s="34" t="b">
        <v>0</v>
      </c>
      <c r="H88" s="34" t="s">
        <v>93</v>
      </c>
      <c r="I88" s="34" t="s">
        <v>93</v>
      </c>
      <c r="J88" s="34" t="b">
        <v>1</v>
      </c>
      <c r="K88" s="34"/>
      <c r="L88" s="32">
        <v>1</v>
      </c>
      <c r="M88" s="32">
        <v>1</v>
      </c>
      <c r="N88" s="32">
        <v>0</v>
      </c>
      <c r="O88" s="32">
        <v>0</v>
      </c>
      <c r="P88" s="32"/>
      <c r="Q88" s="32"/>
      <c r="R88" s="32"/>
      <c r="S88" s="32"/>
      <c r="T88" s="32" t="s">
        <v>94</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227</v>
      </c>
      <c r="E89" s="32" t="s">
        <v>210</v>
      </c>
      <c r="F89" s="34" t="s">
        <v>93</v>
      </c>
      <c r="G89" s="34" t="b">
        <v>0</v>
      </c>
      <c r="H89" s="34" t="s">
        <v>93</v>
      </c>
      <c r="I89" s="34" t="s">
        <v>93</v>
      </c>
      <c r="J89" s="34" t="b">
        <v>1</v>
      </c>
      <c r="K89" s="34"/>
      <c r="L89" s="32">
        <v>1</v>
      </c>
      <c r="M89" s="32">
        <v>1</v>
      </c>
      <c r="N89" s="32">
        <v>0</v>
      </c>
      <c r="O89" s="32">
        <v>0</v>
      </c>
      <c r="P89" s="32"/>
      <c r="Q89" s="32"/>
      <c r="R89" s="32"/>
      <c r="S89" s="32"/>
      <c r="T89" s="32" t="s">
        <v>94</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190</v>
      </c>
      <c r="E90" s="32" t="s">
        <v>104</v>
      </c>
      <c r="F90" s="34"/>
      <c r="G90" s="34"/>
      <c r="H90" s="34" t="s">
        <v>285</v>
      </c>
      <c r="I90" s="34"/>
      <c r="J90" s="34" t="b">
        <v>1</v>
      </c>
      <c r="K90" s="34"/>
      <c r="L90" s="32">
        <v>1</v>
      </c>
      <c r="M90" s="32">
        <v>1</v>
      </c>
      <c r="N90" s="32">
        <v>0</v>
      </c>
      <c r="O90" s="32">
        <v>0</v>
      </c>
      <c r="P90" s="32"/>
      <c r="Q90" s="32"/>
      <c r="R90" s="44" t="s">
        <v>336</v>
      </c>
      <c r="S90" s="32"/>
      <c r="T90" s="32"/>
      <c r="U90" s="39" t="s">
        <v>337</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123</v>
      </c>
      <c r="E91" s="32" t="b">
        <v>1</v>
      </c>
      <c r="F91" s="34" t="s">
        <v>93</v>
      </c>
      <c r="G91" s="34" t="b">
        <v>0</v>
      </c>
      <c r="H91" s="34" t="s">
        <v>93</v>
      </c>
      <c r="I91" s="34" t="s">
        <v>93</v>
      </c>
      <c r="J91" s="34" t="b">
        <v>1</v>
      </c>
      <c r="K91" s="34"/>
      <c r="L91" s="32">
        <v>1</v>
      </c>
      <c r="M91" s="32">
        <v>1</v>
      </c>
      <c r="N91" s="32">
        <v>0</v>
      </c>
      <c r="O91" s="32">
        <v>0</v>
      </c>
      <c r="P91" s="32"/>
      <c r="Q91" s="32"/>
      <c r="R91" s="32"/>
      <c r="S91" s="32"/>
      <c r="T91" s="32"/>
      <c r="U91" s="39" t="s">
        <v>338</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199</v>
      </c>
      <c r="E92" s="32" t="s">
        <v>203</v>
      </c>
      <c r="F92" s="34" t="s">
        <v>93</v>
      </c>
      <c r="G92" s="34" t="b">
        <v>0</v>
      </c>
      <c r="H92" s="34" t="s">
        <v>93</v>
      </c>
      <c r="I92" s="34" t="s">
        <v>93</v>
      </c>
      <c r="J92" s="34" t="b">
        <v>1</v>
      </c>
      <c r="K92" s="34"/>
      <c r="L92" s="32">
        <v>1</v>
      </c>
      <c r="M92" s="32">
        <v>1</v>
      </c>
      <c r="N92" s="32">
        <v>2</v>
      </c>
      <c r="O92" s="32">
        <v>0</v>
      </c>
      <c r="P92" s="32"/>
      <c r="Q92" s="32"/>
      <c r="R92" s="32"/>
      <c r="S92" s="32"/>
      <c r="T92" s="32" t="s">
        <v>94</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199</v>
      </c>
      <c r="E93" s="32" t="s">
        <v>203</v>
      </c>
      <c r="F93" s="34"/>
      <c r="G93" s="34" t="b">
        <v>0</v>
      </c>
      <c r="H93" s="34"/>
      <c r="I93" s="34"/>
      <c r="J93" s="34" t="b">
        <v>1</v>
      </c>
      <c r="K93" s="34"/>
      <c r="L93" s="32">
        <v>1</v>
      </c>
      <c r="M93" s="32">
        <v>1</v>
      </c>
      <c r="N93" s="32">
        <v>0</v>
      </c>
      <c r="O93" s="32">
        <v>0</v>
      </c>
      <c r="P93" s="32"/>
      <c r="Q93" s="32"/>
      <c r="R93" s="32"/>
      <c r="S93" s="32"/>
      <c r="T93" s="32"/>
      <c r="U93" s="39" t="s">
        <v>339</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134</v>
      </c>
      <c r="E94" s="32" t="b">
        <v>1</v>
      </c>
      <c r="F94" s="34" t="s">
        <v>93</v>
      </c>
      <c r="G94" s="34" t="b">
        <v>0</v>
      </c>
      <c r="H94" s="34" t="s">
        <v>93</v>
      </c>
      <c r="I94" s="34" t="s">
        <v>93</v>
      </c>
      <c r="J94" s="34" t="b">
        <v>1</v>
      </c>
      <c r="K94" s="34"/>
      <c r="L94" s="32">
        <v>1</v>
      </c>
      <c r="M94" s="32">
        <v>1</v>
      </c>
      <c r="N94" s="32">
        <v>0</v>
      </c>
      <c r="O94" s="32">
        <v>0</v>
      </c>
      <c r="P94" s="32"/>
      <c r="Q94" s="32"/>
      <c r="R94" s="32"/>
      <c r="S94" s="32"/>
      <c r="T94" s="32" t="s">
        <v>94</v>
      </c>
      <c r="U94" s="39" t="s">
        <v>97</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228</v>
      </c>
      <c r="E95" s="32" t="b">
        <v>0</v>
      </c>
      <c r="F95" s="34" t="s">
        <v>93</v>
      </c>
      <c r="G95" s="34" t="b">
        <v>0</v>
      </c>
      <c r="H95" s="34" t="s">
        <v>93</v>
      </c>
      <c r="I95" s="34" t="s">
        <v>93</v>
      </c>
      <c r="J95" s="34" t="b">
        <v>1</v>
      </c>
      <c r="K95" s="34"/>
      <c r="L95" s="32">
        <v>3</v>
      </c>
      <c r="M95" s="32">
        <v>3</v>
      </c>
      <c r="N95" s="32">
        <v>10</v>
      </c>
      <c r="O95" s="32">
        <v>1</v>
      </c>
      <c r="P95" s="32"/>
      <c r="Q95" s="32"/>
      <c r="R95" s="32"/>
      <c r="S95" s="32"/>
      <c r="T95" s="32" t="s">
        <v>94</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228</v>
      </c>
      <c r="E96" s="32" t="b">
        <v>0</v>
      </c>
      <c r="F96" s="34" t="s">
        <v>93</v>
      </c>
      <c r="G96" s="34" t="b">
        <v>0</v>
      </c>
      <c r="H96" s="34" t="s">
        <v>93</v>
      </c>
      <c r="I96" s="34" t="s">
        <v>93</v>
      </c>
      <c r="J96" s="34" t="b">
        <v>1</v>
      </c>
      <c r="K96" s="34"/>
      <c r="L96" s="32">
        <v>6</v>
      </c>
      <c r="M96" s="32">
        <v>5</v>
      </c>
      <c r="N96" s="32">
        <v>1</v>
      </c>
      <c r="O96" s="32">
        <v>8</v>
      </c>
      <c r="P96" s="32"/>
      <c r="Q96" s="32"/>
      <c r="R96" s="32"/>
      <c r="S96" s="32"/>
      <c r="T96" s="32" t="s">
        <v>94</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228</v>
      </c>
      <c r="E97" s="32" t="b">
        <v>0</v>
      </c>
      <c r="F97" s="34" t="s">
        <v>93</v>
      </c>
      <c r="G97" s="34" t="b">
        <v>0</v>
      </c>
      <c r="H97" s="34" t="s">
        <v>93</v>
      </c>
      <c r="I97" s="34" t="s">
        <v>93</v>
      </c>
      <c r="J97" s="34" t="b">
        <v>1</v>
      </c>
      <c r="K97" s="34"/>
      <c r="L97" s="32">
        <v>8</v>
      </c>
      <c r="M97" s="32">
        <v>8</v>
      </c>
      <c r="N97" s="32">
        <v>4</v>
      </c>
      <c r="O97" s="32">
        <v>4</v>
      </c>
      <c r="P97" s="32"/>
      <c r="Q97" s="32"/>
      <c r="R97" s="32"/>
      <c r="S97" s="32"/>
      <c r="T97" s="32" t="s">
        <v>94</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229</v>
      </c>
      <c r="E98" s="32" t="b">
        <v>0</v>
      </c>
      <c r="F98" s="34" t="s">
        <v>93</v>
      </c>
      <c r="G98" s="34" t="b">
        <v>0</v>
      </c>
      <c r="H98" s="34" t="s">
        <v>93</v>
      </c>
      <c r="I98" s="34" t="s">
        <v>225</v>
      </c>
      <c r="J98" s="34" t="b">
        <v>1</v>
      </c>
      <c r="K98" s="34"/>
      <c r="L98" s="32">
        <v>3</v>
      </c>
      <c r="M98" s="32">
        <v>3</v>
      </c>
      <c r="N98" s="32">
        <v>10</v>
      </c>
      <c r="O98" s="32">
        <v>1</v>
      </c>
      <c r="P98" s="32"/>
      <c r="Q98" s="32"/>
      <c r="R98" s="32"/>
      <c r="S98" s="32"/>
      <c r="T98" s="32" t="s">
        <v>94</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229</v>
      </c>
      <c r="E99" s="32" t="b">
        <v>0</v>
      </c>
      <c r="F99" s="34" t="s">
        <v>93</v>
      </c>
      <c r="G99" s="34" t="b">
        <v>0</v>
      </c>
      <c r="H99" s="34" t="s">
        <v>93</v>
      </c>
      <c r="I99" s="34" t="s">
        <v>225</v>
      </c>
      <c r="J99" s="34" t="b">
        <v>1</v>
      </c>
      <c r="K99" s="34"/>
      <c r="L99" s="32">
        <v>6</v>
      </c>
      <c r="M99" s="32">
        <v>5</v>
      </c>
      <c r="N99" s="32">
        <v>1</v>
      </c>
      <c r="O99" s="32">
        <v>8</v>
      </c>
      <c r="P99" s="32"/>
      <c r="Q99" s="32"/>
      <c r="R99" s="32"/>
      <c r="S99" s="32"/>
      <c r="T99" s="32" t="s">
        <v>94</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229</v>
      </c>
      <c r="E100" s="32" t="b">
        <v>0</v>
      </c>
      <c r="F100" s="34" t="s">
        <v>93</v>
      </c>
      <c r="G100" s="34" t="b">
        <v>0</v>
      </c>
      <c r="H100" s="34" t="s">
        <v>93</v>
      </c>
      <c r="I100" s="34" t="s">
        <v>225</v>
      </c>
      <c r="J100" s="34" t="b">
        <v>1</v>
      </c>
      <c r="K100" s="34"/>
      <c r="L100" s="32">
        <v>8</v>
      </c>
      <c r="M100" s="32">
        <v>8</v>
      </c>
      <c r="N100" s="32">
        <v>4</v>
      </c>
      <c r="O100" s="32">
        <v>4</v>
      </c>
      <c r="P100" s="32"/>
      <c r="Q100" s="32"/>
      <c r="R100" s="32"/>
      <c r="S100" s="32"/>
      <c r="T100" s="32" t="s">
        <v>94</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232</v>
      </c>
      <c r="E101" s="32" t="b">
        <v>1</v>
      </c>
      <c r="F101" s="34" t="s">
        <v>93</v>
      </c>
      <c r="G101" s="34" t="b">
        <v>0</v>
      </c>
      <c r="H101" s="34" t="s">
        <v>93</v>
      </c>
      <c r="I101" s="34" t="s">
        <v>93</v>
      </c>
      <c r="J101" s="34" t="b">
        <v>1</v>
      </c>
      <c r="K101" s="34"/>
      <c r="L101" s="32">
        <v>1</v>
      </c>
      <c r="M101" s="32">
        <v>1</v>
      </c>
      <c r="N101" s="32">
        <v>0</v>
      </c>
      <c r="O101" s="32">
        <v>0</v>
      </c>
      <c r="P101" s="32"/>
      <c r="Q101" s="32"/>
      <c r="R101" s="32"/>
      <c r="S101" s="32"/>
      <c r="T101" s="32" t="s">
        <v>94</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234</v>
      </c>
      <c r="E102" s="32" t="b">
        <v>1</v>
      </c>
      <c r="F102" s="34" t="s">
        <v>233</v>
      </c>
      <c r="G102" s="34" t="b">
        <v>0</v>
      </c>
      <c r="H102" s="34" t="s">
        <v>93</v>
      </c>
      <c r="I102" s="34" t="s">
        <v>93</v>
      </c>
      <c r="J102" s="34" t="b">
        <v>1</v>
      </c>
      <c r="K102" s="34"/>
      <c r="L102" s="32">
        <v>1</v>
      </c>
      <c r="M102" s="32">
        <v>1</v>
      </c>
      <c r="N102" s="32">
        <v>0</v>
      </c>
      <c r="O102" s="32">
        <v>0</v>
      </c>
      <c r="P102" s="32"/>
      <c r="Q102" s="32"/>
      <c r="R102" s="32"/>
      <c r="S102" s="32"/>
      <c r="T102" s="32" t="s">
        <v>94</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235</v>
      </c>
      <c r="E103" s="32" t="b">
        <v>1</v>
      </c>
      <c r="F103" s="34" t="s">
        <v>236</v>
      </c>
      <c r="G103" s="34" t="b">
        <v>1</v>
      </c>
      <c r="H103" s="34" t="s">
        <v>93</v>
      </c>
      <c r="I103" s="34" t="s">
        <v>93</v>
      </c>
      <c r="J103" s="34" t="b">
        <v>1</v>
      </c>
      <c r="K103" s="34"/>
      <c r="L103" s="32">
        <v>1</v>
      </c>
      <c r="M103" s="32">
        <v>1</v>
      </c>
      <c r="N103" s="32">
        <v>0</v>
      </c>
      <c r="O103" s="32">
        <v>0</v>
      </c>
      <c r="P103" s="32"/>
      <c r="Q103" s="32"/>
      <c r="R103" s="32"/>
      <c r="S103" s="32"/>
      <c r="T103" s="32" t="s">
        <v>94</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108</v>
      </c>
      <c r="E104" s="32" t="b">
        <v>0</v>
      </c>
      <c r="F104" s="34" t="s">
        <v>93</v>
      </c>
      <c r="G104" s="34" t="b">
        <v>0</v>
      </c>
      <c r="H104" s="34" t="s">
        <v>93</v>
      </c>
      <c r="I104" s="34" t="s">
        <v>93</v>
      </c>
      <c r="J104" s="34" t="b">
        <v>1</v>
      </c>
      <c r="K104" s="34"/>
      <c r="L104" s="32">
        <v>1</v>
      </c>
      <c r="M104" s="32">
        <v>1</v>
      </c>
      <c r="N104" s="32">
        <v>0</v>
      </c>
      <c r="O104" s="32">
        <v>0</v>
      </c>
      <c r="P104" s="32"/>
      <c r="Q104" s="32"/>
      <c r="R104" s="32"/>
      <c r="S104" s="32"/>
      <c r="T104" s="32" t="s">
        <v>94</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197</v>
      </c>
      <c r="E105" s="32" t="b">
        <v>1</v>
      </c>
      <c r="F105" s="34" t="s">
        <v>93</v>
      </c>
      <c r="G105" s="34" t="b">
        <v>0</v>
      </c>
      <c r="H105" s="34" t="s">
        <v>93</v>
      </c>
      <c r="I105" s="34" t="s">
        <v>93</v>
      </c>
      <c r="J105" s="34" t="b">
        <v>1</v>
      </c>
      <c r="K105" s="34"/>
      <c r="L105" s="32">
        <v>1</v>
      </c>
      <c r="M105" s="32">
        <v>1</v>
      </c>
      <c r="N105" s="32">
        <v>1</v>
      </c>
      <c r="O105" s="32">
        <v>0</v>
      </c>
      <c r="P105" s="32"/>
      <c r="Q105" s="32"/>
      <c r="R105" s="32"/>
      <c r="S105" s="32"/>
      <c r="T105" s="32" t="s">
        <v>94</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201</v>
      </c>
      <c r="E106" s="32" t="s">
        <v>203</v>
      </c>
      <c r="F106" s="34" t="s">
        <v>93</v>
      </c>
      <c r="G106" s="34" t="b">
        <v>0</v>
      </c>
      <c r="H106" s="34" t="s">
        <v>93</v>
      </c>
      <c r="I106" s="34" t="s">
        <v>93</v>
      </c>
      <c r="J106" s="34" t="b">
        <v>1</v>
      </c>
      <c r="K106" s="34"/>
      <c r="L106" s="32">
        <v>1</v>
      </c>
      <c r="M106" s="32">
        <v>1</v>
      </c>
      <c r="N106" s="32">
        <v>0</v>
      </c>
      <c r="O106" s="32">
        <v>0</v>
      </c>
      <c r="P106" s="32"/>
      <c r="Q106" s="32"/>
      <c r="R106" s="32"/>
      <c r="S106" s="32"/>
      <c r="T106" s="32" t="s">
        <v>94</v>
      </c>
      <c r="U106" s="37" t="s">
        <v>331</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195</v>
      </c>
      <c r="E107" s="32" t="b">
        <v>1</v>
      </c>
      <c r="F107" s="34" t="s">
        <v>96</v>
      </c>
      <c r="G107" s="34" t="b">
        <v>1</v>
      </c>
      <c r="H107" s="34" t="s">
        <v>93</v>
      </c>
      <c r="I107" s="34" t="s">
        <v>93</v>
      </c>
      <c r="J107" s="34" t="b">
        <v>1</v>
      </c>
      <c r="K107" s="34"/>
      <c r="L107" s="32">
        <v>1</v>
      </c>
      <c r="M107" s="32">
        <v>1</v>
      </c>
      <c r="N107" s="32">
        <v>3</v>
      </c>
      <c r="O107" s="32">
        <v>0</v>
      </c>
      <c r="P107" s="32"/>
      <c r="Q107" s="32"/>
      <c r="R107" s="32"/>
      <c r="S107" s="32"/>
      <c r="T107" s="32" t="s">
        <v>94</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191</v>
      </c>
      <c r="E108" s="32" t="b">
        <v>1</v>
      </c>
      <c r="F108" s="34" t="s">
        <v>93</v>
      </c>
      <c r="G108" s="34" t="b">
        <v>0</v>
      </c>
      <c r="H108" s="34" t="s">
        <v>265</v>
      </c>
      <c r="I108" s="34" t="s">
        <v>93</v>
      </c>
      <c r="J108" s="34" t="b">
        <v>1</v>
      </c>
      <c r="K108" s="34"/>
      <c r="L108" s="32">
        <v>1</v>
      </c>
      <c r="M108" s="32">
        <v>1</v>
      </c>
      <c r="N108" s="32">
        <v>2</v>
      </c>
      <c r="O108" s="32">
        <v>0</v>
      </c>
      <c r="P108" s="32"/>
      <c r="Q108" s="32"/>
      <c r="R108" s="32"/>
      <c r="S108" s="32"/>
      <c r="T108" s="32" t="s">
        <v>94</v>
      </c>
      <c r="U108" s="39" t="s">
        <v>332</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261</v>
      </c>
      <c r="E109" s="32" t="s">
        <v>212</v>
      </c>
      <c r="F109" s="34" t="s">
        <v>95</v>
      </c>
      <c r="G109" s="34" t="b">
        <v>0</v>
      </c>
      <c r="H109" s="34" t="s">
        <v>260</v>
      </c>
      <c r="I109" s="34"/>
      <c r="J109" s="34" t="b">
        <v>1</v>
      </c>
      <c r="K109" s="34"/>
      <c r="L109" s="32">
        <v>1</v>
      </c>
      <c r="M109" s="32">
        <v>1</v>
      </c>
      <c r="N109" s="32">
        <v>0</v>
      </c>
      <c r="O109" s="32">
        <v>0</v>
      </c>
      <c r="P109" s="32"/>
      <c r="Q109" s="32"/>
      <c r="R109" s="32"/>
      <c r="S109" s="32"/>
      <c r="T109" s="32" t="s">
        <v>94</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262</v>
      </c>
      <c r="E110" s="32" t="s">
        <v>212</v>
      </c>
      <c r="F110" s="34" t="s">
        <v>95</v>
      </c>
      <c r="G110" s="34" t="b">
        <v>0</v>
      </c>
      <c r="H110" s="34" t="s">
        <v>263</v>
      </c>
      <c r="I110" s="34" t="s">
        <v>93</v>
      </c>
      <c r="J110" s="34" t="b">
        <v>1</v>
      </c>
      <c r="K110" s="34"/>
      <c r="L110" s="32">
        <v>1</v>
      </c>
      <c r="M110" s="32">
        <v>1</v>
      </c>
      <c r="N110" s="32">
        <v>0</v>
      </c>
      <c r="O110" s="32">
        <v>0</v>
      </c>
      <c r="P110" s="32"/>
      <c r="Q110" s="32"/>
      <c r="R110" s="32"/>
      <c r="S110" s="32"/>
      <c r="T110" s="32" t="s">
        <v>94</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264</v>
      </c>
      <c r="E111" s="32" t="s">
        <v>212</v>
      </c>
      <c r="F111" s="34" t="s">
        <v>95</v>
      </c>
      <c r="G111" s="34" t="b">
        <v>0</v>
      </c>
      <c r="H111" s="34" t="s">
        <v>265</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182</v>
      </c>
      <c r="E112" s="32" t="s">
        <v>203</v>
      </c>
      <c r="F112" s="34" t="s">
        <v>93</v>
      </c>
      <c r="G112" s="34" t="b">
        <v>0</v>
      </c>
      <c r="H112" s="34" t="s">
        <v>93</v>
      </c>
      <c r="I112" s="34" t="s">
        <v>93</v>
      </c>
      <c r="J112" s="34" t="b">
        <v>1</v>
      </c>
      <c r="K112" s="34"/>
      <c r="L112" s="32">
        <v>1</v>
      </c>
      <c r="M112" s="32">
        <v>1</v>
      </c>
      <c r="N112" s="32">
        <v>10</v>
      </c>
      <c r="O112" s="32">
        <v>0</v>
      </c>
      <c r="P112" s="32"/>
      <c r="Q112" s="32"/>
      <c r="R112" s="32"/>
      <c r="S112" s="32"/>
      <c r="T112" s="32" t="s">
        <v>94</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284</v>
      </c>
      <c r="E113" s="32" t="s">
        <v>212</v>
      </c>
      <c r="F113" s="34"/>
      <c r="G113" s="34" t="b">
        <v>0</v>
      </c>
      <c r="H113" s="34" t="s">
        <v>285</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284</v>
      </c>
      <c r="E114" s="32" t="s">
        <v>212</v>
      </c>
      <c r="F114" s="34" t="s">
        <v>95</v>
      </c>
      <c r="G114" s="34" t="b">
        <v>0</v>
      </c>
      <c r="H114" s="34" t="s">
        <v>325</v>
      </c>
      <c r="I114" s="34"/>
      <c r="J114" s="34" t="b">
        <v>1</v>
      </c>
      <c r="K114" s="34"/>
      <c r="L114" s="32">
        <v>2</v>
      </c>
      <c r="M114" s="32">
        <v>1</v>
      </c>
      <c r="N114" s="32">
        <v>0</v>
      </c>
      <c r="O114" s="32">
        <v>1</v>
      </c>
      <c r="P114" s="32"/>
      <c r="Q114" s="32"/>
      <c r="R114" s="32"/>
      <c r="S114" s="32"/>
      <c r="T114" s="32" t="s">
        <v>94</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283</v>
      </c>
      <c r="E115" s="32" t="s">
        <v>212</v>
      </c>
      <c r="F115" s="34" t="s">
        <v>95</v>
      </c>
      <c r="G115" s="34" t="b">
        <v>0</v>
      </c>
      <c r="H115" s="34" t="s">
        <v>285</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212</v>
      </c>
      <c r="F116" s="34" t="s">
        <v>95</v>
      </c>
      <c r="G116" s="34" t="b">
        <v>0</v>
      </c>
      <c r="H116" s="34" t="s">
        <v>265</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212</v>
      </c>
      <c r="F117" s="34" t="s">
        <v>95</v>
      </c>
      <c r="G117" s="34" t="b">
        <v>0</v>
      </c>
      <c r="H117" s="34" t="s">
        <v>265</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212</v>
      </c>
      <c r="F118" s="34" t="s">
        <v>95</v>
      </c>
      <c r="G118" s="34" t="b">
        <v>0</v>
      </c>
      <c r="H118" s="34" t="s">
        <v>260</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212</v>
      </c>
      <c r="F119" s="34" t="s">
        <v>95</v>
      </c>
      <c r="G119" s="34" t="b">
        <v>0</v>
      </c>
      <c r="H119" s="34" t="s">
        <v>260</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212</v>
      </c>
      <c r="F120" s="34" t="s">
        <v>95</v>
      </c>
      <c r="G120" s="34" t="b">
        <v>0</v>
      </c>
      <c r="H120" s="34" t="s">
        <v>263</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212</v>
      </c>
      <c r="F121" s="34" t="s">
        <v>95</v>
      </c>
      <c r="G121" s="34" t="b">
        <v>0</v>
      </c>
      <c r="H121" s="34" t="s">
        <v>263</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174</v>
      </c>
      <c r="E122" s="32" t="b">
        <v>1</v>
      </c>
      <c r="F122" s="34" t="s">
        <v>93</v>
      </c>
      <c r="G122" s="34" t="b">
        <v>0</v>
      </c>
      <c r="H122" s="34" t="s">
        <v>306</v>
      </c>
      <c r="I122" s="34" t="s">
        <v>93</v>
      </c>
      <c r="J122" s="34" t="b">
        <v>1</v>
      </c>
      <c r="K122" s="34"/>
      <c r="L122" s="32">
        <v>1</v>
      </c>
      <c r="M122" s="32">
        <v>1</v>
      </c>
      <c r="N122" s="32">
        <v>0</v>
      </c>
      <c r="O122" s="32">
        <v>0</v>
      </c>
      <c r="P122" s="32"/>
      <c r="Q122" s="32"/>
      <c r="R122" s="32"/>
      <c r="S122" s="32"/>
      <c r="T122" s="32" t="s">
        <v>94</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129</v>
      </c>
      <c r="E123" s="32" t="b">
        <v>1</v>
      </c>
      <c r="F123" s="34" t="s">
        <v>93</v>
      </c>
      <c r="G123" s="34" t="b">
        <v>0</v>
      </c>
      <c r="H123" s="34" t="s">
        <v>93</v>
      </c>
      <c r="I123" s="34" t="s">
        <v>93</v>
      </c>
      <c r="J123" s="34" t="b">
        <v>1</v>
      </c>
      <c r="K123" s="34"/>
      <c r="L123" s="32">
        <v>1</v>
      </c>
      <c r="M123" s="32">
        <v>1</v>
      </c>
      <c r="N123" s="32">
        <v>0</v>
      </c>
      <c r="O123" s="32">
        <v>0</v>
      </c>
      <c r="P123" s="32"/>
      <c r="Q123" s="32"/>
      <c r="R123" s="32"/>
      <c r="S123" s="32"/>
      <c r="T123" s="32" t="s">
        <v>94</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163</v>
      </c>
      <c r="E124" s="32" t="b">
        <v>1</v>
      </c>
      <c r="F124" s="34" t="s">
        <v>95</v>
      </c>
      <c r="G124" s="34" t="b">
        <v>0</v>
      </c>
      <c r="H124" s="34" t="s">
        <v>265</v>
      </c>
      <c r="I124" s="34" t="s">
        <v>93</v>
      </c>
      <c r="J124" s="34" t="b">
        <v>1</v>
      </c>
      <c r="K124" s="34"/>
      <c r="L124" s="32">
        <v>1</v>
      </c>
      <c r="M124" s="32">
        <v>1</v>
      </c>
      <c r="N124" s="32">
        <v>0</v>
      </c>
      <c r="O124" s="32">
        <v>0</v>
      </c>
      <c r="P124" s="32"/>
      <c r="Q124" s="32"/>
      <c r="R124" s="32"/>
      <c r="S124" s="32"/>
      <c r="T124" s="32" t="s">
        <v>94</v>
      </c>
      <c r="U124" s="37" t="s">
        <v>621</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113</v>
      </c>
      <c r="E125" s="32" t="b">
        <v>1</v>
      </c>
      <c r="F125" s="34" t="s">
        <v>93</v>
      </c>
      <c r="G125" s="34" t="b">
        <v>0</v>
      </c>
      <c r="H125" s="34" t="s">
        <v>93</v>
      </c>
      <c r="I125" s="34" t="s">
        <v>93</v>
      </c>
      <c r="J125" s="34" t="b">
        <v>1</v>
      </c>
      <c r="K125" s="34"/>
      <c r="L125" s="32">
        <v>1</v>
      </c>
      <c r="M125" s="32">
        <v>1</v>
      </c>
      <c r="N125" s="32">
        <v>0</v>
      </c>
      <c r="O125" s="32">
        <v>0</v>
      </c>
      <c r="P125" s="32"/>
      <c r="Q125" s="32"/>
      <c r="R125" s="32" t="s">
        <v>282</v>
      </c>
      <c r="S125" s="32"/>
      <c r="T125" s="32" t="s">
        <v>94</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135</v>
      </c>
      <c r="E126" s="32" t="b">
        <v>1</v>
      </c>
      <c r="F126" s="34" t="s">
        <v>93</v>
      </c>
      <c r="G126" s="34" t="b">
        <v>0</v>
      </c>
      <c r="H126" s="34" t="s">
        <v>93</v>
      </c>
      <c r="I126" s="34" t="s">
        <v>93</v>
      </c>
      <c r="J126" s="34" t="b">
        <v>1</v>
      </c>
      <c r="K126" s="34"/>
      <c r="L126" s="32">
        <v>1</v>
      </c>
      <c r="M126" s="32">
        <v>1</v>
      </c>
      <c r="N126" s="32">
        <v>0</v>
      </c>
      <c r="O126" s="32">
        <v>0</v>
      </c>
      <c r="P126" s="32"/>
      <c r="Q126" s="32"/>
      <c r="R126" s="32" t="s">
        <v>307</v>
      </c>
      <c r="S126" s="32"/>
      <c r="T126" s="32" t="s">
        <v>94</v>
      </c>
      <c r="U126" s="39" t="s">
        <v>98</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110</v>
      </c>
      <c r="E127" s="32" t="b">
        <v>1</v>
      </c>
      <c r="F127" s="34" t="s">
        <v>93</v>
      </c>
      <c r="G127" s="34" t="b">
        <v>0</v>
      </c>
      <c r="H127" s="34" t="s">
        <v>93</v>
      </c>
      <c r="I127" s="34" t="s">
        <v>93</v>
      </c>
      <c r="J127" s="34" t="b">
        <v>1</v>
      </c>
      <c r="K127" s="34"/>
      <c r="L127" s="32">
        <v>1</v>
      </c>
      <c r="M127" s="32">
        <v>1</v>
      </c>
      <c r="N127" s="32">
        <v>0</v>
      </c>
      <c r="O127" s="32">
        <v>0</v>
      </c>
      <c r="P127" s="32"/>
      <c r="Q127" s="32"/>
      <c r="R127" s="32"/>
      <c r="S127" s="32"/>
      <c r="T127" s="32" t="s">
        <v>94</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114</v>
      </c>
      <c r="E128" s="32" t="b">
        <v>1</v>
      </c>
      <c r="F128" s="34" t="s">
        <v>93</v>
      </c>
      <c r="G128" s="34" t="b">
        <v>0</v>
      </c>
      <c r="H128" s="34" t="s">
        <v>93</v>
      </c>
      <c r="I128" s="34" t="s">
        <v>93</v>
      </c>
      <c r="J128" s="34" t="b">
        <v>1</v>
      </c>
      <c r="K128" s="34"/>
      <c r="L128" s="32">
        <v>1</v>
      </c>
      <c r="M128" s="32">
        <v>1</v>
      </c>
      <c r="N128" s="32">
        <v>0</v>
      </c>
      <c r="O128" s="32">
        <v>0</v>
      </c>
      <c r="P128" s="32"/>
      <c r="Q128" s="32"/>
      <c r="R128" s="32" t="s">
        <v>308</v>
      </c>
      <c r="S128" s="32"/>
      <c r="T128" s="32" t="s">
        <v>94</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130</v>
      </c>
      <c r="E129" s="32" t="b">
        <v>1</v>
      </c>
      <c r="F129" s="34" t="s">
        <v>93</v>
      </c>
      <c r="G129" s="34" t="b">
        <v>0</v>
      </c>
      <c r="H129" s="34" t="s">
        <v>93</v>
      </c>
      <c r="I129" s="34" t="s">
        <v>93</v>
      </c>
      <c r="J129" s="34" t="b">
        <v>1</v>
      </c>
      <c r="K129" s="34"/>
      <c r="L129" s="32">
        <v>1</v>
      </c>
      <c r="M129" s="32">
        <v>1</v>
      </c>
      <c r="N129" s="32">
        <v>0</v>
      </c>
      <c r="O129" s="32">
        <v>0</v>
      </c>
      <c r="P129" s="32"/>
      <c r="Q129" s="32"/>
      <c r="R129" s="32"/>
      <c r="S129" s="32"/>
      <c r="T129" s="32" t="s">
        <v>94</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133</v>
      </c>
      <c r="E130" s="32" t="b">
        <v>1</v>
      </c>
      <c r="F130" s="34" t="s">
        <v>93</v>
      </c>
      <c r="G130" s="34" t="b">
        <v>0</v>
      </c>
      <c r="H130" s="34" t="s">
        <v>93</v>
      </c>
      <c r="I130" s="34" t="s">
        <v>93</v>
      </c>
      <c r="J130" s="34" t="b">
        <v>1</v>
      </c>
      <c r="K130" s="34"/>
      <c r="L130" s="32">
        <v>1</v>
      </c>
      <c r="M130" s="32">
        <v>1</v>
      </c>
      <c r="N130" s="32">
        <v>0</v>
      </c>
      <c r="O130" s="32">
        <v>0</v>
      </c>
      <c r="P130" s="32"/>
      <c r="Q130" s="32"/>
      <c r="R130" s="32"/>
      <c r="S130" s="32"/>
      <c r="T130" s="32" t="s">
        <v>94</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183</v>
      </c>
      <c r="E131" s="32" t="b">
        <v>1</v>
      </c>
      <c r="F131" s="34" t="s">
        <v>93</v>
      </c>
      <c r="G131" s="34" t="b">
        <v>0</v>
      </c>
      <c r="H131" s="34" t="s">
        <v>285</v>
      </c>
      <c r="I131" s="34" t="s">
        <v>93</v>
      </c>
      <c r="J131" s="34" t="b">
        <v>1</v>
      </c>
      <c r="K131" s="34"/>
      <c r="L131" s="32">
        <v>1</v>
      </c>
      <c r="M131" s="32">
        <v>1</v>
      </c>
      <c r="N131" s="32">
        <v>20</v>
      </c>
      <c r="O131" s="32">
        <v>0</v>
      </c>
      <c r="P131" s="32"/>
      <c r="Q131" s="32"/>
      <c r="R131" s="32"/>
      <c r="S131" s="32"/>
      <c r="T131" s="32" t="s">
        <v>94</v>
      </c>
      <c r="U131" s="37" t="s">
        <v>333</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187</v>
      </c>
      <c r="E132" s="32" t="b">
        <v>0</v>
      </c>
      <c r="F132" s="34" t="s">
        <v>93</v>
      </c>
      <c r="G132" s="34" t="b">
        <v>0</v>
      </c>
      <c r="H132" s="34" t="s">
        <v>93</v>
      </c>
      <c r="I132" s="34" t="s">
        <v>93</v>
      </c>
      <c r="J132" s="34" t="b">
        <v>1</v>
      </c>
      <c r="K132" s="34"/>
      <c r="L132" s="32">
        <v>5112</v>
      </c>
      <c r="M132" s="32">
        <v>1</v>
      </c>
      <c r="N132" s="32">
        <v>3</v>
      </c>
      <c r="O132" s="32">
        <v>0</v>
      </c>
      <c r="P132" s="32"/>
      <c r="Q132" s="32"/>
      <c r="R132" s="32"/>
      <c r="S132" s="32"/>
      <c r="T132" s="32" t="s">
        <v>94</v>
      </c>
      <c r="U132" s="37" t="s">
        <v>334</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188</v>
      </c>
      <c r="E133" s="32" t="b">
        <v>1</v>
      </c>
      <c r="F133" s="34" t="s">
        <v>93</v>
      </c>
      <c r="G133" s="34" t="b">
        <v>0</v>
      </c>
      <c r="H133" s="34" t="s">
        <v>93</v>
      </c>
      <c r="I133" s="34" t="s">
        <v>93</v>
      </c>
      <c r="J133" s="34" t="b">
        <v>1</v>
      </c>
      <c r="K133" s="34"/>
      <c r="L133" s="32">
        <v>1</v>
      </c>
      <c r="M133" s="32">
        <v>1</v>
      </c>
      <c r="N133" s="32">
        <v>0</v>
      </c>
      <c r="O133" s="32">
        <v>0</v>
      </c>
      <c r="P133" s="32"/>
      <c r="Q133" s="32"/>
      <c r="R133" s="32"/>
      <c r="S133" s="32"/>
      <c r="T133" s="32" t="s">
        <v>94</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184</v>
      </c>
      <c r="E134" s="32" t="b">
        <v>1</v>
      </c>
      <c r="F134" s="34" t="s">
        <v>93</v>
      </c>
      <c r="G134" s="34" t="b">
        <v>0</v>
      </c>
      <c r="H134" s="34" t="s">
        <v>93</v>
      </c>
      <c r="I134" s="34" t="s">
        <v>93</v>
      </c>
      <c r="J134" s="34" t="b">
        <v>1</v>
      </c>
      <c r="K134" s="34"/>
      <c r="L134" s="32">
        <v>1</v>
      </c>
      <c r="M134" s="32">
        <v>1</v>
      </c>
      <c r="N134" s="32">
        <v>0</v>
      </c>
      <c r="O134" s="32">
        <v>0</v>
      </c>
      <c r="P134" s="32"/>
      <c r="Q134" s="32"/>
      <c r="R134" s="32"/>
      <c r="S134" s="32"/>
      <c r="T134" s="32" t="s">
        <v>94</v>
      </c>
      <c r="U134" s="39" t="s">
        <v>335</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189</v>
      </c>
      <c r="E135" s="32" t="b">
        <v>1</v>
      </c>
      <c r="F135" s="34" t="s">
        <v>93</v>
      </c>
      <c r="G135" s="34" t="b">
        <v>0</v>
      </c>
      <c r="H135" s="34" t="s">
        <v>306</v>
      </c>
      <c r="I135" s="34" t="s">
        <v>93</v>
      </c>
      <c r="J135" s="34" t="b">
        <v>1</v>
      </c>
      <c r="K135" s="34"/>
      <c r="L135" s="32">
        <v>1</v>
      </c>
      <c r="M135" s="32">
        <v>1</v>
      </c>
      <c r="N135" s="32">
        <v>20</v>
      </c>
      <c r="O135" s="32">
        <v>0</v>
      </c>
      <c r="P135" s="32"/>
      <c r="Q135" s="32"/>
      <c r="R135" s="32"/>
      <c r="S135" s="32"/>
      <c r="T135" s="32" t="s">
        <v>94</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193</v>
      </c>
      <c r="E136" s="32" t="b">
        <v>1</v>
      </c>
      <c r="F136" s="34" t="s">
        <v>93</v>
      </c>
      <c r="G136" s="34" t="b">
        <v>0</v>
      </c>
      <c r="H136" s="34" t="s">
        <v>93</v>
      </c>
      <c r="I136" s="34" t="s">
        <v>93</v>
      </c>
      <c r="J136" s="34" t="b">
        <v>1</v>
      </c>
      <c r="K136" s="34"/>
      <c r="L136" s="32">
        <v>1</v>
      </c>
      <c r="M136" s="32">
        <v>1</v>
      </c>
      <c r="N136" s="32">
        <v>0</v>
      </c>
      <c r="O136" s="32">
        <v>0</v>
      </c>
      <c r="P136" s="32"/>
      <c r="Q136" s="32"/>
      <c r="R136" s="32"/>
      <c r="S136" s="32"/>
      <c r="T136" s="32" t="s">
        <v>94</v>
      </c>
      <c r="U136" s="37" t="s">
        <v>202</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198</v>
      </c>
      <c r="E137" s="32" t="b">
        <v>1</v>
      </c>
      <c r="F137" s="34" t="s">
        <v>93</v>
      </c>
      <c r="G137" s="34" t="b">
        <v>0</v>
      </c>
      <c r="H137" s="34" t="s">
        <v>306</v>
      </c>
      <c r="I137" s="34" t="s">
        <v>93</v>
      </c>
      <c r="J137" s="34" t="b">
        <v>1</v>
      </c>
      <c r="K137" s="34"/>
      <c r="L137" s="32">
        <v>7580</v>
      </c>
      <c r="M137" s="32">
        <v>1</v>
      </c>
      <c r="N137" s="32">
        <v>0</v>
      </c>
      <c r="O137" s="32">
        <v>0</v>
      </c>
      <c r="P137" s="32"/>
      <c r="Q137" s="32"/>
      <c r="R137" s="32"/>
      <c r="S137" s="32"/>
      <c r="T137" s="32" t="s">
        <v>94</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310</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313</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314</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314</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200</v>
      </c>
      <c r="E142" s="32" t="s">
        <v>203</v>
      </c>
      <c r="F142" s="34" t="s">
        <v>93</v>
      </c>
      <c r="G142" s="34" t="b">
        <v>0</v>
      </c>
      <c r="H142" s="34" t="s">
        <v>93</v>
      </c>
      <c r="I142" s="34" t="s">
        <v>93</v>
      </c>
      <c r="J142" s="34" t="b">
        <v>1</v>
      </c>
      <c r="K142" s="34"/>
      <c r="L142" s="32">
        <v>1</v>
      </c>
      <c r="M142" s="32">
        <v>1</v>
      </c>
      <c r="N142" s="32">
        <v>0</v>
      </c>
      <c r="O142" s="32">
        <v>0</v>
      </c>
      <c r="P142" s="32"/>
      <c r="Q142" s="32"/>
      <c r="R142" s="32"/>
      <c r="S142" s="32"/>
      <c r="T142" s="32" t="s">
        <v>94</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194</v>
      </c>
      <c r="E143" s="32" t="b">
        <v>1</v>
      </c>
      <c r="F143" s="34" t="s">
        <v>93</v>
      </c>
      <c r="G143" s="34" t="b">
        <v>0</v>
      </c>
      <c r="H143" s="34" t="s">
        <v>285</v>
      </c>
      <c r="I143" s="34" t="s">
        <v>93</v>
      </c>
      <c r="J143" s="34" t="b">
        <v>1</v>
      </c>
      <c r="K143" s="34"/>
      <c r="L143" s="32">
        <v>1</v>
      </c>
      <c r="M143" s="32">
        <v>1</v>
      </c>
      <c r="N143" s="32">
        <v>2</v>
      </c>
      <c r="O143" s="32">
        <v>0</v>
      </c>
      <c r="P143" s="32"/>
      <c r="Q143" s="32"/>
      <c r="R143" s="32"/>
      <c r="S143" s="32"/>
      <c r="T143" s="32" t="s">
        <v>94</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194</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192</v>
      </c>
      <c r="E145" s="32" t="b">
        <v>1</v>
      </c>
      <c r="F145" s="34" t="s">
        <v>93</v>
      </c>
      <c r="G145" s="34" t="b">
        <v>0</v>
      </c>
      <c r="H145" s="34" t="s">
        <v>285</v>
      </c>
      <c r="I145" s="34" t="s">
        <v>93</v>
      </c>
      <c r="J145" s="34" t="b">
        <v>1</v>
      </c>
      <c r="K145" s="34"/>
      <c r="L145" s="32">
        <v>1</v>
      </c>
      <c r="M145" s="32">
        <v>1</v>
      </c>
      <c r="N145" s="32">
        <v>3</v>
      </c>
      <c r="O145" s="32">
        <v>0</v>
      </c>
      <c r="P145" s="32"/>
      <c r="Q145" s="32"/>
      <c r="R145" s="32"/>
      <c r="S145" s="32"/>
      <c r="T145" s="32" t="s">
        <v>94</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349</v>
      </c>
      <c r="E146" s="32" t="b">
        <v>1</v>
      </c>
      <c r="F146" s="34"/>
      <c r="G146" s="34" t="b">
        <v>0</v>
      </c>
      <c r="H146" s="34" t="s">
        <v>285</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350</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138</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352</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352</v>
      </c>
      <c r="E150" s="32"/>
      <c r="F150" s="44" t="s">
        <v>353</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352</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352</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352</v>
      </c>
      <c r="E153" s="32"/>
      <c r="F153" s="34"/>
      <c r="G153" s="34"/>
      <c r="H153" s="34"/>
      <c r="I153" s="34"/>
      <c r="J153" s="34"/>
      <c r="K153" s="34"/>
      <c r="L153" s="32"/>
      <c r="M153" s="32"/>
      <c r="N153" s="32"/>
      <c r="O153" s="32"/>
      <c r="P153" s="32"/>
      <c r="Q153" s="32"/>
      <c r="R153" s="32"/>
      <c r="S153" s="32"/>
      <c r="T153" s="32" t="s">
        <v>354</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352</v>
      </c>
      <c r="E154" s="32" t="s">
        <v>203</v>
      </c>
      <c r="F154" s="34" t="s">
        <v>95</v>
      </c>
      <c r="G154" s="34"/>
      <c r="H154" s="34"/>
      <c r="I154" s="34"/>
      <c r="J154" s="34"/>
      <c r="K154" s="34"/>
      <c r="L154" s="32"/>
      <c r="M154" s="32"/>
      <c r="N154" s="32"/>
      <c r="O154" s="32"/>
      <c r="P154" s="32"/>
      <c r="Q154" s="32"/>
      <c r="R154" s="32"/>
      <c r="S154" s="32"/>
      <c r="T154" s="32" t="s">
        <v>95</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352</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352</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352</v>
      </c>
      <c r="E157" s="32"/>
      <c r="F157" s="34"/>
      <c r="G157" s="34"/>
      <c r="H157" s="34"/>
      <c r="I157" s="34" t="s">
        <v>355</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352</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352</v>
      </c>
      <c r="E159" s="32"/>
      <c r="F159" s="34"/>
      <c r="G159" s="34"/>
      <c r="H159" s="34"/>
      <c r="I159" s="34"/>
      <c r="J159" s="34"/>
      <c r="K159" s="34"/>
      <c r="L159" s="32"/>
      <c r="M159" s="32"/>
      <c r="N159" s="32"/>
      <c r="O159" s="32"/>
      <c r="P159" s="32"/>
      <c r="Q159" s="32"/>
      <c r="R159" s="32"/>
      <c r="S159" s="32" t="s">
        <v>356</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352</v>
      </c>
      <c r="E160" s="32" t="s">
        <v>356</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352</v>
      </c>
      <c r="E161" s="32" t="s">
        <v>356</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352</v>
      </c>
      <c r="E162" s="32" t="s">
        <v>356</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352</v>
      </c>
      <c r="E163" s="32" t="s">
        <v>357</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352</v>
      </c>
      <c r="E164" s="32"/>
      <c r="F164" s="44" t="s">
        <v>358</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352</v>
      </c>
      <c r="E165" s="32" t="s">
        <v>213</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352</v>
      </c>
      <c r="E166" s="32"/>
      <c r="F166" s="34"/>
      <c r="G166" s="34"/>
      <c r="H166" s="34"/>
      <c r="I166" s="34"/>
      <c r="J166" s="34"/>
      <c r="K166" s="34"/>
      <c r="L166" s="32"/>
      <c r="M166" s="32"/>
      <c r="N166" s="32"/>
      <c r="O166" s="32"/>
      <c r="P166" s="32" t="s">
        <v>300</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352</v>
      </c>
      <c r="E167" s="32"/>
      <c r="F167" s="34"/>
      <c r="G167" s="34"/>
      <c r="H167" s="34"/>
      <c r="I167" s="34"/>
      <c r="J167" s="34"/>
      <c r="K167" s="34"/>
      <c r="L167" s="32"/>
      <c r="M167" s="32"/>
      <c r="N167" s="32"/>
      <c r="O167" s="32"/>
      <c r="P167" s="32"/>
      <c r="Q167" s="32" t="s">
        <v>300</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350</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369</v>
      </c>
      <c r="E169" s="32" t="s">
        <v>370</v>
      </c>
      <c r="F169" s="34"/>
      <c r="G169" s="34"/>
      <c r="H169" s="34" t="s">
        <v>285</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523</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352</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352</v>
      </c>
      <c r="E172" s="32" t="b">
        <v>1</v>
      </c>
      <c r="F172" s="44" t="s">
        <v>93</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524</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352</v>
      </c>
      <c r="E174" s="32" t="s">
        <v>525</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526</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352</v>
      </c>
      <c r="E176" s="32" t="b">
        <v>1</v>
      </c>
      <c r="F176" s="34"/>
      <c r="G176" s="34"/>
      <c r="H176" s="34" t="s">
        <v>356</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352</v>
      </c>
      <c r="E177" s="32" t="b">
        <v>1</v>
      </c>
      <c r="F177" s="34"/>
      <c r="G177" s="34"/>
      <c r="H177" s="34" t="s">
        <v>527</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352</v>
      </c>
      <c r="E178" s="32" t="s">
        <v>528</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352</v>
      </c>
      <c r="E179" s="32" t="s">
        <v>529</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523</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530</v>
      </c>
      <c r="E181" s="32" t="b">
        <v>1</v>
      </c>
      <c r="F181" s="34"/>
      <c r="G181" s="34"/>
      <c r="H181" s="34" t="s">
        <v>531</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352</v>
      </c>
      <c r="E182" s="32" t="s">
        <v>532</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352</v>
      </c>
      <c r="E183" s="32" t="s">
        <v>533</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534</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369</v>
      </c>
      <c r="E185" s="32" t="s">
        <v>536</v>
      </c>
      <c r="F185" s="34"/>
      <c r="G185" s="34"/>
      <c r="H185" s="34" t="s">
        <v>285</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369</v>
      </c>
      <c r="E186" s="32" t="s">
        <v>537</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369</v>
      </c>
      <c r="E187" s="32" t="s">
        <v>538</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369</v>
      </c>
      <c r="E188" s="32" t="s">
        <v>539</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369</v>
      </c>
      <c r="E189" s="32" t="s">
        <v>540</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542</v>
      </c>
      <c r="E190" s="34" t="s">
        <v>543</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544</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571</v>
      </c>
      <c r="E192" s="32" t="b">
        <v>1</v>
      </c>
      <c r="F192" s="34"/>
      <c r="G192" s="34"/>
      <c r="H192" s="34"/>
      <c r="I192" s="34"/>
      <c r="J192" s="34"/>
      <c r="K192" s="34">
        <v>1</v>
      </c>
      <c r="L192" s="32">
        <v>1</v>
      </c>
      <c r="M192" s="32">
        <v>1</v>
      </c>
      <c r="N192" s="32">
        <v>17</v>
      </c>
      <c r="O192" s="32">
        <v>0</v>
      </c>
      <c r="P192" s="32"/>
      <c r="Q192" s="32"/>
      <c r="R192" s="32" t="s">
        <v>307</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582</v>
      </c>
      <c r="E193" s="32" t="b">
        <v>1</v>
      </c>
      <c r="F193" s="34" t="s">
        <v>96</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588</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595</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606</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607</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608</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609</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610</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127</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196</v>
      </c>
      <c r="E204" s="32" t="b">
        <v>1</v>
      </c>
      <c r="F204" s="34"/>
      <c r="G204" s="34"/>
      <c r="H204" s="34" t="s">
        <v>265</v>
      </c>
      <c r="I204" s="34"/>
      <c r="J204" s="34"/>
      <c r="K204" s="34">
        <v>1</v>
      </c>
      <c r="L204" s="32"/>
      <c r="M204" s="32"/>
      <c r="N204" s="32"/>
      <c r="O204" s="32"/>
      <c r="P204" s="32"/>
      <c r="Q204" s="32"/>
      <c r="R204" s="32" t="s">
        <v>277</v>
      </c>
      <c r="S204" s="32" t="s">
        <v>603</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185</v>
      </c>
      <c r="E205" s="32" t="b">
        <v>0</v>
      </c>
      <c r="F205" s="34" t="s">
        <v>93</v>
      </c>
      <c r="G205" s="34" t="b">
        <v>0</v>
      </c>
      <c r="H205" s="34" t="s">
        <v>93</v>
      </c>
      <c r="I205" s="34" t="s">
        <v>93</v>
      </c>
      <c r="J205" s="34" t="b">
        <v>1</v>
      </c>
      <c r="K205" s="34">
        <v>1</v>
      </c>
      <c r="L205" s="32"/>
      <c r="M205" s="32">
        <v>1</v>
      </c>
      <c r="N205" s="32">
        <v>0</v>
      </c>
      <c r="O205" s="32">
        <v>0</v>
      </c>
      <c r="P205" s="32"/>
      <c r="Q205" s="32"/>
      <c r="R205" s="32"/>
      <c r="S205" s="32" t="s">
        <v>603</v>
      </c>
      <c r="T205" s="32" t="s">
        <v>94</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626</v>
      </c>
      <c r="E206" s="32" t="b">
        <v>1</v>
      </c>
      <c r="F206" s="34"/>
      <c r="G206" s="34"/>
      <c r="H206" s="34" t="s">
        <v>325</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626</v>
      </c>
      <c r="E207" s="32" t="b">
        <v>1</v>
      </c>
      <c r="F207" s="34"/>
      <c r="G207" s="34"/>
      <c r="H207" s="34" t="s">
        <v>325</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633</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627</v>
      </c>
      <c r="E209" s="32" t="b">
        <v>1</v>
      </c>
      <c r="F209" s="32"/>
      <c r="G209" s="32"/>
      <c r="H209" s="32" t="s">
        <v>260</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628</v>
      </c>
      <c r="E210" s="32" t="b">
        <v>1</v>
      </c>
      <c r="F210" s="32"/>
      <c r="G210" s="32"/>
      <c r="H210" s="32" t="s">
        <v>263</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629</v>
      </c>
      <c r="E211" s="32" t="b">
        <v>1</v>
      </c>
      <c r="F211" s="32"/>
      <c r="G211" s="32"/>
      <c r="H211" s="32" t="s">
        <v>265</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630</v>
      </c>
      <c r="E212" s="32" t="b">
        <v>1</v>
      </c>
      <c r="F212" s="32"/>
      <c r="G212" s="32"/>
      <c r="H212" s="32" t="s">
        <v>260</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631</v>
      </c>
      <c r="E213" s="32" t="b">
        <v>1</v>
      </c>
      <c r="F213" s="32"/>
      <c r="G213" s="32"/>
      <c r="H213" s="32" t="s">
        <v>263</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632</v>
      </c>
      <c r="E214" s="32" t="b">
        <v>1</v>
      </c>
      <c r="F214" s="32"/>
      <c r="G214" s="32"/>
      <c r="H214" s="32" t="s">
        <v>265</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641</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641</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546</v>
      </c>
    </row>
    <row r="3" spans="1:1" x14ac:dyDescent="0.45">
      <c r="A3" t="s">
        <v>600</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7"/>
    </row>
    <row r="4" spans="1:14" x14ac:dyDescent="0.45">
      <c r="A4" s="15" t="s">
        <v>605</v>
      </c>
      <c r="M4" s="15" t="s">
        <v>550</v>
      </c>
    </row>
    <row r="5" spans="1:14" x14ac:dyDescent="0.45">
      <c r="M5" t="s">
        <v>505</v>
      </c>
    </row>
    <row r="6" spans="1:14" ht="42.75" x14ac:dyDescent="0.45">
      <c r="A6" s="13" t="s">
        <v>10</v>
      </c>
      <c r="B6" s="13" t="s">
        <v>11</v>
      </c>
      <c r="C6" s="13" t="s">
        <v>12</v>
      </c>
      <c r="D6" s="13" t="s">
        <v>13</v>
      </c>
      <c r="E6" s="14" t="s">
        <v>374</v>
      </c>
      <c r="F6" s="14" t="s">
        <v>375</v>
      </c>
      <c r="G6" s="14" t="s">
        <v>376</v>
      </c>
      <c r="H6" s="14" t="s">
        <v>377</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378</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379</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380</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381</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382</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383</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384</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385</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386</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387</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388</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389</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390</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391</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392</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393</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394</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395</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396</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397</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398</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399</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549</v>
      </c>
      <c r="N31" s="57">
        <f ca="1">C28*D28/E28</f>
        <v>710425.92367464525</v>
      </c>
    </row>
    <row r="32" spans="1:14" x14ac:dyDescent="0.45">
      <c r="I32" s="57"/>
      <c r="J32" s="57"/>
      <c r="K32" s="57"/>
      <c r="L32" s="57"/>
      <c r="M32" t="s">
        <v>555</v>
      </c>
    </row>
    <row r="33" spans="1:14" ht="42.75" x14ac:dyDescent="0.45">
      <c r="A33" s="13" t="s">
        <v>10</v>
      </c>
      <c r="B33" s="13" t="s">
        <v>11</v>
      </c>
      <c r="C33" s="13" t="s">
        <v>12</v>
      </c>
      <c r="D33" s="13" t="s">
        <v>13</v>
      </c>
      <c r="E33" s="14" t="s">
        <v>374</v>
      </c>
      <c r="F33" s="14" t="s">
        <v>375</v>
      </c>
      <c r="G33" s="14" t="s">
        <v>376</v>
      </c>
      <c r="H33" s="14" t="s">
        <v>377</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400</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401</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402</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403</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404</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405</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406</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407</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408</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409</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410</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411</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412</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413</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414</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415</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416</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417</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418</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419</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420</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548</v>
      </c>
    </row>
    <row r="59" spans="1:14" x14ac:dyDescent="0.45">
      <c r="I59" s="57"/>
      <c r="J59" s="57"/>
      <c r="K59" s="57"/>
      <c r="L59" s="57"/>
      <c r="M59" t="s">
        <v>556</v>
      </c>
    </row>
    <row r="60" spans="1:14" ht="42.75" x14ac:dyDescent="0.45">
      <c r="A60" s="13" t="s">
        <v>10</v>
      </c>
      <c r="B60" s="13" t="s">
        <v>11</v>
      </c>
      <c r="C60" s="13" t="s">
        <v>12</v>
      </c>
      <c r="D60" s="13" t="s">
        <v>13</v>
      </c>
      <c r="E60" s="14" t="s">
        <v>374</v>
      </c>
      <c r="F60" s="14" t="s">
        <v>375</v>
      </c>
      <c r="G60" s="14" t="s">
        <v>376</v>
      </c>
      <c r="H60" s="14" t="s">
        <v>377</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421</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422</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423</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424</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425</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426</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427</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428</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429</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430</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431</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432</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433</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434</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435</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436</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437</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438</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439</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440</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441</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551</v>
      </c>
    </row>
    <row r="86" spans="1:28" x14ac:dyDescent="0.45">
      <c r="I86" s="57"/>
      <c r="J86" s="57"/>
      <c r="K86" s="57"/>
      <c r="L86" s="57"/>
      <c r="M86" t="s">
        <v>557</v>
      </c>
    </row>
    <row r="87" spans="1:28" ht="42.75" x14ac:dyDescent="0.45">
      <c r="A87" s="13" t="s">
        <v>10</v>
      </c>
      <c r="B87" s="13" t="s">
        <v>11</v>
      </c>
      <c r="C87" s="13" t="s">
        <v>12</v>
      </c>
      <c r="D87" s="13" t="s">
        <v>13</v>
      </c>
      <c r="E87" s="14" t="s">
        <v>374</v>
      </c>
      <c r="F87" s="14" t="s">
        <v>375</v>
      </c>
      <c r="G87" s="14" t="s">
        <v>376</v>
      </c>
      <c r="H87" s="14" t="s">
        <v>377</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442</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443</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444</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445</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446</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447</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448</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449</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450</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451</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452</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453</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454</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455</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456</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457</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458</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459</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460</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552</v>
      </c>
    </row>
    <row r="113" spans="1:14" x14ac:dyDescent="0.45">
      <c r="I113" s="57"/>
      <c r="J113" s="57"/>
      <c r="K113" s="57"/>
      <c r="L113" s="57"/>
      <c r="M113" t="s">
        <v>558</v>
      </c>
    </row>
    <row r="114" spans="1:14" ht="42.75" x14ac:dyDescent="0.45">
      <c r="A114" s="13" t="s">
        <v>10</v>
      </c>
      <c r="B114" s="13" t="s">
        <v>11</v>
      </c>
      <c r="C114" s="13" t="s">
        <v>12</v>
      </c>
      <c r="D114" s="13" t="s">
        <v>13</v>
      </c>
      <c r="E114" s="14" t="s">
        <v>374</v>
      </c>
      <c r="F114" s="14" t="s">
        <v>375</v>
      </c>
      <c r="G114" s="14" t="s">
        <v>376</v>
      </c>
      <c r="H114" s="14" t="s">
        <v>377</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461</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462</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463</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464</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465</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466</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467</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468</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469</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470</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471</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472</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473</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474</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553</v>
      </c>
    </row>
    <row r="140" spans="1:14" x14ac:dyDescent="0.45">
      <c r="I140" s="57"/>
      <c r="J140" s="57"/>
      <c r="K140" s="57"/>
      <c r="L140" s="57"/>
      <c r="M140" t="s">
        <v>559</v>
      </c>
    </row>
    <row r="141" spans="1:14" ht="42.75" x14ac:dyDescent="0.45">
      <c r="A141" s="13" t="s">
        <v>10</v>
      </c>
      <c r="B141" s="13" t="s">
        <v>11</v>
      </c>
      <c r="C141" s="13" t="s">
        <v>12</v>
      </c>
      <c r="D141" s="13" t="s">
        <v>13</v>
      </c>
      <c r="E141" s="14" t="s">
        <v>374</v>
      </c>
      <c r="F141" s="14" t="s">
        <v>375</v>
      </c>
      <c r="G141" s="14" t="s">
        <v>376</v>
      </c>
      <c r="H141" s="14" t="s">
        <v>377</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475</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476</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477</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478</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479</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480</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481</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482</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483</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484</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485</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486</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487</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488</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489</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554</v>
      </c>
    </row>
    <row r="167" spans="1:14" ht="57" x14ac:dyDescent="0.45">
      <c r="I167" s="57"/>
      <c r="J167" s="57"/>
      <c r="K167" s="57"/>
      <c r="L167" s="57"/>
      <c r="M167" s="66" t="s">
        <v>560</v>
      </c>
    </row>
    <row r="168" spans="1:14" ht="42.75" x14ac:dyDescent="0.45">
      <c r="A168" s="13" t="s">
        <v>10</v>
      </c>
      <c r="B168" s="13" t="s">
        <v>11</v>
      </c>
      <c r="C168" s="13" t="s">
        <v>12</v>
      </c>
      <c r="D168" s="13" t="s">
        <v>13</v>
      </c>
      <c r="E168" s="14" t="s">
        <v>374</v>
      </c>
      <c r="F168" s="14" t="s">
        <v>375</v>
      </c>
      <c r="G168" s="14" t="s">
        <v>376</v>
      </c>
      <c r="H168" s="14" t="s">
        <v>377</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490</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491</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492</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493</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494</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495</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496</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497</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498</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499</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500</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501</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502</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503</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504</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6" t="s">
        <v>289</v>
      </c>
      <c r="L2" s="15" t="s">
        <v>291</v>
      </c>
    </row>
    <row r="3" spans="2:13" x14ac:dyDescent="0.45">
      <c r="B3" s="15" t="s">
        <v>318</v>
      </c>
      <c r="K3" s="36" t="s">
        <v>292</v>
      </c>
      <c r="L3" s="15" t="s">
        <v>304</v>
      </c>
    </row>
    <row r="4" spans="2:13" x14ac:dyDescent="0.45">
      <c r="B4" s="49" t="s">
        <v>568</v>
      </c>
      <c r="F4" s="15"/>
      <c r="G4" s="15"/>
      <c r="H4" s="15"/>
      <c r="I4" s="15"/>
      <c r="K4" s="51" t="s">
        <v>290</v>
      </c>
      <c r="L4" s="15" t="s">
        <v>305</v>
      </c>
    </row>
    <row r="5" spans="2:13" x14ac:dyDescent="0.45">
      <c r="B5" s="50" t="s">
        <v>317</v>
      </c>
      <c r="F5" s="15"/>
      <c r="G5" s="15"/>
      <c r="H5" s="15"/>
      <c r="I5" s="15"/>
      <c r="K5" s="51" t="s">
        <v>303</v>
      </c>
      <c r="L5" s="15" t="s">
        <v>295</v>
      </c>
    </row>
    <row r="6" spans="2:13" x14ac:dyDescent="0.45">
      <c r="F6" s="15"/>
      <c r="G6" s="15"/>
      <c r="H6" s="15"/>
      <c r="I6" s="15"/>
      <c r="K6" s="51" t="s">
        <v>302</v>
      </c>
      <c r="L6" t="str">
        <f ca="1">L4&amp;"("&amp;L5&amp;")?"</f>
        <v>T[0-2][0-9]:[0-5][0-9]:[0-5][0-9](\.[0-9]+)?</v>
      </c>
    </row>
    <row r="7" spans="2:13" x14ac:dyDescent="0.45">
      <c r="K7" s="36" t="s">
        <v>315</v>
      </c>
      <c r="L7" s="15" t="s">
        <v>312</v>
      </c>
    </row>
    <row r="8" spans="2:13" x14ac:dyDescent="0.45">
      <c r="F8" s="15"/>
      <c r="G8" s="15"/>
      <c r="H8" s="15"/>
      <c r="I8" s="15"/>
      <c r="K8" s="51" t="s">
        <v>320</v>
      </c>
      <c r="L8" t="str">
        <f ca="1">L6&amp;"("&amp;L7&amp;")?"</f>
        <v>T[0-2][0-9]:[0-5][0-9]:[0-5][0-9](\.[0-9]+)?((Z|((\+|\-)[0-2][0-9]:[0-5][0-9])))?</v>
      </c>
    </row>
    <row r="9" spans="2:13" x14ac:dyDescent="0.45">
      <c r="B9" s="41"/>
      <c r="F9" s="48"/>
      <c r="G9" s="48"/>
      <c r="H9" s="48"/>
      <c r="I9" s="48"/>
      <c r="K9" s="51" t="s">
        <v>316</v>
      </c>
      <c r="L9" t="str">
        <f ca="1">L6&amp;L7</f>
        <v>T[0-2][0-9]:[0-5][0-9]:[0-5][0-9](\.[0-9]+)?(Z|((\+|\-)[0-2][0-9]:[0-5][0-9]))</v>
      </c>
    </row>
    <row r="10" spans="2:13" x14ac:dyDescent="0.45">
      <c r="F10" s="15"/>
      <c r="G10" s="15"/>
      <c r="H10" s="15"/>
      <c r="I10" s="15"/>
      <c r="K10" s="36" t="s">
        <v>293</v>
      </c>
      <c r="L10" t="s">
        <v>294</v>
      </c>
    </row>
    <row r="11" spans="2:13" x14ac:dyDescent="0.45">
      <c r="B11" t="s">
        <v>297</v>
      </c>
      <c r="F11" s="15"/>
      <c r="G11" s="15"/>
      <c r="H11" s="15"/>
      <c r="I11" s="15"/>
      <c r="K11" s="51" t="s">
        <v>321</v>
      </c>
      <c r="L11" s="54" t="str">
        <f ca="1">L2&amp;L3&amp;L10</f>
        <v>^[0-9][0-9][0-9][0-9]\-[[0-1][0-9]\-[0-3][0-9]$</v>
      </c>
    </row>
    <row r="12" spans="2:13" x14ac:dyDescent="0.45">
      <c r="B12" s="70" t="str" cm="1">
        <f t="array" aca="1" ref="B12" ca="1">TestFolder()&amp;"\test_good_ISO8601.csv"</f>
        <v>C:\Projects\VBA-CSV\testfiles\\test_good_ISO8601.csv</v>
      </c>
      <c r="K12" s="51" t="s">
        <v>322</v>
      </c>
      <c r="L12" s="54" t="str">
        <f ca="1">L2&amp;L3&amp;"("&amp;L6&amp;")?"&amp;L10</f>
        <v>^[0-9][0-9][0-9][0-9]\-[[0-1][0-9]\-[0-3][0-9](T[0-2][0-9]:[0-5][0-9]:[0-5][0-9](\.[0-9]+)?)?$</v>
      </c>
    </row>
    <row r="13" spans="2:13" x14ac:dyDescent="0.45">
      <c r="B13" t="s">
        <v>298</v>
      </c>
      <c r="K13" s="51" t="s">
        <v>323</v>
      </c>
      <c r="L13" s="54" t="str">
        <f ca="1">L2&amp;L3&amp;"("&amp;L9&amp;")?"&amp;L10</f>
        <v>^[0-9][0-9][0-9][0-9]\-[[0-1][0-9]\-[0-3][0-9](T[0-2][0-9]:[0-5][0-9]:[0-5][0-9](\.[0-9]+)?(Z|((\+|\-)[0-2][0-9]:[0-5][0-9])))?$</v>
      </c>
    </row>
    <row r="14" spans="2:13" x14ac:dyDescent="0.45">
      <c r="B14" s="70" t="str" cm="1">
        <f t="array" aca="1" ref="B14" ca="1">TestFolder()&amp;"\test_bad_ISO8601.csv"</f>
        <v>C:\Projects\VBA-CSV\testfiles\\test_bad_ISO8601.csv</v>
      </c>
      <c r="K14" s="51" t="s">
        <v>324</v>
      </c>
      <c r="L14" s="54" t="str">
        <f ca="1">L2&amp;L3&amp;"("&amp;L8&amp;")?"&amp;L10</f>
        <v>^[0-9][0-9][0-9][0-9]\-[[0-1][0-9]\-[0-3][0-9](T[0-2][0-9]:[0-5][0-9]:[0-5][0-9](\.[0-9]+)?((Z|((\+|\-)[0-2][0-9]:[0-5][0-9])))?)?$</v>
      </c>
    </row>
    <row r="15" spans="2:13" x14ac:dyDescent="0.45">
      <c r="E15" s="48"/>
    </row>
    <row r="16" spans="2:13" x14ac:dyDescent="0.45">
      <c r="B16" t="s">
        <v>299</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300</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5" t="s">
        <v>571</v>
      </c>
    </row>
    <row r="2" spans="1:6" x14ac:dyDescent="0.45">
      <c r="B2" s="15"/>
    </row>
    <row r="3" spans="1:6" x14ac:dyDescent="0.45">
      <c r="A3" s="3" t="s">
        <v>652</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4" t="s">
        <v>650</v>
      </c>
      <c r="B1" s="85"/>
      <c r="C1" s="85"/>
      <c r="D1" s="85"/>
      <c r="E1" s="85"/>
      <c r="F1" s="84" t="s">
        <v>651</v>
      </c>
      <c r="G1" s="85"/>
      <c r="H1" s="86" t="s">
        <v>654</v>
      </c>
      <c r="I1" s="85"/>
      <c r="J1" s="84" t="s">
        <v>652</v>
      </c>
      <c r="K1" s="85"/>
      <c r="L1" s="85"/>
      <c r="M1" s="79"/>
      <c r="N1" s="77"/>
      <c r="O1" s="77"/>
      <c r="P1" s="13"/>
    </row>
    <row r="2" spans="1:16" x14ac:dyDescent="0.45">
      <c r="A2" s="79" t="s">
        <v>655</v>
      </c>
      <c r="B2" s="79" t="s">
        <v>659</v>
      </c>
      <c r="C2" s="83" t="s">
        <v>646</v>
      </c>
      <c r="D2" s="83" t="s">
        <v>648</v>
      </c>
      <c r="E2" s="83"/>
      <c r="F2" s="79" t="str" cm="1">
        <f t="array" aca="1" ref="F2" ca="1">CSVWrite(A2:D8,"C:\Temp\Test.csv")</f>
        <v>C:\Temp\Test.csv</v>
      </c>
      <c r="G2" s="79"/>
      <c r="H2" s="79" t="str" cm="1">
        <f t="array" aca="1" ref="H2:H10" ca="1">CSVRead(F2,,FALSE)</f>
        <v>"Nums","Bools","Dates","Strings"</v>
      </c>
      <c r="I2" s="79"/>
      <c r="J2" s="79" t="str" cm="1">
        <f t="array" aca="1" ref="J2:M8" ca="1">CSVRead(F2,TRUE)</f>
        <v>Nums</v>
      </c>
      <c r="K2" s="79" t="str">
        <f ca="1"/>
        <v>Bools</v>
      </c>
      <c r="L2" s="83" t="str">
        <f ca="1"/>
        <v>Dates</v>
      </c>
      <c r="M2" s="79" t="str">
        <f ca="1"/>
        <v>Strings</v>
      </c>
      <c r="N2" s="77"/>
      <c r="O2" s="77"/>
      <c r="P2" s="13"/>
    </row>
    <row r="3" spans="1:16" x14ac:dyDescent="0.45">
      <c r="A3" s="79" cm="1">
        <f t="array" aca="1" ref="A3:A8" ca="1">_xlfn.SEQUENCE(6)</f>
        <v>1</v>
      </c>
      <c r="B3" s="79" t="b" cm="1">
        <f t="array" aca="1" ref="B3:B8" ca="1">MOD(_xlfn.ANCHORARRAY(A3),2)=0</f>
        <v>0</v>
      </c>
      <c r="C3" s="83" cm="1">
        <f t="array" aca="1" ref="C3:C8" ca="1">TODAY()+_xlfn.ANCHORARRAY(A3)</f>
        <v>44469</v>
      </c>
      <c r="D3" s="82" t="s">
        <v>649</v>
      </c>
      <c r="E3" s="83"/>
      <c r="F3" s="79"/>
      <c r="G3" s="79"/>
      <c r="H3" s="79" t="str">
        <f ca="1"/>
        <v>1,False,2021-09-30,"Text"</v>
      </c>
      <c r="I3" s="79"/>
      <c r="J3" s="79">
        <f ca="1"/>
        <v>1</v>
      </c>
      <c r="K3" s="79" t="b">
        <f ca="1"/>
        <v>0</v>
      </c>
      <c r="L3" s="83">
        <f ca="1"/>
        <v>44469</v>
      </c>
      <c r="M3" s="79" t="str">
        <f ca="1"/>
        <v>Text</v>
      </c>
      <c r="N3" s="77"/>
      <c r="O3" s="77"/>
      <c r="P3" s="13"/>
    </row>
    <row r="4" spans="1:16" x14ac:dyDescent="0.45">
      <c r="A4" s="79">
        <f ca="1"/>
        <v>2</v>
      </c>
      <c r="B4" s="79" t="b">
        <f ca="1"/>
        <v>1</v>
      </c>
      <c r="C4" s="83">
        <f ca="1"/>
        <v>44470</v>
      </c>
      <c r="D4" s="14" t="s">
        <v>661</v>
      </c>
      <c r="E4" s="83"/>
      <c r="F4" s="79"/>
      <c r="G4" s="79"/>
      <c r="H4" s="79" t="str">
        <f ca="1"/>
        <v>2,True,2021-10-01,"A, comma"</v>
      </c>
      <c r="I4" s="79"/>
      <c r="J4" s="79">
        <f ca="1"/>
        <v>2</v>
      </c>
      <c r="K4" s="79" t="b">
        <f ca="1"/>
        <v>1</v>
      </c>
      <c r="L4" s="83">
        <f ca="1"/>
        <v>44470</v>
      </c>
      <c r="M4" s="79" t="str">
        <f ca="1"/>
        <v>A, comma</v>
      </c>
      <c r="N4" s="77"/>
      <c r="O4" s="77"/>
      <c r="P4" s="13"/>
    </row>
    <row r="5" spans="1:16" ht="28.5" x14ac:dyDescent="0.45">
      <c r="A5" s="79">
        <f ca="1"/>
        <v>3</v>
      </c>
      <c r="B5" s="79" t="b">
        <f ca="1"/>
        <v>0</v>
      </c>
      <c r="C5" s="83">
        <f ca="1"/>
        <v>44471</v>
      </c>
      <c r="D5" s="82" t="s">
        <v>663</v>
      </c>
      <c r="E5" s="83"/>
      <c r="F5" s="79"/>
      <c r="G5" s="79"/>
      <c r="H5" s="79" t="str">
        <f ca="1"/>
        <v>3,False,2021-10-02,"A</v>
      </c>
      <c r="I5" s="79"/>
      <c r="J5" s="79">
        <f ca="1"/>
        <v>3</v>
      </c>
      <c r="K5" s="79" t="b">
        <f ca="1"/>
        <v>0</v>
      </c>
      <c r="L5" s="83">
        <f ca="1"/>
        <v>44471</v>
      </c>
      <c r="M5" s="79" t="str">
        <f ca="1"/>
        <v>A
LF</v>
      </c>
      <c r="N5" s="77"/>
      <c r="O5" s="77"/>
      <c r="P5" s="13"/>
    </row>
    <row r="6" spans="1:16" x14ac:dyDescent="0.45">
      <c r="A6" s="79">
        <f ca="1"/>
        <v>4</v>
      </c>
      <c r="B6" s="79" t="b">
        <f ca="1"/>
        <v>1</v>
      </c>
      <c r="C6" s="83">
        <f ca="1"/>
        <v>44472</v>
      </c>
      <c r="D6" s="82" t="str">
        <f ca="1">"A"&amp;CHAR(13)&amp;" CR"</f>
        <v>A_x000D_ CR</v>
      </c>
      <c r="E6" s="83"/>
      <c r="F6" s="79"/>
      <c r="G6" s="79"/>
      <c r="H6" s="79" t="str">
        <f ca="1"/>
        <v>LF"</v>
      </c>
      <c r="I6" s="79"/>
      <c r="J6" s="79">
        <f ca="1"/>
        <v>4</v>
      </c>
      <c r="K6" s="79" t="b">
        <f ca="1"/>
        <v>1</v>
      </c>
      <c r="L6" s="83">
        <f ca="1"/>
        <v>44472</v>
      </c>
      <c r="M6" s="79" t="str">
        <f ca="1"/>
        <v>A_x000D_ CR</v>
      </c>
      <c r="N6" s="77"/>
      <c r="O6" s="77"/>
      <c r="P6" s="13"/>
    </row>
    <row r="7" spans="1:16" x14ac:dyDescent="0.45">
      <c r="A7" s="79">
        <f ca="1"/>
        <v>5</v>
      </c>
      <c r="B7" s="79" t="b">
        <f ca="1"/>
        <v>0</v>
      </c>
      <c r="C7" s="83">
        <f ca="1"/>
        <v>44473</v>
      </c>
      <c r="D7" s="14" t="s">
        <v>662</v>
      </c>
      <c r="E7" s="83"/>
      <c r="F7" s="79"/>
      <c r="G7" s="79"/>
      <c r="H7" s="79" t="str">
        <f ca="1"/>
        <v>4,True,2021-10-03,"A</v>
      </c>
      <c r="I7" s="79"/>
      <c r="J7" s="79">
        <f ca="1"/>
        <v>5</v>
      </c>
      <c r="K7" s="79" t="b">
        <f ca="1"/>
        <v>0</v>
      </c>
      <c r="L7" s="83">
        <f ca="1"/>
        <v>44473</v>
      </c>
      <c r="M7" s="79" t="str">
        <f ca="1"/>
        <v>"Quotes"</v>
      </c>
      <c r="N7" s="77"/>
      <c r="O7" s="77"/>
      <c r="P7" s="13"/>
    </row>
    <row r="8" spans="1:16" x14ac:dyDescent="0.45">
      <c r="A8" s="79">
        <f ca="1"/>
        <v>6</v>
      </c>
      <c r="B8" s="79" t="b">
        <f ca="1"/>
        <v>1</v>
      </c>
      <c r="C8" s="83">
        <f ca="1"/>
        <v>44474</v>
      </c>
      <c r="D8" s="82" t="s">
        <v>649</v>
      </c>
      <c r="E8" s="83"/>
      <c r="F8" s="79"/>
      <c r="G8" s="79"/>
      <c r="H8" s="79" t="str">
        <f ca="1"/>
        <v xml:space="preserve"> CR"</v>
      </c>
      <c r="I8" s="79"/>
      <c r="J8" s="79">
        <f ca="1"/>
        <v>6</v>
      </c>
      <c r="K8" s="79" t="b">
        <f ca="1"/>
        <v>1</v>
      </c>
      <c r="L8" s="83">
        <f ca="1"/>
        <v>44474</v>
      </c>
      <c r="M8" s="79" t="str">
        <f ca="1"/>
        <v>Text</v>
      </c>
      <c r="N8" s="77"/>
      <c r="O8" s="77"/>
      <c r="P8" s="13"/>
    </row>
    <row r="9" spans="1:16" x14ac:dyDescent="0.45">
      <c r="A9" s="79"/>
      <c r="B9" s="79"/>
      <c r="C9" s="83"/>
      <c r="D9" s="87"/>
      <c r="E9" s="83"/>
      <c r="F9" s="79"/>
      <c r="G9" s="79"/>
      <c r="H9" s="79" t="str">
        <f ca="1"/>
        <v>5,False,2021-10-04,"""Quotes"""</v>
      </c>
      <c r="I9" s="79"/>
      <c r="J9" s="79"/>
      <c r="K9" s="79"/>
      <c r="L9" s="83"/>
      <c r="M9" s="79"/>
      <c r="N9" s="77"/>
      <c r="O9" s="77"/>
      <c r="P9" s="13"/>
    </row>
    <row r="10" spans="1:16" x14ac:dyDescent="0.45">
      <c r="A10" s="79"/>
      <c r="B10" s="79"/>
      <c r="C10" s="83"/>
      <c r="D10" s="87"/>
      <c r="E10" s="83"/>
      <c r="F10" s="79"/>
      <c r="G10" s="79"/>
      <c r="H10" s="79" t="str">
        <f ca="1"/>
        <v>6,True,2021-10-05,"Text"</v>
      </c>
      <c r="I10" s="79"/>
      <c r="J10" s="79"/>
      <c r="K10" s="79"/>
      <c r="L10" s="83"/>
      <c r="M10" s="79"/>
      <c r="N10" s="77"/>
      <c r="O10" s="77"/>
      <c r="P10" s="13"/>
    </row>
    <row r="11" spans="1:16" x14ac:dyDescent="0.45">
      <c r="A11" s="77"/>
      <c r="B11" s="77"/>
      <c r="C11" s="78"/>
      <c r="D11" s="80"/>
      <c r="E11" s="78"/>
      <c r="F11" s="77"/>
      <c r="G11" s="77"/>
      <c r="H11" s="77"/>
      <c r="I11" s="77"/>
      <c r="J11" s="77"/>
      <c r="K11" s="77"/>
      <c r="L11" s="78"/>
      <c r="M11" s="79"/>
      <c r="N11" s="77"/>
      <c r="O11" s="77"/>
      <c r="P11" s="13"/>
    </row>
    <row r="12" spans="1:16" x14ac:dyDescent="0.45">
      <c r="A12" s="77"/>
      <c r="B12" s="77"/>
      <c r="C12" s="78"/>
      <c r="D12" s="81"/>
      <c r="E12" s="77"/>
      <c r="F12" s="77"/>
      <c r="G12" s="77"/>
      <c r="H12" s="77"/>
      <c r="I12" s="77"/>
      <c r="J12" s="77"/>
      <c r="K12" s="77"/>
      <c r="L12" s="78"/>
      <c r="M12" s="79"/>
      <c r="N12" s="77"/>
      <c r="O12" s="77"/>
      <c r="P12" s="13"/>
    </row>
    <row r="13" spans="1:16" x14ac:dyDescent="0.45">
      <c r="A13" s="77"/>
      <c r="B13" s="77"/>
      <c r="C13" s="77"/>
      <c r="D13" s="81"/>
      <c r="E13" s="77"/>
      <c r="F13" s="77"/>
      <c r="G13" s="77"/>
      <c r="H13" s="77"/>
      <c r="I13" s="77"/>
      <c r="J13" s="77"/>
      <c r="K13" s="77"/>
      <c r="L13" s="77"/>
      <c r="M13" s="77"/>
      <c r="N13" s="77"/>
      <c r="O13" s="77"/>
      <c r="P13" s="13"/>
    </row>
    <row r="17" spans="8:8" x14ac:dyDescent="0.45">
      <c r="H17" s="66"/>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workbookViewId="0"/>
  </sheetViews>
  <sheetFormatPr defaultRowHeight="14.25" x14ac:dyDescent="0.45"/>
  <cols>
    <col min="1" max="1" width="6.19921875" bestFit="1" customWidth="1"/>
    <col min="2" max="4" width="10.73046875" bestFit="1" customWidth="1"/>
  </cols>
  <sheetData>
    <row r="1" spans="1:4" x14ac:dyDescent="0.45">
      <c r="A1" s="84" t="s">
        <v>650</v>
      </c>
      <c r="B1" s="85"/>
      <c r="C1" s="85"/>
      <c r="D1" s="85"/>
    </row>
    <row r="2" spans="1:4" x14ac:dyDescent="0.45">
      <c r="A2" s="79" t="s">
        <v>655</v>
      </c>
      <c r="B2" s="79" t="s">
        <v>659</v>
      </c>
      <c r="C2" s="83" t="s">
        <v>646</v>
      </c>
      <c r="D2" s="83" t="s">
        <v>648</v>
      </c>
    </row>
    <row r="3" spans="1:4" x14ac:dyDescent="0.45">
      <c r="A3" s="79" cm="1">
        <f t="array" aca="1" ref="A3:A7" ca="1">_xlfn.SEQUENCE(5)</f>
        <v>1</v>
      </c>
      <c r="B3" s="79" t="b" cm="1">
        <f t="array" aca="1" ref="B3:B7" ca="1">MOD(_xlfn.ANCHORARRAY(A3),2)=0</f>
        <v>0</v>
      </c>
      <c r="C3" s="83" cm="1">
        <f t="array" aca="1" ref="C3:C7" ca="1">TODAY()+_xlfn.ANCHORARRAY(A3)</f>
        <v>44468</v>
      </c>
      <c r="D3" s="82" t="s">
        <v>649</v>
      </c>
    </row>
    <row r="4" spans="1:4" x14ac:dyDescent="0.45">
      <c r="A4" s="79">
        <f ca="1"/>
        <v>2</v>
      </c>
      <c r="B4" s="79" t="b">
        <f ca="1"/>
        <v>1</v>
      </c>
      <c r="C4" s="83">
        <f ca="1"/>
        <v>44469</v>
      </c>
      <c r="D4" s="14" t="s">
        <v>661</v>
      </c>
    </row>
    <row r="5" spans="1:4" ht="28.5" x14ac:dyDescent="0.45">
      <c r="A5" s="79">
        <f ca="1"/>
        <v>3</v>
      </c>
      <c r="B5" s="79" t="b">
        <f ca="1"/>
        <v>0</v>
      </c>
      <c r="C5" s="83">
        <f ca="1"/>
        <v>44470</v>
      </c>
      <c r="D5" s="82" t="s">
        <v>663</v>
      </c>
    </row>
    <row r="6" spans="1:4" x14ac:dyDescent="0.45">
      <c r="A6" s="79">
        <f ca="1"/>
        <v>4</v>
      </c>
      <c r="B6" s="79" t="b">
        <f ca="1"/>
        <v>1</v>
      </c>
      <c r="C6" s="83">
        <f ca="1"/>
        <v>44471</v>
      </c>
      <c r="D6" s="82" t="str">
        <f ca="1">"A"&amp;CHAR(13)&amp;" CR"</f>
        <v>A_x000D_ CR</v>
      </c>
    </row>
    <row r="7" spans="1:4" x14ac:dyDescent="0.45">
      <c r="A7" s="79">
        <f ca="1"/>
        <v>5</v>
      </c>
      <c r="B7" s="79" t="b">
        <f ca="1"/>
        <v>0</v>
      </c>
      <c r="C7" s="83">
        <f ca="1"/>
        <v>44472</v>
      </c>
      <c r="D7" s="14" t="s">
        <v>662</v>
      </c>
    </row>
    <row r="9" spans="1:4" x14ac:dyDescent="0.45">
      <c r="A9" s="88" t="s">
        <v>651</v>
      </c>
    </row>
    <row r="10" spans="1:4" x14ac:dyDescent="0.45">
      <c r="A10" t="str" cm="1">
        <f t="array" aca="1" ref="A10" ca="1">CSVWrite(A2:D7,"C:\Temp\Test.csv")</f>
        <v>C:\Temp\Test.csv</v>
      </c>
    </row>
    <row r="12" spans="1:4" x14ac:dyDescent="0.45">
      <c r="A12" s="89" t="s">
        <v>654</v>
      </c>
    </row>
    <row r="13" spans="1:4" x14ac:dyDescent="0.45">
      <c r="A13" t="str" cm="1">
        <f t="array" aca="1" ref="A13:A20" ca="1">CSVRead(A10,FALSE,FALSE)</f>
        <v>"Nums","Bools","Dates","Strings"</v>
      </c>
    </row>
    <row r="14" spans="1:4" x14ac:dyDescent="0.45">
      <c r="A14" t="str">
        <f ca="1"/>
        <v>1,False,2021-09-29,"Text"</v>
      </c>
    </row>
    <row r="15" spans="1:4" x14ac:dyDescent="0.45">
      <c r="A15" t="str">
        <f ca="1"/>
        <v>2,True,2021-09-30,"A, comma"</v>
      </c>
    </row>
    <row r="16" spans="1:4" x14ac:dyDescent="0.45">
      <c r="A16" t="str">
        <f ca="1"/>
        <v>3,False,2021-10-01,"A</v>
      </c>
    </row>
    <row r="17" spans="1:7" x14ac:dyDescent="0.45">
      <c r="A17" t="str">
        <f ca="1"/>
        <v>LF"</v>
      </c>
    </row>
    <row r="18" spans="1:7" x14ac:dyDescent="0.45">
      <c r="A18" t="str">
        <f ca="1"/>
        <v>4,True,2021-10-02,"A</v>
      </c>
    </row>
    <row r="19" spans="1:7" x14ac:dyDescent="0.45">
      <c r="A19" t="str">
        <f ca="1"/>
        <v xml:space="preserve"> CR"</v>
      </c>
    </row>
    <row r="20" spans="1:7" x14ac:dyDescent="0.45">
      <c r="A20" t="str">
        <f ca="1"/>
        <v>5,False,2021-10-03,"""Quotes"""</v>
      </c>
    </row>
    <row r="22" spans="1:7" x14ac:dyDescent="0.45">
      <c r="A22" s="88" t="s">
        <v>652</v>
      </c>
    </row>
    <row r="23" spans="1:7" x14ac:dyDescent="0.45">
      <c r="A23" s="82" t="str" cm="1">
        <f t="array" aca="1" ref="A23:D28" ca="1">CSVRead(A10,TRUE)</f>
        <v>Nums</v>
      </c>
      <c r="B23" s="82" t="str">
        <f ca="1"/>
        <v>Bools</v>
      </c>
      <c r="C23" s="82" t="str">
        <f ca="1"/>
        <v>Dates</v>
      </c>
      <c r="D23" s="82" t="str">
        <f ca="1"/>
        <v>Strings</v>
      </c>
    </row>
    <row r="24" spans="1:7" x14ac:dyDescent="0.45">
      <c r="A24" s="82">
        <f ca="1"/>
        <v>1</v>
      </c>
      <c r="B24" s="82" t="b">
        <f ca="1"/>
        <v>0</v>
      </c>
      <c r="C24" s="90">
        <f ca="1"/>
        <v>44468</v>
      </c>
      <c r="D24" s="82" t="str">
        <f ca="1"/>
        <v>Text</v>
      </c>
      <c r="G24" s="15"/>
    </row>
    <row r="25" spans="1:7" x14ac:dyDescent="0.45">
      <c r="A25" s="82">
        <f ca="1"/>
        <v>2</v>
      </c>
      <c r="B25" s="82" t="b">
        <f ca="1"/>
        <v>1</v>
      </c>
      <c r="C25" s="90">
        <f ca="1"/>
        <v>44469</v>
      </c>
      <c r="D25" s="82" t="str">
        <f ca="1"/>
        <v>A, comma</v>
      </c>
      <c r="F25" s="15"/>
    </row>
    <row r="26" spans="1:7" ht="28.5" customHeight="1" x14ac:dyDescent="0.45">
      <c r="A26" s="82">
        <f ca="1"/>
        <v>3</v>
      </c>
      <c r="B26" s="82" t="b">
        <f ca="1"/>
        <v>0</v>
      </c>
      <c r="C26" s="90">
        <f ca="1"/>
        <v>44470</v>
      </c>
      <c r="D26" s="82" t="str">
        <f ca="1"/>
        <v>A
LF</v>
      </c>
    </row>
    <row r="27" spans="1:7" x14ac:dyDescent="0.45">
      <c r="A27" s="82">
        <f ca="1"/>
        <v>4</v>
      </c>
      <c r="B27" s="82" t="b">
        <f ca="1"/>
        <v>1</v>
      </c>
      <c r="C27" s="90">
        <f ca="1"/>
        <v>44471</v>
      </c>
      <c r="D27" s="82" t="str">
        <f ca="1"/>
        <v>A_x000D_ CR</v>
      </c>
    </row>
    <row r="28" spans="1:7" x14ac:dyDescent="0.45">
      <c r="A28" s="82">
        <f ca="1"/>
        <v>5</v>
      </c>
      <c r="B28" s="82" t="b">
        <f ca="1"/>
        <v>0</v>
      </c>
      <c r="C28" s="90">
        <f ca="1"/>
        <v>44472</v>
      </c>
      <c r="D28" s="82" t="str">
        <f ca="1"/>
        <v>"Quotes"</v>
      </c>
    </row>
    <row r="30" spans="1:7" x14ac:dyDescent="0.45">
      <c r="A30" s="89" t="s">
        <v>664</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23"/>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48</v>
      </c>
      <c r="C5" s="21" t="s">
        <v>49</v>
      </c>
      <c r="D5" s="96" t="s">
        <v>50</v>
      </c>
      <c r="E5" s="22" t="s">
        <v>51</v>
      </c>
      <c r="F5" s="23" t="s">
        <v>52</v>
      </c>
      <c r="H5" s="18" t="s">
        <v>643</v>
      </c>
    </row>
    <row r="6" spans="2:8" x14ac:dyDescent="0.45">
      <c r="B6" s="95">
        <v>118</v>
      </c>
      <c r="C6" s="24">
        <v>44467</v>
      </c>
      <c r="D6" s="97">
        <v>0.83431712962919846</v>
      </c>
      <c r="E6" s="25" t="s">
        <v>54</v>
      </c>
      <c r="F6" s="26" t="s">
        <v>675</v>
      </c>
      <c r="H6" s="19" t="s">
        <v>644</v>
      </c>
    </row>
    <row r="7" spans="2:8" x14ac:dyDescent="0.45">
      <c r="B7" s="91">
        <v>117</v>
      </c>
      <c r="C7" s="24">
        <v>44467</v>
      </c>
      <c r="D7" s="97">
        <v>0.70918981481372612</v>
      </c>
      <c r="E7" s="25" t="s">
        <v>54</v>
      </c>
      <c r="F7" s="27" t="s">
        <v>665</v>
      </c>
    </row>
    <row r="8" spans="2:8" x14ac:dyDescent="0.45">
      <c r="B8" s="91">
        <v>116</v>
      </c>
      <c r="C8" s="24">
        <v>44467</v>
      </c>
      <c r="D8" s="97">
        <v>0.47929398147971369</v>
      </c>
      <c r="E8" s="25" t="s">
        <v>54</v>
      </c>
      <c r="F8" s="26" t="s">
        <v>660</v>
      </c>
      <c r="H8" s="94" t="s">
        <v>670</v>
      </c>
    </row>
    <row r="9" spans="2:8" x14ac:dyDescent="0.45">
      <c r="B9" s="91">
        <v>115</v>
      </c>
      <c r="C9" s="24">
        <v>44467</v>
      </c>
      <c r="D9" s="97">
        <v>0.46600694444350665</v>
      </c>
      <c r="E9" s="25" t="s">
        <v>54</v>
      </c>
      <c r="F9" s="26" t="s">
        <v>658</v>
      </c>
      <c r="H9" s="19" t="s">
        <v>47</v>
      </c>
    </row>
    <row r="10" spans="2:8" x14ac:dyDescent="0.45">
      <c r="B10" s="91">
        <v>114</v>
      </c>
      <c r="C10" s="24">
        <v>44467</v>
      </c>
      <c r="D10" s="97">
        <v>0.42388888888672227</v>
      </c>
      <c r="E10" s="25" t="s">
        <v>54</v>
      </c>
      <c r="F10" s="26" t="s">
        <v>657</v>
      </c>
      <c r="H10" s="43" t="s">
        <v>53</v>
      </c>
    </row>
    <row r="11" spans="2:8" x14ac:dyDescent="0.45">
      <c r="B11" s="91">
        <v>113</v>
      </c>
      <c r="C11" s="24">
        <v>44466</v>
      </c>
      <c r="D11" s="97">
        <v>0.80304398148291511</v>
      </c>
      <c r="E11" s="25" t="s">
        <v>54</v>
      </c>
      <c r="F11" s="26" t="s">
        <v>656</v>
      </c>
    </row>
    <row r="12" spans="2:8" x14ac:dyDescent="0.45">
      <c r="B12" s="91">
        <v>112</v>
      </c>
      <c r="C12" s="24">
        <v>44466</v>
      </c>
      <c r="D12" s="97">
        <v>0.78805555555300089</v>
      </c>
      <c r="E12" s="25" t="s">
        <v>54</v>
      </c>
      <c r="F12" s="26" t="s">
        <v>653</v>
      </c>
      <c r="H12" s="18" t="s">
        <v>669</v>
      </c>
    </row>
    <row r="13" spans="2:8" x14ac:dyDescent="0.45">
      <c r="B13" s="91">
        <v>111</v>
      </c>
      <c r="C13" s="24">
        <v>44466</v>
      </c>
      <c r="D13" s="97">
        <v>0.76920138888817746</v>
      </c>
      <c r="E13" s="25" t="s">
        <v>54</v>
      </c>
      <c r="F13" s="26" t="s">
        <v>653</v>
      </c>
      <c r="H13" s="19" t="s">
        <v>666</v>
      </c>
    </row>
    <row r="14" spans="2:8" x14ac:dyDescent="0.45">
      <c r="B14" s="91">
        <v>110</v>
      </c>
      <c r="C14" s="24">
        <v>44466</v>
      </c>
      <c r="D14" s="97">
        <v>0.729178240741021</v>
      </c>
      <c r="E14" s="25" t="s">
        <v>54</v>
      </c>
      <c r="F14" s="26" t="s">
        <v>653</v>
      </c>
      <c r="H14" s="19" t="s">
        <v>667</v>
      </c>
    </row>
    <row r="15" spans="2:8" x14ac:dyDescent="0.45">
      <c r="B15" s="91">
        <v>109</v>
      </c>
      <c r="C15" s="24">
        <v>44464</v>
      </c>
      <c r="D15" s="97">
        <v>0.815185185187147</v>
      </c>
      <c r="E15" s="25" t="s">
        <v>54</v>
      </c>
      <c r="F15" s="26" t="s">
        <v>647</v>
      </c>
      <c r="H15" s="19" t="s">
        <v>668</v>
      </c>
    </row>
    <row r="16" spans="2:8" x14ac:dyDescent="0.45">
      <c r="B16" s="91">
        <v>108</v>
      </c>
      <c r="C16" s="24">
        <v>44463</v>
      </c>
      <c r="D16" s="97">
        <v>0.73194444444379769</v>
      </c>
      <c r="E16" s="25" t="s">
        <v>54</v>
      </c>
      <c r="F16" s="27" t="s">
        <v>645</v>
      </c>
    </row>
    <row r="17" spans="2:8" x14ac:dyDescent="0.45">
      <c r="B17" s="91">
        <v>107</v>
      </c>
      <c r="C17" s="24">
        <v>44463</v>
      </c>
      <c r="D17" s="97">
        <v>0.54521990740613546</v>
      </c>
      <c r="E17" s="25" t="s">
        <v>54</v>
      </c>
      <c r="F17" s="26" t="s">
        <v>642</v>
      </c>
      <c r="H17" s="18" t="s">
        <v>247</v>
      </c>
    </row>
    <row r="18" spans="2:8" x14ac:dyDescent="0.45">
      <c r="B18" s="91">
        <v>106</v>
      </c>
      <c r="C18" s="24">
        <v>44463</v>
      </c>
      <c r="D18" s="97">
        <v>0.5326273148166365</v>
      </c>
      <c r="E18" s="25" t="s">
        <v>54</v>
      </c>
      <c r="F18" s="26" t="s">
        <v>640</v>
      </c>
      <c r="H18" t="s">
        <v>248</v>
      </c>
    </row>
    <row r="19" spans="2:8" x14ac:dyDescent="0.45">
      <c r="B19" s="91">
        <v>105</v>
      </c>
      <c r="C19" s="24">
        <v>44463</v>
      </c>
      <c r="D19" s="97">
        <v>0.45555555555620231</v>
      </c>
      <c r="E19" s="25" t="s">
        <v>54</v>
      </c>
      <c r="F19" s="26" t="s">
        <v>639</v>
      </c>
      <c r="H19" s="19" t="s">
        <v>249</v>
      </c>
    </row>
    <row r="20" spans="2:8" x14ac:dyDescent="0.45">
      <c r="B20" s="91">
        <v>104</v>
      </c>
      <c r="C20" s="24">
        <v>44462</v>
      </c>
      <c r="D20" s="97">
        <v>0.58405092592875008</v>
      </c>
      <c r="E20" s="25" t="s">
        <v>54</v>
      </c>
      <c r="F20" s="27" t="s">
        <v>638</v>
      </c>
      <c r="H20" t="s">
        <v>250</v>
      </c>
    </row>
    <row r="21" spans="2:8" x14ac:dyDescent="0.45">
      <c r="B21" s="91">
        <v>103</v>
      </c>
      <c r="C21" s="24">
        <v>44462</v>
      </c>
      <c r="D21" s="97">
        <v>0.55108796296553919</v>
      </c>
      <c r="E21" s="25" t="s">
        <v>54</v>
      </c>
      <c r="F21" s="26" t="s">
        <v>637</v>
      </c>
      <c r="H21" s="19" t="s">
        <v>251</v>
      </c>
    </row>
    <row r="22" spans="2:8" x14ac:dyDescent="0.45">
      <c r="B22" s="91">
        <v>102</v>
      </c>
      <c r="C22" s="24">
        <v>44462</v>
      </c>
      <c r="D22" s="97">
        <v>0.42077546296059154</v>
      </c>
      <c r="E22" s="25" t="s">
        <v>54</v>
      </c>
      <c r="F22" s="26" t="s">
        <v>636</v>
      </c>
      <c r="H22" t="s">
        <v>215</v>
      </c>
    </row>
    <row r="23" spans="2:8" x14ac:dyDescent="0.45">
      <c r="B23" s="91">
        <v>101</v>
      </c>
      <c r="C23" s="24">
        <v>44461</v>
      </c>
      <c r="D23" s="97">
        <v>0.49896990740671754</v>
      </c>
      <c r="E23" s="25" t="s">
        <v>54</v>
      </c>
      <c r="F23" s="26" t="s">
        <v>635</v>
      </c>
      <c r="H23" s="19" t="s">
        <v>252</v>
      </c>
    </row>
    <row r="24" spans="2:8" x14ac:dyDescent="0.45">
      <c r="B24" s="91">
        <v>100</v>
      </c>
      <c r="C24" s="24">
        <v>44461</v>
      </c>
      <c r="D24" s="97">
        <v>0.49760416666686069</v>
      </c>
      <c r="E24" s="25" t="s">
        <v>54</v>
      </c>
      <c r="F24" s="26" t="s">
        <v>634</v>
      </c>
      <c r="H24" s="43" t="s">
        <v>254</v>
      </c>
    </row>
    <row r="25" spans="2:8" x14ac:dyDescent="0.45">
      <c r="B25" s="91">
        <v>99</v>
      </c>
      <c r="C25" s="24">
        <v>44460</v>
      </c>
      <c r="D25" s="97">
        <v>0.73570601851679385</v>
      </c>
      <c r="E25" s="25" t="s">
        <v>54</v>
      </c>
      <c r="F25" s="26" t="s">
        <v>625</v>
      </c>
      <c r="H25" t="s">
        <v>674</v>
      </c>
    </row>
    <row r="26" spans="2:8" x14ac:dyDescent="0.45">
      <c r="B26" s="91">
        <v>98</v>
      </c>
      <c r="C26" s="24">
        <v>44460</v>
      </c>
      <c r="D26" s="97">
        <v>0.67214120370044839</v>
      </c>
      <c r="E26" s="25" t="s">
        <v>54</v>
      </c>
      <c r="F26" s="26" t="s">
        <v>624</v>
      </c>
      <c r="H26" s="19" t="s">
        <v>673</v>
      </c>
    </row>
    <row r="27" spans="2:8" x14ac:dyDescent="0.45">
      <c r="B27" s="91">
        <v>97</v>
      </c>
      <c r="C27" s="24">
        <v>44460</v>
      </c>
      <c r="D27" s="97">
        <v>0.66630787037138361</v>
      </c>
      <c r="E27" s="25" t="s">
        <v>54</v>
      </c>
      <c r="F27" s="26" t="s">
        <v>623</v>
      </c>
    </row>
    <row r="28" spans="2:8" x14ac:dyDescent="0.45">
      <c r="B28" s="91">
        <v>96</v>
      </c>
      <c r="C28" s="24">
        <v>44460</v>
      </c>
      <c r="D28" s="97">
        <v>0.64231481481692754</v>
      </c>
      <c r="E28" s="25" t="s">
        <v>54</v>
      </c>
      <c r="F28" s="26" t="s">
        <v>622</v>
      </c>
      <c r="H28" s="18" t="s">
        <v>672</v>
      </c>
    </row>
    <row r="29" spans="2:8" x14ac:dyDescent="0.45">
      <c r="B29" s="91">
        <v>95</v>
      </c>
      <c r="C29" s="24">
        <v>44460</v>
      </c>
      <c r="D29" s="97">
        <v>0.61458333333575865</v>
      </c>
      <c r="E29" s="25" t="s">
        <v>54</v>
      </c>
      <c r="F29" s="27" t="s">
        <v>618</v>
      </c>
      <c r="H29" s="19" t="s">
        <v>671</v>
      </c>
    </row>
    <row r="30" spans="2:8" x14ac:dyDescent="0.45">
      <c r="B30" s="91">
        <v>94</v>
      </c>
      <c r="C30" s="24">
        <v>44460</v>
      </c>
      <c r="D30" s="97">
        <v>0.59408564814657439</v>
      </c>
      <c r="E30" s="25" t="s">
        <v>54</v>
      </c>
      <c r="F30" s="26" t="s">
        <v>617</v>
      </c>
    </row>
    <row r="31" spans="2:8" x14ac:dyDescent="0.45">
      <c r="B31" s="91">
        <v>93</v>
      </c>
      <c r="C31" s="24">
        <v>44459</v>
      </c>
      <c r="D31" s="97">
        <v>0.74761574074364034</v>
      </c>
      <c r="E31" s="25" t="s">
        <v>54</v>
      </c>
      <c r="F31" s="26" t="s">
        <v>590</v>
      </c>
      <c r="H31" s="18" t="s">
        <v>266</v>
      </c>
    </row>
    <row r="32" spans="2:8" x14ac:dyDescent="0.45">
      <c r="B32" s="91">
        <v>92</v>
      </c>
      <c r="C32" s="24">
        <v>44459</v>
      </c>
      <c r="D32" s="97">
        <v>0.71629629629751435</v>
      </c>
      <c r="E32" s="25" t="s">
        <v>54</v>
      </c>
      <c r="F32" s="26" t="s">
        <v>616</v>
      </c>
      <c r="H32" t="s">
        <v>267</v>
      </c>
    </row>
    <row r="33" spans="2:8" x14ac:dyDescent="0.45">
      <c r="B33" s="91">
        <v>91</v>
      </c>
      <c r="C33" s="24">
        <v>44459</v>
      </c>
      <c r="D33" s="97">
        <v>0.64791666666860692</v>
      </c>
      <c r="E33" s="25" t="s">
        <v>54</v>
      </c>
      <c r="F33" s="26" t="s">
        <v>615</v>
      </c>
      <c r="H33" t="s">
        <v>268</v>
      </c>
    </row>
    <row r="34" spans="2:8" x14ac:dyDescent="0.45">
      <c r="B34" s="91">
        <v>90</v>
      </c>
      <c r="C34" s="24">
        <v>44459</v>
      </c>
      <c r="D34" s="97">
        <v>0.64268518518656492</v>
      </c>
      <c r="E34" s="25" t="s">
        <v>54</v>
      </c>
      <c r="F34" s="26" t="s">
        <v>614</v>
      </c>
      <c r="H34" t="s">
        <v>269</v>
      </c>
    </row>
    <row r="35" spans="2:8" x14ac:dyDescent="0.45">
      <c r="B35" s="91">
        <v>89</v>
      </c>
      <c r="C35" s="24">
        <v>44459</v>
      </c>
      <c r="D35" s="97">
        <v>0.60615740740468027</v>
      </c>
      <c r="E35" s="25" t="s">
        <v>54</v>
      </c>
      <c r="F35" s="26" t="s">
        <v>579</v>
      </c>
      <c r="H35" t="s">
        <v>276</v>
      </c>
    </row>
    <row r="36" spans="2:8" x14ac:dyDescent="0.45">
      <c r="B36" s="91">
        <v>88</v>
      </c>
      <c r="C36" s="24">
        <v>44459</v>
      </c>
      <c r="D36" s="97">
        <v>0.43152777777868323</v>
      </c>
      <c r="E36" s="25" t="s">
        <v>54</v>
      </c>
      <c r="F36" s="26" t="s">
        <v>613</v>
      </c>
      <c r="H36" s="15" t="s">
        <v>274</v>
      </c>
    </row>
    <row r="37" spans="2:8" x14ac:dyDescent="0.45">
      <c r="B37" s="91">
        <v>87</v>
      </c>
      <c r="C37" s="24">
        <v>44459</v>
      </c>
      <c r="D37" s="97">
        <v>0.40533564814541023</v>
      </c>
      <c r="E37" s="25" t="s">
        <v>54</v>
      </c>
      <c r="F37" s="27" t="s">
        <v>611</v>
      </c>
      <c r="H37" t="s">
        <v>275</v>
      </c>
    </row>
    <row r="38" spans="2:8" x14ac:dyDescent="0.45">
      <c r="B38" s="91">
        <v>86</v>
      </c>
      <c r="C38" s="24">
        <v>44458</v>
      </c>
      <c r="D38" s="97">
        <v>0.80187499999738066</v>
      </c>
      <c r="E38" s="25" t="s">
        <v>54</v>
      </c>
      <c r="F38" s="27" t="s">
        <v>602</v>
      </c>
      <c r="H38" s="15" t="s">
        <v>270</v>
      </c>
    </row>
    <row r="39" spans="2:8" x14ac:dyDescent="0.45">
      <c r="B39" s="91">
        <v>85</v>
      </c>
      <c r="C39" s="24">
        <v>44458</v>
      </c>
      <c r="D39" s="97">
        <v>0.77153935185197042</v>
      </c>
      <c r="E39" s="25" t="s">
        <v>54</v>
      </c>
      <c r="F39" s="26" t="s">
        <v>601</v>
      </c>
      <c r="H39" t="s">
        <v>271</v>
      </c>
    </row>
    <row r="40" spans="2:8" x14ac:dyDescent="0.45">
      <c r="B40" s="91">
        <v>84</v>
      </c>
      <c r="C40" s="24">
        <v>44458</v>
      </c>
      <c r="D40" s="97">
        <v>0.690150462964084</v>
      </c>
      <c r="E40" s="25" t="s">
        <v>54</v>
      </c>
      <c r="F40" s="27" t="s">
        <v>599</v>
      </c>
      <c r="H40" s="15" t="s">
        <v>604</v>
      </c>
    </row>
    <row r="41" spans="2:8" x14ac:dyDescent="0.45">
      <c r="B41" s="91">
        <v>83</v>
      </c>
      <c r="C41" s="24">
        <v>44458</v>
      </c>
      <c r="D41" s="97">
        <v>0.46993055555503815</v>
      </c>
      <c r="E41" s="25" t="s">
        <v>54</v>
      </c>
      <c r="F41" s="26" t="s">
        <v>598</v>
      </c>
    </row>
    <row r="42" spans="2:8" x14ac:dyDescent="0.45">
      <c r="B42" s="91">
        <v>82</v>
      </c>
      <c r="C42" s="24">
        <v>44458</v>
      </c>
      <c r="D42" s="97">
        <v>0.42821759259095415</v>
      </c>
      <c r="E42" s="25" t="s">
        <v>54</v>
      </c>
      <c r="F42" s="26" t="s">
        <v>597</v>
      </c>
      <c r="H42" s="18" t="s">
        <v>344</v>
      </c>
    </row>
    <row r="43" spans="2:8" x14ac:dyDescent="0.45">
      <c r="B43" s="91">
        <v>81</v>
      </c>
      <c r="C43" s="24">
        <v>44450</v>
      </c>
      <c r="D43" s="97">
        <v>0.47984953703416977</v>
      </c>
      <c r="E43" s="25" t="s">
        <v>54</v>
      </c>
      <c r="F43" s="26" t="s">
        <v>594</v>
      </c>
      <c r="H43" t="s">
        <v>345</v>
      </c>
    </row>
    <row r="44" spans="2:8" x14ac:dyDescent="0.45">
      <c r="B44" s="91">
        <v>80</v>
      </c>
      <c r="C44" s="24">
        <v>44450</v>
      </c>
      <c r="D44" s="97">
        <v>0.40421296295971842</v>
      </c>
      <c r="E44" s="25" t="s">
        <v>54</v>
      </c>
      <c r="F44" s="26" t="s">
        <v>596</v>
      </c>
      <c r="H44" t="s">
        <v>346</v>
      </c>
    </row>
    <row r="45" spans="2:8" x14ac:dyDescent="0.45">
      <c r="B45" s="91">
        <v>79</v>
      </c>
      <c r="C45" s="24">
        <v>44450</v>
      </c>
      <c r="D45" s="97">
        <v>0.39056712963065365</v>
      </c>
      <c r="E45" s="25" t="s">
        <v>54</v>
      </c>
      <c r="F45" s="26" t="s">
        <v>594</v>
      </c>
    </row>
    <row r="46" spans="2:8" x14ac:dyDescent="0.45">
      <c r="B46" s="91">
        <v>78</v>
      </c>
      <c r="C46" s="24">
        <v>44448</v>
      </c>
      <c r="D46" s="97">
        <v>0.52339120370015735</v>
      </c>
      <c r="E46" s="25" t="s">
        <v>54</v>
      </c>
      <c r="F46" s="26" t="s">
        <v>593</v>
      </c>
      <c r="G46" s="36" t="str">
        <f t="array" aca="1" ref="G46:G61" ca="1">"*"</f>
        <v>*</v>
      </c>
      <c r="H46" s="18" t="s">
        <v>507</v>
      </c>
    </row>
    <row r="47" spans="2:8" x14ac:dyDescent="0.45">
      <c r="B47" s="91">
        <v>77</v>
      </c>
      <c r="C47" s="24">
        <v>44448</v>
      </c>
      <c r="D47" s="97">
        <v>0.43658564814541023</v>
      </c>
      <c r="E47" s="25" t="s">
        <v>54</v>
      </c>
      <c r="F47" s="26" t="s">
        <v>592</v>
      </c>
      <c r="G47" s="36" t="str">
        <f ca="1"/>
        <v>*</v>
      </c>
      <c r="H47" t="s">
        <v>522</v>
      </c>
    </row>
    <row r="48" spans="2:8" x14ac:dyDescent="0.45">
      <c r="B48" s="91">
        <v>76</v>
      </c>
      <c r="C48" s="24">
        <v>44448</v>
      </c>
      <c r="D48" s="97">
        <v>0.37820601851854008</v>
      </c>
      <c r="E48" s="25" t="s">
        <v>54</v>
      </c>
      <c r="F48" s="26" t="s">
        <v>591</v>
      </c>
      <c r="G48" s="36" t="str">
        <f ca="1"/>
        <v>*</v>
      </c>
      <c r="H48" t="s">
        <v>508</v>
      </c>
    </row>
    <row r="49" spans="2:8" x14ac:dyDescent="0.45">
      <c r="B49" s="91">
        <v>75</v>
      </c>
      <c r="C49" s="24">
        <v>44447</v>
      </c>
      <c r="D49" s="97">
        <v>0.79199074074131204</v>
      </c>
      <c r="E49" s="25" t="s">
        <v>54</v>
      </c>
      <c r="F49" s="27" t="s">
        <v>590</v>
      </c>
      <c r="G49" s="36" t="str">
        <f ca="1"/>
        <v>*</v>
      </c>
      <c r="H49" t="s">
        <v>509</v>
      </c>
    </row>
    <row r="50" spans="2:8" x14ac:dyDescent="0.45">
      <c r="B50" s="91">
        <v>74</v>
      </c>
      <c r="C50" s="24">
        <v>44447</v>
      </c>
      <c r="D50" s="97">
        <v>0.38273148148437031</v>
      </c>
      <c r="E50" s="25" t="s">
        <v>54</v>
      </c>
      <c r="F50" s="26" t="s">
        <v>589</v>
      </c>
      <c r="G50" s="36" t="str">
        <f ca="1"/>
        <v>*</v>
      </c>
      <c r="H50" t="s">
        <v>510</v>
      </c>
    </row>
    <row r="51" spans="2:8" x14ac:dyDescent="0.45">
      <c r="B51" s="91">
        <v>73</v>
      </c>
      <c r="C51" s="24">
        <v>44446</v>
      </c>
      <c r="D51" s="97">
        <v>0.57453703703504289</v>
      </c>
      <c r="E51" s="25" t="s">
        <v>54</v>
      </c>
      <c r="F51" s="26" t="s">
        <v>587</v>
      </c>
      <c r="G51" s="36" t="str">
        <f ca="1"/>
        <v>*</v>
      </c>
      <c r="H51" t="s">
        <v>511</v>
      </c>
    </row>
    <row r="52" spans="2:8" x14ac:dyDescent="0.45">
      <c r="B52" s="91">
        <v>72</v>
      </c>
      <c r="C52" s="24">
        <v>44446</v>
      </c>
      <c r="D52" s="97">
        <v>0.474016203705105</v>
      </c>
      <c r="E52" s="25" t="s">
        <v>54</v>
      </c>
      <c r="F52" s="27" t="s">
        <v>586</v>
      </c>
      <c r="G52" s="36" t="str">
        <f ca="1"/>
        <v>*</v>
      </c>
      <c r="H52" t="s">
        <v>512</v>
      </c>
    </row>
    <row r="53" spans="2:8" x14ac:dyDescent="0.45">
      <c r="B53" s="91">
        <v>71</v>
      </c>
      <c r="C53" s="24">
        <v>44445</v>
      </c>
      <c r="D53" s="97">
        <v>0.599050925928168</v>
      </c>
      <c r="E53" s="25" t="s">
        <v>54</v>
      </c>
      <c r="F53" s="26" t="s">
        <v>585</v>
      </c>
      <c r="G53" s="36" t="str">
        <f ca="1"/>
        <v>*</v>
      </c>
      <c r="H53" t="s">
        <v>513</v>
      </c>
    </row>
    <row r="54" spans="2:8" x14ac:dyDescent="0.45">
      <c r="B54" s="91">
        <v>70</v>
      </c>
      <c r="C54" s="24">
        <v>44444</v>
      </c>
      <c r="D54" s="97">
        <v>0.35259259259328246</v>
      </c>
      <c r="E54" s="25" t="s">
        <v>54</v>
      </c>
      <c r="F54" s="26" t="s">
        <v>584</v>
      </c>
      <c r="G54" s="36" t="str">
        <f ca="1"/>
        <v>*</v>
      </c>
      <c r="H54" t="s">
        <v>514</v>
      </c>
    </row>
    <row r="55" spans="2:8" x14ac:dyDescent="0.45">
      <c r="B55" s="91">
        <v>69</v>
      </c>
      <c r="C55" s="24">
        <v>44442</v>
      </c>
      <c r="D55" s="97">
        <v>0.38805555555882165</v>
      </c>
      <c r="E55" s="25" t="s">
        <v>54</v>
      </c>
      <c r="F55" s="26" t="s">
        <v>583</v>
      </c>
      <c r="G55" s="36" t="str">
        <f ca="1"/>
        <v>*</v>
      </c>
      <c r="H55" t="s">
        <v>515</v>
      </c>
    </row>
    <row r="56" spans="2:8" x14ac:dyDescent="0.45">
      <c r="B56" s="91">
        <v>68</v>
      </c>
      <c r="C56" s="24">
        <v>44441</v>
      </c>
      <c r="D56" s="97">
        <v>0.77039351851999527</v>
      </c>
      <c r="E56" s="25" t="s">
        <v>54</v>
      </c>
      <c r="F56" s="26" t="s">
        <v>580</v>
      </c>
      <c r="G56" s="36" t="str">
        <f ca="1"/>
        <v>*</v>
      </c>
      <c r="H56" t="s">
        <v>516</v>
      </c>
    </row>
    <row r="57" spans="2:8" x14ac:dyDescent="0.45">
      <c r="B57" s="91">
        <v>67</v>
      </c>
      <c r="C57" s="24">
        <v>44441</v>
      </c>
      <c r="D57" s="97">
        <v>0.73449074073869269</v>
      </c>
      <c r="E57" s="25" t="s">
        <v>54</v>
      </c>
      <c r="F57" s="26" t="s">
        <v>579</v>
      </c>
      <c r="G57" s="36" t="str">
        <f ca="1"/>
        <v>*</v>
      </c>
      <c r="H57" t="s">
        <v>517</v>
      </c>
    </row>
    <row r="58" spans="2:8" x14ac:dyDescent="0.45">
      <c r="B58" s="91">
        <v>66</v>
      </c>
      <c r="C58" s="24">
        <v>44441</v>
      </c>
      <c r="D58" s="97">
        <v>0.40944444444176042</v>
      </c>
      <c r="E58" s="25" t="s">
        <v>54</v>
      </c>
      <c r="F58" s="26" t="s">
        <v>578</v>
      </c>
      <c r="G58" s="36" t="str">
        <f ca="1"/>
        <v>*</v>
      </c>
      <c r="H58" t="s">
        <v>518</v>
      </c>
    </row>
    <row r="59" spans="2:8" x14ac:dyDescent="0.45">
      <c r="B59" s="91">
        <v>65</v>
      </c>
      <c r="C59" s="24">
        <v>44441</v>
      </c>
      <c r="D59" s="97">
        <v>0.39550925925868796</v>
      </c>
      <c r="E59" s="25" t="s">
        <v>54</v>
      </c>
      <c r="F59" s="26" t="s">
        <v>577</v>
      </c>
      <c r="G59" s="36" t="str">
        <f ca="1"/>
        <v>*</v>
      </c>
      <c r="H59" t="s">
        <v>519</v>
      </c>
    </row>
    <row r="60" spans="2:8" x14ac:dyDescent="0.45">
      <c r="B60" s="91">
        <v>64</v>
      </c>
      <c r="C60" s="24">
        <v>44440</v>
      </c>
      <c r="D60" s="97">
        <v>0.75807870370044839</v>
      </c>
      <c r="E60" s="25" t="s">
        <v>54</v>
      </c>
      <c r="F60" s="26" t="s">
        <v>576</v>
      </c>
      <c r="G60" s="36" t="str">
        <f ca="1"/>
        <v>*</v>
      </c>
      <c r="H60" t="s">
        <v>520</v>
      </c>
    </row>
    <row r="61" spans="2:8" x14ac:dyDescent="0.45">
      <c r="B61" s="91">
        <v>63</v>
      </c>
      <c r="C61" s="24">
        <v>44440</v>
      </c>
      <c r="D61" s="97">
        <v>0.69891203703446081</v>
      </c>
      <c r="E61" s="25" t="s">
        <v>54</v>
      </c>
      <c r="F61" s="26" t="s">
        <v>575</v>
      </c>
      <c r="G61" s="36" t="str">
        <f ca="1"/>
        <v>*</v>
      </c>
      <c r="H61" t="s">
        <v>521</v>
      </c>
    </row>
    <row r="62" spans="2:8" x14ac:dyDescent="0.45">
      <c r="B62" s="91">
        <v>62</v>
      </c>
      <c r="C62" s="24">
        <v>44440</v>
      </c>
      <c r="D62" s="97">
        <v>0.67539351851883112</v>
      </c>
      <c r="E62" s="25" t="s">
        <v>54</v>
      </c>
      <c r="F62" s="26" t="s">
        <v>574</v>
      </c>
    </row>
    <row r="63" spans="2:8" x14ac:dyDescent="0.45">
      <c r="B63" s="91">
        <v>61</v>
      </c>
      <c r="C63" s="24">
        <v>44440</v>
      </c>
      <c r="D63" s="97">
        <v>0.64565972222044365</v>
      </c>
      <c r="E63" s="25" t="s">
        <v>54</v>
      </c>
      <c r="F63" s="26" t="s">
        <v>573</v>
      </c>
    </row>
    <row r="64" spans="2:8" x14ac:dyDescent="0.45">
      <c r="B64" s="91">
        <v>60</v>
      </c>
      <c r="C64" s="24">
        <v>44440</v>
      </c>
      <c r="D64" s="97">
        <v>0.64527777778130258</v>
      </c>
      <c r="E64" s="25" t="s">
        <v>54</v>
      </c>
      <c r="F64" s="26" t="s">
        <v>572</v>
      </c>
    </row>
    <row r="65" spans="2:6" x14ac:dyDescent="0.45">
      <c r="B65" s="91">
        <v>59</v>
      </c>
      <c r="C65" s="24">
        <v>44440</v>
      </c>
      <c r="D65" s="97">
        <v>0.44094907407270512</v>
      </c>
      <c r="E65" s="25" t="s">
        <v>54</v>
      </c>
      <c r="F65" s="26" t="s">
        <v>570</v>
      </c>
    </row>
    <row r="66" spans="2:6" x14ac:dyDescent="0.45">
      <c r="B66" s="91">
        <v>58</v>
      </c>
      <c r="C66" s="24">
        <v>44439</v>
      </c>
      <c r="D66" s="97">
        <v>0.41174768518249039</v>
      </c>
      <c r="E66" s="25" t="s">
        <v>54</v>
      </c>
      <c r="F66" s="26" t="s">
        <v>561</v>
      </c>
    </row>
    <row r="67" spans="2:6" x14ac:dyDescent="0.45">
      <c r="B67" s="91">
        <v>57</v>
      </c>
      <c r="C67" s="24">
        <v>44438</v>
      </c>
      <c r="D67" s="97">
        <v>0.81614583333430346</v>
      </c>
      <c r="E67" s="25" t="s">
        <v>54</v>
      </c>
      <c r="F67" s="26" t="s">
        <v>57</v>
      </c>
    </row>
    <row r="68" spans="2:6" x14ac:dyDescent="0.45">
      <c r="B68" s="91">
        <v>56</v>
      </c>
      <c r="C68" s="24">
        <v>44438</v>
      </c>
      <c r="D68" s="97">
        <v>0.77097222222073469</v>
      </c>
      <c r="E68" s="25" t="s">
        <v>54</v>
      </c>
      <c r="F68" s="26" t="s">
        <v>545</v>
      </c>
    </row>
    <row r="69" spans="2:6" x14ac:dyDescent="0.45">
      <c r="B69" s="91">
        <v>55</v>
      </c>
      <c r="C69" s="24">
        <v>44438</v>
      </c>
      <c r="D69" s="97">
        <v>0.5741319444423425</v>
      </c>
      <c r="E69" s="25" t="s">
        <v>54</v>
      </c>
      <c r="F69" s="26" t="s">
        <v>541</v>
      </c>
    </row>
    <row r="70" spans="2:6" x14ac:dyDescent="0.45">
      <c r="B70" s="91">
        <v>54</v>
      </c>
      <c r="C70" s="24">
        <v>44438</v>
      </c>
      <c r="D70" s="97">
        <v>0.32952546296291985</v>
      </c>
      <c r="E70" s="25" t="s">
        <v>54</v>
      </c>
      <c r="F70" s="26" t="s">
        <v>506</v>
      </c>
    </row>
    <row r="71" spans="2:6" x14ac:dyDescent="0.45">
      <c r="B71" s="91">
        <v>53</v>
      </c>
      <c r="C71" s="24">
        <v>44436</v>
      </c>
      <c r="D71" s="97">
        <v>0.65918981481809169</v>
      </c>
      <c r="E71" s="25" t="s">
        <v>54</v>
      </c>
      <c r="F71" s="26" t="s">
        <v>373</v>
      </c>
    </row>
    <row r="72" spans="2:6" x14ac:dyDescent="0.45">
      <c r="B72" s="91">
        <v>52</v>
      </c>
      <c r="C72" s="24">
        <v>44435</v>
      </c>
      <c r="D72" s="97">
        <v>0.85357638888672227</v>
      </c>
      <c r="E72" s="25" t="s">
        <v>54</v>
      </c>
      <c r="F72" s="27" t="s">
        <v>351</v>
      </c>
    </row>
    <row r="73" spans="2:6" x14ac:dyDescent="0.45">
      <c r="B73" s="91">
        <v>51</v>
      </c>
      <c r="C73" s="24">
        <v>44434</v>
      </c>
      <c r="D73" s="97">
        <v>0.80643518518627388</v>
      </c>
      <c r="E73" s="25" t="s">
        <v>54</v>
      </c>
      <c r="F73" s="26" t="s">
        <v>343</v>
      </c>
    </row>
    <row r="74" spans="2:6" x14ac:dyDescent="0.45">
      <c r="B74" s="91">
        <v>50</v>
      </c>
      <c r="C74" s="24">
        <v>44434</v>
      </c>
      <c r="D74" s="97">
        <v>0.80153935185080627</v>
      </c>
      <c r="E74" s="25" t="s">
        <v>54</v>
      </c>
      <c r="F74" s="26" t="s">
        <v>342</v>
      </c>
    </row>
    <row r="75" spans="2:6" x14ac:dyDescent="0.45">
      <c r="B75" s="91">
        <v>49</v>
      </c>
      <c r="C75" s="24">
        <v>44434</v>
      </c>
      <c r="D75" s="97">
        <v>0.77059027777431766</v>
      </c>
      <c r="E75" s="25" t="s">
        <v>54</v>
      </c>
      <c r="F75" s="26" t="s">
        <v>341</v>
      </c>
    </row>
    <row r="76" spans="2:6" x14ac:dyDescent="0.45">
      <c r="B76" s="91">
        <v>48</v>
      </c>
      <c r="C76" s="24">
        <v>44434</v>
      </c>
      <c r="D76" s="97">
        <v>0.57442129629635019</v>
      </c>
      <c r="E76" s="25" t="s">
        <v>54</v>
      </c>
      <c r="F76" s="27" t="s">
        <v>340</v>
      </c>
    </row>
    <row r="77" spans="2:6" x14ac:dyDescent="0.45">
      <c r="B77" s="91">
        <v>47</v>
      </c>
      <c r="C77" s="24">
        <v>44434</v>
      </c>
      <c r="D77" s="97">
        <v>0.57239583333284827</v>
      </c>
      <c r="E77" s="25" t="s">
        <v>54</v>
      </c>
      <c r="F77" s="26" t="s">
        <v>328</v>
      </c>
    </row>
    <row r="78" spans="2:6" x14ac:dyDescent="0.45">
      <c r="B78" s="91">
        <v>46</v>
      </c>
      <c r="C78" s="24">
        <v>44433</v>
      </c>
      <c r="D78" s="97">
        <v>1.0671296295186039E-2</v>
      </c>
      <c r="E78" s="25" t="s">
        <v>54</v>
      </c>
      <c r="F78" s="26" t="s">
        <v>309</v>
      </c>
    </row>
    <row r="79" spans="2:6" x14ac:dyDescent="0.45">
      <c r="B79" s="91">
        <v>45</v>
      </c>
      <c r="C79" s="24">
        <v>44432</v>
      </c>
      <c r="D79" s="97">
        <v>0.82049768518481869</v>
      </c>
      <c r="E79" s="25" t="s">
        <v>54</v>
      </c>
      <c r="F79" s="26" t="s">
        <v>301</v>
      </c>
    </row>
    <row r="80" spans="2:6" x14ac:dyDescent="0.45">
      <c r="B80" s="91">
        <v>44</v>
      </c>
      <c r="C80" s="24">
        <v>44432</v>
      </c>
      <c r="D80" s="97">
        <v>0.799525462964084</v>
      </c>
      <c r="E80" s="25" t="s">
        <v>54</v>
      </c>
      <c r="F80" s="27" t="s">
        <v>296</v>
      </c>
    </row>
    <row r="81" spans="2:6" x14ac:dyDescent="0.45">
      <c r="B81" s="91">
        <v>43</v>
      </c>
      <c r="C81" s="24">
        <v>44432</v>
      </c>
      <c r="D81" s="97">
        <v>0.43258101851824904</v>
      </c>
      <c r="E81" s="25" t="s">
        <v>54</v>
      </c>
      <c r="F81" s="26" t="s">
        <v>287</v>
      </c>
    </row>
    <row r="82" spans="2:6" x14ac:dyDescent="0.45">
      <c r="B82" s="91">
        <v>42</v>
      </c>
      <c r="C82" s="24">
        <v>44432</v>
      </c>
      <c r="D82" s="97">
        <v>0.40347222222044365</v>
      </c>
      <c r="E82" s="25" t="s">
        <v>54</v>
      </c>
      <c r="F82" s="26" t="s">
        <v>286</v>
      </c>
    </row>
    <row r="83" spans="2:6" x14ac:dyDescent="0.45">
      <c r="B83" s="91">
        <v>41</v>
      </c>
      <c r="C83" s="24">
        <v>44429</v>
      </c>
      <c r="D83" s="97">
        <v>0.79307870370394085</v>
      </c>
      <c r="E83" s="25" t="s">
        <v>54</v>
      </c>
      <c r="F83" s="26" t="s">
        <v>273</v>
      </c>
    </row>
    <row r="84" spans="2:6" x14ac:dyDescent="0.45">
      <c r="B84" s="91">
        <v>40</v>
      </c>
      <c r="C84" s="24">
        <v>44429</v>
      </c>
      <c r="D84" s="97">
        <v>0.49694444444321562</v>
      </c>
      <c r="E84" s="25" t="s">
        <v>54</v>
      </c>
      <c r="F84" s="26" t="s">
        <v>272</v>
      </c>
    </row>
    <row r="85" spans="2:6" x14ac:dyDescent="0.45">
      <c r="B85" s="91">
        <v>39</v>
      </c>
      <c r="C85" s="24">
        <v>44428</v>
      </c>
      <c r="D85" s="97">
        <v>0.52388888888526708</v>
      </c>
      <c r="E85" s="25" t="s">
        <v>54</v>
      </c>
      <c r="F85" s="26" t="s">
        <v>255</v>
      </c>
    </row>
    <row r="86" spans="2:6" x14ac:dyDescent="0.45">
      <c r="B86" s="91">
        <v>38</v>
      </c>
      <c r="C86" s="24">
        <v>44428</v>
      </c>
      <c r="D86" s="97">
        <v>0.37546296296204673</v>
      </c>
      <c r="E86" s="25" t="s">
        <v>54</v>
      </c>
      <c r="F86" s="26" t="s">
        <v>253</v>
      </c>
    </row>
    <row r="87" spans="2:6" x14ac:dyDescent="0.45">
      <c r="B87" s="91">
        <v>37</v>
      </c>
      <c r="C87" s="24">
        <v>44427</v>
      </c>
      <c r="D87" s="97">
        <v>0.80869212962716119</v>
      </c>
      <c r="E87" s="25" t="s">
        <v>54</v>
      </c>
      <c r="F87" s="26" t="s">
        <v>245</v>
      </c>
    </row>
    <row r="88" spans="2:6" x14ac:dyDescent="0.45">
      <c r="B88" s="91">
        <v>36</v>
      </c>
      <c r="C88" s="24">
        <v>44427</v>
      </c>
      <c r="D88" s="97">
        <v>0.74518518518743804</v>
      </c>
      <c r="E88" s="25" t="s">
        <v>54</v>
      </c>
      <c r="F88" s="26" t="s">
        <v>244</v>
      </c>
    </row>
    <row r="89" spans="2:6" x14ac:dyDescent="0.45">
      <c r="B89" s="91">
        <v>35</v>
      </c>
      <c r="C89" s="24">
        <v>44427</v>
      </c>
      <c r="D89" s="97">
        <v>0.51920138888817746</v>
      </c>
      <c r="E89" s="25" t="s">
        <v>54</v>
      </c>
      <c r="F89" s="26" t="s">
        <v>238</v>
      </c>
    </row>
    <row r="90" spans="2:6" x14ac:dyDescent="0.45">
      <c r="B90" s="91">
        <v>34</v>
      </c>
      <c r="C90" s="24">
        <v>44426</v>
      </c>
      <c r="D90" s="97">
        <v>0.84697916666482342</v>
      </c>
      <c r="E90" s="25" t="s">
        <v>54</v>
      </c>
      <c r="F90" s="26" t="s">
        <v>231</v>
      </c>
    </row>
    <row r="91" spans="2:6" x14ac:dyDescent="0.45">
      <c r="B91" s="91">
        <v>33</v>
      </c>
      <c r="C91" s="24">
        <v>44426</v>
      </c>
      <c r="D91" s="97">
        <v>0.84443287036992842</v>
      </c>
      <c r="E91" s="25" t="s">
        <v>54</v>
      </c>
      <c r="F91" s="26" t="s">
        <v>230</v>
      </c>
    </row>
    <row r="92" spans="2:6" x14ac:dyDescent="0.45">
      <c r="B92" s="91">
        <v>32</v>
      </c>
      <c r="C92" s="24">
        <v>44424</v>
      </c>
      <c r="D92" s="97">
        <v>0.93637731481430819</v>
      </c>
      <c r="E92" s="25" t="s">
        <v>54</v>
      </c>
      <c r="F92" s="27" t="s">
        <v>224</v>
      </c>
    </row>
    <row r="93" spans="2:6" x14ac:dyDescent="0.45">
      <c r="B93" s="91">
        <v>31</v>
      </c>
      <c r="C93" s="24">
        <v>44424</v>
      </c>
      <c r="D93" s="97">
        <v>0.49105324073752854</v>
      </c>
      <c r="E93" s="25" t="s">
        <v>54</v>
      </c>
      <c r="F93" s="26" t="s">
        <v>223</v>
      </c>
    </row>
    <row r="94" spans="2:6" x14ac:dyDescent="0.45">
      <c r="B94" s="91">
        <v>30</v>
      </c>
      <c r="C94" s="24">
        <v>44423</v>
      </c>
      <c r="D94" s="97">
        <v>0.49593750000349246</v>
      </c>
      <c r="E94" s="25" t="s">
        <v>54</v>
      </c>
      <c r="F94" s="26" t="s">
        <v>105</v>
      </c>
    </row>
    <row r="95" spans="2:6" x14ac:dyDescent="0.45">
      <c r="B95" s="91">
        <v>29</v>
      </c>
      <c r="C95" s="24">
        <v>44423</v>
      </c>
      <c r="D95" s="97">
        <v>0.437638888892252</v>
      </c>
      <c r="E95" s="25" t="s">
        <v>54</v>
      </c>
      <c r="F95" s="26" t="s">
        <v>55</v>
      </c>
    </row>
    <row r="96" spans="2:6" x14ac:dyDescent="0.45">
      <c r="B96" s="91">
        <v>28</v>
      </c>
      <c r="C96" s="24">
        <v>44423</v>
      </c>
      <c r="D96" s="97">
        <v>0.33465277777577285</v>
      </c>
      <c r="E96" s="25" t="s">
        <v>54</v>
      </c>
      <c r="F96" s="26" t="s">
        <v>56</v>
      </c>
    </row>
    <row r="97" spans="2:6" x14ac:dyDescent="0.45">
      <c r="B97" s="91">
        <v>27</v>
      </c>
      <c r="C97" s="24">
        <v>44421</v>
      </c>
      <c r="D97" s="97">
        <v>0.84150462962861639</v>
      </c>
      <c r="E97" s="25" t="s">
        <v>54</v>
      </c>
      <c r="F97" s="26" t="s">
        <v>57</v>
      </c>
    </row>
    <row r="98" spans="2:6" x14ac:dyDescent="0.45">
      <c r="B98" s="91">
        <v>26</v>
      </c>
      <c r="C98" s="24">
        <v>44421</v>
      </c>
      <c r="D98" s="97">
        <v>0.83098379629518604</v>
      </c>
      <c r="E98" s="25" t="s">
        <v>54</v>
      </c>
      <c r="F98" s="26" t="s">
        <v>58</v>
      </c>
    </row>
    <row r="99" spans="2:6" x14ac:dyDescent="0.45">
      <c r="B99" s="91">
        <v>25</v>
      </c>
      <c r="C99" s="24">
        <v>44421</v>
      </c>
      <c r="D99" s="97">
        <v>0.73097222221986158</v>
      </c>
      <c r="E99" s="25" t="s">
        <v>54</v>
      </c>
      <c r="F99" s="26" t="s">
        <v>59</v>
      </c>
    </row>
    <row r="100" spans="2:6" x14ac:dyDescent="0.45">
      <c r="B100" s="91">
        <v>24</v>
      </c>
      <c r="C100" s="24">
        <v>44421</v>
      </c>
      <c r="D100" s="97">
        <v>0.71106481481547235</v>
      </c>
      <c r="E100" s="25" t="s">
        <v>54</v>
      </c>
      <c r="F100" s="26" t="s">
        <v>60</v>
      </c>
    </row>
    <row r="101" spans="2:6" x14ac:dyDescent="0.45">
      <c r="B101" s="91">
        <v>23</v>
      </c>
      <c r="C101" s="24">
        <v>44420</v>
      </c>
      <c r="D101" s="97">
        <v>0.80428240740729962</v>
      </c>
      <c r="E101" s="25" t="s">
        <v>54</v>
      </c>
      <c r="F101" s="26" t="s">
        <v>61</v>
      </c>
    </row>
    <row r="102" spans="2:6" x14ac:dyDescent="0.45">
      <c r="B102" s="91">
        <v>22</v>
      </c>
      <c r="C102" s="24">
        <v>44420</v>
      </c>
      <c r="D102" s="97">
        <v>0.74781249999796273</v>
      </c>
      <c r="E102" s="25" t="s">
        <v>54</v>
      </c>
      <c r="F102" s="27" t="s">
        <v>62</v>
      </c>
    </row>
    <row r="103" spans="2:6" x14ac:dyDescent="0.45">
      <c r="B103" s="91">
        <v>21</v>
      </c>
      <c r="C103" s="24">
        <v>44419</v>
      </c>
      <c r="D103" s="97">
        <v>0.98854166666569654</v>
      </c>
      <c r="E103" s="25" t="s">
        <v>54</v>
      </c>
      <c r="F103" s="26" t="s">
        <v>63</v>
      </c>
    </row>
    <row r="104" spans="2:6" x14ac:dyDescent="0.45">
      <c r="B104" s="91">
        <v>20</v>
      </c>
      <c r="C104" s="24">
        <v>44419</v>
      </c>
      <c r="D104" s="97">
        <v>0.98135416666627862</v>
      </c>
      <c r="E104" s="25" t="s">
        <v>54</v>
      </c>
      <c r="F104" s="26" t="s">
        <v>64</v>
      </c>
    </row>
    <row r="105" spans="2:6" x14ac:dyDescent="0.45">
      <c r="B105" s="91">
        <v>19</v>
      </c>
      <c r="C105" s="24">
        <v>44419</v>
      </c>
      <c r="D105" s="97">
        <v>0.82271990740991896</v>
      </c>
      <c r="E105" s="25" t="s">
        <v>54</v>
      </c>
      <c r="F105" s="26" t="s">
        <v>65</v>
      </c>
    </row>
    <row r="106" spans="2:6" x14ac:dyDescent="0.45">
      <c r="B106" s="91">
        <v>18</v>
      </c>
      <c r="C106" s="24">
        <v>44419</v>
      </c>
      <c r="D106" s="97">
        <v>0.73975694444379769</v>
      </c>
      <c r="E106" s="25" t="s">
        <v>54</v>
      </c>
      <c r="F106" s="26" t="s">
        <v>66</v>
      </c>
    </row>
    <row r="107" spans="2:6" x14ac:dyDescent="0.45">
      <c r="B107" s="91">
        <v>17</v>
      </c>
      <c r="C107" s="24">
        <v>44419</v>
      </c>
      <c r="D107" s="97">
        <v>0.708356481482042</v>
      </c>
      <c r="E107" s="25" t="s">
        <v>54</v>
      </c>
      <c r="F107" s="26" t="s">
        <v>67</v>
      </c>
    </row>
    <row r="108" spans="2:6" x14ac:dyDescent="0.45">
      <c r="B108" s="91">
        <v>16</v>
      </c>
      <c r="C108" s="24">
        <v>44419</v>
      </c>
      <c r="D108" s="97">
        <v>0.51960648148087785</v>
      </c>
      <c r="E108" s="25" t="s">
        <v>54</v>
      </c>
      <c r="F108" s="26" t="s">
        <v>68</v>
      </c>
    </row>
    <row r="109" spans="2:6" x14ac:dyDescent="0.45">
      <c r="B109" s="91">
        <v>15</v>
      </c>
      <c r="C109" s="24">
        <v>44419</v>
      </c>
      <c r="D109" s="97">
        <v>0.49577546296495711</v>
      </c>
      <c r="E109" s="25" t="s">
        <v>54</v>
      </c>
      <c r="F109" s="27" t="s">
        <v>69</v>
      </c>
    </row>
    <row r="110" spans="2:6" x14ac:dyDescent="0.45">
      <c r="B110" s="91">
        <v>14</v>
      </c>
      <c r="C110" s="24">
        <v>44419</v>
      </c>
      <c r="D110" s="97">
        <v>0.49174768518423662</v>
      </c>
      <c r="E110" s="25" t="s">
        <v>54</v>
      </c>
      <c r="F110" s="26" t="s">
        <v>70</v>
      </c>
    </row>
    <row r="111" spans="2:6" x14ac:dyDescent="0.45">
      <c r="B111" s="91">
        <v>13</v>
      </c>
      <c r="C111" s="24">
        <v>44419</v>
      </c>
      <c r="D111" s="97">
        <v>0.49034722222131677</v>
      </c>
      <c r="E111" s="25" t="s">
        <v>54</v>
      </c>
      <c r="F111" s="26" t="s">
        <v>71</v>
      </c>
    </row>
    <row r="112" spans="2:6" x14ac:dyDescent="0.45">
      <c r="B112" s="91">
        <v>12</v>
      </c>
      <c r="C112" s="24">
        <v>44419</v>
      </c>
      <c r="D112" s="97">
        <v>0.48190972222073469</v>
      </c>
      <c r="E112" s="25" t="s">
        <v>54</v>
      </c>
      <c r="F112" s="26" t="s">
        <v>72</v>
      </c>
    </row>
    <row r="113" spans="2:6" x14ac:dyDescent="0.45">
      <c r="B113" s="91">
        <v>11</v>
      </c>
      <c r="C113" s="24">
        <v>44418</v>
      </c>
      <c r="D113" s="97">
        <v>0.95467592592467554</v>
      </c>
      <c r="E113" s="25" t="s">
        <v>54</v>
      </c>
      <c r="F113" s="27" t="s">
        <v>73</v>
      </c>
    </row>
    <row r="114" spans="2:6" x14ac:dyDescent="0.45">
      <c r="B114" s="91">
        <v>10</v>
      </c>
      <c r="C114" s="24">
        <v>44418</v>
      </c>
      <c r="D114" s="97">
        <v>0.73436342592322035</v>
      </c>
      <c r="E114" s="25" t="s">
        <v>54</v>
      </c>
      <c r="F114" s="27" t="s">
        <v>74</v>
      </c>
    </row>
    <row r="115" spans="2:6" x14ac:dyDescent="0.45">
      <c r="B115" s="91">
        <v>9</v>
      </c>
      <c r="C115" s="24">
        <v>44417</v>
      </c>
      <c r="D115" s="97">
        <v>0.54605324073781958</v>
      </c>
      <c r="E115" s="25" t="s">
        <v>54</v>
      </c>
      <c r="F115" s="26" t="s">
        <v>75</v>
      </c>
    </row>
    <row r="116" spans="2:6" x14ac:dyDescent="0.45">
      <c r="B116" s="91">
        <v>8</v>
      </c>
      <c r="C116" s="24">
        <v>44416</v>
      </c>
      <c r="D116" s="97">
        <v>0.54939814814861165</v>
      </c>
      <c r="E116" s="25" t="s">
        <v>54</v>
      </c>
      <c r="F116" s="26" t="s">
        <v>76</v>
      </c>
    </row>
    <row r="117" spans="2:6" x14ac:dyDescent="0.45">
      <c r="B117" s="91">
        <v>7</v>
      </c>
      <c r="C117" s="24">
        <v>44415</v>
      </c>
      <c r="D117" s="97">
        <v>0.96137731481576338</v>
      </c>
      <c r="E117" s="25" t="s">
        <v>54</v>
      </c>
      <c r="F117" s="26" t="s">
        <v>77</v>
      </c>
    </row>
    <row r="118" spans="2:6" x14ac:dyDescent="0.45">
      <c r="B118" s="91">
        <v>6</v>
      </c>
      <c r="C118" s="24">
        <v>44414</v>
      </c>
      <c r="D118" s="97">
        <v>0.66607638888672227</v>
      </c>
      <c r="E118" s="25" t="s">
        <v>54</v>
      </c>
      <c r="F118" s="27" t="s">
        <v>78</v>
      </c>
    </row>
    <row r="119" spans="2:6" x14ac:dyDescent="0.45">
      <c r="B119" s="91">
        <v>5</v>
      </c>
      <c r="C119" s="24">
        <v>44412</v>
      </c>
      <c r="D119" s="97">
        <v>0.34912037036701804</v>
      </c>
      <c r="E119" s="25" t="s">
        <v>54</v>
      </c>
      <c r="F119" s="27" t="s">
        <v>79</v>
      </c>
    </row>
    <row r="120" spans="2:6" x14ac:dyDescent="0.45">
      <c r="B120" s="91">
        <v>4</v>
      </c>
      <c r="C120" s="24">
        <v>44411</v>
      </c>
      <c r="D120" s="97">
        <v>0.37682870370190358</v>
      </c>
      <c r="E120" s="25" t="s">
        <v>54</v>
      </c>
      <c r="F120" s="26" t="s">
        <v>80</v>
      </c>
    </row>
    <row r="121" spans="2:6" x14ac:dyDescent="0.45">
      <c r="B121" s="91">
        <v>3</v>
      </c>
      <c r="C121" s="24">
        <v>44406</v>
      </c>
      <c r="D121" s="97">
        <v>0.59842592592758592</v>
      </c>
      <c r="E121" s="25" t="s">
        <v>54</v>
      </c>
      <c r="F121" s="26" t="s">
        <v>81</v>
      </c>
    </row>
    <row r="122" spans="2:6" x14ac:dyDescent="0.45">
      <c r="B122" s="91">
        <v>2</v>
      </c>
      <c r="C122" s="24">
        <v>44406</v>
      </c>
      <c r="D122" s="97">
        <v>0.57677083333692281</v>
      </c>
      <c r="E122" s="25" t="s">
        <v>54</v>
      </c>
      <c r="F122" s="27" t="s">
        <v>82</v>
      </c>
    </row>
    <row r="123" spans="2:6" x14ac:dyDescent="0.45">
      <c r="B123" s="28">
        <v>1</v>
      </c>
      <c r="C123" s="29">
        <v>44400</v>
      </c>
      <c r="D123" s="98">
        <v>0.58872685184906004</v>
      </c>
      <c r="E123" s="30" t="s">
        <v>54</v>
      </c>
      <c r="F123" s="31" t="s">
        <v>83</v>
      </c>
    </row>
  </sheetData>
  <sheetProtection sheet="1" objects="1" scenarios="1"/>
  <hyperlinks>
    <hyperlink ref="H9" r:id="rId1" xr:uid="{A2CCB4F3-5D89-421E-85F9-C8C3688A9DE0}"/>
    <hyperlink ref="H10" r:id="rId2" xr:uid="{81628BD5-452E-4AE3-812A-75764BD91489}"/>
    <hyperlink ref="H19" r:id="rId3" xr:uid="{B31BA7A2-75D0-4D84-9CD3-5E9CCF9401DA}"/>
    <hyperlink ref="H21" r:id="rId4" xr:uid="{1C13C3FB-B5DD-4E62-84E7-326E52A215D3}"/>
    <hyperlink ref="H23" r:id="rId5" xr:uid="{4B9BD2AA-EF1A-4212-B41B-0DD825A2890E}"/>
    <hyperlink ref="H24" r:id="rId6" xr:uid="{AAB9C94E-66E4-4B78-B5EE-907DAFDAF12C}"/>
    <hyperlink ref="H6" r:id="rId7" xr:uid="{3F4010B9-2A02-4EB7-B29D-C375F9657017}"/>
    <hyperlink ref="H14" r:id="rId8" xr:uid="{C034EA82-0CF7-42FC-81D8-3D8EDCE9755D}"/>
    <hyperlink ref="H15" r:id="rId9" xr:uid="{A900BDBD-45B9-4627-8AE8-E0DB0E0C12C8}"/>
    <hyperlink ref="H13" r:id="rId10" xr:uid="{B441D46D-D3D8-4E39-AB76-7E69198E2496}"/>
    <hyperlink ref="H29" r:id="rId11" xr:uid="{CE2CA277-2873-4701-B1AE-3E512DA5B358}"/>
    <hyperlink ref="H26" r:id="rId12" xr:uid="{B995E1E8-0054-4B1E-9DBB-5F39B697574F}"/>
  </hyperlinks>
  <pageMargins left="0.7" right="0.7" top="0.75" bottom="0.75" header="0.3" footer="0.3"/>
  <pageSetup paperSize="9"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3073" r:id="rId16"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Demo</vt:lpstr>
      <vt:lpstr>Col-by-col</vt:lpstr>
      <vt:lpstr>Test</vt:lpstr>
      <vt:lpstr>HiddenSheet</vt:lpstr>
      <vt:lpstr>TestResults</vt:lpstr>
      <vt:lpstr>Performance</vt:lpstr>
      <vt:lpstr>RegExp</vt:lpstr>
      <vt:lpstr>GIF</vt:lpstr>
      <vt:lpstr>GIF2</vt:lpstr>
      <vt:lpstr>GIF3</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2021-09-29T09:24:11Z</dcterms:modified>
</cp:coreProperties>
</file>