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244F4AE-2FFC-4B40-A821-1406B3C4ABD4}"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25" r:id="rId6"/>
    <sheet name="Performance (3)" sheetId="30" r:id="rId7"/>
    <sheet name="RegExp" sheetId="11" r:id="rId8"/>
    <sheet name="Audit" sheetId="3" r:id="rId9"/>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Test!$B$15:$U$220</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8">Audit!$B$5:$F$5</definedName>
    <definedName name="IncludeLargeFiles" localSheetId="2">Test!$J$3</definedName>
    <definedName name="JuliaResultsFile" localSheetId="4">Performance!$B$5</definedName>
    <definedName name="JuliaResultsFile" localSheetId="5">'Performance (2)'!$B$5</definedName>
    <definedName name="JuliaResultsFile" localSheetId="6">'Performance (3)'!$B$5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1" localSheetId="6">'Performance (3)'!$E$7:$E$28</definedName>
    <definedName name="PasteResultsHere2" localSheetId="4">Performance!$E$34:$E$54</definedName>
    <definedName name="PasteResultsHere2" localSheetId="5">'Performance (2)'!$E$34:$E$54</definedName>
    <definedName name="PasteResultsHere2" localSheetId="6">'Performance (3)'!$E$34:$E$54</definedName>
    <definedName name="PasteResultsHere3" localSheetId="4">Performance!$E$61:$E$81</definedName>
    <definedName name="PasteResultsHere3" localSheetId="5">'Performance (2)'!$E$61:$E$81</definedName>
    <definedName name="PasteResultsHere3" localSheetId="6">'Performance (3)'!$E$61:$E$81</definedName>
    <definedName name="PasteResultsHere4" localSheetId="4">Performance!$E$88:$E$106</definedName>
    <definedName name="PasteResultsHere4" localSheetId="5">'Performance (2)'!$E$88:$E$106</definedName>
    <definedName name="PasteResultsHere4" localSheetId="6">'Performance (3)'!$E$88:$E$106</definedName>
    <definedName name="PasteResultsHere5" localSheetId="4">Performance!$E$115:$E$128</definedName>
    <definedName name="PasteResultsHere5" localSheetId="5">'Performance (2)'!$E$115:$E$128</definedName>
    <definedName name="PasteResultsHere5" localSheetId="6">'Performance (3)'!$E$115:$E$128</definedName>
    <definedName name="PasteResultsHere6" localSheetId="4">Performance!$E$142:$E$156</definedName>
    <definedName name="PasteResultsHere6" localSheetId="5">'Performance (2)'!$E$142:$E$156</definedName>
    <definedName name="PasteResultsHere6" localSheetId="6">'Performance (3)'!$E$142:$E$156</definedName>
    <definedName name="PasteResultsHere7" localSheetId="4">Performance!$E$169:$E$183</definedName>
    <definedName name="PasteResultsHere7" localSheetId="5">'Performance (2)'!$E$169:$E$183</definedName>
    <definedName name="PasteResultsHere7" localSheetId="6">'Performance (3)'!$E$169:$E$183</definedName>
    <definedName name="QuoteAllStrings" localSheetId="0">Demo!$C$4</definedName>
    <definedName name="RowNo" localSheetId="2">Test!$C$5</definedName>
    <definedName name="rxNoNo" localSheetId="4">RegExp!$L$11</definedName>
    <definedName name="rxNoNo" localSheetId="5">RegExp!$L$11</definedName>
    <definedName name="rxNoNo" localSheetId="6">RegExp!$L$11</definedName>
    <definedName name="rxNoNo">RegExp!$L$11</definedName>
    <definedName name="rxNoYes" localSheetId="4">RegExp!$L$13</definedName>
    <definedName name="rxNoYes" localSheetId="5">RegExp!$L$13</definedName>
    <definedName name="rxNoYes" localSheetId="6">RegExp!$L$13</definedName>
    <definedName name="rxNoYes">RegExp!$L$13</definedName>
    <definedName name="rxYesNo" localSheetId="4">RegExp!$L$12</definedName>
    <definedName name="rxYesNo" localSheetId="5">RegExp!$L$12</definedName>
    <definedName name="rxYesNo" localSheetId="6">RegExp!$L$12</definedName>
    <definedName name="rxYesNo">RegExp!$L$12</definedName>
    <definedName name="rxYesYes" localSheetId="4">RegExp!$L$14</definedName>
    <definedName name="rxYesYes" localSheetId="5">RegExp!$L$14</definedName>
    <definedName name="rxYesYes" localSheetId="6">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TimeStamp" localSheetId="6">'Performance (3)'!$A$4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5" a="1"/>
  <c r="I168" i="25" s="1"/>
  <c r="N159" i="25"/>
  <c r="N158" i="25"/>
  <c r="A142" i="25" a="1"/>
  <c r="A142" i="25" s="1"/>
  <c r="I141" i="25" a="1"/>
  <c r="I141" i="25" s="1"/>
  <c r="B128" i="25"/>
  <c r="A128" i="25" s="1"/>
  <c r="B127" i="25"/>
  <c r="A127" i="25" s="1"/>
  <c r="B126" i="25"/>
  <c r="A126" i="25" s="1"/>
  <c r="B125" i="25"/>
  <c r="A125" i="25" s="1"/>
  <c r="B124" i="25"/>
  <c r="A124" i="25" s="1"/>
  <c r="B123" i="25"/>
  <c r="A123" i="25" s="1"/>
  <c r="B122" i="25"/>
  <c r="A122" i="25" s="1"/>
  <c r="B121" i="25"/>
  <c r="A121" i="25" s="1"/>
  <c r="B120" i="25"/>
  <c r="A120" i="25" s="1"/>
  <c r="B119" i="25"/>
  <c r="A119" i="25" s="1"/>
  <c r="B118" i="25"/>
  <c r="A118" i="25" s="1"/>
  <c r="B117" i="25"/>
  <c r="A117" i="25" s="1"/>
  <c r="B116" i="25"/>
  <c r="A116" i="25" s="1"/>
  <c r="B115" i="25"/>
  <c r="A115" i="25" s="1"/>
  <c r="I114" i="25" a="1"/>
  <c r="I114" i="25" s="1"/>
  <c r="N109" i="25"/>
  <c r="N108" i="25"/>
  <c r="A106" i="25"/>
  <c r="A105" i="25"/>
  <c r="A104" i="25"/>
  <c r="A103" i="25"/>
  <c r="A102" i="25"/>
  <c r="A101" i="25"/>
  <c r="A100" i="25"/>
  <c r="A99" i="25"/>
  <c r="A98" i="25"/>
  <c r="A97" i="25"/>
  <c r="A96" i="25"/>
  <c r="A95" i="25"/>
  <c r="A94" i="25"/>
  <c r="A93" i="25"/>
  <c r="A92" i="25"/>
  <c r="A91" i="25"/>
  <c r="A90" i="25"/>
  <c r="A89" i="25"/>
  <c r="A88" i="25"/>
  <c r="I87" i="25" a="1"/>
  <c r="I87" i="25" s="1"/>
  <c r="G85" i="25"/>
  <c r="N84" i="25"/>
  <c r="G84" i="25"/>
  <c r="N83" i="25"/>
  <c r="B81" i="25"/>
  <c r="A81" i="25" s="1"/>
  <c r="B80" i="25"/>
  <c r="A80" i="25" s="1"/>
  <c r="B79" i="25"/>
  <c r="A79" i="25" s="1"/>
  <c r="B78" i="25"/>
  <c r="A78" i="25" s="1"/>
  <c r="B77" i="25"/>
  <c r="A77" i="25" s="1"/>
  <c r="B76" i="25"/>
  <c r="A76" i="25" s="1"/>
  <c r="B75" i="25"/>
  <c r="A75" i="25" s="1"/>
  <c r="B74" i="25"/>
  <c r="A74" i="25" s="1"/>
  <c r="B73" i="25"/>
  <c r="A73" i="25" s="1"/>
  <c r="B72" i="25"/>
  <c r="A72" i="25" s="1"/>
  <c r="B71" i="25"/>
  <c r="A71" i="25" s="1"/>
  <c r="B70" i="25"/>
  <c r="A70" i="25" s="1"/>
  <c r="B69" i="25"/>
  <c r="A69" i="25" s="1"/>
  <c r="B68" i="25"/>
  <c r="A68" i="25" s="1"/>
  <c r="B67" i="25"/>
  <c r="A67" i="25" s="1"/>
  <c r="B66" i="25"/>
  <c r="A66" i="25" s="1"/>
  <c r="B65" i="25"/>
  <c r="A65" i="25" s="1"/>
  <c r="B64" i="25"/>
  <c r="A64" i="25" s="1"/>
  <c r="B63" i="25"/>
  <c r="A63" i="25" s="1"/>
  <c r="B62" i="25"/>
  <c r="A62" i="25" s="1"/>
  <c r="B61" i="25"/>
  <c r="A61" i="25" s="1"/>
  <c r="I60" i="25" a="1"/>
  <c r="I60" i="25" s="1"/>
  <c r="N57" i="25"/>
  <c r="N56" i="25"/>
  <c r="B54" i="25"/>
  <c r="A54" i="25" s="1"/>
  <c r="B53" i="25"/>
  <c r="A53" i="25" s="1"/>
  <c r="B52" i="25"/>
  <c r="A52" i="25" s="1"/>
  <c r="B51" i="25"/>
  <c r="A51" i="25" s="1"/>
  <c r="B50" i="25"/>
  <c r="A50" i="25" s="1"/>
  <c r="B49" i="25"/>
  <c r="A49" i="25" s="1"/>
  <c r="B48" i="25"/>
  <c r="A48" i="25" s="1"/>
  <c r="B47" i="25"/>
  <c r="A47" i="25" s="1"/>
  <c r="B46" i="25"/>
  <c r="A46" i="25" s="1"/>
  <c r="B45" i="25"/>
  <c r="A45" i="25" s="1"/>
  <c r="B44" i="25"/>
  <c r="A44" i="25" s="1"/>
  <c r="B43" i="25"/>
  <c r="A43" i="25" s="1"/>
  <c r="B42" i="25"/>
  <c r="A42" i="25" s="1"/>
  <c r="B41" i="25"/>
  <c r="A41" i="25" s="1"/>
  <c r="B40" i="25"/>
  <c r="A40" i="25" s="1"/>
  <c r="B39" i="25"/>
  <c r="A39" i="25" s="1"/>
  <c r="B38" i="25"/>
  <c r="A38" i="25" s="1"/>
  <c r="B37" i="25"/>
  <c r="A37" i="25" s="1"/>
  <c r="B36" i="25"/>
  <c r="A36" i="25" s="1"/>
  <c r="B35" i="25"/>
  <c r="A35" i="25" s="1"/>
  <c r="B34" i="25"/>
  <c r="A34" i="25" s="1"/>
  <c r="I33" i="25" a="1"/>
  <c r="I33" i="25" s="1"/>
  <c r="N31" i="25"/>
  <c r="N30" i="25"/>
  <c r="A28" i="25"/>
  <c r="A27" i="25"/>
  <c r="A26" i="25"/>
  <c r="A25" i="25"/>
  <c r="A24" i="25"/>
  <c r="A23" i="25"/>
  <c r="A22" i="25"/>
  <c r="A21" i="25"/>
  <c r="A20" i="25"/>
  <c r="A19" i="25"/>
  <c r="A18" i="25"/>
  <c r="A17" i="25"/>
  <c r="A16" i="25"/>
  <c r="A15" i="25"/>
  <c r="A14" i="25"/>
  <c r="A13" i="25"/>
  <c r="A12" i="25"/>
  <c r="A11" i="25"/>
  <c r="A10" i="25"/>
  <c r="A9" i="25"/>
  <c r="A8" i="25"/>
  <c r="A7" i="25"/>
  <c r="I6" i="25" a="1"/>
  <c r="I6" i="25"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15"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F17" i="11" a="1"/>
  <c r="E17" i="11" a="1"/>
  <c r="C17" i="11" a="1"/>
  <c r="J17" i="11" a="1"/>
  <c r="D17" i="11" a="1"/>
  <c r="K17" i="11" a="1"/>
  <c r="L17" i="11" a="1"/>
  <c r="I17" i="11" a="1"/>
  <c r="N6" i="14" a="1"/>
  <c r="E13" i="1" a="1"/>
  <c r="AA15" i="4" a="1"/>
  <c r="B122" i="4" a="1"/>
  <c r="Y15" i="4" a="1"/>
  <c r="B74" i="4" a="1"/>
  <c r="B218" i="4" a="1"/>
  <c r="AA15" i="4" l="1"/>
  <c r="Y15" i="4"/>
  <c r="K17" i="11"/>
  <c r="B74" i="4"/>
  <c r="L17" i="11"/>
  <c r="E17" i="11"/>
  <c r="B122" i="4"/>
  <c r="E13" i="1"/>
  <c r="F17" i="11"/>
  <c r="B218" i="4"/>
  <c r="C17" i="11"/>
  <c r="AA13" i="4"/>
  <c r="D17" i="11"/>
  <c r="N6" i="14"/>
  <c r="I17" i="11"/>
  <c r="J17" i="11"/>
  <c r="AA14" i="4"/>
  <c r="J13" i="1" a="1"/>
  <c r="G13" i="1" a="1"/>
  <c r="B30" i="4" a="1"/>
  <c r="B162" i="4" a="1"/>
  <c r="B143" i="4" a="1"/>
  <c r="B119" i="4" a="1"/>
  <c r="B31" i="4" a="1"/>
  <c r="B53" i="4" a="1"/>
  <c r="B131" i="4" a="1"/>
  <c r="B120" i="4" a="1"/>
  <c r="B113" i="4" a="1"/>
  <c r="B54" i="4" a="1"/>
  <c r="B151" i="4" a="1"/>
  <c r="B67" i="4" a="1"/>
  <c r="B24" i="4" a="1"/>
  <c r="B170" i="4" a="1"/>
  <c r="B121" i="4" a="1"/>
  <c r="B210" i="4" a="1"/>
  <c r="B35" i="4" a="1"/>
  <c r="B28" i="4" a="1"/>
  <c r="B51" i="4" a="1"/>
  <c r="B136" i="4" a="1"/>
  <c r="B103" i="4" a="1"/>
  <c r="B190" i="4" a="1"/>
  <c r="B22" i="4" a="1"/>
  <c r="B47" i="4" a="1"/>
  <c r="B49" i="4" a="1"/>
  <c r="B45" i="4" a="1"/>
  <c r="B159" i="4" a="1"/>
  <c r="B172" i="4" a="1"/>
  <c r="B86" i="4" a="1"/>
  <c r="B44" i="4" a="1"/>
  <c r="B91" i="4" a="1"/>
  <c r="B117" i="4" a="1"/>
  <c r="B40" i="4" a="1"/>
  <c r="B108" i="4" a="1"/>
  <c r="B57" i="4" a="1"/>
  <c r="B186" i="4" a="1"/>
  <c r="B156" i="4" a="1"/>
  <c r="B166" i="4" a="1"/>
  <c r="B79" i="4" a="1"/>
  <c r="B63" i="4" a="1"/>
  <c r="Z15" i="4" a="1"/>
  <c r="B36" i="4" a="1"/>
  <c r="B167" i="4" a="1"/>
  <c r="B219" i="4" a="1"/>
  <c r="B66" i="4" a="1"/>
  <c r="B134" i="4" a="1"/>
  <c r="B58" i="4" a="1"/>
  <c r="B165" i="4" a="1"/>
  <c r="B88" i="4" a="1"/>
  <c r="B148" i="4" a="1"/>
  <c r="B168" i="4" a="1"/>
  <c r="B182" i="4" a="1"/>
  <c r="B89" i="4" a="1"/>
  <c r="B38" i="4" a="1"/>
  <c r="B141" i="4" a="1"/>
  <c r="B75" i="4" a="1"/>
  <c r="B43" i="4" a="1"/>
  <c r="B130" i="4" a="1"/>
  <c r="B106" i="4" a="1"/>
  <c r="B100" i="4" a="1"/>
  <c r="B126" i="4" a="1"/>
  <c r="B214" i="4" a="1"/>
  <c r="B206" i="4" a="1"/>
  <c r="B72" i="4" a="1"/>
  <c r="B92" i="4" a="1"/>
  <c r="B39" i="4" a="1"/>
  <c r="B107" i="4" a="1"/>
  <c r="B139" i="4" a="1"/>
  <c r="B175" i="4" a="1"/>
  <c r="B87" i="4" a="1"/>
  <c r="B73" i="4" a="1"/>
  <c r="B18" i="4" a="1"/>
  <c r="B164" i="4" a="1"/>
  <c r="B213" i="4" a="1"/>
  <c r="B154" i="4" a="1"/>
  <c r="W15" i="4" a="1"/>
  <c r="B202" i="4" a="1"/>
  <c r="B163" i="4" a="1"/>
  <c r="B64" i="4" a="1"/>
  <c r="B207" i="4" a="1"/>
  <c r="B173" i="4" a="1"/>
  <c r="B33" i="4" a="1"/>
  <c r="B32" i="4" a="1"/>
  <c r="B133" i="4" a="1"/>
  <c r="B96" i="4" a="1"/>
  <c r="B204" i="4" a="1"/>
  <c r="B37" i="4" a="1"/>
  <c r="B94" i="4" a="1"/>
  <c r="B61" i="4" a="1"/>
  <c r="B176" i="4" a="1"/>
  <c r="B42" i="4" a="1"/>
  <c r="B65" i="4" a="1"/>
  <c r="B115" i="4" a="1"/>
  <c r="B68" i="4" a="1"/>
  <c r="B82" i="4" a="1"/>
  <c r="B155" i="4" a="1"/>
  <c r="B118" i="4" a="1"/>
  <c r="B112" i="4" a="1"/>
  <c r="B26" i="4" a="1"/>
  <c r="B132" i="4" a="1"/>
  <c r="B71" i="4" a="1"/>
  <c r="B111" i="4" a="1"/>
  <c r="B110" i="4" a="1"/>
  <c r="B69" i="4" a="1"/>
  <c r="B142" i="4" a="1"/>
  <c r="B52" i="4" a="1"/>
  <c r="B77" i="4" a="1"/>
  <c r="B177" i="4" a="1"/>
  <c r="B70" i="4" a="1"/>
  <c r="B78" i="4" a="1"/>
  <c r="B209" i="4" a="1"/>
  <c r="B81" i="4" a="1"/>
  <c r="B174" i="4" a="1"/>
  <c r="B60" i="4" a="1"/>
  <c r="B150" i="4" a="1"/>
  <c r="B102" i="4" a="1"/>
  <c r="B144" i="4" a="1"/>
  <c r="B101" i="4" a="1"/>
  <c r="B140" i="4" a="1"/>
  <c r="B127" i="4" a="1"/>
  <c r="B179" i="4" a="1"/>
  <c r="B205" i="4" a="1"/>
  <c r="B185" i="4" a="1"/>
  <c r="B157" i="4" a="1"/>
  <c r="B55" i="4" a="1"/>
  <c r="B19" i="4" a="1"/>
  <c r="B23" i="4" a="1"/>
  <c r="B20" i="4" a="1"/>
  <c r="B27" i="4" a="1"/>
  <c r="B128" i="4" a="1"/>
  <c r="B56" i="4" a="1"/>
  <c r="B203" i="4" a="1"/>
  <c r="B138" i="4" a="1"/>
  <c r="B25" i="4" a="1"/>
  <c r="B153" i="4" a="1"/>
  <c r="B211" i="4" a="1"/>
  <c r="B116" i="4" a="1"/>
  <c r="B145" i="4" a="1"/>
  <c r="B99" i="4" a="1"/>
  <c r="B85" i="4" a="1"/>
  <c r="B15" i="4" a="1"/>
  <c r="B171" i="4" a="1"/>
  <c r="B90" i="4" a="1"/>
  <c r="B191" i="4" a="1"/>
  <c r="B29" i="4" a="1"/>
  <c r="B46" i="4" a="1"/>
  <c r="B76" i="4" a="1"/>
  <c r="B105" i="4" a="1"/>
  <c r="B48" i="4" a="1"/>
  <c r="B146" i="4" a="1"/>
  <c r="B149" i="4" a="1"/>
  <c r="B187" i="4" a="1"/>
  <c r="B41" i="4" a="1"/>
  <c r="B129" i="4" a="1"/>
  <c r="B21" i="4" a="1"/>
  <c r="B84" i="4" a="1"/>
  <c r="B189" i="4" a="1"/>
  <c r="B216" i="4" a="1"/>
  <c r="B161" i="4" a="1"/>
  <c r="B97" i="4" a="1"/>
  <c r="B152" i="4" a="1"/>
  <c r="B93" i="4" a="1"/>
  <c r="B17" i="4" a="1"/>
  <c r="B178" i="4" a="1"/>
  <c r="B215" i="4" a="1"/>
  <c r="B83" i="4" a="1"/>
  <c r="B62" i="4" a="1"/>
  <c r="B135" i="4" a="1"/>
  <c r="B212" i="4" a="1"/>
  <c r="B114" i="4" a="1"/>
  <c r="B104" i="4" a="1"/>
  <c r="B217" i="4" a="1"/>
  <c r="B124" i="4" a="1"/>
  <c r="B95" i="4" a="1"/>
  <c r="B16" i="4" a="1"/>
  <c r="B125" i="4" a="1"/>
  <c r="B208" i="4" a="1"/>
  <c r="B147" i="4" a="1"/>
  <c r="B183" i="4" a="1"/>
  <c r="B123" i="4" a="1"/>
  <c r="B98" i="4" a="1"/>
  <c r="B34" i="4" a="1"/>
  <c r="B181" i="4" a="1"/>
  <c r="B137" i="4" a="1"/>
  <c r="B109" i="4" a="1"/>
  <c r="B158" i="4" a="1"/>
  <c r="B80" i="4" a="1"/>
  <c r="B169" i="4" a="1"/>
  <c r="B180" i="4" a="1"/>
  <c r="B50" i="4" a="1"/>
  <c r="B59" i="4" a="1"/>
  <c r="B188" i="4" a="1"/>
  <c r="B160" i="4" a="1"/>
  <c r="B154" i="4" l="1"/>
  <c r="B149" i="4"/>
  <c r="B88" i="4"/>
  <c r="B128" i="4"/>
  <c r="B138" i="4"/>
  <c r="B168" i="4"/>
  <c r="B77" i="4"/>
  <c r="B44" i="4"/>
  <c r="B161" i="4"/>
  <c r="B131" i="4"/>
  <c r="B175" i="4"/>
  <c r="B40" i="4"/>
  <c r="B115" i="4"/>
  <c r="B169" i="4"/>
  <c r="W15" i="4"/>
  <c r="B190" i="4"/>
  <c r="B215" i="4"/>
  <c r="B15" i="4"/>
  <c r="B119" i="4"/>
  <c r="B16" i="4"/>
  <c r="B96" i="4"/>
  <c r="B36" i="4"/>
  <c r="B171" i="4"/>
  <c r="B52" i="4"/>
  <c r="B56" i="4"/>
  <c r="B104" i="4"/>
  <c r="B47" i="4"/>
  <c r="B145" i="4"/>
  <c r="B25" i="4"/>
  <c r="B76" i="4"/>
  <c r="B160" i="4"/>
  <c r="B55" i="4"/>
  <c r="B93" i="4"/>
  <c r="B102" i="4"/>
  <c r="B65" i="4"/>
  <c r="B106" i="4"/>
  <c r="B35" i="4"/>
  <c r="B124" i="4"/>
  <c r="B157" i="4"/>
  <c r="B60" i="4"/>
  <c r="B100" i="4"/>
  <c r="B212" i="4"/>
  <c r="B85" i="4"/>
  <c r="B27" i="4"/>
  <c r="B139" i="4"/>
  <c r="B153" i="4"/>
  <c r="B217" i="4"/>
  <c r="B129" i="4"/>
  <c r="B144" i="4"/>
  <c r="B54" i="4"/>
  <c r="B177" i="4"/>
  <c r="B116" i="4"/>
  <c r="B204" i="4"/>
  <c r="B134" i="4"/>
  <c r="B18" i="4"/>
  <c r="B89" i="4"/>
  <c r="B130" i="4"/>
  <c r="B98" i="4"/>
  <c r="B75" i="4"/>
  <c r="B159" i="4"/>
  <c r="B33" i="4"/>
  <c r="B213" i="4"/>
  <c r="B187" i="4"/>
  <c r="B66" i="4"/>
  <c r="B19" i="4"/>
  <c r="B86" i="4"/>
  <c r="B46" i="4"/>
  <c r="B57" i="4"/>
  <c r="B24" i="4"/>
  <c r="B151" i="4"/>
  <c r="B156" i="4"/>
  <c r="B166" i="4"/>
  <c r="B114" i="4"/>
  <c r="B91" i="4"/>
  <c r="B32" i="4"/>
  <c r="B109" i="4"/>
  <c r="B162" i="4"/>
  <c r="B186" i="4"/>
  <c r="B181" i="4"/>
  <c r="B108" i="4"/>
  <c r="B90" i="4"/>
  <c r="B203" i="4"/>
  <c r="B207" i="4"/>
  <c r="B83" i="4"/>
  <c r="B101" i="4"/>
  <c r="B112" i="4"/>
  <c r="B135" i="4"/>
  <c r="B113" i="4"/>
  <c r="B105" i="4"/>
  <c r="B68" i="4"/>
  <c r="B82" i="4"/>
  <c r="B146" i="4"/>
  <c r="B61" i="4"/>
  <c r="B62" i="4"/>
  <c r="B148" i="4"/>
  <c r="B179" i="4"/>
  <c r="B120" i="4"/>
  <c r="B99" i="4"/>
  <c r="B107" i="4"/>
  <c r="B191" i="4"/>
  <c r="B58" i="4"/>
  <c r="B73" i="4"/>
  <c r="B211" i="4"/>
  <c r="B39" i="4"/>
  <c r="B173" i="4"/>
  <c r="B164" i="4"/>
  <c r="B180" i="4"/>
  <c r="B41" i="4"/>
  <c r="B64" i="4"/>
  <c r="B48" i="4"/>
  <c r="B45" i="4"/>
  <c r="B22" i="4"/>
  <c r="B170" i="4"/>
  <c r="B87" i="4"/>
  <c r="B202" i="4"/>
  <c r="B152" i="4"/>
  <c r="B210" i="4"/>
  <c r="B142" i="4"/>
  <c r="B17" i="4"/>
  <c r="B189" i="4"/>
  <c r="B183" i="4"/>
  <c r="B176" i="4"/>
  <c r="B70" i="4"/>
  <c r="B143" i="4"/>
  <c r="B81" i="4"/>
  <c r="B127" i="4"/>
  <c r="B123" i="4"/>
  <c r="B29" i="4"/>
  <c r="B137" i="4"/>
  <c r="B150" i="4"/>
  <c r="B121" i="4"/>
  <c r="B59" i="4"/>
  <c r="B206"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9" i="4"/>
  <c r="B78" i="4"/>
  <c r="B141" i="4"/>
  <c r="B185" i="4"/>
  <c r="B72" i="4"/>
  <c r="B216" i="4"/>
  <c r="B28" i="4"/>
  <c r="B111" i="4"/>
  <c r="B37" i="4"/>
  <c r="B118" i="4"/>
  <c r="B136" i="4"/>
  <c r="B208" i="4"/>
  <c r="B69" i="4"/>
  <c r="B174" i="4"/>
  <c r="B158" i="4"/>
  <c r="B63" i="4"/>
  <c r="B205" i="4"/>
  <c r="B133" i="4"/>
  <c r="B167" i="4"/>
  <c r="B49" i="4"/>
  <c r="B209" i="4"/>
  <c r="B132" i="4"/>
  <c r="B214"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<sst xmlns="http://schemas.openxmlformats.org/spreadsheetml/2006/main" count="2060" uniqueCount="654">
  <si>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</si>
  <si>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</si>
  <si>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</si>
  <si>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</si>
  <si>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</si>
  <si>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</si>
  <si>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</si>
  <si>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</si>
  <si>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</si>
  <si>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</si>
  <si>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</si>
  <si>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</si>
  <si>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</si>
  <si>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</si>
  <si>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</si>
  <si>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</si>
  <si>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</si>
  <si>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</si>
  <si>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</si>
  <si>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</si>
  <si>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</si>
  <si>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</si>
  <si>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</si>
  <si>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</si>
  <si>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</si>
  <si>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</si>
  <si>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</si>
  <si>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</si>
  <si>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</si>
  <si>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</si>
  <si>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</si>
  <si>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</si>
  <si>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</si>
  <si>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</si>
  <si>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</si>
  <si>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</si>
  <si>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</si>
  <si>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</si>
  <si>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</si>
  <si>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</si>
  <si>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</si>
  <si>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</si>
  <si>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</si>
  <si>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</si>
  <si>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</si>
  <si>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</si>
  <si>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</si>
  <si>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</si>
  <si>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</si>
  <si>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</si>
  <si>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</si>
  <si>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</si>
  <si>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</si>
  <si>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</si>
  <si>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</si>
  <si>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</si>
  <si>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</si>
  <si>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</si>
  <si>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</si>
  <si>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</si>
  <si>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</si>
  <si>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</si>
  <si>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</si>
  <si>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</si>
  <si>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</si>
  <si>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</si>
  <si>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</si>
  <si>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</si>
  <si>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</si>
  <si>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</si>
  <si>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</si>
  <si>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</si>
  <si>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</si>
  <si>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</si>
  <si>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</si>
  <si>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</si>
  <si>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</si>
  <si>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</si>
  <si>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</si>
  <si>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</si>
  <si>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</si>
  <si>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</si>
  <si>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</si>
  <si>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</si>
  <si>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</si>
  <si>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</si>
  <si>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</si>
  <si>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</si>
  <si>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</si>
  <si>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</si>
  <si>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</si>
  <si>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</si>
  <si>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</si>
  <si>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</si>
  <si>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</si>
  <si>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</si>
  <si>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</si>
  <si>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</si>
  <si>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</si>
  <si>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</si>
  <si>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</si>
  <si>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</si>
  <si>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</si>
  <si>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</si>
  <si>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</si>
  <si>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</si>
  <si>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</si>
  <si>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</si>
  <si>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</si>
  <si>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</si>
  <si>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</si>
  <si>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</si>
  <si>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</si>
  <si>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</si>
  <si>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</si>
  <si>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</si>
  <si>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</si>
  <si>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</si>
  <si>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</si>
  <si>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</si>
  <si>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</si>
  <si>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</si>
  <si>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</si>
  <si>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</si>
  <si>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</si>
  <si>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</si>
  <si>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</si>
  <si>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</si>
  <si>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</si>
  <si>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</si>
  <si>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</si>
  <si>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</si>
  <si>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</si>
  <si>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</si>
  <si>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</si>
  <si>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</si>
  <si>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</si>
  <si>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</si>
  <si>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</si>
  <si>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</si>
  <si>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</si>
  <si>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</si>
  <si>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</si>
  <si>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</si>
  <si>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</si>
  <si>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</si>
  <si>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</si>
  <si>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</si>
  <si>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</si>
  <si>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</si>
  <si>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</si>
  <si>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</si>
  <si>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</si>
  <si>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</si>
  <si>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</si>
  <si>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</si>
  <si>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</si>
  <si>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</si>
  <si>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</si>
  <si>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</si>
  <si>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</si>
  <si>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</si>
  <si>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</si>
  <si>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</si>
  <si>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</si>
  <si>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</si>
  <si>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</si>
  <si>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</si>
  <si>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</si>
  <si>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</si>
  <si>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</si>
  <si>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</si>
  <si>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</si>
  <si>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</si>
  <si>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</si>
  <si>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</si>
  <si>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</si>
  <si>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</si>
  <si>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</si>
  <si>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</si>
  <si>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</si>
  <si>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</si>
  <si>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</si>
  <si>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</si>
  <si>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</si>
  <si>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</si>
  <si>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</si>
  <si>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</si>
  <si>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</si>
  <si>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</si>
  <si>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</si>
  <si>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</si>
  <si>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</si>
  <si>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</si>
  <si>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</si>
  <si>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</si>
  <si>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</si>
  <si>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</si>
  <si>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</si>
  <si>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</si>
  <si>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</si>
  <si>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</si>
  <si>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</si>
  <si>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</si>
  <si>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</si>
  <si>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</si>
  <si>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</si>
  <si>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</si>
  <si>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</si>
  <si>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</si>
  <si>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</si>
  <si>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</si>
  <si>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</si>
  <si>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</si>
  <si>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</si>
  <si>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</si>
  <si>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</si>
  <si>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</si>
  <si>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</si>
  <si>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</si>
  <si>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</si>
  <si>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</si>
  <si>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</si>
  <si>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</si>
  <si>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</si>
  <si>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</si>
  <si>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</si>
  <si>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</si>
  <si>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</si>
  <si>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</si>
  <si>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</si>
  <si>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</si>
  <si>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</si>
  <si>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</si>
  <si>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</si>
  <si>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</si>
  <si>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</si>
  <si>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</si>
  <si>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</si>
  <si>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</si>
  <si>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</si>
  <si>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</si>
  <si>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</si>
  <si>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</si>
  <si>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</si>
  <si>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</si>
  <si>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</si>
  <si>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</si>
  <si>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</si>
  <si>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</si>
  <si>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</si>
  <si>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</si>
  <si>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</si>
  <si>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</si>
  <si>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</si>
  <si>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</si>
  <si>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</si>
  <si>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</si>
  <si>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</si>
  <si>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</si>
  <si>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</si>
  <si>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</si>
  <si>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</si>
  <si>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</si>
  <si>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</si>
  <si>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</si>
  <si>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</si>
  <si>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</si>
  <si>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</si>
  <si>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</si>
  <si>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</si>
  <si>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</si>
  <si>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</si>
  <si>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</si>
  <si>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</si>
  <si>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</si>
  <si>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</si>
  <si>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</si>
  <si>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</si>
  <si>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</si>
  <si>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</si>
  <si>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</si>
  <si>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</si>
  <si>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</si>
  <si>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</si>
  <si>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</si>
  <si>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</si>
  <si>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</si>
  <si>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</si>
  <si>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</si>
  <si>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</si>
  <si>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</si>
  <si>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</si>
  <si>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</si>
  <si>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</si>
  <si>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</si>
  <si>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</si>
  <si>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</si>
  <si>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</si>
  <si>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</si>
  <si>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</si>
  <si>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</si>
  <si>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</si>
  <si>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</si>
  <si>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</si>
  <si>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</si>
  <si>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</si>
  <si>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</si>
  <si>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</si>
  <si>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</si>
  <si>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</si>
  <si>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</si>
  <si>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</si>
  <si>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</si>
  <si>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</si>
  <si>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</si>
  <si>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</si>
  <si>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</si>
  <si>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</si>
  <si>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</si>
  <si>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</si>
  <si>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</si>
  <si>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</si>
  <si>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</si>
  <si>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</si>
  <si>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</si>
  <si>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</si>
  <si>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</si>
  <si>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</si>
  <si>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</si>
  <si>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</si>
  <si>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</si>
  <si>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</si>
  <si>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</si>
  <si>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</si>
  <si>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</si>
  <si>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</si>
  <si>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</si>
  <si>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</si>
  <si>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</si>
  <si>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</si>
  <si>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</si>
  <si>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</si>
  <si>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</si>
  <si>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</si>
  <si>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</si>
  <si>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</si>
  <si>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</si>
  <si>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</si>
  <si>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</si>
  <si>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</si>
  <si>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</si>
  <si>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</si>
  <si>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</si>
  <si>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</si>
  <si>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</si>
  <si>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</si>
  <si>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</si>
  <si>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</si>
  <si>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</si>
  <si>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</si>
  <si>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</si>
  <si>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</si>
  <si>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</si>
  <si>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</si>
  <si>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</si>
  <si>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</si>
  <si>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</si>
  <si>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</si>
  <si>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</si>
  <si>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</si>
  <si>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</si>
  <si>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</si>
  <si>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</si>
  <si>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</si>
  <si>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</si>
  <si>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</si>
  <si>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</si>
  <si>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</si>
  <si>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</si>
  <si>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</si>
  <si>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</si>
  <si>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</si>
  <si>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</si>
  <si>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</si>
  <si>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</si>
  <si>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</si>
  <si>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</si>
  <si>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</si>
  <si>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</si>
  <si>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</si>
  <si>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</si>
  <si>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</si>
  <si>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</si>
  <si>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</si>
  <si>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</si>
  <si>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</si>
  <si>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</si>
  <si>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</si>
  <si>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</si>
  <si>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</si>
  <si>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</si>
  <si>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</si>
  <si>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</si>
  <si>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</si>
  <si>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</si>
  <si>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</si>
  <si>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</si>
  <si>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</si>
  <si>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</si>
  <si>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</si>
  <si>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</si>
  <si>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</si>
  <si>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</si>
  <si>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</si>
  <si>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</si>
  <si>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</si>
  <si>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</si>
  <si>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</si>
  <si>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</si>
  <si>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</si>
  <si>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</si>
  <si>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</si>
  <si>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</si>
  <si>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</si>
  <si>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</si>
  <si>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</si>
  <si>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</si>
  <si>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</si>
  <si>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</si>
  <si>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</si>
  <si>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</si>
  <si>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</si>
  <si>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</si>
  <si>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</si>
  <si>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</si>
  <si>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</si>
  <si>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</si>
  <si>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</si>
  <si>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</si>
  <si>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</si>
  <si>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</si>
  <si>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</si>
  <si>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</si>
  <si>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</si>
  <si>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</si>
  <si>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</si>
  <si>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</si>
  <si>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</si>
  <si>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</si>
  <si>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</si>
  <si>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</si>
  <si>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</si>
  <si>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</si>
  <si>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</si>
  <si>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</si>
  <si>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</si>
  <si>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</si>
  <si>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</si>
  <si>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</si>
  <si>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</si>
  <si>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</si>
  <si>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</si>
  <si>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</si>
  <si>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</si>
  <si>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</si>
  <si>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</si>
  <si>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</si>
  <si>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</si>
  <si>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</si>
  <si>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</si>
  <si>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</si>
  <si>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</si>
  <si>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</si>
  <si>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</si>
  <si>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</si>
  <si>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</si>
  <si>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</si>
  <si>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</si>
  <si>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</si>
  <si>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</si>
  <si>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</si>
  <si>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</si>
  <si>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</si>
  <si>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</si>
  <si>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</si>
  <si>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</si>
  <si>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</si>
  <si>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</si>
  <si>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</si>
  <si>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</si>
  <si>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</si>
  <si>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</si>
  <si>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</si>
  <si>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</si>
  <si>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</si>
  <si>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</si>
  <si>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</si>
  <si>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</si>
  <si>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</si>
  <si>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</si>
  <si>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</si>
  <si>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</si>
  <si>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</si>
  <si>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</si>
  <si>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</si>
  <si>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</si>
  <si>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</si>
  <si>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</si>
  <si>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</si>
  <si>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</si>
  <si>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</si>
  <si>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</si>
  <si>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</si>
  <si>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</si>
  <si>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</si>
  <si>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</si>
  <si>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</si>
  <si>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</si>
  <si>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</si>
  <si>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</si>
  <si>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</si>
  <si>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</si>
  <si>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</si>
  <si>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</si>
  <si>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</si>
  <si>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</si>
  <si>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</si>
  <si>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</si>
  <si>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</si>
  <si>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</si>
  <si>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</si>
  <si>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</si>
  <si>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</si>
  <si>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</si>
  <si>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</si>
  <si>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</si>
  <si>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</si>
  <si>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</si>
  <si>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</si>
  <si>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</si>
  <si>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</si>
  <si>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</si>
  <si>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</si>
  <si>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</si>
  <si>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</si>
  <si>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</si>
  <si>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</si>
  <si>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</si>
  <si>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</si>
  <si>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</si>
  <si>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</si>
  <si>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</si>
  <si>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</si>
  <si>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</si>
  <si>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</si>
  <si>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</si>
  <si>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</si>
  <si>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</si>
  <si>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</si>
  <si>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</si>
  <si>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</si>
  <si>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</si>
  <si>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</si>
  <si>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</si>
  <si>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</si>
  <si>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</si>
  <si>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</si>
  <si>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</si>
  <si>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</si>
  <si>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</si>
  <si>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</si>
  <si>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</si>
  <si>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</si>
  <si>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</si>
  <si>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</si>
  <si>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</si>
  <si>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</si>
  <si>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</si>
  <si>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</si>
  <si>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</si>
  <si>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</si>
  <si>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</si>
  <si>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</si>
  <si>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</si>
  <si>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</si>
  <si>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</si>
  <si>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</si>
  <si>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</si>
  <si>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</si>
  <si>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</si>
  <si>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</si>
  <si>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</si>
  <si>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</si>
  <si>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</si>
  <si>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</si>
  <si>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</si>
  <si>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</si>
  <si>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</si>
  <si>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</si>
  <si>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</si>
  <si>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</si>
  <si>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</si>
  <si>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</si>
  <si>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</si>
  <si>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</si>
  <si>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</si>
  <si>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</si>
  <si>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</si>
  <si>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</si>
  <si>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</si>
  <si>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</si>
  <si>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</si>
  <si>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</si>
  <si>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</si>
  <si>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</si>
  <si>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</si>
  <si>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</si>
  <si>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</si>
  <si>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</si>
  <si>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</si>
  <si>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</si>
  <si>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</si>
  <si>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</si>
  <si>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</si>
  <si>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</si>
  <si>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</si>
  <si>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</si>
  <si>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</si>
  <si>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</si>
  <si>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</si>
  <si>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</si>
  <si>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</si>
  <si>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</si>
  <si>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</si>
  <si>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</si>
  <si>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</si>
  <si>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</si>
  <si>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</si>
  <si>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</si>
  <si>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</si>
  <si>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</si>
  <si>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This data generated 19-September-2021 19:18:29</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</si>
  <si>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</si>
  <si>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</si>
  <si>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</si>
  <si>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</si>
  <si>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</si>
  <si>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</si>
  <si>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</si>
  <si>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</si>
  <si>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</si>
  <si>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Test "not-delimited" files including not displaying the whole file, including Mac line endings</t>
  </si>
  <si>
    <t>Review and update documentation, it's got out-of-date for encoding arguments for both CSVRead and CSVWrite.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</si>
</sst>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1">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1.8960484604857778E-4</c:v>
                </c:pt>
                <c:pt idx="1">
                  <c:v>1.9045670209190526E-4</c:v>
                </c:pt>
                <c:pt idx="2">
                  <c:v>1.9473330607126273E-4</c:v>
                </c:pt>
                <c:pt idx="3">
                  <c:v>2.0063134579908329E-4</c:v>
                </c:pt>
                <c:pt idx="4">
                  <c:v>2.1185193627640814E-4</c:v>
                </c:pt>
                <c:pt idx="5">
                  <c:v>2.3067306237330759E-4</c:v>
                </c:pt>
                <c:pt idx="6">
                  <c:v>2.6936843551407551E-4</c:v>
                </c:pt>
                <c:pt idx="7">
                  <c:v>3.4480778567014681E-4</c:v>
                </c:pt>
                <c:pt idx="8">
                  <c:v>5.0841277071590155E-4</c:v>
                </c:pt>
                <c:pt idx="9">
                  <c:v>8.0453279163697413E-4</c:v>
                </c:pt>
                <c:pt idx="10">
                  <c:v>1.5604369734797494E-3</c:v>
                </c:pt>
                <c:pt idx="11">
                  <c:v>2.8740327784096036E-3</c:v>
                </c:pt>
                <c:pt idx="12">
                  <c:v>6.1984985129941769E-3</c:v>
                </c:pt>
                <c:pt idx="13">
                  <c:v>1.2281312990215192E-2</c:v>
                </c:pt>
                <c:pt idx="14">
                  <c:v>2.3997005263068291E-2</c:v>
                </c:pt>
                <c:pt idx="15">
                  <c:v>6.269204250020266E-2</c:v>
                </c:pt>
                <c:pt idx="16">
                  <c:v>8.7339487931377996E-2</c:v>
                </c:pt>
                <c:pt idx="17">
                  <c:v>0.17900400344836365</c:v>
                </c:pt>
                <c:pt idx="18">
                  <c:v>0.36532490714203697</c:v>
                </c:pt>
                <c:pt idx="19">
                  <c:v>0.79951061428541181</c:v>
                </c:pt>
                <c:pt idx="20">
                  <c:v>1.6298676750011509</c:v>
                </c:pt>
                <c:pt idx="21">
                  <c:v>3.3368246000027284</c:v>
                </c:pt>
              </c:numCache>
            </c:numRef>
          </c:yVal>
          <c:smooth val="0"/>
          <c:extLst>
            <c:ext xmlns:c16="http://schemas.microsoft.com/office/drawing/2014/chart" uri="{C3380CC4-5D6E-409C-BE32-E72D297353CC}">
              <c16:uniqueId val="{00000000-D5F5-4C3B-90F5-89C47BD742BB}"/>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1.2187793784284491E-4</c:v>
                </c:pt>
                <c:pt idx="1">
                  <c:v>1.2637996916418389E-4</c:v>
                </c:pt>
                <c:pt idx="2">
                  <c:v>1.279730772187287E-4</c:v>
                </c:pt>
                <c:pt idx="3">
                  <c:v>1.3385411056120479E-4</c:v>
                </c:pt>
                <c:pt idx="4">
                  <c:v>1.4413269147621477E-4</c:v>
                </c:pt>
                <c:pt idx="5">
                  <c:v>1.6392315106175207E-4</c:v>
                </c:pt>
                <c:pt idx="6">
                  <c:v>2.0066701448837222E-4</c:v>
                </c:pt>
                <c:pt idx="7">
                  <c:v>3.0421816743726157E-4</c:v>
                </c:pt>
                <c:pt idx="8">
                  <c:v>4.3631667539133586E-4</c:v>
                </c:pt>
                <c:pt idx="9">
                  <c:v>7.589698133249591E-4</c:v>
                </c:pt>
                <c:pt idx="10">
                  <c:v>1.458237999416676E-3</c:v>
                </c:pt>
                <c:pt idx="11">
                  <c:v>2.7825934335136706E-3</c:v>
                </c:pt>
                <c:pt idx="12">
                  <c:v>5.6604369909529434E-3</c:v>
                </c:pt>
                <c:pt idx="13">
                  <c:v>1.3214228495999699E-2</c:v>
                </c:pt>
                <c:pt idx="14">
                  <c:v>2.2484441704143907E-2</c:v>
                </c:pt>
                <c:pt idx="15">
                  <c:v>4.5528984545274979E-2</c:v>
                </c:pt>
                <c:pt idx="16">
                  <c:v>9.0510976785610958E-2</c:v>
                </c:pt>
                <c:pt idx="17">
                  <c:v>0.20449540799949317</c:v>
                </c:pt>
                <c:pt idx="18">
                  <c:v>0.45725294545462186</c:v>
                </c:pt>
                <c:pt idx="19">
                  <c:v>0.76551868571550585</c:v>
                </c:pt>
                <c:pt idx="20">
                  <c:v>1.629863274996751</c:v>
                </c:pt>
                <c:pt idx="21">
                  <c:v>3.1724900499975774</c:v>
                </c:pt>
              </c:numCache>
            </c:numRef>
          </c:yVal>
          <c:smooth val="0"/>
          <c:extLst>
            <c:ext xmlns:c16="http://schemas.microsoft.com/office/drawing/2014/chart" uri="{C3380CC4-5D6E-409C-BE32-E72D297353CC}">
              <c16:uniqueId val="{00000001-D5F5-4C3B-90F5-89C47BD742BB}"/>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1.7668202473447156E-3</c:v>
                </c:pt>
                <c:pt idx="1">
                  <c:v>1.8817471407025041E-3</c:v>
                </c:pt>
                <c:pt idx="2">
                  <c:v>1.8673275952203765E-3</c:v>
                </c:pt>
                <c:pt idx="3">
                  <c:v>1.8575492199076329E-3</c:v>
                </c:pt>
                <c:pt idx="4">
                  <c:v>1.833992042539226E-3</c:v>
                </c:pt>
                <c:pt idx="5">
                  <c:v>1.9806566732672808E-3</c:v>
                </c:pt>
                <c:pt idx="6">
                  <c:v>1.9761278150956974E-3</c:v>
                </c:pt>
                <c:pt idx="7">
                  <c:v>2.3771063213007784E-3</c:v>
                </c:pt>
                <c:pt idx="8">
                  <c:v>2.8723223434740036E-3</c:v>
                </c:pt>
                <c:pt idx="9">
                  <c:v>6.0620077575952039E-3</c:v>
                </c:pt>
                <c:pt idx="10">
                  <c:v>6.2824229899710211E-3</c:v>
                </c:pt>
                <c:pt idx="11">
                  <c:v>1.1357800226738832E-2</c:v>
                </c:pt>
                <c:pt idx="12">
                  <c:v>2.0887080416650862E-2</c:v>
                </c:pt>
                <c:pt idx="13">
                  <c:v>4.0081406399840487E-2</c:v>
                </c:pt>
                <c:pt idx="14">
                  <c:v>7.2531899999982372E-2</c:v>
                </c:pt>
                <c:pt idx="15">
                  <c:v>0.15030398235317347</c:v>
                </c:pt>
                <c:pt idx="16">
                  <c:v>0.30852191176381893</c:v>
                </c:pt>
                <c:pt idx="17">
                  <c:v>0.63690628750191536</c:v>
                </c:pt>
                <c:pt idx="18">
                  <c:v>1.7750108666756812</c:v>
                </c:pt>
                <c:pt idx="19">
                  <c:v>2.5907447499921545</c:v>
                </c:pt>
                <c:pt idx="20">
                  <c:v>4.7512541500036605</c:v>
                </c:pt>
                <c:pt idx="21">
                  <c:v>9.7453960000129882</c:v>
                </c:pt>
              </c:numCache>
            </c:numRef>
          </c:yVal>
          <c:smooth val="0"/>
          <c:extLst>
            <c:ext xmlns:c16="http://schemas.microsoft.com/office/drawing/2014/chart" uri="{C3380CC4-5D6E-409C-BE32-E72D297353CC}">
              <c16:uniqueId val="{00000002-D5F5-4C3B-90F5-89C47BD742BB}"/>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D5F5-4C3B-90F5-89C47BD742BB}"/>
            </c:ext>
          </c:extLst>
        </c:ser>
        <c:dLbls>
          <c:showLegendKey val="0"/>
          <c:showVal val="0"/>
          <c:showCatName val="0"/>
          <c:showSerName val="0"/>
          <c:showPercent val="0"/>
          <c:showBubbleSize val="0"/>
        </c:dLbls>
        <c:axId val="1897935856"/>
        <c:axId val="1897936688"/>
      </c:scatterChart>
      <c:valAx>
        <c:axId val="189793585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936688"/>
        <c:crosses val="autoZero"/>
        <c:crossBetween val="midCat"/>
      </c:valAx>
      <c:valAx>
        <c:axId val="18979366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793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2.4945695968892615E-4</c:v>
                </c:pt>
                <c:pt idx="1">
                  <c:v>2.2618201926974339E-4</c:v>
                </c:pt>
                <c:pt idx="2">
                  <c:v>2.2183191659261192E-4</c:v>
                </c:pt>
                <c:pt idx="3">
                  <c:v>2.4013868024323908E-4</c:v>
                </c:pt>
                <c:pt idx="4">
                  <c:v>2.5961651609555806E-4</c:v>
                </c:pt>
                <c:pt idx="5">
                  <c:v>3.2726478172634453E-4</c:v>
                </c:pt>
                <c:pt idx="6">
                  <c:v>3.9523748320311088E-4</c:v>
                </c:pt>
                <c:pt idx="7">
                  <c:v>6.7730357578325373E-4</c:v>
                </c:pt>
                <c:pt idx="8">
                  <c:v>1.0156688807642293E-3</c:v>
                </c:pt>
                <c:pt idx="9">
                  <c:v>1.6921613797727163E-3</c:v>
                </c:pt>
                <c:pt idx="10">
                  <c:v>3.1303680225300808E-3</c:v>
                </c:pt>
                <c:pt idx="11">
                  <c:v>6.4829818652870396E-3</c:v>
                </c:pt>
                <c:pt idx="12">
                  <c:v>1.4317595428604233E-2</c:v>
                </c:pt>
                <c:pt idx="13">
                  <c:v>2.435714757288648E-2</c:v>
                </c:pt>
                <c:pt idx="14">
                  <c:v>5.0966702020054475E-2</c:v>
                </c:pt>
                <c:pt idx="15">
                  <c:v>0.11740958139497981</c:v>
                </c:pt>
                <c:pt idx="16">
                  <c:v>0.20792233999934978</c:v>
                </c:pt>
                <c:pt idx="17">
                  <c:v>0.41630332307809464</c:v>
                </c:pt>
                <c:pt idx="18">
                  <c:v>0.86374633333374129</c:v>
                </c:pt>
                <c:pt idx="19">
                  <c:v>1.7137609666679054</c:v>
                </c:pt>
                <c:pt idx="20">
                  <c:v>3.6124861499993131</c:v>
                </c:pt>
              </c:numCache>
            </c:numRef>
          </c:yVal>
          <c:smooth val="0"/>
          <c:extLst>
            <c:ext xmlns:c16="http://schemas.microsoft.com/office/drawing/2014/chart" uri="{C3380CC4-5D6E-409C-BE32-E72D297353CC}">
              <c16:uniqueId val="{00000000-8BE0-4B80-9F9F-A859734ED61E}"/>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1.4949485753617024E-4</c:v>
                </c:pt>
                <c:pt idx="1">
                  <c:v>1.4691427102310229E-4</c:v>
                </c:pt>
                <c:pt idx="2">
                  <c:v>1.5346897483120561E-4</c:v>
                </c:pt>
                <c:pt idx="3">
                  <c:v>1.6561652479179002E-4</c:v>
                </c:pt>
                <c:pt idx="4">
                  <c:v>1.8306926372023882E-4</c:v>
                </c:pt>
                <c:pt idx="5">
                  <c:v>2.3862903980137833E-4</c:v>
                </c:pt>
                <c:pt idx="6">
                  <c:v>3.2967468846847593E-4</c:v>
                </c:pt>
                <c:pt idx="7">
                  <c:v>1.1897604806047769E-3</c:v>
                </c:pt>
                <c:pt idx="8">
                  <c:v>1.0152471173407473E-3</c:v>
                </c:pt>
                <c:pt idx="9">
                  <c:v>1.658416716418589E-3</c:v>
                </c:pt>
                <c:pt idx="10">
                  <c:v>3.5771829756782877E-3</c:v>
                </c:pt>
                <c:pt idx="11">
                  <c:v>6.4734147477489602E-3</c:v>
                </c:pt>
                <c:pt idx="12">
                  <c:v>1.2321741133025076E-2</c:v>
                </c:pt>
                <c:pt idx="13">
                  <c:v>2.4408887317063425E-2</c:v>
                </c:pt>
                <c:pt idx="14">
                  <c:v>5.3448169148821841E-2</c:v>
                </c:pt>
                <c:pt idx="15">
                  <c:v>0.10301378571454492</c:v>
                </c:pt>
                <c:pt idx="16">
                  <c:v>0.20114135200041347</c:v>
                </c:pt>
                <c:pt idx="17">
                  <c:v>0.41159190769226722</c:v>
                </c:pt>
                <c:pt idx="18">
                  <c:v>0.84885861666407436</c:v>
                </c:pt>
                <c:pt idx="19">
                  <c:v>1.6791433666755136</c:v>
                </c:pt>
                <c:pt idx="20">
                  <c:v>3.3434077999991132</c:v>
                </c:pt>
              </c:numCache>
            </c:numRef>
          </c:yVal>
          <c:smooth val="0"/>
          <c:extLst>
            <c:ext xmlns:c16="http://schemas.microsoft.com/office/drawing/2014/chart" uri="{C3380CC4-5D6E-409C-BE32-E72D297353CC}">
              <c16:uniqueId val="{00000001-8BE0-4B80-9F9F-A859734ED61E}"/>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2.0511098851460673E-3</c:v>
                </c:pt>
                <c:pt idx="1">
                  <c:v>2.6465996825468861E-3</c:v>
                </c:pt>
                <c:pt idx="2">
                  <c:v>2.1144373361469222E-3</c:v>
                </c:pt>
                <c:pt idx="3">
                  <c:v>1.9954691141250477E-3</c:v>
                </c:pt>
                <c:pt idx="4">
                  <c:v>2.2078553200791905E-3</c:v>
                </c:pt>
                <c:pt idx="5">
                  <c:v>2.3540974576264076E-3</c:v>
                </c:pt>
                <c:pt idx="6">
                  <c:v>2.4310831307741646E-3</c:v>
                </c:pt>
                <c:pt idx="7">
                  <c:v>3.5090521403604693E-3</c:v>
                </c:pt>
                <c:pt idx="8">
                  <c:v>5.4614781659410652E-3</c:v>
                </c:pt>
                <c:pt idx="9">
                  <c:v>4.5425017257212583E-3</c:v>
                </c:pt>
                <c:pt idx="10">
                  <c:v>7.8440358372571326E-3</c:v>
                </c:pt>
                <c:pt idx="11">
                  <c:v>1.3211577836458514E-2</c:v>
                </c:pt>
                <c:pt idx="12">
                  <c:v>2.404115048067559E-2</c:v>
                </c:pt>
                <c:pt idx="13">
                  <c:v>4.3146333620825317E-2</c:v>
                </c:pt>
                <c:pt idx="14">
                  <c:v>8.2054673770412076E-2</c:v>
                </c:pt>
                <c:pt idx="15">
                  <c:v>0.16694806666637305</c:v>
                </c:pt>
                <c:pt idx="16">
                  <c:v>0.31779119374914444</c:v>
                </c:pt>
                <c:pt idx="17">
                  <c:v>0.67257956250250572</c:v>
                </c:pt>
                <c:pt idx="18">
                  <c:v>1.4310994749976089</c:v>
                </c:pt>
                <c:pt idx="19">
                  <c:v>2.7391591000050539</c:v>
                </c:pt>
                <c:pt idx="20">
                  <c:v>5.4561891000194009</c:v>
                </c:pt>
              </c:numCache>
            </c:numRef>
          </c:yVal>
          <c:smooth val="0"/>
          <c:extLst>
            <c:ext xmlns:c16="http://schemas.microsoft.com/office/drawing/2014/chart" uri="{C3380CC4-5D6E-409C-BE32-E72D297353CC}">
              <c16:uniqueId val="{00000002-8BE0-4B80-9F9F-A859734ED61E}"/>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8BE0-4B80-9F9F-A859734ED61E}"/>
            </c:ext>
          </c:extLst>
        </c:ser>
        <c:dLbls>
          <c:showLegendKey val="0"/>
          <c:showVal val="0"/>
          <c:showCatName val="0"/>
          <c:showSerName val="0"/>
          <c:showPercent val="0"/>
          <c:showBubbleSize val="0"/>
        </c:dLbls>
        <c:axId val="369252511"/>
        <c:axId val="369253759"/>
      </c:scatterChart>
      <c:valAx>
        <c:axId val="36925251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253759"/>
        <c:crosses val="autoZero"/>
        <c:crossBetween val="midCat"/>
      </c:valAx>
      <c:valAx>
        <c:axId val="369253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2525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2.0095312060420243E-4</c:v>
                </c:pt>
                <c:pt idx="1">
                  <c:v>2.1484539595158101E-4</c:v>
                </c:pt>
                <c:pt idx="2">
                  <c:v>2.1687017262257371E-4</c:v>
                </c:pt>
                <c:pt idx="3">
                  <c:v>2.4285320316584432E-4</c:v>
                </c:pt>
                <c:pt idx="4">
                  <c:v>2.751215197539832E-4</c:v>
                </c:pt>
                <c:pt idx="5">
                  <c:v>3.4922519206587952E-4</c:v>
                </c:pt>
                <c:pt idx="6">
                  <c:v>5.1849459767937841E-4</c:v>
                </c:pt>
                <c:pt idx="7">
                  <c:v>7.5230251241228605E-4</c:v>
                </c:pt>
                <c:pt idx="8">
                  <c:v>1.3016328734998654E-3</c:v>
                </c:pt>
                <c:pt idx="9">
                  <c:v>2.5042929894806892E-3</c:v>
                </c:pt>
                <c:pt idx="10">
                  <c:v>4.7599903992348452E-3</c:v>
                </c:pt>
                <c:pt idx="11">
                  <c:v>9.493555218216378E-3</c:v>
                </c:pt>
                <c:pt idx="12">
                  <c:v>1.8195389855068439E-2</c:v>
                </c:pt>
                <c:pt idx="13">
                  <c:v>3.7002637500015277E-2</c:v>
                </c:pt>
                <c:pt idx="14">
                  <c:v>7.6876996969627784E-2</c:v>
                </c:pt>
                <c:pt idx="15">
                  <c:v>0.14730822352986947</c:v>
                </c:pt>
                <c:pt idx="16">
                  <c:v>0.33806180666627672</c:v>
                </c:pt>
                <c:pt idx="17">
                  <c:v>0.65293245000066236</c:v>
                </c:pt>
                <c:pt idx="18">
                  <c:v>1.1784493799961637</c:v>
                </c:pt>
                <c:pt idx="19">
                  <c:v>2.4002845999978795</c:v>
                </c:pt>
                <c:pt idx="20">
                  <c:v>5.1066182000213303</c:v>
                </c:pt>
              </c:numCache>
            </c:numRef>
          </c:yVal>
          <c:smooth val="0"/>
          <c:extLst>
            <c:ext xmlns:c16="http://schemas.microsoft.com/office/drawing/2014/chart" uri="{C3380CC4-5D6E-409C-BE32-E72D297353CC}">
              <c16:uniqueId val="{00000000-B04B-4995-A9AF-E694205570BE}"/>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1.4002063567613234E-4</c:v>
                </c:pt>
                <c:pt idx="1">
                  <c:v>1.4230922157395091E-4</c:v>
                </c:pt>
                <c:pt idx="2">
                  <c:v>1.5774321092882609E-4</c:v>
                </c:pt>
                <c:pt idx="3">
                  <c:v>1.7729987943779655E-4</c:v>
                </c:pt>
                <c:pt idx="4">
                  <c:v>2.1834777729249231E-4</c:v>
                </c:pt>
                <c:pt idx="5">
                  <c:v>2.9407881550333215E-4</c:v>
                </c:pt>
                <c:pt idx="6">
                  <c:v>4.4410326849766079E-4</c:v>
                </c:pt>
                <c:pt idx="7">
                  <c:v>7.7408642415101455E-4</c:v>
                </c:pt>
                <c:pt idx="8">
                  <c:v>1.4302238558383884E-3</c:v>
                </c:pt>
                <c:pt idx="9">
                  <c:v>2.7368274220042686E-3</c:v>
                </c:pt>
                <c:pt idx="10">
                  <c:v>5.4101755675809412E-3</c:v>
                </c:pt>
                <c:pt idx="11">
                  <c:v>1.0969128508772803E-2</c:v>
                </c:pt>
                <c:pt idx="12">
                  <c:v>2.0926675313808974E-2</c:v>
                </c:pt>
                <c:pt idx="13">
                  <c:v>4.2337413445338139E-2</c:v>
                </c:pt>
                <c:pt idx="14">
                  <c:v>8.9702748214352007E-2</c:v>
                </c:pt>
                <c:pt idx="15">
                  <c:v>0.1706512433331227</c:v>
                </c:pt>
                <c:pt idx="16">
                  <c:v>0.40334359999934138</c:v>
                </c:pt>
                <c:pt idx="17">
                  <c:v>0.68137391249911161</c:v>
                </c:pt>
                <c:pt idx="18">
                  <c:v>1.2820867499976885</c:v>
                </c:pt>
                <c:pt idx="19">
                  <c:v>2.7440893000020878</c:v>
                </c:pt>
                <c:pt idx="20">
                  <c:v>5.4333647000021301</c:v>
                </c:pt>
              </c:numCache>
            </c:numRef>
          </c:yVal>
          <c:smooth val="0"/>
          <c:extLst>
            <c:ext xmlns:c16="http://schemas.microsoft.com/office/drawing/2014/chart" uri="{C3380CC4-5D6E-409C-BE32-E72D297353CC}">
              <c16:uniqueId val="{00000001-B04B-4995-A9AF-E694205570BE}"/>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2.1035422801777099E-3</c:v>
                </c:pt>
                <c:pt idx="1">
                  <c:v>2.2224222222187867E-3</c:v>
                </c:pt>
                <c:pt idx="2">
                  <c:v>2.25235319819337E-3</c:v>
                </c:pt>
                <c:pt idx="3">
                  <c:v>2.555569034231223E-3</c:v>
                </c:pt>
                <c:pt idx="4">
                  <c:v>2.7000134449270373E-3</c:v>
                </c:pt>
                <c:pt idx="5">
                  <c:v>3.7915828658122755E-3</c:v>
                </c:pt>
                <c:pt idx="6">
                  <c:v>4.9756087562004428E-3</c:v>
                </c:pt>
                <c:pt idx="7">
                  <c:v>7.4464114583125112E-3</c:v>
                </c:pt>
                <c:pt idx="8">
                  <c:v>1.3800443526207965E-2</c:v>
                </c:pt>
                <c:pt idx="9">
                  <c:v>2.4769662376285743E-2</c:v>
                </c:pt>
                <c:pt idx="10">
                  <c:v>4.5234366666697605E-2</c:v>
                </c:pt>
                <c:pt idx="11">
                  <c:v>9.2795738888930321E-2</c:v>
                </c:pt>
                <c:pt idx="12">
                  <c:v>0.18169393214338925</c:v>
                </c:pt>
                <c:pt idx="13">
                  <c:v>0.36642610714105622</c:v>
                </c:pt>
                <c:pt idx="14">
                  <c:v>0.72535682857518879</c:v>
                </c:pt>
                <c:pt idx="15">
                  <c:v>1.349540174996946</c:v>
                </c:pt>
                <c:pt idx="16">
                  <c:v>2.7213374999992084</c:v>
                </c:pt>
                <c:pt idx="17">
                  <c:v>5.2666155999759212</c:v>
                </c:pt>
                <c:pt idx="18">
                  <c:v>10.521984999999404</c:v>
                </c:pt>
                <c:pt idx="19">
                  <c:v>22.644878100021742</c:v>
                </c:pt>
                <c:pt idx="20">
                  <c:v>43.54101049999008</c:v>
                </c:pt>
              </c:numCache>
            </c:numRef>
          </c:yVal>
          <c:smooth val="0"/>
          <c:extLst>
            <c:ext xmlns:c16="http://schemas.microsoft.com/office/drawing/2014/chart" uri="{C3380CC4-5D6E-409C-BE32-E72D297353CC}">
              <c16:uniqueId val="{00000002-B04B-4995-A9AF-E694205570BE}"/>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B04B-4995-A9AF-E694205570BE}"/>
            </c:ext>
          </c:extLst>
        </c:ser>
        <c:dLbls>
          <c:showLegendKey val="0"/>
          <c:showVal val="0"/>
          <c:showCatName val="0"/>
          <c:showSerName val="0"/>
          <c:showPercent val="0"/>
          <c:showBubbleSize val="0"/>
        </c:dLbls>
        <c:axId val="2107925744"/>
        <c:axId val="2107924496"/>
      </c:scatterChart>
      <c:valAx>
        <c:axId val="2107925744"/>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924496"/>
        <c:crosses val="autoZero"/>
        <c:crossBetween val="midCat"/>
      </c:valAx>
      <c:valAx>
        <c:axId val="2107924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7925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2.2644973731840383E-4</c:v>
                </c:pt>
                <c:pt idx="1">
                  <c:v>2.3361830117227895E-4</c:v>
                </c:pt>
                <c:pt idx="2">
                  <c:v>2.8072064900121652E-4</c:v>
                </c:pt>
                <c:pt idx="3">
                  <c:v>3.9899320938363445E-4</c:v>
                </c:pt>
                <c:pt idx="4">
                  <c:v>4.8755509945545904E-4</c:v>
                </c:pt>
                <c:pt idx="5">
                  <c:v>8.4031715677700396E-4</c:v>
                </c:pt>
                <c:pt idx="6">
                  <c:v>1.7736905995017508E-3</c:v>
                </c:pt>
                <c:pt idx="7">
                  <c:v>3.2252971631076084E-3</c:v>
                </c:pt>
                <c:pt idx="8">
                  <c:v>4.9217618110073604E-3</c:v>
                </c:pt>
                <c:pt idx="9">
                  <c:v>1.0486406708561836E-2</c:v>
                </c:pt>
                <c:pt idx="10">
                  <c:v>2.0981220502058574E-2</c:v>
                </c:pt>
                <c:pt idx="11">
                  <c:v>4.1445713223021645E-2</c:v>
                </c:pt>
                <c:pt idx="12">
                  <c:v>8.7629134482744245E-2</c:v>
                </c:pt>
                <c:pt idx="13">
                  <c:v>0.1776159241372029</c:v>
                </c:pt>
                <c:pt idx="14">
                  <c:v>0.38469105384473762</c:v>
                </c:pt>
                <c:pt idx="15">
                  <c:v>0.77306929999862661</c:v>
                </c:pt>
                <c:pt idx="16">
                  <c:v>1.7640177333378233</c:v>
                </c:pt>
                <c:pt idx="17">
                  <c:v>3.0237499000068055</c:v>
                </c:pt>
                <c:pt idx="18">
                  <c:v>6.5890080999815837</c:v>
                </c:pt>
              </c:numCache>
            </c:numRef>
          </c:yVal>
          <c:smooth val="0"/>
          <c:extLst>
            <c:ext xmlns:c16="http://schemas.microsoft.com/office/drawing/2014/chart" uri="{C3380CC4-5D6E-409C-BE32-E72D297353CC}">
              <c16:uniqueId val="{00000000-9B28-4930-AEA7-C518D2001E62}"/>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1.5608209458452176E-4</c:v>
                </c:pt>
                <c:pt idx="1">
                  <c:v>1.6665396460364444E-4</c:v>
                </c:pt>
                <c:pt idx="2">
                  <c:v>2.0638187146518932E-4</c:v>
                </c:pt>
                <c:pt idx="3">
                  <c:v>2.7536636744105532E-4</c:v>
                </c:pt>
                <c:pt idx="4">
                  <c:v>4.2608695355802296E-4</c:v>
                </c:pt>
                <c:pt idx="5">
                  <c:v>7.7551051489136433E-4</c:v>
                </c:pt>
                <c:pt idx="6">
                  <c:v>1.4247071794867702E-3</c:v>
                </c:pt>
                <c:pt idx="7">
                  <c:v>3.003012364941827E-3</c:v>
                </c:pt>
                <c:pt idx="8">
                  <c:v>5.5560855716017266E-3</c:v>
                </c:pt>
                <c:pt idx="9">
                  <c:v>9.9496918488696587E-3</c:v>
                </c:pt>
                <c:pt idx="10">
                  <c:v>2.0393005284533753E-2</c:v>
                </c:pt>
                <c:pt idx="11">
                  <c:v>4.2075689916035254E-2</c:v>
                </c:pt>
                <c:pt idx="12">
                  <c:v>8.3336409835954056E-2</c:v>
                </c:pt>
                <c:pt idx="13">
                  <c:v>0.17279246551735358</c:v>
                </c:pt>
                <c:pt idx="14">
                  <c:v>0.35402899999947596</c:v>
                </c:pt>
                <c:pt idx="15">
                  <c:v>0.72846014285460114</c:v>
                </c:pt>
                <c:pt idx="16">
                  <c:v>1.4370183499995619</c:v>
                </c:pt>
                <c:pt idx="17">
                  <c:v>2.9754357000056189</c:v>
                </c:pt>
                <c:pt idx="18">
                  <c:v>6.1787481000064872</c:v>
                </c:pt>
              </c:numCache>
            </c:numRef>
          </c:yVal>
          <c:smooth val="0"/>
          <c:extLst>
            <c:ext xmlns:c16="http://schemas.microsoft.com/office/drawing/2014/chart" uri="{C3380CC4-5D6E-409C-BE32-E72D297353CC}">
              <c16:uniqueId val="{00000001-9B28-4930-AEA7-C518D2001E62}"/>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2.1552271551752646E-3</c:v>
                </c:pt>
                <c:pt idx="1">
                  <c:v>2.062432701032148E-3</c:v>
                </c:pt>
                <c:pt idx="2">
                  <c:v>2.1642464733970111E-3</c:v>
                </c:pt>
                <c:pt idx="3">
                  <c:v>2.4951057385259631E-3</c:v>
                </c:pt>
                <c:pt idx="4">
                  <c:v>2.7571443219393463E-3</c:v>
                </c:pt>
                <c:pt idx="5">
                  <c:v>3.141070917085949E-3</c:v>
                </c:pt>
                <c:pt idx="6">
                  <c:v>5.7962173812195492E-3</c:v>
                </c:pt>
                <c:pt idx="7">
                  <c:v>8.3893637583847321E-3</c:v>
                </c:pt>
                <c:pt idx="8">
                  <c:v>1.2264999509794755E-2</c:v>
                </c:pt>
                <c:pt idx="9">
                  <c:v>2.1064453781533501E-2</c:v>
                </c:pt>
                <c:pt idx="10">
                  <c:v>3.972531587281819E-2</c:v>
                </c:pt>
                <c:pt idx="11">
                  <c:v>7.6993843077126742E-2</c:v>
                </c:pt>
                <c:pt idx="12">
                  <c:v>0.13729749459417764</c:v>
                </c:pt>
                <c:pt idx="13">
                  <c:v>0.28740235000117942</c:v>
                </c:pt>
                <c:pt idx="14">
                  <c:v>0.57525035555590875</c:v>
                </c:pt>
                <c:pt idx="15">
                  <c:v>1.1963503599981777</c:v>
                </c:pt>
                <c:pt idx="16">
                  <c:v>2.4514935333378767</c:v>
                </c:pt>
                <c:pt idx="17">
                  <c:v>4.419800599993323</c:v>
                </c:pt>
                <c:pt idx="18">
                  <c:v>8.6377141000120901</c:v>
                </c:pt>
              </c:numCache>
            </c:numRef>
          </c:yVal>
          <c:smooth val="0"/>
          <c:extLst>
            <c:ext xmlns:c16="http://schemas.microsoft.com/office/drawing/2014/chart" uri="{C3380CC4-5D6E-409C-BE32-E72D297353CC}">
              <c16:uniqueId val="{00000002-9B28-4930-AEA7-C518D2001E62}"/>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28-4930-AEA7-C518D2001E62}"/>
            </c:ext>
          </c:extLst>
        </c:ser>
        <c:dLbls>
          <c:showLegendKey val="0"/>
          <c:showVal val="0"/>
          <c:showCatName val="0"/>
          <c:showSerName val="0"/>
          <c:showPercent val="0"/>
          <c:showBubbleSize val="0"/>
        </c:dLbls>
        <c:axId val="1207115696"/>
        <c:axId val="1207114448"/>
      </c:scatterChart>
      <c:valAx>
        <c:axId val="120711569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114448"/>
        <c:crosses val="autoZero"/>
        <c:crossBetween val="midCat"/>
      </c:valAx>
      <c:valAx>
        <c:axId val="1207114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1156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2.1446816505102834E-4</c:v>
                </c:pt>
                <c:pt idx="1">
                  <c:v>2.2895874353244671E-4</c:v>
                </c:pt>
                <c:pt idx="2">
                  <c:v>2.6713968050430948E-4</c:v>
                </c:pt>
                <c:pt idx="3">
                  <c:v>3.2297551350010217E-4</c:v>
                </c:pt>
                <c:pt idx="4">
                  <c:v>4.8706758230966879E-4</c:v>
                </c:pt>
                <c:pt idx="5">
                  <c:v>7.0373184633107193E-4</c:v>
                </c:pt>
                <c:pt idx="6">
                  <c:v>1.1688828891995066E-3</c:v>
                </c:pt>
                <c:pt idx="7">
                  <c:v>2.4675402565345582E-3</c:v>
                </c:pt>
                <c:pt idx="8">
                  <c:v>5.1676210743668086E-3</c:v>
                </c:pt>
                <c:pt idx="9">
                  <c:v>9.8883300394914022E-3</c:v>
                </c:pt>
                <c:pt idx="10">
                  <c:v>1.7549229122743239E-2</c:v>
                </c:pt>
                <c:pt idx="11">
                  <c:v>3.676718686126091E-2</c:v>
                </c:pt>
                <c:pt idx="12">
                  <c:v>7.2909913043511784E-2</c:v>
                </c:pt>
                <c:pt idx="13">
                  <c:v>0.14606829142846567</c:v>
                </c:pt>
              </c:numCache>
            </c:numRef>
          </c:yVal>
          <c:smooth val="0"/>
          <c:extLst>
            <c:ext xmlns:c16="http://schemas.microsoft.com/office/drawing/2014/chart" uri="{C3380CC4-5D6E-409C-BE32-E72D297353CC}">
              <c16:uniqueId val="{00000000-5ADA-4B73-94EF-174035A1E319}"/>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1.4944251001205509E-4</c:v>
                </c:pt>
                <c:pt idx="1">
                  <c:v>1.6586622657232866E-4</c:v>
                </c:pt>
                <c:pt idx="2">
                  <c:v>1.9037080525451455E-4</c:v>
                </c:pt>
                <c:pt idx="3">
                  <c:v>2.5663570805282304E-4</c:v>
                </c:pt>
                <c:pt idx="4">
                  <c:v>4.3265677078843743E-4</c:v>
                </c:pt>
                <c:pt idx="5">
                  <c:v>6.6746868660178254E-4</c:v>
                </c:pt>
                <c:pt idx="6">
                  <c:v>1.1173058311028719E-3</c:v>
                </c:pt>
                <c:pt idx="7">
                  <c:v>3.9479124703932986E-3</c:v>
                </c:pt>
                <c:pt idx="8">
                  <c:v>4.3021158211588662E-3</c:v>
                </c:pt>
                <c:pt idx="9">
                  <c:v>1.0810224190075253E-2</c:v>
                </c:pt>
                <c:pt idx="10">
                  <c:v>1.6932016553992808E-2</c:v>
                </c:pt>
                <c:pt idx="11">
                  <c:v>3.7138957037004053E-2</c:v>
                </c:pt>
                <c:pt idx="12">
                  <c:v>6.8089724324070969E-2</c:v>
                </c:pt>
                <c:pt idx="13">
                  <c:v>0.17954051379287006</c:v>
                </c:pt>
              </c:numCache>
            </c:numRef>
          </c:yVal>
          <c:smooth val="0"/>
          <c:extLst>
            <c:ext xmlns:c16="http://schemas.microsoft.com/office/drawing/2014/chart" uri="{C3380CC4-5D6E-409C-BE32-E72D297353CC}">
              <c16:uniqueId val="{00000001-5ADA-4B73-94EF-174035A1E319}"/>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2.1041007151833681E-3</c:v>
                </c:pt>
                <c:pt idx="1">
                  <c:v>2.0168039112890726E-3</c:v>
                </c:pt>
                <c:pt idx="2">
                  <c:v>2.0843845769040335E-3</c:v>
                </c:pt>
                <c:pt idx="3">
                  <c:v>2.5397405789743159E-3</c:v>
                </c:pt>
                <c:pt idx="4">
                  <c:v>4.0297244158014351E-3</c:v>
                </c:pt>
                <c:pt idx="5">
                  <c:v>3.6585201901804735E-3</c:v>
                </c:pt>
                <c:pt idx="6">
                  <c:v>7.5770053030503205E-3</c:v>
                </c:pt>
                <c:pt idx="7">
                  <c:v>2.6662556383018184E-2</c:v>
                </c:pt>
                <c:pt idx="8">
                  <c:v>8.0990182257899571E-2</c:v>
                </c:pt>
                <c:pt idx="9">
                  <c:v>0.29792842941071074</c:v>
                </c:pt>
                <c:pt idx="10">
                  <c:v>1.1519225600000937</c:v>
                </c:pt>
                <c:pt idx="11">
                  <c:v>4.2961179499980062</c:v>
                </c:pt>
                <c:pt idx="12">
                  <c:v>18.424067900021328</c:v>
                </c:pt>
                <c:pt idx="13">
                  <c:v>67.278493300022092</c:v>
                </c:pt>
              </c:numCache>
            </c:numRef>
          </c:yVal>
          <c:smooth val="0"/>
          <c:extLst>
            <c:ext xmlns:c16="http://schemas.microsoft.com/office/drawing/2014/chart" uri="{C3380CC4-5D6E-409C-BE32-E72D297353CC}">
              <c16:uniqueId val="{00000002-5ADA-4B73-94EF-174035A1E319}"/>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ADA-4B73-94EF-174035A1E319}"/>
            </c:ext>
          </c:extLst>
        </c:ser>
        <c:dLbls>
          <c:showLegendKey val="0"/>
          <c:showVal val="0"/>
          <c:showCatName val="0"/>
          <c:showSerName val="0"/>
          <c:showPercent val="0"/>
          <c:showBubbleSize val="0"/>
        </c:dLbls>
        <c:axId val="1214728320"/>
        <c:axId val="1214729568"/>
      </c:scatterChart>
      <c:valAx>
        <c:axId val="121472832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729568"/>
        <c:crosses val="autoZero"/>
        <c:crossBetween val="midCat"/>
      </c:valAx>
      <c:valAx>
        <c:axId val="121472956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728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1.0685671153841501E-2</c:v>
                </c:pt>
                <c:pt idx="1">
                  <c:v>1.0250721516356743E-2</c:v>
                </c:pt>
                <c:pt idx="2">
                  <c:v>1.1365860681822101E-2</c:v>
                </c:pt>
                <c:pt idx="3">
                  <c:v>1.3180460789513553E-2</c:v>
                </c:pt>
                <c:pt idx="4">
                  <c:v>1.6601433112561265E-2</c:v>
                </c:pt>
                <c:pt idx="5">
                  <c:v>2.5011592999944696E-2</c:v>
                </c:pt>
                <c:pt idx="6">
                  <c:v>4.0899958536530487E-2</c:v>
                </c:pt>
                <c:pt idx="7">
                  <c:v>6.9490672222147831E-2</c:v>
                </c:pt>
                <c:pt idx="8">
                  <c:v>0.13281512631587439</c:v>
                </c:pt>
                <c:pt idx="9">
                  <c:v>0.2502958250013762</c:v>
                </c:pt>
                <c:pt idx="10">
                  <c:v>0.49565475454437546</c:v>
                </c:pt>
                <c:pt idx="11">
                  <c:v>1.0098774800018873</c:v>
                </c:pt>
                <c:pt idx="12">
                  <c:v>2.2600098333302108</c:v>
                </c:pt>
                <c:pt idx="13">
                  <c:v>5.8219947000034153</c:v>
                </c:pt>
                <c:pt idx="14">
                  <c:v>11.511365400016075</c:v>
                </c:pt>
              </c:numCache>
            </c:numRef>
          </c:yVal>
          <c:smooth val="0"/>
          <c:extLst>
            <c:ext xmlns:c16="http://schemas.microsoft.com/office/drawing/2014/chart" uri="{C3380CC4-5D6E-409C-BE32-E72D297353CC}">
              <c16:uniqueId val="{00000000-8363-4ADF-BF6C-39A42BC16687}"/>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1.1852932464448906E-2</c:v>
                </c:pt>
                <c:pt idx="1">
                  <c:v>1.1047813244971959E-2</c:v>
                </c:pt>
                <c:pt idx="2">
                  <c:v>1.1083745353971608E-2</c:v>
                </c:pt>
                <c:pt idx="3">
                  <c:v>1.3121156020962185E-2</c:v>
                </c:pt>
                <c:pt idx="4">
                  <c:v>1.5979934824272075E-2</c:v>
                </c:pt>
                <c:pt idx="5">
                  <c:v>2.3816361904859411E-2</c:v>
                </c:pt>
                <c:pt idx="6">
                  <c:v>3.9663674803239873E-2</c:v>
                </c:pt>
                <c:pt idx="7">
                  <c:v>7.1960539999833734E-2</c:v>
                </c:pt>
                <c:pt idx="8">
                  <c:v>0.12685261500009801</c:v>
                </c:pt>
                <c:pt idx="9">
                  <c:v>0.25656191000016404</c:v>
                </c:pt>
                <c:pt idx="10">
                  <c:v>0.48512899090895767</c:v>
                </c:pt>
                <c:pt idx="11">
                  <c:v>1.2589052000039374</c:v>
                </c:pt>
                <c:pt idx="12">
                  <c:v>2.4592211000078046</c:v>
                </c:pt>
                <c:pt idx="13">
                  <c:v>4.1848557000048459</c:v>
                </c:pt>
                <c:pt idx="14">
                  <c:v>8.5781165000225883</c:v>
                </c:pt>
              </c:numCache>
            </c:numRef>
          </c:yVal>
          <c:smooth val="0"/>
          <c:extLst>
            <c:ext xmlns:c16="http://schemas.microsoft.com/office/drawing/2014/chart" uri="{C3380CC4-5D6E-409C-BE32-E72D297353CC}">
              <c16:uniqueId val="{00000001-8363-4ADF-BF6C-39A42BC16687}"/>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2.735838415295196E-2</c:v>
                </c:pt>
                <c:pt idx="1">
                  <c:v>3.1573169811265601E-2</c:v>
                </c:pt>
                <c:pt idx="2">
                  <c:v>3.4753443750054833E-2</c:v>
                </c:pt>
                <c:pt idx="3">
                  <c:v>2.9693675147901295E-2</c:v>
                </c:pt>
                <c:pt idx="4">
                  <c:v>3.1703376582391925E-2</c:v>
                </c:pt>
                <c:pt idx="5">
                  <c:v>3.1009577160642229E-2</c:v>
                </c:pt>
                <c:pt idx="6">
                  <c:v>3.429708013702535E-2</c:v>
                </c:pt>
                <c:pt idx="7">
                  <c:v>3.9280626562458565E-2</c:v>
                </c:pt>
                <c:pt idx="8">
                  <c:v>5.0336231999972371E-2</c:v>
                </c:pt>
                <c:pt idx="9">
                  <c:v>8.8256040351105888E-2</c:v>
                </c:pt>
                <c:pt idx="10">
                  <c:v>0.2017323200008832</c:v>
                </c:pt>
                <c:pt idx="11">
                  <c:v>0.92454548333383479</c:v>
                </c:pt>
                <c:pt idx="12">
                  <c:v>2.3726784666650929</c:v>
                </c:pt>
                <c:pt idx="13">
                  <c:v>10.300931399979163</c:v>
                </c:pt>
                <c:pt idx="14">
                  <c:v>58.412140700005693</c:v>
                </c:pt>
              </c:numCache>
            </c:numRef>
          </c:yVal>
          <c:smooth val="0"/>
          <c:extLst>
            <c:ext xmlns:c16="http://schemas.microsoft.com/office/drawing/2014/chart" uri="{C3380CC4-5D6E-409C-BE32-E72D297353CC}">
              <c16:uniqueId val="{00000002-8363-4ADF-BF6C-39A42BC16687}"/>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363-4ADF-BF6C-39A42BC16687}"/>
            </c:ext>
          </c:extLst>
        </c:ser>
        <c:dLbls>
          <c:showLegendKey val="0"/>
          <c:showVal val="0"/>
          <c:showCatName val="0"/>
          <c:showSerName val="0"/>
          <c:showPercent val="0"/>
          <c:showBubbleSize val="0"/>
        </c:dLbls>
        <c:axId val="1190582736"/>
        <c:axId val="1190581488"/>
      </c:scatterChart>
      <c:valAx>
        <c:axId val="119058273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581488"/>
        <c:crosses val="autoZero"/>
        <c:crossBetween val="midCat"/>
      </c:valAx>
      <c:valAx>
        <c:axId val="11905814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0582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4.0116679999977353E-2</c:v>
                </c:pt>
                <c:pt idx="1">
                  <c:v>3.3024280920998489E-2</c:v>
                </c:pt>
                <c:pt idx="2">
                  <c:v>3.1866174050690782E-2</c:v>
                </c:pt>
                <c:pt idx="3">
                  <c:v>3.1897477848165011E-2</c:v>
                </c:pt>
                <c:pt idx="4">
                  <c:v>3.716843897050507E-2</c:v>
                </c:pt>
                <c:pt idx="5">
                  <c:v>4.3709532174018573E-2</c:v>
                </c:pt>
                <c:pt idx="6">
                  <c:v>5.8359217241235162E-2</c:v>
                </c:pt>
                <c:pt idx="7">
                  <c:v>0.10138135200017132</c:v>
                </c:pt>
                <c:pt idx="8">
                  <c:v>0.15785021562533075</c:v>
                </c:pt>
                <c:pt idx="9">
                  <c:v>0.27571386842081619</c:v>
                </c:pt>
                <c:pt idx="10">
                  <c:v>0.51226721818304877</c:v>
                </c:pt>
                <c:pt idx="11">
                  <c:v>0.96312313333328348</c:v>
                </c:pt>
                <c:pt idx="12">
                  <c:v>2.1272302999956687</c:v>
                </c:pt>
                <c:pt idx="13">
                  <c:v>4.1366874000086682</c:v>
                </c:pt>
                <c:pt idx="14">
                  <c:v>8.8224731000082102</c:v>
                </c:pt>
              </c:numCache>
            </c:numRef>
          </c:yVal>
          <c:smooth val="0"/>
          <c:extLst>
            <c:ext xmlns:c16="http://schemas.microsoft.com/office/drawing/2014/chart" uri="{C3380CC4-5D6E-409C-BE32-E72D297353CC}">
              <c16:uniqueId val="{00000000-34E3-4A54-AB70-D60A2D2900CB}"/>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3.2209532051265109E-2</c:v>
                </c:pt>
                <c:pt idx="1">
                  <c:v>5.4147470967784044E-2</c:v>
                </c:pt>
                <c:pt idx="2">
                  <c:v>2.9582260588273023E-2</c:v>
                </c:pt>
                <c:pt idx="3">
                  <c:v>3.402772040833358E-2</c:v>
                </c:pt>
                <c:pt idx="4">
                  <c:v>4.0334889600053429E-2</c:v>
                </c:pt>
                <c:pt idx="5">
                  <c:v>4.6070568807425251E-2</c:v>
                </c:pt>
                <c:pt idx="6">
                  <c:v>5.7725116092010517E-2</c:v>
                </c:pt>
                <c:pt idx="7">
                  <c:v>9.9017990196087202E-2</c:v>
                </c:pt>
                <c:pt idx="8">
                  <c:v>0.15666048124967347</c:v>
                </c:pt>
                <c:pt idx="9">
                  <c:v>0.26426800000052408</c:v>
                </c:pt>
                <c:pt idx="10">
                  <c:v>0.54514243000012352</c:v>
                </c:pt>
                <c:pt idx="11">
                  <c:v>0.97915306666497293</c:v>
                </c:pt>
                <c:pt idx="12">
                  <c:v>2.0197260333322142</c:v>
                </c:pt>
                <c:pt idx="13">
                  <c:v>4.0722253999992972</c:v>
                </c:pt>
                <c:pt idx="14">
                  <c:v>8.489560399990296</c:v>
                </c:pt>
              </c:numCache>
            </c:numRef>
          </c:yVal>
          <c:smooth val="0"/>
          <c:extLst>
            <c:ext xmlns:c16="http://schemas.microsoft.com/office/drawing/2014/chart" uri="{C3380CC4-5D6E-409C-BE32-E72D297353CC}">
              <c16:uniqueId val="{00000001-34E3-4A54-AB70-D60A2D2900CB}"/>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7.0491409858911711E-2</c:v>
                </c:pt>
                <c:pt idx="1">
                  <c:v>5.7368631817966656E-2</c:v>
                </c:pt>
                <c:pt idx="2">
                  <c:v>5.2835925263168881E-2</c:v>
                </c:pt>
                <c:pt idx="3">
                  <c:v>5.7099562500132546E-2</c:v>
                </c:pt>
                <c:pt idx="4">
                  <c:v>6.3634559493718226E-2</c:v>
                </c:pt>
                <c:pt idx="5">
                  <c:v>6.1777551851758483E-2</c:v>
                </c:pt>
                <c:pt idx="6">
                  <c:v>5.8442130232727978E-2</c:v>
                </c:pt>
                <c:pt idx="7">
                  <c:v>6.3417806328772391E-2</c:v>
                </c:pt>
                <c:pt idx="8">
                  <c:v>7.495712089559077E-2</c:v>
                </c:pt>
                <c:pt idx="9">
                  <c:v>8.7121741379037151E-2</c:v>
                </c:pt>
                <c:pt idx="10">
                  <c:v>0.21410807916739336</c:v>
                </c:pt>
                <c:pt idx="11">
                  <c:v>0.6493489624990616</c:v>
                </c:pt>
                <c:pt idx="12">
                  <c:v>2.2256907666645325</c:v>
                </c:pt>
                <c:pt idx="13">
                  <c:v>11.082353799982229</c:v>
                </c:pt>
                <c:pt idx="14">
                  <c:v>57.087035000004107</c:v>
                </c:pt>
              </c:numCache>
            </c:numRef>
          </c:yVal>
          <c:smooth val="0"/>
          <c:extLst>
            <c:ext xmlns:c16="http://schemas.microsoft.com/office/drawing/2014/chart" uri="{C3380CC4-5D6E-409C-BE32-E72D297353CC}">
              <c16:uniqueId val="{00000002-34E3-4A54-AB70-D60A2D2900CB}"/>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34E3-4A54-AB70-D60A2D2900CB}"/>
            </c:ext>
          </c:extLst>
        </c:ser>
        <c:dLbls>
          <c:showLegendKey val="0"/>
          <c:showVal val="0"/>
          <c:showCatName val="0"/>
          <c:showSerName val="0"/>
          <c:showPercent val="0"/>
          <c:showBubbleSize val="0"/>
        </c:dLbls>
        <c:axId val="443752432"/>
        <c:axId val="443751184"/>
      </c:scatterChart>
      <c:valAx>
        <c:axId val="44375243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51184"/>
        <c:crosses val="autoZero"/>
        <c:crossBetween val="midCat"/>
      </c:valAx>
      <c:valAx>
        <c:axId val="44375118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524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500-0000018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1DE0960A-551E-4305-A4C8-C710685928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72949F50-FA0E-448D-A785-DA071D12F4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3BBA35ED-711A-4F31-8BA7-510DAC196A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7F92A9FF-38F2-4C17-B495-BBC4C13D97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3811BD85-13ED-4C73-A3AF-24F9A726FC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DA7F8958-54D6-4574-BCBE-F9112D7786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86944456-8DF2-4726-99F5-09023C1B61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0" totalsRowShown="0" dataDxfId="112" tableBorderDxfId="111">
  <autoFilter ref="B14:U220" xr:uid="{AA7B04EB-66A0-4341-9771-1FD43653C50C}"/>
  <sortState xmlns:xlrd2="http://schemas.microsoft.com/office/spreadsheetml/2017/richdata2" ref="B15:U220">
    <sortCondition ref="C14:C220"/>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drawing" Target="../drawings/drawing5.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9.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5.xml"/><Relationship Id="rId4" Type="http://schemas.openxmlformats.org/officeDocument/2006/relationships/hyperlink" Target="https://csv.juliadata.org/stable/" TargetMode="External"/><Relationship Id="rId9"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600</v>
      </c>
    </row>
    <row r="3" spans="1:14" x14ac:dyDescent="0.45">
      <c r="B3" s="3" t="s">
        <v>0</v>
      </c>
    </row>
    <row r="4" spans="1:14" x14ac:dyDescent="0.45">
      <c r="B4" s="4" t="s">
        <v>2</v>
      </c>
      <c r="C4" s="4"/>
    </row>
    <row r="5" spans="1:14" x14ac:dyDescent="0.45">
      <c r="B5" s="8" t="s">
        <v>246</v>
      </c>
      <c r="C5" s="8"/>
    </row>
    <row r="6" spans="1:14" x14ac:dyDescent="0.45">
      <c r="B6" s="7" t="s">
        <v>5</v>
      </c>
      <c r="C6" s="7"/>
    </row>
    <row r="7" spans="1:14" x14ac:dyDescent="0.45">
      <c r="B7" s="6" t="s">
        <v>3</v>
      </c>
      <c r="C7" s="6"/>
    </row>
    <row r="8" spans="1:14" x14ac:dyDescent="0.45">
      <c r="B8" s="62" t="s">
        <v>245</v>
      </c>
      <c r="C8" s="62"/>
    </row>
    <row r="9" spans="1:14" x14ac:dyDescent="0.45">
      <c r="B9" s="61" t="s">
        <v>357</v>
      </c>
      <c r="C9" s="61"/>
    </row>
    <row r="10" spans="1:14" x14ac:dyDescent="0.45">
      <c r="C10" s="5"/>
      <c r="M10" s="3" t="s">
        <v>6</v>
      </c>
    </row>
    <row r="11" spans="1:14" x14ac:dyDescent="0.45">
      <c r="B11" s="2" t="s">
        <v>7</v>
      </c>
      <c r="E11" s="3" t="s">
        <v>8</v>
      </c>
      <c r="G11" s="2" t="s">
        <v>603</v>
      </c>
      <c r="M11" s="10" t="b">
        <f ca="1">AND(ROWS(B13:C52)=ROWS(_xlfn.ANCHORARRAY(G13)),COLUMNS(B13:C52)=COLUMNS(_xlfn.ANCHORARRAY(G13)),AND(_xlfn.ANCHORARRAY(M13)))</f>
        <v>1</v>
      </c>
    </row>
    <row r="12" spans="1:14" x14ac:dyDescent="0.45">
      <c r="G12" s="2" t="s">
        <v>602</v>
      </c>
      <c r="J12" s="2" t="s">
        <v>601</v>
      </c>
      <c r="M12" t="s">
        <v>9</v>
      </c>
    </row>
    <row r="13" spans="1:14" x14ac:dyDescent="0.4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95</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45">
      <c r="B14" s="78" t="str">
        <f ca="1"/>
        <v>2054-Jun-14</v>
      </c>
      <c r="C14" s="78" t="str">
        <f ca="1"/>
        <v/>
      </c>
      <c r="G14" s="78" t="str">
        <f ca="1"/>
        <v>2054-Jun-14</v>
      </c>
      <c r="H14" s="78" t="str">
        <f ca="1"/>
        <v/>
      </c>
      <c r="J14" s="78" t="str">
        <f ca="1"/>
        <v>2054-Jun-14</v>
      </c>
      <c r="K14" s="78" t="str">
        <f ca="1"/>
        <v/>
      </c>
      <c r="M14" s="11" t="b">
        <f ca="1"/>
        <v>1</v>
      </c>
      <c r="N14" s="11" t="b">
        <f ca="1"/>
        <v>1</v>
      </c>
    </row>
    <row r="15" spans="1:14" x14ac:dyDescent="0.45">
      <c r="B15" s="78" t="str">
        <f ca="1"/>
        <v>FALSE</v>
      </c>
      <c r="C15" s="78" t="str">
        <f ca="1"/>
        <v/>
      </c>
      <c r="G15" s="78" t="str">
        <f ca="1"/>
        <v>FALSE</v>
      </c>
      <c r="H15" s="78" t="str">
        <f ca="1"/>
        <v/>
      </c>
      <c r="J15" s="78" t="str">
        <f ca="1"/>
        <v>FALSE</v>
      </c>
      <c r="K15" s="78" t="str">
        <f ca="1"/>
        <v/>
      </c>
      <c r="M15" s="11" t="b">
        <f ca="1"/>
        <v>1</v>
      </c>
      <c r="N15" s="11" t="b">
        <f ca="1"/>
        <v>1</v>
      </c>
    </row>
    <row r="16" spans="1:14" x14ac:dyDescent="0.45">
      <c r="B16" s="78" t="b">
        <f ca="1"/>
        <v>0</v>
      </c>
      <c r="C16" s="78" t="str">
        <f ca="1"/>
        <v>^ED4o/E</v>
      </c>
      <c r="G16" s="78" t="str">
        <f ca="1"/>
        <v>False</v>
      </c>
      <c r="H16" s="78" t="str">
        <f ca="1"/>
        <v>^ED4o/E</v>
      </c>
      <c r="J16" s="78" t="b">
        <f ca="1"/>
        <v>0</v>
      </c>
      <c r="K16" s="78" t="str">
        <f ca="1"/>
        <v>^ED4o/E</v>
      </c>
      <c r="M16" s="11" t="b">
        <f ca="1"/>
        <v>1</v>
      </c>
      <c r="N16" s="11" t="b">
        <f ca="1"/>
        <v>1</v>
      </c>
    </row>
    <row r="17" spans="2:14" x14ac:dyDescent="0.4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45">
      <c r="B18" s="78" t="e">
        <f ca="1"/>
      </c>
      <c r="C18" s="78">
        <f ca="1"/>
        <v>-718136063.36943996</v>
      </c>
      <c r="G18" s="78" t="str">
        <f ca="1"/>
        <v>#FIELD!</v>
      </c>
      <c r="H18" s="78" t="str">
        <f ca="1"/>
        <v>-718136063.36944</v>
      </c>
      <c r="J18" s="78" t="e">
        <f ca="1"/>
      </c>
      <c r="K18" s="78">
        <f ca="1"/>
        <v>-718136063.36943996</v>
      </c>
      <c r="M18" s="11" t="b">
        <f ca="1"/>
        <v>1</v>
      </c>
      <c r="N18" s="11" t="b">
        <f ca="1"/>
        <v>1</v>
      </c>
    </row>
    <row r="19" spans="2:14" x14ac:dyDescent="0.4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4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45">
      <c r="B21" s="78" t="str">
        <f ca="1"/>
        <v/>
      </c>
      <c r="C21" s="78" t="e">
        <f ca="1"/>
        <v>#NAME?</v>
      </c>
      <c r="G21" s="78" t="str">
        <f ca="1"/>
        <v/>
      </c>
      <c r="H21" s="78" t="str">
        <f ca="1"/>
        <v>#NAME?</v>
      </c>
      <c r="J21" s="78" t="str">
        <f ca="1"/>
        <v/>
      </c>
      <c r="K21" s="78" t="e">
        <f ca="1"/>
        <v>#NAME?</v>
      </c>
      <c r="M21" s="11" t="b">
        <f ca="1"/>
        <v>1</v>
      </c>
      <c r="N21" s="11" t="b">
        <f ca="1"/>
        <v>1</v>
      </c>
    </row>
    <row r="22" spans="2:14" x14ac:dyDescent="0.45">
      <c r="B22" s="78" t="e">
        <f ca="1"/>
        <v>#REF!</v>
      </c>
      <c r="C22" s="78">
        <f ca="1"/>
        <v>53185</v>
      </c>
      <c r="G22" s="78" t="str">
        <f ca="1"/>
        <v>#REF!</v>
      </c>
      <c r="H22" s="78" t="str">
        <f ca="1"/>
        <v>53185</v>
      </c>
      <c r="J22" s="78" t="e">
        <f ca="1"/>
        <v>#REF!</v>
      </c>
      <c r="K22" s="78">
        <f ca="1"/>
        <v>53185</v>
      </c>
      <c r="M22" s="11" t="b">
        <f ca="1"/>
        <v>1</v>
      </c>
      <c r="N22" s="11" t="b">
        <f ca="1"/>
        <v>1</v>
      </c>
    </row>
    <row r="23" spans="2:14" x14ac:dyDescent="0.4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4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45">
      <c r="B25" s="78">
        <f ca="1"/>
        <v>941178</v>
      </c>
      <c r="C25" s="78" t="str">
        <f ca="1"/>
        <v>i`</v>
      </c>
      <c r="G25" s="78" t="str">
        <f ca="1"/>
        <v>941178</v>
      </c>
      <c r="H25" s="78" t="str">
        <f ca="1"/>
        <v>i`</v>
      </c>
      <c r="J25" s="78">
        <f ca="1"/>
        <v>941178</v>
      </c>
      <c r="K25" s="78" t="str">
        <f ca="1"/>
        <v>i`</v>
      </c>
      <c r="M25" s="11" t="b">
        <f ca="1"/>
        <v>1</v>
      </c>
      <c r="N25" s="11" t="b">
        <f ca="1"/>
        <v>1</v>
      </c>
    </row>
    <row r="26" spans="2:14" x14ac:dyDescent="0.4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45">
      <c r="B27" s="78" t="str">
        <f ca="1"/>
        <v/>
      </c>
      <c r="C27" s="78" t="e">
        <f ca="1"/>
      </c>
      <c r="G27" s="78" t="str">
        <f ca="1"/>
        <v/>
      </c>
      <c r="H27" s="78" t="str">
        <f ca="1"/>
        <v>#UNKNOWN!</v>
      </c>
      <c r="J27" s="78" t="str">
        <f ca="1"/>
        <v/>
      </c>
      <c r="K27" s="78" t="e">
        <f ca="1"/>
      </c>
      <c r="M27" s="11" t="b">
        <f ca="1"/>
        <v>1</v>
      </c>
      <c r="N27" s="11" t="b">
        <f ca="1"/>
        <v>1</v>
      </c>
    </row>
    <row r="28" spans="2:14" x14ac:dyDescent="0.45">
      <c r="B28" s="78" t="str">
        <f ca="1"/>
        <v/>
      </c>
      <c r="C28" s="78">
        <f ca="1"/>
        <v>0</v>
      </c>
      <c r="G28" s="78" t="str">
        <f ca="1"/>
        <v/>
      </c>
      <c r="H28" s="78" t="str">
        <f ca="1"/>
        <v>0</v>
      </c>
      <c r="J28" s="78" t="str">
        <f ca="1"/>
        <v/>
      </c>
      <c r="K28" s="78">
        <f ca="1"/>
        <v>0</v>
      </c>
      <c r="M28" s="11" t="b">
        <f ca="1"/>
        <v>1</v>
      </c>
      <c r="N28" s="11" t="b">
        <f ca="1"/>
        <v>1</v>
      </c>
    </row>
    <row r="29" spans="2:14" x14ac:dyDescent="0.4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4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45">
      <c r="B31" s="78">
        <f ca="1"/>
        <v>0</v>
      </c>
      <c r="C31" s="78" t="str">
        <f ca="1"/>
        <v>FALSE</v>
      </c>
      <c r="G31" s="78" t="str">
        <f ca="1"/>
        <v>0</v>
      </c>
      <c r="H31" s="78" t="str">
        <f ca="1"/>
        <v>FALSE</v>
      </c>
      <c r="J31" s="78">
        <f ca="1"/>
        <v>0</v>
      </c>
      <c r="K31" s="78" t="str">
        <f ca="1"/>
        <v>FALSE</v>
      </c>
      <c r="M31" s="11" t="b">
        <f ca="1"/>
        <v>1</v>
      </c>
      <c r="N31" s="11" t="b">
        <f ca="1"/>
        <v>1</v>
      </c>
    </row>
    <row r="32" spans="2:14" x14ac:dyDescent="0.45">
      <c r="B32" s="78" t="str">
        <f ca="1"/>
        <v/>
      </c>
      <c r="C32" s="78" t="str">
        <f ca="1"/>
        <v>FALSE</v>
      </c>
      <c r="G32" s="78" t="str">
        <f ca="1"/>
        <v/>
      </c>
      <c r="H32" s="78" t="str">
        <f ca="1"/>
        <v>FALSE</v>
      </c>
      <c r="J32" s="78" t="str">
        <f ca="1"/>
        <v/>
      </c>
      <c r="K32" s="78" t="str">
        <f ca="1"/>
        <v>FALSE</v>
      </c>
      <c r="M32" s="11" t="b">
        <f ca="1"/>
        <v>1</v>
      </c>
      <c r="N32" s="11" t="b">
        <f ca="1"/>
        <v>1</v>
      </c>
    </row>
    <row r="33" spans="2:14" x14ac:dyDescent="0.45">
      <c r="B33" s="78">
        <f ca="1"/>
        <v>-376983</v>
      </c>
      <c r="C33" s="78" t="str">
        <f ca="1"/>
        <v/>
      </c>
      <c r="G33" s="78" t="str">
        <f ca="1"/>
        <v>-376983</v>
      </c>
      <c r="H33" s="78" t="str">
        <f ca="1"/>
        <v/>
      </c>
      <c r="J33" s="78">
        <f ca="1"/>
        <v>-376983</v>
      </c>
      <c r="K33" s="78" t="str">
        <f ca="1"/>
        <v/>
      </c>
      <c r="M33" s="11" t="b">
        <f ca="1"/>
        <v>1</v>
      </c>
      <c r="N33" s="11" t="b">
        <f ca="1"/>
        <v>1</v>
      </c>
    </row>
    <row r="34" spans="2:14" x14ac:dyDescent="0.45">
      <c r="B34" s="78">
        <f ca="1"/>
        <v>0</v>
      </c>
      <c r="C34" s="78">
        <f ca="1"/>
        <v>0</v>
      </c>
      <c r="G34" s="78" t="str">
        <f ca="1"/>
        <v>0</v>
      </c>
      <c r="H34" s="78" t="str">
        <f ca="1"/>
        <v>0</v>
      </c>
      <c r="J34" s="78">
        <f ca="1"/>
        <v>0</v>
      </c>
      <c r="K34" s="78">
        <f ca="1"/>
        <v>0</v>
      </c>
      <c r="M34" s="11" t="b">
        <f ca="1"/>
        <v>1</v>
      </c>
      <c r="N34" s="11" t="b">
        <f ca="1"/>
        <v>1</v>
      </c>
    </row>
    <row r="35" spans="2:14" x14ac:dyDescent="0.45">
      <c r="B35" s="78">
        <f ca="1"/>
        <v>60834</v>
      </c>
      <c r="C35" s="78" t="str">
        <f ca="1"/>
        <v/>
      </c>
      <c r="G35" s="78" t="str">
        <f ca="1"/>
        <v>60834</v>
      </c>
      <c r="H35" s="78" t="str">
        <f ca="1"/>
        <v/>
      </c>
      <c r="J35" s="78">
        <f ca="1"/>
        <v>60834</v>
      </c>
      <c r="K35" s="78" t="str">
        <f ca="1"/>
        <v/>
      </c>
      <c r="M35" s="11" t="b">
        <f ca="1"/>
        <v>1</v>
      </c>
      <c r="N35" s="11" t="b">
        <f ca="1"/>
        <v>1</v>
      </c>
    </row>
    <row r="36" spans="2:14" x14ac:dyDescent="0.45">
      <c r="B36" s="78" t="e">
        <f ca="1"/>
        <v>#N/A</v>
      </c>
      <c r="C36" s="78" t="str">
        <f ca="1"/>
        <v>TRUE</v>
      </c>
      <c r="G36" s="78" t="str">
        <f ca="1"/>
        <v>#N/A</v>
      </c>
      <c r="H36" s="78" t="str">
        <f ca="1"/>
        <v>TRUE</v>
      </c>
      <c r="J36" s="78" t="e">
        <f ca="1"/>
        <v>#N/A</v>
      </c>
      <c r="K36" s="78" t="str">
        <f ca="1"/>
        <v>TRUE</v>
      </c>
      <c r="M36" s="11" t="b">
        <f ca="1"/>
        <v>1</v>
      </c>
      <c r="N36" s="11" t="b">
        <f ca="1"/>
        <v>1</v>
      </c>
    </row>
    <row r="37" spans="2:14" x14ac:dyDescent="0.4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4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4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45">
      <c r="B40" s="78" t="e">
        <f ca="1"/>
        <v>#DIV/0!</v>
      </c>
      <c r="C40" s="78" t="str">
        <f ca="1"/>
        <v/>
      </c>
      <c r="G40" s="78" t="str">
        <f ca="1"/>
        <v>#DIV/0!</v>
      </c>
      <c r="H40" s="78" t="str">
        <f ca="1"/>
        <v/>
      </c>
      <c r="J40" s="78" t="e">
        <f ca="1"/>
        <v>#DIV/0!</v>
      </c>
      <c r="K40" s="78" t="str">
        <f ca="1"/>
        <v/>
      </c>
      <c r="M40" s="11" t="b">
        <f ca="1"/>
        <v>1</v>
      </c>
      <c r="N40" s="11" t="b">
        <f ca="1"/>
        <v>1</v>
      </c>
    </row>
    <row r="41" spans="2:14" x14ac:dyDescent="0.45">
      <c r="B41" s="78" t="str">
        <f ca="1"/>
        <v>4-WVm</v>
      </c>
      <c r="C41" s="78" t="b">
        <f ca="1"/>
        <v>1</v>
      </c>
      <c r="G41" s="78" t="str">
        <f ca="1"/>
        <v>4-WVm</v>
      </c>
      <c r="H41" s="78" t="str">
        <f ca="1"/>
        <v>True</v>
      </c>
      <c r="J41" s="78" t="str">
        <f ca="1"/>
        <v>4-WVm</v>
      </c>
      <c r="K41" s="78" t="b">
        <f ca="1"/>
        <v>1</v>
      </c>
      <c r="M41" s="11" t="b">
        <f ca="1"/>
        <v>1</v>
      </c>
      <c r="N41" s="11" t="b">
        <f ca="1"/>
        <v>1</v>
      </c>
    </row>
    <row r="42" spans="2:14" x14ac:dyDescent="0.4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4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45">
      <c r="B44" s="78" t="str">
        <f ca="1"/>
        <v>1996-Apr-17</v>
      </c>
      <c r="C44" s="78">
        <f ca="1"/>
        <v>0</v>
      </c>
      <c r="G44" s="78" t="str">
        <f ca="1"/>
        <v>1996-Apr-17</v>
      </c>
      <c r="H44" s="78" t="str">
        <f ca="1"/>
        <v>0</v>
      </c>
      <c r="J44" s="78" t="str">
        <f ca="1"/>
        <v>1996-Apr-17</v>
      </c>
      <c r="K44" s="78">
        <f ca="1"/>
        <v>0</v>
      </c>
      <c r="M44" s="11" t="b">
        <f ca="1"/>
        <v>1</v>
      </c>
      <c r="N44" s="11" t="b">
        <f ca="1"/>
        <v>1</v>
      </c>
    </row>
    <row r="45" spans="2:14" x14ac:dyDescent="0.4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45">
      <c r="B46" s="78" t="e">
        <f ca="1"/>
        <v>#N/A</v>
      </c>
      <c r="C46" s="78" t="str">
        <f ca="1"/>
        <v>pM</v>
      </c>
      <c r="G46" s="78" t="str">
        <f ca="1"/>
        <v>#GETTING_DATA!</v>
      </c>
      <c r="H46" s="78" t="str">
        <f ca="1"/>
        <v>pM</v>
      </c>
      <c r="J46" s="78" t="e">
        <f ca="1"/>
        <v>#N/A</v>
      </c>
      <c r="K46" s="78" t="str">
        <f ca="1"/>
        <v>pM</v>
      </c>
      <c r="M46" s="11" t="b">
        <f ca="1"/>
        <v>1</v>
      </c>
      <c r="N46" s="11" t="b">
        <f ca="1"/>
        <v>1</v>
      </c>
    </row>
    <row r="47" spans="2:14" x14ac:dyDescent="0.4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4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4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45">
      <c r="B50" s="78" t="str">
        <f ca="1"/>
        <v>TRUE</v>
      </c>
      <c r="C50" s="78">
        <f ca="1"/>
        <v>55687</v>
      </c>
      <c r="G50" s="78" t="str">
        <f ca="1"/>
        <v>TRUE</v>
      </c>
      <c r="H50" s="78" t="str">
        <f ca="1"/>
        <v>55687</v>
      </c>
      <c r="J50" s="78" t="str">
        <f ca="1"/>
        <v>TRUE</v>
      </c>
      <c r="K50" s="78">
        <f ca="1"/>
        <v>55687</v>
      </c>
      <c r="M50" s="11" t="b">
        <f ca="1"/>
        <v>1</v>
      </c>
      <c r="N50" s="11" t="b">
        <f ca="1"/>
        <v>1</v>
      </c>
    </row>
    <row r="51" spans="2:14" x14ac:dyDescent="0.4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4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605</v>
      </c>
    </row>
    <row r="3" spans="2:21" x14ac:dyDescent="0.45">
      <c r="B3" s="3" t="s">
        <v>604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7" t="s">
        <v>392</v>
      </c>
      <c r="C6" s="77" t="s">
        <v>393</v>
      </c>
      <c r="D6" s="77" t="s">
        <v>394</v>
      </c>
      <c r="E6" s="77" t="s">
        <v>395</v>
      </c>
      <c r="F6" s="77" t="s">
        <v>396</v>
      </c>
      <c r="G6" s="77" t="s">
        <v>397</v>
      </c>
      <c r="H6" s="77" t="s">
        <v>398</v>
      </c>
      <c r="I6" s="77" t="s">
        <v>399</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394</v>
      </c>
      <c r="L7" s="9" t="s">
        <v>228</v>
      </c>
      <c r="N7" s="77" t="str">
        <f ca="1"/>
        <v>Number</v>
      </c>
      <c r="O7" s="77" t="str">
        <f ca="1"/>
        <v>44424</v>
      </c>
      <c r="P7" s="77">
        <f ca="1"/>
        <v>44424</v>
      </c>
      <c r="Q7" s="77" t="str">
        <f ca="1"/>
        <v>44424</v>
      </c>
      <c r="R7" s="77" t="str">
        <f ca="1"/>
        <v>44424</v>
      </c>
      <c r="S7" s="77">
        <f ca="1"/>
        <v>44424</v>
      </c>
      <c r="T7" s="77" t="str">
        <f ca="1"/>
        <v>44424</v>
      </c>
      <c r="U7" s="77" t="str">
        <f ca="1"/>
        <v>44424</v>
      </c>
    </row>
    <row r="8" spans="2:21" x14ac:dyDescent="0.45">
      <c r="B8" s="77" t="s">
        <v>51</v>
      </c>
      <c r="C8" s="77">
        <v>44432.534178240741</v>
      </c>
      <c r="D8" s="77">
        <v>44432.534178240741</v>
      </c>
      <c r="E8" s="77">
        <v>44432.534178240741</v>
      </c>
      <c r="F8" s="77">
        <v>44432.534178240741</v>
      </c>
      <c r="G8" s="77">
        <v>44432.534178240741</v>
      </c>
      <c r="H8" s="77">
        <v>44432.534178240741</v>
      </c>
      <c r="I8" s="77">
        <v>44432.534178240741</v>
      </c>
      <c r="K8" s="9" t="s">
        <v>395</v>
      </c>
      <c r="L8" s="9" t="s">
        <v>237</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396</v>
      </c>
      <c r="L9" s="76" t="s">
        <v>400</v>
      </c>
      <c r="N9" s="77" t="str">
        <f ca="1"/>
        <v>Boolean</v>
      </c>
      <c r="O9" s="77" t="str">
        <f ca="1"/>
        <v>True</v>
      </c>
      <c r="P9" s="77" t="str">
        <f ca="1"/>
        <v>True</v>
      </c>
      <c r="Q9" s="77" t="str">
        <f ca="1"/>
        <v>True</v>
      </c>
      <c r="R9" s="77" t="b">
        <f ca="1"/>
        <v>1</v>
      </c>
      <c r="S9" s="77" t="str">
        <f ca="1"/>
        <v>True</v>
      </c>
      <c r="T9" s="77" t="str">
        <f ca="1"/>
        <v>True</v>
      </c>
      <c r="U9" s="77" t="b">
        <f ca="1"/>
        <v>1</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397</v>
      </c>
      <c r="L10" s="9" t="s">
        <v>241</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45">
      <c r="B11" s="77" t="str" cm="1">
        <f t="array" ref="B11">_xlfn.IFS(ISNUMBER(C11),"Number",ISTEXT(C11),"String",ISLOGICAL(C11),"Boolean",ISERROR(C11),"Error")</f>
        <v>String</v>
      </c>
      <c r="C11" s="77" t="s">
        <v>230</v>
      </c>
      <c r="D11" s="77" t="s">
        <v>230</v>
      </c>
      <c r="E11" s="77" t="s">
        <v>230</v>
      </c>
      <c r="F11" s="77" t="s">
        <v>230</v>
      </c>
      <c r="G11" s="77" t="s">
        <v>230</v>
      </c>
      <c r="H11" s="77" t="s">
        <v>230</v>
      </c>
      <c r="I11" s="77" t="s">
        <v>230</v>
      </c>
      <c r="K11" s="9" t="s">
        <v>398</v>
      </c>
      <c r="L11" s="9" t="s">
        <v>242</v>
      </c>
      <c r="N11" s="77" t="str">
        <f ca="1"/>
        <v>String</v>
      </c>
      <c r="O11" s="77" t="str">
        <f ca="1"/>
        <v>1</v>
      </c>
      <c r="P11" s="77" t="str">
        <f ca="1"/>
        <v>1</v>
      </c>
      <c r="Q11" s="77" t="str">
        <f ca="1"/>
        <v>1</v>
      </c>
      <c r="R11" s="77" t="str">
        <f ca="1"/>
        <v>1</v>
      </c>
      <c r="S11" s="77">
        <f ca="1"/>
        <v>1</v>
      </c>
      <c r="T11" s="77" t="str">
        <f ca="1"/>
        <v>1</v>
      </c>
      <c r="U11" s="77" t="str">
        <f ca="1"/>
        <v>1</v>
      </c>
    </row>
    <row r="12" spans="2:21" ht="28.5" x14ac:dyDescent="0.45">
      <c r="B12" s="77" t="s">
        <v>3</v>
      </c>
      <c r="C12" s="77" t="s">
        <v>314</v>
      </c>
      <c r="D12" s="77" t="s">
        <v>314</v>
      </c>
      <c r="E12" s="77" t="s">
        <v>314</v>
      </c>
      <c r="F12" s="77" t="s">
        <v>314</v>
      </c>
      <c r="G12" s="77" t="s">
        <v>314</v>
      </c>
      <c r="H12" s="77" t="s">
        <v>314</v>
      </c>
      <c r="I12" s="77" t="s">
        <v>314</v>
      </c>
      <c r="K12" s="9" t="s">
        <v>399</v>
      </c>
      <c r="L12" s="76" t="s">
        <v>401</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45">
      <c r="B13" s="77" t="str" cm="1">
        <f t="array" ref="B13">_xlfn.IFS(ISNUMBER(C13),"Number",ISTEXT(C13),"String",ISLOGICAL(C13),"Boolean",ISERROR(C13),"Error")</f>
        <v>String</v>
      </c>
      <c r="C13" s="77" t="s">
        <v>231</v>
      </c>
      <c r="D13" s="77" t="s">
        <v>231</v>
      </c>
      <c r="E13" s="77" t="s">
        <v>231</v>
      </c>
      <c r="F13" s="77" t="s">
        <v>231</v>
      </c>
      <c r="G13" s="77" t="s">
        <v>231</v>
      </c>
      <c r="H13" s="77" t="s">
        <v>231</v>
      </c>
      <c r="I13" s="77" t="s">
        <v>231</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45">
      <c r="B14" s="77" t="str" cm="1">
        <f t="array" ref="B14">_xlfn.IFS(ISNUMBER(C14),"Number",ISTEXT(C14),"String",ISLOGICAL(C14),"Boolean",ISERROR(C14),"Error")</f>
        <v>String</v>
      </c>
      <c r="C14" s="77" t="s">
        <v>233</v>
      </c>
      <c r="D14" s="77" t="s">
        <v>233</v>
      </c>
      <c r="E14" s="77" t="s">
        <v>233</v>
      </c>
      <c r="F14" s="77" t="s">
        <v>233</v>
      </c>
      <c r="G14" s="77" t="s">
        <v>233</v>
      </c>
      <c r="H14" s="77" t="s">
        <v>233</v>
      </c>
      <c r="I14" s="77" t="s">
        <v>233</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45">
      <c r="B15" s="77" t="str" cm="1">
        <f t="array" ref="B15">_xlfn.IFS(ISNUMBER(C15),"Number",ISTEXT(C15),"String",ISLOGICAL(C15),"Boolean",ISERROR(C15),"Error")</f>
        <v>String</v>
      </c>
      <c r="C15" s="77" t="s">
        <v>232</v>
      </c>
      <c r="D15" s="77" t="s">
        <v>232</v>
      </c>
      <c r="E15" s="77" t="s">
        <v>232</v>
      </c>
      <c r="F15" s="77" t="s">
        <v>232</v>
      </c>
      <c r="G15" s="77" t="s">
        <v>232</v>
      </c>
      <c r="H15" s="77" t="s">
        <v>232</v>
      </c>
      <c r="I15" s="77" t="s">
        <v>232</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45">
      <c r="B16" s="77" t="s">
        <v>3</v>
      </c>
      <c r="C16" s="77" t="s">
        <v>236</v>
      </c>
      <c r="D16" s="77" t="s">
        <v>236</v>
      </c>
      <c r="E16" s="77" t="s">
        <v>236</v>
      </c>
      <c r="F16" s="77" t="s">
        <v>236</v>
      </c>
      <c r="G16" s="77" t="s">
        <v>236</v>
      </c>
      <c r="H16" s="77" t="s">
        <v>236</v>
      </c>
      <c r="I16" s="77" t="s">
        <v>236</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28.5" x14ac:dyDescent="0.45">
      <c r="B17" s="77" t="str" cm="1">
        <f t="array" ref="B17">_xlfn.IFS(ISNUMBER(C17),"Number",ISTEXT(C17),"String",ISLOGICAL(C17),"Boolean",ISERROR(C17),"Error")</f>
        <v>String</v>
      </c>
      <c r="C17" s="77" t="s">
        <v>356</v>
      </c>
      <c r="D17" s="77" t="s">
        <v>356</v>
      </c>
      <c r="E17" s="77" t="s">
        <v>356</v>
      </c>
      <c r="F17" s="77" t="s">
        <v>356</v>
      </c>
      <c r="G17" s="77" t="s">
        <v>356</v>
      </c>
      <c r="H17" s="77" t="s">
        <v>356</v>
      </c>
      <c r="I17" s="77" t="s">
        <v>356</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4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72"/>
  <sheetViews>
    <sheetView showGridLines="0" showRowColHeaders="0" zoomScaleNormal="100" workbookViewId="0">
      <pane ySplit="14" topLeftCell="A16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78" bestFit="1" customWidth="1"/>
    <col min="24" max="24" width="2.59765625" customWidth="1"/>
    <col min="25" max="25" width="6.06640625" bestFit="1" customWidth="1"/>
    <col min="26" max="26" width="9.86328125" bestFit="1" customWidth="1"/>
    <col min="27" max="28" width="4.59765625" customWidth="1"/>
    <col min="29" max="29" width="15" bestFit="1" customWidth="1"/>
    <col min="30" max="30" width="16" bestFit="1" customWidth="1"/>
    <col min="31" max="33" width="15" bestFit="1" customWidth="1"/>
    <col min="34" max="34" width="18" bestFit="1" customWidth="1"/>
    <col min="35" max="36" width="4.73046875" customWidth="1"/>
    <col min="37" max="38" width="10" bestFit="1" customWidth="1"/>
    <col min="39" max="39" width="10.265625" bestFit="1" customWidth="1"/>
    <col min="40" max="40" width="10" bestFit="1" customWidth="1"/>
    <col min="41" max="41" width="20.59765625" customWidth="1"/>
  </cols>
  <sheetData>
    <row r="1" spans="2:41" ht="28.5" x14ac:dyDescent="0.85">
      <c r="B1" s="1" t="s">
        <v>585</v>
      </c>
      <c r="C1" s="12"/>
    </row>
    <row r="2" spans="2:41" x14ac:dyDescent="0.45">
      <c r="B2" s="37" t="s">
        <v>115</v>
      </c>
      <c r="C2" t="str" cm="1">
        <f t="array" aca="1" ref="C2" ca="1">TestFolder()</f>
        <v>C:\Projects\VBA-CSV\testfiles\</v>
      </c>
    </row>
    <row r="3" spans="2:41" x14ac:dyDescent="0.45">
      <c r="B3" s="37" t="s">
        <v>1</v>
      </c>
      <c r="C3" t="str" cm="1">
        <f t="array" aca="1" ref="C3" ca="1">IF(OR(LEFT(INDEX(Tests[FileName],RowNo),4)="http",ISNUMBER(SEARCH(",",INDEX(Tests[FileName],RowNo)))),INDEX(Tests[FileName],RowNo),Folder&amp;INDEX(Tests[FileName],RowNo))</f>
        <v>C:\Projects\VBA-CSV\testfiles\255_characters-UTF-16-LE-BOM.csv</v>
      </c>
      <c r="I3" s="60" t="s">
        <v>353</v>
      </c>
      <c r="J3" s="54" t="b">
        <v>0</v>
      </c>
    </row>
    <row r="4" spans="2:41" x14ac:dyDescent="0.45">
      <c r="B4" s="37" t="s">
        <v>620</v>
      </c>
      <c r="C4" s="54">
        <v>186</v>
      </c>
      <c r="I4" s="37" t="s">
        <v>265</v>
      </c>
      <c r="J4">
        <v>184</v>
      </c>
      <c r="AF4" s="36"/>
      <c r="AG4" s="36"/>
      <c r="AH4" s="36"/>
    </row>
    <row r="5" spans="2:41" x14ac:dyDescent="0.45">
      <c r="B5" s="37" t="s">
        <v>263</v>
      </c>
      <c r="C5">
        <f ca="1">MATCH(TestNo,Tests[TestNo],0)</f>
        <v>186</v>
      </c>
      <c r="I5" s="37" t="s">
        <v>266</v>
      </c>
      <c r="J5">
        <v>0</v>
      </c>
      <c r="K5" s="3" t="s">
        <v>607</v>
      </c>
      <c r="AF5" s="36"/>
      <c r="AG5" s="36"/>
      <c r="AH5" s="36"/>
    </row>
    <row r="6" spans="2:41" x14ac:dyDescent="0.45">
      <c r="I6" s="37" t="s">
        <v>354</v>
      </c>
      <c r="J6">
        <v>3</v>
      </c>
    </row>
    <row r="7" spans="2:41" x14ac:dyDescent="0.45">
      <c r="N7" s="37"/>
      <c r="AB7" s="67"/>
    </row>
    <row r="8" spans="2:41" x14ac:dyDescent="0.45">
      <c r="B8" s="86" t="str">
        <f ca="1">B14</f>
        <v>File Size</v>
      </c>
      <c r="C8" s="86" t="s">
        <v>620</v>
      </c>
      <c r="D8" s="86" t="str">
        <f t="shared" ref="D8:U8" ca="1" si="0">D14</f>
        <v>FileName</v>
      </c>
      <c r="E8" s="86" t="str">
        <f t="shared" ca="1" si="0"/>
        <v>ConvertTypes</v>
      </c>
      <c r="F8" s="86" t="str">
        <f t="shared" ca="1" si="0"/>
        <v>Delimiter</v>
      </c>
      <c r="G8" s="86" t="str">
        <f t="shared" ca="1" si="0"/>
        <v>IgnoreRepeated</v>
      </c>
      <c r="H8" s="86" t="str">
        <f t="shared" ca="1" si="0"/>
        <v>DateFormat</v>
      </c>
      <c r="I8" s="86" t="str">
        <f t="shared" ca="1" si="0"/>
        <v>Comment</v>
      </c>
      <c r="J8" s="86" t="str">
        <f t="shared" ca="1" si="0"/>
        <v>IgnoreEmptyLines</v>
      </c>
      <c r="K8" s="86" t="str">
        <f t="shared" ca="1" si="0"/>
        <v>HeaderRowNum</v>
      </c>
      <c r="L8" s="86" t="str">
        <f t="shared" ca="1" si="0"/>
        <v>SkipToRow</v>
      </c>
      <c r="M8" s="86" t="str">
        <f t="shared" ca="1" si="0"/>
        <v>SkipToCol</v>
      </c>
      <c r="N8" s="86" t="str">
        <f t="shared" ca="1" si="0"/>
        <v>NumRows</v>
      </c>
      <c r="O8" s="86" t="str">
        <f t="shared" ca="1" si="0"/>
        <v>NumCols</v>
      </c>
      <c r="P8" s="86" t="str">
        <f t="shared" ca="1" si="0"/>
        <v>TrueStrings</v>
      </c>
      <c r="Q8" s="86" t="str">
        <f t="shared" ca="1" si="0"/>
        <v>FalseStrings</v>
      </c>
      <c r="R8" s="86" t="str">
        <f t="shared" ca="1" si="0"/>
        <v>MissingStrings</v>
      </c>
      <c r="S8" s="86" t="str">
        <f t="shared" ca="1" si="0"/>
        <v>Encoding</v>
      </c>
      <c r="T8" s="86" t="str">
        <f t="shared" ca="1" si="0"/>
        <v>DecimalSeparator</v>
      </c>
      <c r="U8" s="86" t="str">
        <f t="shared" ca="1" si="0"/>
        <v>Notes</v>
      </c>
      <c r="V8" s="74" t="str" cm="1">
        <f t="array" aca="1" ref="V8:V219" ca="1">fill(" ",ROWS(Tests[TestNo])+6,1)</f>
        <v xml:space="preserve"> </v>
      </c>
      <c r="AB8" s="67"/>
    </row>
    <row r="9" spans="2:41" ht="14.25" customHeight="1" x14ac:dyDescent="0.45">
      <c r="B9" s="86"/>
      <c r="C9" s="86"/>
      <c r="D9" s="86"/>
      <c r="E9" s="86"/>
      <c r="F9" s="86"/>
      <c r="G9" s="86"/>
      <c r="H9" s="86"/>
      <c r="I9" s="86"/>
      <c r="J9" s="86"/>
      <c r="K9" s="86"/>
      <c r="L9" s="86"/>
      <c r="M9" s="86"/>
      <c r="N9" s="86"/>
      <c r="O9" s="86"/>
      <c r="P9" s="86"/>
      <c r="Q9" s="86"/>
      <c r="R9" s="86"/>
      <c r="S9" s="86"/>
      <c r="T9" s="86"/>
      <c r="U9" s="86"/>
      <c r="V9" s="74" t="str">
        <f ca="1"/>
        <v xml:space="preserve"> </v>
      </c>
      <c r="AA9" s="66"/>
      <c r="AB9" s="67"/>
    </row>
    <row r="10" spans="2:41" ht="14.25" customHeight="1" x14ac:dyDescent="0.45">
      <c r="B10" s="86"/>
      <c r="C10" s="86"/>
      <c r="D10" s="86"/>
      <c r="E10" s="86"/>
      <c r="F10" s="86"/>
      <c r="G10" s="86"/>
      <c r="H10" s="86"/>
      <c r="I10" s="86"/>
      <c r="J10" s="86"/>
      <c r="K10" s="86"/>
      <c r="L10" s="86"/>
      <c r="M10" s="86"/>
      <c r="N10" s="86"/>
      <c r="O10" s="86"/>
      <c r="P10" s="86"/>
      <c r="Q10" s="86"/>
      <c r="R10" s="86"/>
      <c r="S10" s="86"/>
      <c r="T10" s="86"/>
      <c r="U10" s="86"/>
      <c r="V10" s="74" t="str">
        <f ca="1"/>
        <v xml:space="preserve"> </v>
      </c>
      <c r="AA10" s="66"/>
      <c r="AB10" s="67"/>
    </row>
    <row r="11" spans="2:41" x14ac:dyDescent="0.45">
      <c r="B11" s="86"/>
      <c r="C11" s="86"/>
      <c r="D11" s="86"/>
      <c r="E11" s="86"/>
      <c r="F11" s="86"/>
      <c r="G11" s="86"/>
      <c r="H11" s="86"/>
      <c r="I11" s="86"/>
      <c r="J11" s="86"/>
      <c r="K11" s="86"/>
      <c r="L11" s="86"/>
      <c r="M11" s="86"/>
      <c r="N11" s="86"/>
      <c r="O11" s="86"/>
      <c r="P11" s="86"/>
      <c r="Q11" s="86"/>
      <c r="R11" s="86"/>
      <c r="S11" s="86"/>
      <c r="T11" s="86"/>
      <c r="U11" s="86"/>
      <c r="V11" s="74" t="str">
        <f ca="1"/>
        <v xml:space="preserve"> </v>
      </c>
      <c r="AB11" s="67"/>
    </row>
    <row r="12" spans="2:41" x14ac:dyDescent="0.45">
      <c r="B12" s="86"/>
      <c r="C12" s="86"/>
      <c r="D12" s="86"/>
      <c r="E12" s="86"/>
      <c r="F12" s="86"/>
      <c r="G12" s="86"/>
      <c r="H12" s="86"/>
      <c r="I12" s="86"/>
      <c r="J12" s="86"/>
      <c r="K12" s="86"/>
      <c r="L12" s="86"/>
      <c r="M12" s="86"/>
      <c r="N12" s="86"/>
      <c r="O12" s="86"/>
      <c r="P12" s="86"/>
      <c r="Q12" s="86"/>
      <c r="R12" s="86"/>
      <c r="S12" s="86"/>
      <c r="T12" s="86"/>
      <c r="U12" s="86"/>
      <c r="V12" s="74" t="str">
        <f ca="1"/>
        <v xml:space="preserve"> </v>
      </c>
      <c r="AB12" s="67"/>
    </row>
    <row r="13" spans="2:41" x14ac:dyDescent="0.45">
      <c r="B13" s="86"/>
      <c r="C13" s="86"/>
      <c r="D13" s="86"/>
      <c r="E13" s="86"/>
      <c r="F13" s="86"/>
      <c r="G13" s="86"/>
      <c r="H13" s="86"/>
      <c r="I13" s="86"/>
      <c r="J13" s="86"/>
      <c r="K13" s="86"/>
      <c r="L13" s="86"/>
      <c r="M13" s="86"/>
      <c r="N13" s="86"/>
      <c r="O13" s="86"/>
      <c r="P13" s="86"/>
      <c r="Q13" s="86"/>
      <c r="R13" s="86"/>
      <c r="S13" s="86"/>
      <c r="T13" s="86"/>
      <c r="U13" s="86"/>
      <c r="V13" s="74" t="str">
        <f ca="1"/>
        <v xml:space="preserve"> </v>
      </c>
      <c r="Z13" s="60" t="s">
        <v>381</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267</v>
      </c>
      <c r="C14" t="s">
        <v>620</v>
      </c>
      <c r="D14" t="s">
        <v>1</v>
      </c>
      <c r="E14" t="s">
        <v>86</v>
      </c>
      <c r="F14" t="s">
        <v>87</v>
      </c>
      <c r="G14" t="s">
        <v>88</v>
      </c>
      <c r="H14" t="s">
        <v>4</v>
      </c>
      <c r="I14" t="s">
        <v>54</v>
      </c>
      <c r="J14" t="s">
        <v>338</v>
      </c>
      <c r="K14" t="s">
        <v>380</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Test186</v>
      </c>
      <c r="X14" s="47"/>
      <c r="Y14" s="3" t="s">
        <v>405</v>
      </c>
      <c r="Z14" t="s">
        <v>404</v>
      </c>
      <c r="AA14" t="str">
        <f ca="1">ROWS(_xlfn.ANCHORARRAY(CallToCSVRead))&amp;" x "&amp;COLUMNS(_xlfn.ANCHORARRAY(CallToCSVRead))</f>
        <v>256 x 2</v>
      </c>
    </row>
    <row r="15" spans="2:41" x14ac:dyDescent="0.45">
      <c r="B15" s="55" cm="1">
        <f t="array" aca="1" ref="B15" ca="1">FileSize(Folder&amp;Tests[[#This Row],[FileName]])</f>
        <v>5</v>
      </c>
      <c r="C15" s="51">
        <v>1</v>
      </c>
      <c r="D15" s="33" t="s">
        <v>118</v>
      </c>
      <c r="E15" s="32" t="b">
        <v>1</v>
      </c>
      <c r="F15" s="34" t="s">
        <v>95</v>
      </c>
      <c r="G15" s="34" t="b">
        <v>0</v>
      </c>
      <c r="H15" s="34" t="s">
        <v>95</v>
      </c>
      <c r="I15" s="34" t="s">
        <v>95</v>
      </c>
      <c r="J15" s="34" t="b">
        <v>1</v>
      </c>
      <c r="K15" s="34"/>
      <c r="L15" s="32">
        <v>1</v>
      </c>
      <c r="M15" s="32">
        <v>1</v>
      </c>
      <c r="N15" s="32">
        <v>0</v>
      </c>
      <c r="O15" s="32">
        <v>0</v>
      </c>
      <c r="P15" s="32"/>
      <c r="Q15" s="32"/>
      <c r="R15" s="32"/>
      <c r="S15" s="32"/>
      <c r="T15" s="32" t="s">
        <v>96</v>
      </c>
      <c r="U15" s="44"/>
      <c r="V15" s="68" t="str">
        <f ca="1"/>
        <v xml:space="preserve"> </v>
      </c>
      <c r="W15" t="str" cm="1">
        <f t="array" aca="1" ref="W15:W37"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Test186(Folder As String, ByRef NumPassed As Long, ByRef NumFailed As Long, ByRef Failures() As String)</v>
      </c>
      <c r="X15" t="str">
        <f t="array" aca="1" ref="X15:X60" ca="1">""</f>
        <v/>
      </c>
      <c r="Y15" s="73" t="str" cm="1">
        <f t="array" aca="1" ref="Y15:Y272" ca="1">csvread(FileName,FALSE,FALSE,,,,,,,,,,,,,,INDEX(Tests[Encoding],RowNo))</f>
        <v>N,Char</v>
      </c>
      <c r="Z15" t="str" cm="1">
        <f t="array" aca="1" ref="Z15:Z272" ca="1">fill(" ",ROWS(_xlfn.ANCHORARRAY(Y15)),1)</f>
        <v xml:space="preserve"> </v>
      </c>
      <c r="AA15" s="64" t="str" cm="1">
        <f t="array" aca="1" ref="AA15:AB270"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N</v>
      </c>
      <c r="AB15" s="64" t="str">
        <f ca="1"/>
        <v>Char</v>
      </c>
      <c r="AC15" s="64"/>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121</v>
      </c>
      <c r="E16" s="32" t="b">
        <v>1</v>
      </c>
      <c r="F16" s="34" t="s">
        <v>95</v>
      </c>
      <c r="G16" s="34" t="b">
        <v>0</v>
      </c>
      <c r="H16" s="34" t="s">
        <v>95</v>
      </c>
      <c r="I16" s="34" t="s">
        <v>95</v>
      </c>
      <c r="J16" s="34" t="b">
        <v>0</v>
      </c>
      <c r="K16" s="34"/>
      <c r="L16" s="32">
        <v>1</v>
      </c>
      <c r="M16" s="32">
        <v>1</v>
      </c>
      <c r="N16" s="32">
        <v>0</v>
      </c>
      <c r="O16" s="32">
        <v>0</v>
      </c>
      <c r="P16" s="32"/>
      <c r="Q16" s="32"/>
      <c r="R16" s="32"/>
      <c r="S16" s="32"/>
      <c r="T16" s="32" t="s">
        <v>96</v>
      </c>
      <c r="U16" s="44"/>
      <c r="V16" s="68" t="str">
        <f ca="1"/>
        <v xml:space="preserve"> </v>
      </c>
      <c r="W16" t="str">
        <f ca="1"/>
        <v xml:space="preserve">    Dim Expected</v>
      </c>
      <c r="X16" t="str">
        <f ca="1"/>
        <v/>
      </c>
      <c r="Y16" s="73" t="str">
        <f ca="1"/>
        <v>1,_x0001_</v>
      </c>
      <c r="Z16" t="str">
        <f ca="1"/>
        <v xml:space="preserve"> </v>
      </c>
      <c r="AA16" s="64" t="str">
        <f ca="1"/>
        <v>1</v>
      </c>
      <c r="AB16" s="64" t="str">
        <f ca="1"/>
        <v>_x0001_</v>
      </c>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122</v>
      </c>
      <c r="E17" s="32" t="b">
        <v>1</v>
      </c>
      <c r="F17" s="34" t="s">
        <v>95</v>
      </c>
      <c r="G17" s="34" t="b">
        <v>0</v>
      </c>
      <c r="H17" s="34" t="s">
        <v>95</v>
      </c>
      <c r="I17" s="34" t="s">
        <v>95</v>
      </c>
      <c r="J17" s="34" t="b">
        <v>1</v>
      </c>
      <c r="K17" s="34"/>
      <c r="L17" s="32">
        <v>1</v>
      </c>
      <c r="M17" s="32">
        <v>1</v>
      </c>
      <c r="N17" s="32">
        <v>0</v>
      </c>
      <c r="O17" s="32">
        <v>0</v>
      </c>
      <c r="P17" s="32"/>
      <c r="Q17" s="32"/>
      <c r="R17" s="32"/>
      <c r="S17" s="32"/>
      <c r="T17" s="32" t="s">
        <v>96</v>
      </c>
      <c r="U17" s="44"/>
      <c r="V17" s="68" t="str">
        <f ca="1"/>
        <v xml:space="preserve"> </v>
      </c>
      <c r="W17" t="str">
        <f ca="1"/>
        <v xml:space="preserve">    Dim FileName As String</v>
      </c>
      <c r="X17" t="str">
        <f ca="1"/>
        <v/>
      </c>
      <c r="Y17" s="73" t="str">
        <f ca="1"/>
        <v>2,_x0002_</v>
      </c>
      <c r="Z17" t="str">
        <f ca="1"/>
        <v xml:space="preserve"> </v>
      </c>
      <c r="AA17" s="64" t="str">
        <f ca="1"/>
        <v>2</v>
      </c>
      <c r="AB17" s="64" t="str">
        <f ca="1"/>
        <v>_x0002_</v>
      </c>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126</v>
      </c>
      <c r="E18" s="32" t="b">
        <v>1</v>
      </c>
      <c r="F18" s="34" t="s">
        <v>95</v>
      </c>
      <c r="G18" s="32" t="b">
        <v>0</v>
      </c>
      <c r="H18" s="34" t="s">
        <v>95</v>
      </c>
      <c r="I18" s="34" t="s">
        <v>95</v>
      </c>
      <c r="J18" s="34" t="b">
        <v>1</v>
      </c>
      <c r="K18" s="34"/>
      <c r="L18" s="32">
        <v>1</v>
      </c>
      <c r="M18" s="32">
        <v>1</v>
      </c>
      <c r="N18" s="32">
        <v>0</v>
      </c>
      <c r="O18" s="32">
        <v>0</v>
      </c>
      <c r="P18" s="32"/>
      <c r="Q18" s="32"/>
      <c r="R18" s="32"/>
      <c r="S18" s="32"/>
      <c r="T18" s="32" t="s">
        <v>97</v>
      </c>
      <c r="U18" s="44"/>
      <c r="V18" s="68" t="str">
        <f ca="1"/>
        <v xml:space="preserve"> </v>
      </c>
      <c r="W18" t="str">
        <f ca="1"/>
        <v xml:space="preserve">    Dim Observed</v>
      </c>
      <c r="X18" t="str">
        <f ca="1"/>
        <v/>
      </c>
      <c r="Y18" s="73" t="str">
        <f ca="1"/>
        <v>3,_x0003_</v>
      </c>
      <c r="Z18" t="str">
        <f ca="1"/>
        <v xml:space="preserve"> </v>
      </c>
      <c r="AA18" s="64" t="str">
        <f ca="1"/>
        <v>3</v>
      </c>
      <c r="AB18" s="64" t="str">
        <f ca="1"/>
        <v>_x0003_</v>
      </c>
      <c r="AC18" s="64"/>
      <c r="AD18" s="64"/>
      <c r="AE18" s="64"/>
      <c r="AF18" s="64"/>
      <c r="AG18" s="64"/>
      <c r="AH18" s="64"/>
      <c r="AI18" s="64"/>
      <c r="AJ18" s="64"/>
      <c r="AK18" s="73"/>
      <c r="AL18" s="73"/>
      <c r="AM18" s="73"/>
      <c r="AN18" s="73"/>
      <c r="AO18" s="73"/>
    </row>
    <row r="19" spans="2:41" x14ac:dyDescent="0.45">
      <c r="B19" s="55" cm="1">
        <f t="array" aca="1" ref="B19" ca="1">FileSize(Folder&amp;Tests[[#This Row],[FileName]])</f>
        <v>21</v>
      </c>
      <c r="C19" s="51">
        <v>5</v>
      </c>
      <c r="D19" s="33" t="s">
        <v>128</v>
      </c>
      <c r="E19" s="32" t="b">
        <v>1</v>
      </c>
      <c r="F19" s="34" t="s">
        <v>95</v>
      </c>
      <c r="G19" s="34" t="b">
        <v>0</v>
      </c>
      <c r="H19" s="34" t="s">
        <v>95</v>
      </c>
      <c r="I19" s="34" t="s">
        <v>95</v>
      </c>
      <c r="J19" s="34" t="b">
        <v>1</v>
      </c>
      <c r="K19" s="34"/>
      <c r="L19" s="32">
        <v>1</v>
      </c>
      <c r="M19" s="32">
        <v>1</v>
      </c>
      <c r="N19" s="32">
        <v>0</v>
      </c>
      <c r="O19" s="32">
        <v>0</v>
      </c>
      <c r="P19" s="32"/>
      <c r="Q19" s="32"/>
      <c r="R19" s="32"/>
      <c r="S19" s="32"/>
      <c r="T19" s="32" t="s">
        <v>96</v>
      </c>
      <c r="U19" s="44"/>
      <c r="V19" s="68" t="str">
        <f ca="1"/>
        <v xml:space="preserve"> </v>
      </c>
      <c r="W19" t="str">
        <f ca="1"/>
        <v xml:space="preserve">    Dim TestDescription As String</v>
      </c>
      <c r="X19" t="str">
        <f ca="1"/>
        <v/>
      </c>
      <c r="Y19" s="73" t="str">
        <f ca="1"/>
        <v>4,_x0004_</v>
      </c>
      <c r="Z19" t="str">
        <f ca="1"/>
        <v xml:space="preserve"> </v>
      </c>
      <c r="AA19" s="64" t="str">
        <f ca="1"/>
        <v>4</v>
      </c>
      <c r="AB19" s="64" t="str">
        <f ca="1"/>
        <v>_x0004_</v>
      </c>
      <c r="AC19" s="64"/>
      <c r="AD19" s="64"/>
      <c r="AE19" s="64"/>
      <c r="AF19" s="64"/>
      <c r="AG19" s="64"/>
      <c r="AH19" s="64"/>
      <c r="AI19" s="64"/>
      <c r="AJ19" s="64"/>
      <c r="AK19" s="73"/>
      <c r="AL19" s="73"/>
      <c r="AM19" s="73"/>
      <c r="AN19" s="73"/>
      <c r="AO19" s="73"/>
    </row>
    <row r="20" spans="2:41" x14ac:dyDescent="0.45">
      <c r="B20" s="55" cm="1">
        <f t="array" aca="1" ref="B20" ca="1">FileSize(Folder&amp;Tests[[#This Row],[FileName]])</f>
        <v>23</v>
      </c>
      <c r="C20" s="51">
        <v>6</v>
      </c>
      <c r="D20" s="33" t="s">
        <v>129</v>
      </c>
      <c r="E20" s="32" t="b">
        <v>1</v>
      </c>
      <c r="F20" s="34" t="s">
        <v>98</v>
      </c>
      <c r="G20" s="34" t="b">
        <v>1</v>
      </c>
      <c r="H20" s="34" t="s">
        <v>95</v>
      </c>
      <c r="I20" s="34" t="s">
        <v>95</v>
      </c>
      <c r="J20" s="34" t="b">
        <v>1</v>
      </c>
      <c r="K20" s="34"/>
      <c r="L20" s="32">
        <v>1</v>
      </c>
      <c r="M20" s="32">
        <v>1</v>
      </c>
      <c r="N20" s="32">
        <v>0</v>
      </c>
      <c r="O20" s="32">
        <v>0</v>
      </c>
      <c r="P20" s="32"/>
      <c r="Q20" s="32"/>
      <c r="R20" s="32"/>
      <c r="S20" s="32"/>
      <c r="T20" s="32" t="s">
        <v>96</v>
      </c>
      <c r="U20" s="41"/>
      <c r="V20" s="68" t="str">
        <f ca="1"/>
        <v xml:space="preserve"> </v>
      </c>
      <c r="W20" t="str">
        <f ca="1"/>
        <v xml:space="preserve">    Dim TestRes As Boolean</v>
      </c>
      <c r="X20" t="str">
        <f ca="1"/>
        <v/>
      </c>
      <c r="Y20" s="73" t="str">
        <f ca="1"/>
        <v>5,_x0005_</v>
      </c>
      <c r="Z20" t="str">
        <f ca="1"/>
        <v xml:space="preserve"> </v>
      </c>
      <c r="AA20" s="64" t="str">
        <f ca="1"/>
        <v>5</v>
      </c>
      <c r="AB20" s="64" t="str">
        <f ca="1"/>
        <v>_x0005_</v>
      </c>
      <c r="AC20" s="64"/>
      <c r="AD20" s="64"/>
      <c r="AE20" s="64"/>
      <c r="AF20" s="64"/>
      <c r="AG20" s="64"/>
      <c r="AH20" s="64"/>
      <c r="AI20" s="64"/>
      <c r="AJ20" s="64"/>
      <c r="AK20" s="73"/>
      <c r="AL20" s="73"/>
      <c r="AM20" s="73"/>
      <c r="AN20" s="73"/>
      <c r="AO20" s="73"/>
    </row>
    <row r="21" spans="2:41" x14ac:dyDescent="0.45">
      <c r="B21" s="55" cm="1">
        <f t="array" aca="1" ref="B21" ca="1">FileSize(Folder&amp;Tests[[#This Row],[FileName]])</f>
        <v>23</v>
      </c>
      <c r="C21" s="51">
        <v>7</v>
      </c>
      <c r="D21" s="33" t="s">
        <v>130</v>
      </c>
      <c r="E21" s="32" t="b">
        <v>1</v>
      </c>
      <c r="F21" s="34" t="s">
        <v>95</v>
      </c>
      <c r="G21" s="34" t="b">
        <v>0</v>
      </c>
      <c r="H21" s="34" t="s">
        <v>95</v>
      </c>
      <c r="I21" s="34" t="s">
        <v>95</v>
      </c>
      <c r="J21" s="34" t="b">
        <v>1</v>
      </c>
      <c r="K21" s="34"/>
      <c r="L21" s="32">
        <v>1</v>
      </c>
      <c r="M21" s="32">
        <v>1</v>
      </c>
      <c r="N21" s="32">
        <v>0</v>
      </c>
      <c r="O21" s="32">
        <v>0</v>
      </c>
      <c r="P21" s="32"/>
      <c r="Q21" s="32"/>
      <c r="R21" s="32"/>
      <c r="S21" s="32"/>
      <c r="T21" s="32" t="s">
        <v>96</v>
      </c>
      <c r="U21" s="44"/>
      <c r="V21" s="68" t="str">
        <f ca="1"/>
        <v xml:space="preserve"> </v>
      </c>
      <c r="W21" t="str">
        <f ca="1"/>
        <v xml:space="preserve">    Dim WhatDiffers As String</v>
      </c>
      <c r="X21" t="str">
        <f ca="1"/>
        <v/>
      </c>
      <c r="Y21" s="73" t="str">
        <f ca="1"/>
        <v>6,_x0006_</v>
      </c>
      <c r="Z21" t="str">
        <f ca="1"/>
        <v xml:space="preserve"> </v>
      </c>
      <c r="AA21" s="64" t="str">
        <f ca="1"/>
        <v>6</v>
      </c>
      <c r="AB21" s="64" t="str">
        <f ca="1"/>
        <v>_x0006_</v>
      </c>
      <c r="AC21" s="64"/>
      <c r="AD21" s="64"/>
      <c r="AE21" s="64"/>
      <c r="AF21" s="64"/>
      <c r="AG21" s="64"/>
      <c r="AH21" s="64"/>
      <c r="AI21" s="64"/>
      <c r="AJ21" s="64"/>
      <c r="AK21" s="73"/>
      <c r="AL21" s="73"/>
      <c r="AM21" s="73"/>
      <c r="AN21" s="73"/>
      <c r="AO21" s="73"/>
    </row>
    <row r="22" spans="2:41" x14ac:dyDescent="0.45">
      <c r="B22" s="55" cm="1">
        <f t="array" aca="1" ref="B22" ca="1">FileSize(Folder&amp;Tests[[#This Row],[FileName]])</f>
        <v>27</v>
      </c>
      <c r="C22" s="51">
        <v>8</v>
      </c>
      <c r="D22" s="33" t="s">
        <v>131</v>
      </c>
      <c r="E22" s="32" t="b">
        <v>1</v>
      </c>
      <c r="F22" s="34" t="s">
        <v>95</v>
      </c>
      <c r="G22" s="34" t="b">
        <v>0</v>
      </c>
      <c r="H22" s="34" t="s">
        <v>95</v>
      </c>
      <c r="I22" s="34" t="s">
        <v>250</v>
      </c>
      <c r="J22" s="34" t="b">
        <v>1</v>
      </c>
      <c r="K22" s="34"/>
      <c r="L22" s="32">
        <v>1</v>
      </c>
      <c r="M22" s="32">
        <v>1</v>
      </c>
      <c r="N22" s="32">
        <v>0</v>
      </c>
      <c r="O22" s="32">
        <v>0</v>
      </c>
      <c r="P22" s="32"/>
      <c r="Q22" s="32"/>
      <c r="R22" s="32"/>
      <c r="S22" s="32"/>
      <c r="T22" s="32" t="s">
        <v>96</v>
      </c>
      <c r="U22" s="44"/>
      <c r="V22" s="68" t="str">
        <f ca="1"/>
        <v xml:space="preserve"> </v>
      </c>
      <c r="W22" t="str">
        <f ca="1"/>
        <v/>
      </c>
      <c r="X22" t="str">
        <f ca="1"/>
        <v/>
      </c>
      <c r="Y22" s="73" t="str">
        <f ca="1"/>
        <v>7,_x0007_</v>
      </c>
      <c r="Z22" t="str">
        <f ca="1"/>
        <v xml:space="preserve"> </v>
      </c>
      <c r="AA22" s="64" t="str">
        <f ca="1"/>
        <v>7</v>
      </c>
      <c r="AB22" s="64" t="str">
        <f ca="1"/>
        <v>_x0007_</v>
      </c>
      <c r="AC22" s="64"/>
      <c r="AD22" s="64"/>
      <c r="AE22" s="64"/>
      <c r="AF22" s="64"/>
      <c r="AG22" s="64"/>
      <c r="AH22" s="64"/>
      <c r="AI22" s="64"/>
      <c r="AJ22" s="64"/>
      <c r="AK22" s="73"/>
      <c r="AL22" s="73"/>
      <c r="AM22" s="73"/>
      <c r="AN22" s="73"/>
      <c r="AO22" s="73"/>
    </row>
    <row r="23" spans="2:41" x14ac:dyDescent="0.45">
      <c r="B23" s="55" cm="1">
        <f t="array" aca="1" ref="B23" ca="1">FileSize(Folder&amp;Tests[[#This Row],[FileName]])</f>
        <v>28</v>
      </c>
      <c r="C23" s="51">
        <v>9</v>
      </c>
      <c r="D23" s="33" t="s">
        <v>132</v>
      </c>
      <c r="E23" s="32" t="b">
        <v>1</v>
      </c>
      <c r="F23" s="34" t="s">
        <v>95</v>
      </c>
      <c r="G23" s="34" t="b">
        <v>0</v>
      </c>
      <c r="H23" s="34" t="s">
        <v>95</v>
      </c>
      <c r="I23" s="34" t="s">
        <v>251</v>
      </c>
      <c r="J23" s="34" t="b">
        <v>1</v>
      </c>
      <c r="K23" s="34"/>
      <c r="L23" s="32">
        <v>1</v>
      </c>
      <c r="M23" s="32">
        <v>1</v>
      </c>
      <c r="N23" s="32">
        <v>0</v>
      </c>
      <c r="O23" s="32">
        <v>0</v>
      </c>
      <c r="P23" s="32"/>
      <c r="Q23" s="32"/>
      <c r="R23" s="32"/>
      <c r="S23" s="32"/>
      <c r="T23" s="32" t="s">
        <v>96</v>
      </c>
      <c r="U23" s="44"/>
      <c r="V23" s="68" t="str">
        <f ca="1"/>
        <v xml:space="preserve"> </v>
      </c>
      <c r="W23" t="str">
        <f ca="1"/>
        <v xml:space="preserve">    On Error GoTo ErrHandler</v>
      </c>
      <c r="X23" t="str">
        <f ca="1"/>
        <v/>
      </c>
      <c r="Y23" s="73" t="str">
        <f ca="1"/>
        <v>8,_x0008_</v>
      </c>
      <c r="Z23" t="str">
        <f ca="1"/>
        <v xml:space="preserve"> </v>
      </c>
      <c r="AA23" s="64" t="str">
        <f ca="1"/>
        <v>8</v>
      </c>
      <c r="AB23" s="64" t="str">
        <f ca="1"/>
        <v>_x0008_</v>
      </c>
      <c r="AC23" s="64"/>
      <c r="AD23" s="64"/>
      <c r="AE23" s="64"/>
      <c r="AF23" s="64"/>
      <c r="AG23" s="64"/>
      <c r="AH23" s="64"/>
      <c r="AI23" s="64"/>
      <c r="AJ23" s="64"/>
      <c r="AK23" s="73"/>
      <c r="AL23" s="73"/>
      <c r="AM23" s="73"/>
      <c r="AN23" s="73"/>
      <c r="AO23" s="73"/>
    </row>
    <row r="24" spans="2:41" x14ac:dyDescent="0.45">
      <c r="B24" s="55" cm="1">
        <f t="array" aca="1" ref="B24" ca="1">FileSize(Folder&amp;Tests[[#This Row],[FileName]])</f>
        <v>27</v>
      </c>
      <c r="C24" s="51">
        <v>10</v>
      </c>
      <c r="D24" s="33" t="s">
        <v>133</v>
      </c>
      <c r="E24" s="32" t="b">
        <v>1</v>
      </c>
      <c r="F24" s="34" t="s">
        <v>95</v>
      </c>
      <c r="G24" s="34" t="b">
        <v>0</v>
      </c>
      <c r="H24" s="34" t="s">
        <v>95</v>
      </c>
      <c r="I24" s="34" t="s">
        <v>95</v>
      </c>
      <c r="J24" s="34" t="b">
        <v>1</v>
      </c>
      <c r="K24" s="34"/>
      <c r="L24" s="32">
        <v>1</v>
      </c>
      <c r="M24" s="32">
        <v>1</v>
      </c>
      <c r="N24" s="32">
        <v>0</v>
      </c>
      <c r="O24" s="32">
        <v>0</v>
      </c>
      <c r="P24" s="32"/>
      <c r="Q24" s="32"/>
      <c r="R24" s="32"/>
      <c r="S24" s="32"/>
      <c r="T24" s="32" t="s">
        <v>96</v>
      </c>
      <c r="U24" s="44"/>
      <c r="V24" s="68" t="str">
        <f ca="1"/>
        <v xml:space="preserve"> </v>
      </c>
      <c r="W24" t="str">
        <f ca="1"/>
        <v xml:space="preserve">    TestDescription = "255 characters-UTF-16-LE-BOM"</v>
      </c>
      <c r="X24" t="str">
        <f ca="1"/>
        <v/>
      </c>
      <c r="Y24" s="73" t="str">
        <f ca="1"/>
        <v xml:space="preserve">9,	</v>
      </c>
      <c r="Z24" t="str">
        <f ca="1"/>
        <v xml:space="preserve"> </v>
      </c>
      <c r="AA24" s="64" t="str">
        <f ca="1"/>
        <v>9</v>
      </c>
      <c r="AB24" s="64" t="str">
        <f ca="1"/>
        <v xml:space="preserve">	</v>
      </c>
      <c r="AC24" s="64"/>
      <c r="AD24" s="64"/>
      <c r="AE24" s="64"/>
      <c r="AF24" s="64"/>
      <c r="AG24" s="64"/>
      <c r="AH24" s="64"/>
      <c r="AI24" s="64"/>
      <c r="AJ24" s="64"/>
      <c r="AK24" s="73"/>
      <c r="AL24" s="73"/>
      <c r="AM24" s="73"/>
      <c r="AN24" s="73"/>
      <c r="AO24" s="73"/>
    </row>
    <row r="25" spans="2:41" x14ac:dyDescent="0.45">
      <c r="B25" s="55" cm="1">
        <f t="array" aca="1" ref="B25" ca="1">FileSize(Folder&amp;Tests[[#This Row],[FileName]])</f>
        <v>27</v>
      </c>
      <c r="C25" s="51">
        <v>11</v>
      </c>
      <c r="D25" s="33" t="s">
        <v>134</v>
      </c>
      <c r="E25" s="32" t="b">
        <v>1</v>
      </c>
      <c r="F25" s="34" t="s">
        <v>95</v>
      </c>
      <c r="G25" s="34" t="b">
        <v>0</v>
      </c>
      <c r="H25" s="34" t="s">
        <v>95</v>
      </c>
      <c r="I25" s="34" t="s">
        <v>95</v>
      </c>
      <c r="J25" s="34" t="b">
        <v>1</v>
      </c>
      <c r="K25" s="34"/>
      <c r="L25" s="32">
        <v>1</v>
      </c>
      <c r="M25" s="32">
        <v>1</v>
      </c>
      <c r="N25" s="32">
        <v>0</v>
      </c>
      <c r="O25" s="32">
        <v>0</v>
      </c>
      <c r="P25" s="32"/>
      <c r="Q25" s="32"/>
      <c r="R25" s="32"/>
      <c r="S25" s="32"/>
      <c r="T25" s="32" t="s">
        <v>96</v>
      </c>
      <c r="U25" s="44"/>
      <c r="V25" s="68" t="str">
        <f ca="1"/>
        <v xml:space="preserve"> </v>
      </c>
      <c r="W25" t="str">
        <f ca="1"/>
        <v xml:space="preserve">    Expected = HStack( _</v>
      </c>
      <c r="X25" t="str">
        <f ca="1"/>
        <v/>
      </c>
      <c r="Y25" s="73" t="str">
        <f ca="1"/>
        <v>10,"</v>
      </c>
      <c r="Z25" t="str">
        <f ca="1"/>
        <v xml:space="preserve"> </v>
      </c>
      <c r="AA25" s="64" t="str">
        <f ca="1"/>
        <v>10</v>
      </c>
      <c r="AB25" s="64" t="str">
        <f ca="1"/>
        <v xml:space="preserve">_x000D_
</v>
      </c>
      <c r="AC25" s="64"/>
      <c r="AD25" s="64"/>
      <c r="AE25" s="64"/>
      <c r="AF25" s="64"/>
      <c r="AG25" s="64"/>
      <c r="AH25" s="64"/>
      <c r="AI25" s="64"/>
      <c r="AJ25" s="64"/>
      <c r="AK25" s="73"/>
      <c r="AL25" s="73"/>
      <c r="AM25" s="73"/>
      <c r="AN25" s="73"/>
      <c r="AO25" s="73"/>
    </row>
    <row r="26" spans="2:41" x14ac:dyDescent="0.45">
      <c r="B26" s="55" cm="1">
        <f t="array" aca="1" ref="B26" ca="1">FileSize(Folder&amp;Tests[[#This Row],[FileName]])</f>
        <v>33</v>
      </c>
      <c r="C26" s="51">
        <v>12</v>
      </c>
      <c r="D26" s="33" t="s">
        <v>136</v>
      </c>
      <c r="E26" s="32" t="b">
        <v>1</v>
      </c>
      <c r="F26" s="34" t="s">
        <v>95</v>
      </c>
      <c r="G26" s="34" t="b">
        <v>0</v>
      </c>
      <c r="H26" s="34" t="s">
        <v>95</v>
      </c>
      <c r="I26" s="34" t="s">
        <v>95</v>
      </c>
      <c r="J26" s="34" t="b">
        <v>1</v>
      </c>
      <c r="K26" s="34"/>
      <c r="L26" s="32">
        <v>1</v>
      </c>
      <c r="M26" s="32">
        <v>1</v>
      </c>
      <c r="N26" s="32">
        <v>0</v>
      </c>
      <c r="O26" s="32">
        <v>0</v>
      </c>
      <c r="P26" s="32"/>
      <c r="Q26" s="32"/>
      <c r="R26" s="32"/>
      <c r="S26" s="32"/>
      <c r="T26" s="32" t="s">
        <v>96</v>
      </c>
      <c r="U26" s="44"/>
      <c r="V26" s="68" t="str">
        <f ca="1"/>
        <v xml:space="preserve"> </v>
      </c>
      <c r="W26" t="str">
        <f ca="1"/>
        <v>Array("N","1","2","3","4","5","6","7","8","9","10","11","12","13","14","15","16","17","18","19","20","21","22","23","24","25","26","27","28","29","30","31","32","33","34","35","36","37","38","39","40","41","42","43","44","45","46","47","48","49","50","51","52","53","54","55","56","57","58","59","60","61","62","63","64","65","66","67","68","69","70","71","72","73","74","75","76","77","78","79","80","81","82","83","84","85","86","87","88","89","90","91","92","93","94","95","96","97","98","99","100","101","102","103","104","105","106","107","108","109","110","111","112","113","114","115","116","117","118","119","120","121","122","123","124","125","126","127","128","129","130","131","132","133","134","135","136","137","138","139","140","141","142","143","144","145","146","147","148","149","150","151","152","153","154","155","156","157","158","159","160","161","162","163","164","165","166","167","168","169","170","171","172","173","174","175","176","177","178","179","180","181","182","183","184","185","186","187","188","189","190","191","192","193","194","195","196","197","198","199","200","201","202","203","204","205","206","207","208","209","210","211","212","213","214","215","216","217","218","219","220","221","222","223","224","225","226","227","228","229","230","231","232","233","234","235","236","237","238","239","240","241","242","243","244","245","246","247","248","249","250","251","252","253","254","255"), _</v>
      </c>
      <c r="X26" t="str">
        <f ca="1"/>
        <v/>
      </c>
      <c r="Y26" s="73" t="str">
        <f ca="1"/>
        <v>"</v>
      </c>
      <c r="Z26" t="str">
        <f ca="1"/>
        <v xml:space="preserve"> </v>
      </c>
      <c r="AA26" s="64" t="str">
        <f ca="1"/>
        <v>11</v>
      </c>
      <c r="AB26" s="64" t="str">
        <f ca="1"/>
        <v>_x000B_</v>
      </c>
      <c r="AC26" s="64"/>
      <c r="AD26" s="64"/>
      <c r="AE26" s="64"/>
      <c r="AF26" s="64"/>
      <c r="AG26" s="64"/>
      <c r="AH26" s="64"/>
      <c r="AI26" s="73"/>
      <c r="AJ26" s="73"/>
      <c r="AK26" s="73"/>
      <c r="AL26" s="73"/>
      <c r="AM26" s="73"/>
      <c r="AN26" s="73"/>
      <c r="AO26" s="73"/>
    </row>
    <row r="27" spans="2:41" x14ac:dyDescent="0.45">
      <c r="B27" s="55" cm="1">
        <f t="array" aca="1" ref="B27" ca="1">FileSize(Folder&amp;Tests[[#This Row],[FileName]])</f>
        <v>35</v>
      </c>
      <c r="C27" s="51">
        <v>13</v>
      </c>
      <c r="D27" s="33" t="s">
        <v>137</v>
      </c>
      <c r="E27" s="32" t="b">
        <v>1</v>
      </c>
      <c r="F27" s="34" t="s">
        <v>95</v>
      </c>
      <c r="G27" s="34" t="b">
        <v>0</v>
      </c>
      <c r="H27" s="34" t="s">
        <v>95</v>
      </c>
      <c r="I27" s="34" t="s">
        <v>95</v>
      </c>
      <c r="J27" s="34" t="b">
        <v>1</v>
      </c>
      <c r="K27" s="34"/>
      <c r="L27" s="32">
        <v>1</v>
      </c>
      <c r="M27" s="32">
        <v>1</v>
      </c>
      <c r="N27" s="32">
        <v>0</v>
      </c>
      <c r="O27" s="32">
        <v>0</v>
      </c>
      <c r="P27" s="32"/>
      <c r="Q27" s="32"/>
      <c r="R27" s="32"/>
      <c r="S27" s="32"/>
      <c r="T27" s="32" t="s">
        <v>96</v>
      </c>
      <c r="U27" s="44"/>
      <c r="V27" s="68" t="str">
        <f ca="1"/>
        <v xml:space="preserve"> </v>
      </c>
      <c r="W27" t="str">
        <f ca="1"/>
        <v>Array("Char","_x0001_","_x0002_","_x0003_","_x0004_","_x0005_","_x0006_","_x0007_","_x0008_",vbTab,"" + vbCrLf + "","_x000B_","_x000C_","" + vbCrLf + "","_x000E_","_x000F_","_x0010_","_x0011_","_x0012_","_x0013_","_x0014_","_x0015_","_x0016_","_x0017_","_x0018_","_x0019_","_x001A_","_x001B_","_x001C_","_x001D_","_x001E_","_x001F_"," ","!","""","#","$","%","&amp;","'","(",")","*","+",",","-",".","/","0","1","2","3","4","5","6","7","8","9",":",";","&lt;","=","&gt;","?","@","A","B","C","D","E","F","G","H","I","J","K","L","M","N","O","P","Q","R","S","T","U","V","W","X","Y","Z","[","\","]","^","_","`","a","b","c","d","e","f","g","h","i","j","k","l","m","n","o","p","q","r","s","t","u","v","w","x","y","z","{","|","}","~","",ChrW(8364),"",ChrW(8218),ChrW(402),ChrW(8222),ChrW(8230),ChrW(8224),ChrW(8225),ChrW(710),ChrW(8240),ChrW(352),ChrW(8249),ChrW(338),"",ChrW(381),"","",ChrW(8216),ChrW(8217),ChrW(8220),ChrW(8221),ChrW(8226),ChrW(8211),ChrW(8212),ChrW(732),ChrW(8482),ChrW(353),ChrW(8250),ChrW(339),"",ChrW(382),ChrW(376)," ","¡","¢","£","¤","¥","¦","§","¨","©","ª","«","¬","­","®","¯","°","±","²","³","´","µ","¶","·","¸","¹","º","»","¼","½","¾","¿","À","Á","Â","Ã","Ä","Å","Æ","Ç","È","É","Ê","Ë","Ì","Í","Î","Ï","Ð","Ñ","Ò","Ó","Ô","Õ","Ö","×","Ø","Ù","Ú","Û","Ü","Ý","Þ","ß","à","á","â","ã","ä","å","æ","ç","è","é","ê","ë","ì","í","î","ï","ð","ñ","ò","ó","ô","õ","ö","÷","ø","ù","ú","û","ü","ý","þ","ÿ"))</v>
      </c>
      <c r="X27" t="str">
        <f ca="1"/>
        <v/>
      </c>
      <c r="Y27" s="73" t="str">
        <f ca="1"/>
        <v>11,_x000B_</v>
      </c>
      <c r="Z27" t="str">
        <f ca="1"/>
        <v xml:space="preserve"> </v>
      </c>
      <c r="AA27" s="64" t="str">
        <f ca="1"/>
        <v>12</v>
      </c>
      <c r="AB27" s="64" t="str">
        <f ca="1"/>
        <v>_x000C_</v>
      </c>
      <c r="AC27" s="64"/>
      <c r="AD27" s="64"/>
      <c r="AE27" s="64"/>
      <c r="AF27" s="73"/>
      <c r="AG27" s="73"/>
      <c r="AH27" s="73"/>
      <c r="AI27" s="73"/>
      <c r="AJ27" s="73"/>
      <c r="AK27" s="73"/>
      <c r="AL27" s="73"/>
      <c r="AM27" s="73"/>
      <c r="AN27" s="73"/>
      <c r="AO27" s="73"/>
    </row>
    <row r="28" spans="2:41" x14ac:dyDescent="0.45">
      <c r="B28" s="55" cm="1">
        <f t="array" aca="1" ref="B28" ca="1">FileSize(Folder&amp;Tests[[#This Row],[FileName]])</f>
        <v>35</v>
      </c>
      <c r="C28" s="51">
        <v>14</v>
      </c>
      <c r="D28" s="33" t="s">
        <v>138</v>
      </c>
      <c r="E28" s="32" t="b">
        <v>1</v>
      </c>
      <c r="F28" s="34" t="s">
        <v>95</v>
      </c>
      <c r="G28" s="34" t="b">
        <v>0</v>
      </c>
      <c r="H28" s="34" t="s">
        <v>95</v>
      </c>
      <c r="I28" s="34" t="s">
        <v>95</v>
      </c>
      <c r="J28" s="34" t="b">
        <v>1</v>
      </c>
      <c r="K28" s="34"/>
      <c r="L28" s="32">
        <v>1</v>
      </c>
      <c r="M28" s="32">
        <v>1</v>
      </c>
      <c r="N28" s="32">
        <v>0</v>
      </c>
      <c r="O28" s="32">
        <v>0</v>
      </c>
      <c r="P28" s="32"/>
      <c r="Q28" s="32"/>
      <c r="R28" s="32"/>
      <c r="S28" s="32"/>
      <c r="T28" s="32" t="s">
        <v>96</v>
      </c>
      <c r="U28" s="44"/>
      <c r="V28" s="68" t="str">
        <f ca="1"/>
        <v xml:space="preserve"> </v>
      </c>
      <c r="W28" t="str">
        <f ca="1"/>
        <v xml:space="preserve">    FileName = "255_characters-UTF-16-LE-BOM.csv"</v>
      </c>
      <c r="X28" t="str">
        <f ca="1"/>
        <v/>
      </c>
      <c r="Y28" s="73" t="str">
        <f ca="1"/>
        <v>12,_x000C_</v>
      </c>
      <c r="Z28" t="str">
        <f ca="1"/>
        <v xml:space="preserve"> </v>
      </c>
      <c r="AA28" s="64" t="str">
        <f ca="1"/>
        <v>13</v>
      </c>
      <c r="AB28" s="64" t="str">
        <f ca="1"/>
        <v xml:space="preserve">_x000D_
</v>
      </c>
      <c r="AC28" s="64"/>
      <c r="AD28" s="64"/>
      <c r="AE28" s="64"/>
      <c r="AF28" s="73"/>
      <c r="AG28" s="73"/>
      <c r="AH28" s="73"/>
      <c r="AI28" s="73"/>
      <c r="AJ28" s="73"/>
      <c r="AK28" s="73"/>
      <c r="AL28" s="73"/>
      <c r="AM28" s="73"/>
      <c r="AN28" s="73"/>
      <c r="AO28" s="73"/>
    </row>
    <row r="29" spans="2:41" x14ac:dyDescent="0.45">
      <c r="B29" s="55" cm="1">
        <f t="array" aca="1" ref="B29" ca="1">FileSize(Folder&amp;Tests[[#This Row],[FileName]])</f>
        <v>32</v>
      </c>
      <c r="C29" s="51">
        <v>15</v>
      </c>
      <c r="D29" s="33" t="s">
        <v>139</v>
      </c>
      <c r="E29" s="32" t="b">
        <v>1</v>
      </c>
      <c r="F29" s="34" t="s">
        <v>95</v>
      </c>
      <c r="G29" s="34" t="b">
        <v>0</v>
      </c>
      <c r="H29" s="34" t="s">
        <v>95</v>
      </c>
      <c r="I29" s="34" t="s">
        <v>95</v>
      </c>
      <c r="J29" s="34" t="b">
        <v>1</v>
      </c>
      <c r="K29" s="34"/>
      <c r="L29" s="32">
        <v>1</v>
      </c>
      <c r="M29" s="32">
        <v>1</v>
      </c>
      <c r="N29" s="32">
        <v>0</v>
      </c>
      <c r="O29" s="32">
        <v>0</v>
      </c>
      <c r="P29" s="32"/>
      <c r="Q29" s="32"/>
      <c r="R29" s="32"/>
      <c r="S29" s="32"/>
      <c r="T29" s="32" t="s">
        <v>96</v>
      </c>
      <c r="U29" s="44"/>
      <c r="V29" s="68" t="str">
        <f ca="1"/>
        <v xml:space="preserve"> </v>
      </c>
      <c r="W29" t="str">
        <f ca="1"/>
        <v xml:space="preserve">    TestRes = TestCSVRead(186, TestDescription, Expected, Folder + FileName, Observed, WhatDiffers, _</v>
      </c>
      <c r="X29" t="str">
        <f ca="1"/>
        <v/>
      </c>
      <c r="Y29" s="73" t="str">
        <f ca="1"/>
        <v>13,"</v>
      </c>
      <c r="Z29" t="str">
        <f ca="1"/>
        <v xml:space="preserve"> </v>
      </c>
      <c r="AA29" s="64" t="str">
        <f ca="1"/>
        <v>14</v>
      </c>
      <c r="AB29" s="64" t="str">
        <f ca="1"/>
        <v>_x000E_</v>
      </c>
      <c r="AC29" s="64"/>
      <c r="AD29" s="64"/>
      <c r="AE29" s="64"/>
      <c r="AF29" s="73"/>
      <c r="AG29" s="73"/>
      <c r="AH29" s="73"/>
      <c r="AI29" s="73"/>
      <c r="AJ29" s="73"/>
      <c r="AK29" s="73"/>
      <c r="AL29" s="73"/>
      <c r="AM29" s="73"/>
      <c r="AN29" s="73"/>
      <c r="AO29" s="73"/>
    </row>
    <row r="30" spans="2:41" x14ac:dyDescent="0.45">
      <c r="B30" s="55" cm="1">
        <f t="array" aca="1" ref="B30" ca="1">FileSize(Folder&amp;Tests[[#This Row],[FileName]])</f>
        <v>35</v>
      </c>
      <c r="C30" s="51">
        <v>16</v>
      </c>
      <c r="D30" s="33" t="s">
        <v>140</v>
      </c>
      <c r="E30" s="32" t="b">
        <v>1</v>
      </c>
      <c r="F30" s="34" t="s">
        <v>95</v>
      </c>
      <c r="G30" s="34" t="b">
        <v>0</v>
      </c>
      <c r="H30" s="34" t="s">
        <v>95</v>
      </c>
      <c r="I30" s="34" t="s">
        <v>95</v>
      </c>
      <c r="J30" s="34" t="b">
        <v>1</v>
      </c>
      <c r="K30" s="34"/>
      <c r="L30" s="32">
        <v>1</v>
      </c>
      <c r="M30" s="32">
        <v>1</v>
      </c>
      <c r="N30" s="32">
        <v>0</v>
      </c>
      <c r="O30" s="32">
        <v>0</v>
      </c>
      <c r="P30" s="32"/>
      <c r="Q30" s="32"/>
      <c r="R30" s="32"/>
      <c r="S30" s="32"/>
      <c r="T30" s="32" t="s">
        <v>96</v>
      </c>
      <c r="U30" s="44"/>
      <c r="V30" s="68" t="str">
        <f ca="1"/>
        <v xml:space="preserve"> </v>
      </c>
      <c r="W30" t="str">
        <f ca="1"/>
        <v xml:space="preserve">        IgnoreEmptyLines := False, _</v>
      </c>
      <c r="X30" t="str">
        <f ca="1"/>
        <v/>
      </c>
      <c r="Y30" s="73" t="str">
        <f ca="1"/>
        <v>"</v>
      </c>
      <c r="Z30" t="str">
        <f ca="1"/>
        <v xml:space="preserve"> </v>
      </c>
      <c r="AA30" s="64" t="str">
        <f ca="1"/>
        <v>15</v>
      </c>
      <c r="AB30" s="64" t="str">
        <f ca="1"/>
        <v>_x000F_</v>
      </c>
      <c r="AC30" s="64"/>
      <c r="AD30" s="64"/>
      <c r="AE30" s="64"/>
      <c r="AF30" s="73"/>
      <c r="AG30" s="73"/>
      <c r="AH30" s="73"/>
      <c r="AI30" s="73"/>
      <c r="AJ30" s="73"/>
      <c r="AK30" s="73"/>
      <c r="AL30" s="73"/>
      <c r="AM30" s="73"/>
      <c r="AN30" s="73"/>
      <c r="AO30" s="73"/>
    </row>
    <row r="31" spans="2:41" x14ac:dyDescent="0.45">
      <c r="B31" s="55" cm="1">
        <f t="array" aca="1" ref="B31" ca="1">FileSize(Folder&amp;Tests[[#This Row],[FileName]])</f>
        <v>37</v>
      </c>
      <c r="C31" s="51">
        <v>17</v>
      </c>
      <c r="D31" s="33" t="s">
        <v>144</v>
      </c>
      <c r="E31" s="32" t="b">
        <v>1</v>
      </c>
      <c r="F31" s="34" t="s">
        <v>95</v>
      </c>
      <c r="G31" s="34" t="b">
        <v>0</v>
      </c>
      <c r="H31" s="34" t="s">
        <v>95</v>
      </c>
      <c r="I31" s="34" t="s">
        <v>95</v>
      </c>
      <c r="J31" s="34" t="b">
        <v>1</v>
      </c>
      <c r="K31" s="34"/>
      <c r="L31" s="32">
        <v>1</v>
      </c>
      <c r="M31" s="32">
        <v>1</v>
      </c>
      <c r="N31" s="32">
        <v>0</v>
      </c>
      <c r="O31" s="32">
        <v>0</v>
      </c>
      <c r="P31" s="32"/>
      <c r="Q31" s="32"/>
      <c r="R31" s="32"/>
      <c r="S31" s="32"/>
      <c r="T31" s="32" t="s">
        <v>96</v>
      </c>
      <c r="U31" s="44"/>
      <c r="V31" s="68" t="str">
        <f ca="1"/>
        <v xml:space="preserve"> </v>
      </c>
      <c r="W31" t="str">
        <f ca="1"/>
        <v xml:space="preserve">        ShowMissingsAs := Empty)</v>
      </c>
      <c r="X31" t="str">
        <f ca="1"/>
        <v/>
      </c>
      <c r="Y31" s="73" t="str">
        <f ca="1"/>
        <v>14,_x000E_</v>
      </c>
      <c r="Z31" t="str">
        <f ca="1"/>
        <v xml:space="preserve"> </v>
      </c>
      <c r="AA31" s="64" t="str">
        <f ca="1"/>
        <v>16</v>
      </c>
      <c r="AB31" s="64" t="str">
        <f ca="1"/>
        <v>_x0010_</v>
      </c>
      <c r="AC31" s="64"/>
      <c r="AD31" s="64"/>
      <c r="AE31" s="64"/>
      <c r="AF31" s="73"/>
      <c r="AG31" s="73"/>
      <c r="AH31" s="73"/>
      <c r="AI31" s="73"/>
      <c r="AJ31" s="73"/>
      <c r="AK31" s="73"/>
      <c r="AL31" s="73"/>
      <c r="AM31" s="73"/>
      <c r="AN31" s="73"/>
      <c r="AO31" s="73"/>
    </row>
    <row r="32" spans="2:41" x14ac:dyDescent="0.45">
      <c r="B32" s="55" cm="1">
        <f t="array" aca="1" ref="B32" ca="1">FileSize(Folder&amp;Tests[[#This Row],[FileName]])</f>
        <v>37</v>
      </c>
      <c r="C32" s="51">
        <v>18</v>
      </c>
      <c r="D32" s="33" t="s">
        <v>145</v>
      </c>
      <c r="E32" s="32" t="b">
        <v>1</v>
      </c>
      <c r="F32" s="34" t="s">
        <v>98</v>
      </c>
      <c r="G32" s="34" t="b">
        <v>0</v>
      </c>
      <c r="H32" s="34" t="s">
        <v>95</v>
      </c>
      <c r="I32" s="34" t="s">
        <v>95</v>
      </c>
      <c r="J32" s="34" t="b">
        <v>1</v>
      </c>
      <c r="K32" s="34"/>
      <c r="L32" s="32">
        <v>1</v>
      </c>
      <c r="M32" s="32">
        <v>1</v>
      </c>
      <c r="N32" s="32">
        <v>0</v>
      </c>
      <c r="O32" s="32">
        <v>0</v>
      </c>
      <c r="P32" s="32"/>
      <c r="Q32" s="32"/>
      <c r="R32" s="32"/>
      <c r="S32" s="32"/>
      <c r="T32" s="32" t="s">
        <v>96</v>
      </c>
      <c r="U32" s="44"/>
      <c r="V32" s="68" t="str">
        <f ca="1"/>
        <v xml:space="preserve"> </v>
      </c>
      <c r="W32" t="str">
        <f ca="1"/>
        <v xml:space="preserve">    AccumulateResults TestRes, NumPassed, NumFailed, WhatDiffers, Failures</v>
      </c>
      <c r="X32" t="str">
        <f ca="1"/>
        <v/>
      </c>
      <c r="Y32" s="73" t="str">
        <f ca="1"/>
        <v>15,_x000F_</v>
      </c>
      <c r="Z32" t="str">
        <f ca="1"/>
        <v xml:space="preserve"> </v>
      </c>
      <c r="AA32" s="64" t="str">
        <f ca="1"/>
        <v>17</v>
      </c>
      <c r="AB32" s="64" t="str">
        <f ca="1"/>
        <v>_x0011_</v>
      </c>
      <c r="AC32" s="64"/>
      <c r="AD32" s="64"/>
      <c r="AE32" s="64"/>
      <c r="AF32" s="73"/>
      <c r="AG32" s="73"/>
      <c r="AH32" s="73"/>
      <c r="AI32" s="73"/>
      <c r="AJ32" s="73"/>
      <c r="AK32" s="73"/>
      <c r="AL32" s="73"/>
      <c r="AM32" s="73"/>
      <c r="AN32" s="73"/>
      <c r="AO32" s="73"/>
    </row>
    <row r="33" spans="2:41" x14ac:dyDescent="0.45">
      <c r="B33" s="79" cm="1">
        <f t="array" aca="1" ref="B33" ca="1">FileSize(Folder&amp;Tests[[#This Row],[FileName]])</f>
        <v>37</v>
      </c>
      <c r="C33" s="80">
        <v>19</v>
      </c>
      <c r="D33" s="33" t="s">
        <v>149</v>
      </c>
      <c r="E33" s="32" t="b">
        <v>1</v>
      </c>
      <c r="F33" s="34" t="s">
        <v>95</v>
      </c>
      <c r="G33" s="34" t="b">
        <v>0</v>
      </c>
      <c r="H33" s="34" t="s">
        <v>95</v>
      </c>
      <c r="I33" s="34" t="s">
        <v>95</v>
      </c>
      <c r="J33" s="34" t="b">
        <v>1</v>
      </c>
      <c r="K33" s="34"/>
      <c r="L33" s="32">
        <v>1</v>
      </c>
      <c r="M33" s="32">
        <v>1</v>
      </c>
      <c r="N33" s="32">
        <v>0</v>
      </c>
      <c r="O33" s="32">
        <v>0</v>
      </c>
      <c r="P33" s="32"/>
      <c r="Q33" s="32"/>
      <c r="R33" s="34" t="s">
        <v>303</v>
      </c>
      <c r="S33" s="32"/>
      <c r="T33" s="32" t="s">
        <v>96</v>
      </c>
      <c r="U33" s="44"/>
      <c r="V33" s="68" t="str">
        <f ca="1"/>
        <v xml:space="preserve"> </v>
      </c>
      <c r="W33" t="str">
        <f ca="1"/>
        <v/>
      </c>
      <c r="X33" t="str">
        <f ca="1"/>
        <v/>
      </c>
      <c r="Y33" s="73" t="str">
        <f ca="1"/>
        <v>16,_x0010_</v>
      </c>
      <c r="Z33" t="str">
        <f ca="1"/>
        <v xml:space="preserve"> </v>
      </c>
      <c r="AA33" s="64" t="str">
        <f ca="1"/>
        <v>18</v>
      </c>
      <c r="AB33" s="64" t="str">
        <f ca="1"/>
        <v>_x0012_</v>
      </c>
      <c r="AC33" s="64"/>
      <c r="AD33" s="64"/>
      <c r="AE33" s="64"/>
      <c r="AF33" s="73"/>
      <c r="AG33" s="73"/>
      <c r="AH33" s="73"/>
      <c r="AI33" s="73"/>
      <c r="AJ33" s="73"/>
      <c r="AK33" s="73"/>
      <c r="AL33" s="73"/>
      <c r="AM33" s="73"/>
      <c r="AN33" s="73"/>
      <c r="AO33" s="73"/>
    </row>
    <row r="34" spans="2:41" x14ac:dyDescent="0.45">
      <c r="B34" s="56" cm="1">
        <f t="array" aca="1" ref="B34" ca="1">FileSize(Folder&amp;Tests[[#This Row],[FileName]])</f>
        <v>35</v>
      </c>
      <c r="C34" s="52">
        <v>20</v>
      </c>
      <c r="D34" s="33" t="s">
        <v>150</v>
      </c>
      <c r="E34" s="32" t="b">
        <v>1</v>
      </c>
      <c r="F34" s="34" t="s">
        <v>95</v>
      </c>
      <c r="G34" s="34" t="b">
        <v>0</v>
      </c>
      <c r="H34" s="34" t="s">
        <v>95</v>
      </c>
      <c r="I34" s="34" t="s">
        <v>95</v>
      </c>
      <c r="J34" s="34" t="b">
        <v>1</v>
      </c>
      <c r="K34" s="34"/>
      <c r="L34" s="32">
        <v>1</v>
      </c>
      <c r="M34" s="32">
        <v>1</v>
      </c>
      <c r="N34" s="32">
        <v>0</v>
      </c>
      <c r="O34" s="32">
        <v>0</v>
      </c>
      <c r="P34" s="32"/>
      <c r="Q34" s="32"/>
      <c r="R34" s="32"/>
      <c r="S34" s="32"/>
      <c r="T34" s="32" t="s">
        <v>96</v>
      </c>
      <c r="U34" s="44"/>
      <c r="V34" s="68" t="str">
        <f ca="1"/>
        <v xml:space="preserve"> </v>
      </c>
      <c r="W34" t="str">
        <f ca="1"/>
        <v xml:space="preserve">    Exit Sub</v>
      </c>
      <c r="X34" t="str">
        <f ca="1"/>
        <v/>
      </c>
      <c r="Y34" s="73" t="str">
        <f ca="1"/>
        <v>17,_x0011_</v>
      </c>
      <c r="Z34" t="str">
        <f ca="1"/>
        <v xml:space="preserve"> </v>
      </c>
      <c r="AA34" s="64" t="str">
        <f ca="1"/>
        <v>19</v>
      </c>
      <c r="AB34" s="64" t="str">
        <f ca="1"/>
        <v>_x0013_</v>
      </c>
      <c r="AC34" s="64"/>
      <c r="AD34" s="64"/>
      <c r="AE34" s="64"/>
      <c r="AF34" s="73"/>
      <c r="AG34" s="73"/>
      <c r="AH34" s="73"/>
      <c r="AI34" s="73"/>
      <c r="AJ34" s="73"/>
      <c r="AK34" s="73"/>
      <c r="AL34" s="73"/>
      <c r="AM34" s="73"/>
      <c r="AN34" s="73"/>
      <c r="AO34" s="73"/>
    </row>
    <row r="35" spans="2:41" x14ac:dyDescent="0.45">
      <c r="B35" s="56" cm="1">
        <f t="array" aca="1" ref="B35" ca="1">FileSize(Folder&amp;Tests[[#This Row],[FileName]])</f>
        <v>41</v>
      </c>
      <c r="C35" s="52">
        <v>21</v>
      </c>
      <c r="D35" s="33" t="s">
        <v>151</v>
      </c>
      <c r="E35" s="32" t="b">
        <v>1</v>
      </c>
      <c r="F35" s="34" t="s">
        <v>95</v>
      </c>
      <c r="G35" s="34" t="b">
        <v>0</v>
      </c>
      <c r="H35" s="34" t="s">
        <v>95</v>
      </c>
      <c r="I35" s="34" t="s">
        <v>95</v>
      </c>
      <c r="J35" s="34" t="b">
        <v>1</v>
      </c>
      <c r="K35" s="34"/>
      <c r="L35" s="32">
        <v>4</v>
      </c>
      <c r="M35" s="32">
        <v>1</v>
      </c>
      <c r="N35" s="32">
        <v>0</v>
      </c>
      <c r="O35" s="32">
        <v>0</v>
      </c>
      <c r="P35" s="32"/>
      <c r="Q35" s="32"/>
      <c r="R35" s="32"/>
      <c r="S35" s="32"/>
      <c r="T35" s="32" t="s">
        <v>96</v>
      </c>
      <c r="U35" s="44"/>
      <c r="V35" s="68" t="str">
        <f ca="1"/>
        <v xml:space="preserve"> </v>
      </c>
      <c r="W35" t="str">
        <f ca="1"/>
        <v>ErrHandler:</v>
      </c>
      <c r="X35" t="str">
        <f ca="1"/>
        <v/>
      </c>
      <c r="Y35" s="73" t="str">
        <f ca="1"/>
        <v>18,_x0012_</v>
      </c>
      <c r="Z35" t="str">
        <f ca="1"/>
        <v xml:space="preserve"> </v>
      </c>
      <c r="AA35" s="64" t="str">
        <f ca="1"/>
        <v>20</v>
      </c>
      <c r="AB35" s="64" t="str">
        <f ca="1"/>
        <v>_x0014_</v>
      </c>
      <c r="AC35" s="64"/>
      <c r="AD35" s="64"/>
      <c r="AE35" s="64"/>
      <c r="AF35" s="73"/>
      <c r="AG35" s="73"/>
      <c r="AH35" s="73"/>
      <c r="AI35" s="73"/>
      <c r="AJ35" s="73"/>
      <c r="AK35" s="73"/>
      <c r="AL35" s="73"/>
      <c r="AM35" s="73"/>
      <c r="AN35" s="73"/>
      <c r="AO35" s="73"/>
    </row>
    <row r="36" spans="2:41" x14ac:dyDescent="0.45">
      <c r="B36" s="56" cm="1">
        <f t="array" aca="1" ref="B36" ca="1">FileSize(Folder&amp;Tests[[#This Row],[FileName]])</f>
        <v>37</v>
      </c>
      <c r="C36" s="52">
        <v>22</v>
      </c>
      <c r="D36" s="33" t="s">
        <v>152</v>
      </c>
      <c r="E36" s="32" t="b">
        <v>1</v>
      </c>
      <c r="F36" s="34" t="s">
        <v>95</v>
      </c>
      <c r="G36" s="34" t="b">
        <v>0</v>
      </c>
      <c r="H36" s="34" t="s">
        <v>95</v>
      </c>
      <c r="I36" s="34" t="s">
        <v>95</v>
      </c>
      <c r="J36" s="34" t="b">
        <v>1</v>
      </c>
      <c r="K36" s="34"/>
      <c r="L36" s="32">
        <v>1</v>
      </c>
      <c r="M36" s="32">
        <v>1</v>
      </c>
      <c r="N36" s="32">
        <v>0</v>
      </c>
      <c r="O36" s="32">
        <v>0</v>
      </c>
      <c r="P36" s="32"/>
      <c r="Q36" s="32"/>
      <c r="R36" s="32"/>
      <c r="S36" s="32"/>
      <c r="T36" s="32" t="s">
        <v>96</v>
      </c>
      <c r="U36" s="44"/>
      <c r="V36" s="68" t="str">
        <f ca="1"/>
        <v xml:space="preserve"> </v>
      </c>
      <c r="W36" t="str">
        <f ca="1"/>
        <v xml:space="preserve">    Throw "#Test186 (line " &amp; CStr(Erl) + "): " &amp; Err.Description &amp; "!"</v>
      </c>
      <c r="X36" t="str">
        <f ca="1"/>
        <v/>
      </c>
      <c r="Y36" s="73" t="str">
        <f ca="1"/>
        <v>19,_x0013_</v>
      </c>
      <c r="Z36" t="str">
        <f ca="1"/>
        <v xml:space="preserve"> </v>
      </c>
      <c r="AA36" s="64" t="str">
        <f ca="1"/>
        <v>21</v>
      </c>
      <c r="AB36" s="64" t="str">
        <f ca="1"/>
        <v>_x0015_</v>
      </c>
      <c r="AC36" s="64"/>
      <c r="AD36" s="64"/>
      <c r="AE36" s="64"/>
      <c r="AF36" s="73"/>
      <c r="AG36" s="73"/>
      <c r="AH36" s="73"/>
      <c r="AI36" s="73"/>
      <c r="AJ36" s="73"/>
      <c r="AK36" s="73"/>
      <c r="AL36" s="73"/>
      <c r="AM36" s="73"/>
      <c r="AN36" s="73"/>
      <c r="AO36" s="73"/>
    </row>
    <row r="37" spans="2:41" x14ac:dyDescent="0.45">
      <c r="B37" s="56" cm="1">
        <f t="array" aca="1" ref="B37" ca="1">FileSize(Folder&amp;Tests[[#This Row],[FileName]])</f>
        <v>37</v>
      </c>
      <c r="C37" s="52">
        <v>23</v>
      </c>
      <c r="D37" s="33" t="s">
        <v>153</v>
      </c>
      <c r="E37" s="32" t="b">
        <v>1</v>
      </c>
      <c r="F37" s="34" t="s">
        <v>95</v>
      </c>
      <c r="G37" s="34" t="b">
        <v>0</v>
      </c>
      <c r="H37" s="34" t="s">
        <v>95</v>
      </c>
      <c r="I37" s="34" t="s">
        <v>95</v>
      </c>
      <c r="J37" s="34" t="b">
        <v>1</v>
      </c>
      <c r="K37" s="34"/>
      <c r="L37" s="32">
        <v>1</v>
      </c>
      <c r="M37" s="32">
        <v>1</v>
      </c>
      <c r="N37" s="32">
        <v>0</v>
      </c>
      <c r="O37" s="32">
        <v>0</v>
      </c>
      <c r="P37" s="32"/>
      <c r="Q37" s="32"/>
      <c r="R37" s="32"/>
      <c r="S37" s="32"/>
      <c r="T37" s="32" t="s">
        <v>96</v>
      </c>
      <c r="U37" s="44"/>
      <c r="V37" s="68" t="str">
        <f ca="1"/>
        <v xml:space="preserve"> </v>
      </c>
      <c r="W37" t="str">
        <f ca="1"/>
        <v>End Sub</v>
      </c>
      <c r="X37" t="str">
        <f ca="1"/>
        <v/>
      </c>
      <c r="Y37" s="73" t="str">
        <f ca="1"/>
        <v>20,_x0014_</v>
      </c>
      <c r="Z37" t="str">
        <f ca="1"/>
        <v xml:space="preserve"> </v>
      </c>
      <c r="AA37" s="64" t="str">
        <f ca="1"/>
        <v>22</v>
      </c>
      <c r="AB37" s="64" t="str">
        <f ca="1"/>
        <v>_x0016_</v>
      </c>
      <c r="AC37" s="64"/>
      <c r="AD37" s="64"/>
      <c r="AE37" s="64"/>
      <c r="AF37" s="73"/>
      <c r="AG37" s="73"/>
      <c r="AH37" s="73"/>
      <c r="AI37" s="73"/>
      <c r="AJ37" s="73"/>
      <c r="AK37" s="73"/>
      <c r="AL37" s="73"/>
      <c r="AM37" s="73"/>
      <c r="AN37" s="73"/>
      <c r="AO37" s="73"/>
    </row>
    <row r="38" spans="2:41" x14ac:dyDescent="0.45">
      <c r="B38" s="56" cm="1">
        <f t="array" aca="1" ref="B38" ca="1">FileSize(Folder&amp;Tests[[#This Row],[FileName]])</f>
        <v>40</v>
      </c>
      <c r="C38" s="52">
        <v>24</v>
      </c>
      <c r="D38" s="33" t="s">
        <v>154</v>
      </c>
      <c r="E38" s="32" t="b">
        <v>1</v>
      </c>
      <c r="F38" s="34" t="s">
        <v>95</v>
      </c>
      <c r="G38" s="34" t="b">
        <v>0</v>
      </c>
      <c r="H38" s="34" t="s">
        <v>291</v>
      </c>
      <c r="I38" s="34" t="s">
        <v>95</v>
      </c>
      <c r="J38" s="34" t="b">
        <v>1</v>
      </c>
      <c r="K38" s="34"/>
      <c r="L38" s="32">
        <v>1</v>
      </c>
      <c r="M38" s="32">
        <v>1</v>
      </c>
      <c r="N38" s="32">
        <v>0</v>
      </c>
      <c r="O38" s="32">
        <v>0</v>
      </c>
      <c r="P38" s="32"/>
      <c r="Q38" s="32"/>
      <c r="R38" s="32"/>
      <c r="S38" s="32"/>
      <c r="T38" s="32" t="s">
        <v>96</v>
      </c>
      <c r="U38" s="44"/>
      <c r="V38" s="68" t="str">
        <f ca="1"/>
        <v xml:space="preserve"> </v>
      </c>
      <c r="X38" t="str">
        <f ca="1"/>
        <v/>
      </c>
      <c r="Y38" s="73" t="str">
        <f ca="1"/>
        <v>21,_x0015_</v>
      </c>
      <c r="Z38" t="str">
        <f ca="1"/>
        <v xml:space="preserve"> </v>
      </c>
      <c r="AA38" s="64" t="str">
        <f ca="1"/>
        <v>23</v>
      </c>
      <c r="AB38" s="64" t="str">
        <f ca="1"/>
        <v>_x0017_</v>
      </c>
      <c r="AC38" s="64"/>
      <c r="AD38" s="64"/>
      <c r="AE38" s="64"/>
      <c r="AF38" s="73"/>
      <c r="AG38" s="73"/>
      <c r="AH38" s="73"/>
      <c r="AI38" s="73"/>
      <c r="AJ38" s="73"/>
      <c r="AK38" s="73"/>
      <c r="AL38" s="73"/>
      <c r="AM38" s="73"/>
      <c r="AN38" s="73"/>
      <c r="AO38" s="73"/>
    </row>
    <row r="39" spans="2:41" x14ac:dyDescent="0.45">
      <c r="B39" s="56" cm="1">
        <f t="array" aca="1" ref="B39" ca="1">FileSize(Folder&amp;Tests[[#This Row],[FileName]])</f>
        <v>40</v>
      </c>
      <c r="C39" s="52">
        <v>25</v>
      </c>
      <c r="D39" s="33" t="s">
        <v>155</v>
      </c>
      <c r="E39" s="32" t="b">
        <v>1</v>
      </c>
      <c r="F39" s="34" t="s">
        <v>95</v>
      </c>
      <c r="G39" s="34" t="b">
        <v>0</v>
      </c>
      <c r="H39" s="32" t="s">
        <v>101</v>
      </c>
      <c r="I39" s="34" t="s">
        <v>95</v>
      </c>
      <c r="J39" s="34" t="b">
        <v>1</v>
      </c>
      <c r="K39" s="34"/>
      <c r="L39" s="32">
        <v>1</v>
      </c>
      <c r="M39" s="32">
        <v>1</v>
      </c>
      <c r="N39" s="32">
        <v>0</v>
      </c>
      <c r="O39" s="32">
        <v>0</v>
      </c>
      <c r="P39" s="32"/>
      <c r="Q39" s="32"/>
      <c r="R39" s="32"/>
      <c r="S39" s="32"/>
      <c r="T39" s="32" t="s">
        <v>96</v>
      </c>
      <c r="U39" s="44"/>
      <c r="V39" s="68" t="str">
        <f ca="1"/>
        <v xml:space="preserve"> </v>
      </c>
      <c r="X39" t="str">
        <f ca="1"/>
        <v/>
      </c>
      <c r="Y39" s="73" t="str">
        <f ca="1"/>
        <v>22,_x0016_</v>
      </c>
      <c r="Z39" t="str">
        <f ca="1"/>
        <v xml:space="preserve"> </v>
      </c>
      <c r="AA39" s="64" t="str">
        <f ca="1"/>
        <v>24</v>
      </c>
      <c r="AB39" s="64" t="str">
        <f ca="1"/>
        <v>_x0018_</v>
      </c>
      <c r="AC39" s="64"/>
      <c r="AD39" s="64"/>
      <c r="AE39" s="64"/>
      <c r="AF39" s="73"/>
      <c r="AG39" s="73"/>
      <c r="AH39" s="73"/>
      <c r="AI39" s="73"/>
      <c r="AJ39" s="73"/>
      <c r="AK39" s="73"/>
      <c r="AL39" s="73"/>
      <c r="AM39" s="73"/>
      <c r="AN39" s="73"/>
      <c r="AO39" s="73"/>
    </row>
    <row r="40" spans="2:41" x14ac:dyDescent="0.45">
      <c r="B40" s="56" cm="1">
        <f t="array" aca="1" ref="B40" ca="1">FileSize(Folder&amp;Tests[[#This Row],[FileName]])</f>
        <v>46</v>
      </c>
      <c r="C40" s="80">
        <v>26</v>
      </c>
      <c r="D40" s="33" t="s">
        <v>156</v>
      </c>
      <c r="E40" s="32" t="b">
        <v>1</v>
      </c>
      <c r="F40" s="34" t="s">
        <v>98</v>
      </c>
      <c r="G40" s="34" t="b">
        <v>1</v>
      </c>
      <c r="H40" s="34" t="s">
        <v>95</v>
      </c>
      <c r="I40" s="34" t="s">
        <v>95</v>
      </c>
      <c r="J40" s="34" t="b">
        <v>1</v>
      </c>
      <c r="K40" s="34"/>
      <c r="L40" s="32">
        <v>1</v>
      </c>
      <c r="M40" s="32">
        <v>1</v>
      </c>
      <c r="N40" s="32">
        <v>0</v>
      </c>
      <c r="O40" s="32">
        <v>0</v>
      </c>
      <c r="P40" s="32"/>
      <c r="Q40" s="32"/>
      <c r="R40" s="32"/>
      <c r="S40" s="32"/>
      <c r="T40" s="32" t="s">
        <v>96</v>
      </c>
      <c r="U40" s="44"/>
      <c r="V40" s="68" t="str">
        <f ca="1"/>
        <v xml:space="preserve"> </v>
      </c>
      <c r="X40" t="str">
        <f ca="1"/>
        <v/>
      </c>
      <c r="Y40" s="73" t="str">
        <f ca="1"/>
        <v>23,_x0017_</v>
      </c>
      <c r="Z40" t="str">
        <f ca="1"/>
        <v xml:space="preserve"> </v>
      </c>
      <c r="AA40" s="64" t="str">
        <f ca="1"/>
        <v>25</v>
      </c>
      <c r="AB40" s="64" t="str">
        <f ca="1"/>
        <v>_x0019_</v>
      </c>
      <c r="AC40" s="64"/>
      <c r="AD40" s="64"/>
      <c r="AE40" s="64"/>
      <c r="AF40" s="73"/>
      <c r="AG40" s="73"/>
      <c r="AH40" s="73"/>
      <c r="AI40" s="73"/>
      <c r="AJ40" s="73"/>
      <c r="AK40" s="73"/>
      <c r="AL40" s="73"/>
      <c r="AM40" s="73"/>
      <c r="AN40" s="73"/>
      <c r="AO40" s="73"/>
    </row>
    <row r="41" spans="2:41" x14ac:dyDescent="0.45">
      <c r="B41" s="56" cm="1">
        <f t="array" aca="1" ref="B41" ca="1">FileSize(Folder&amp;Tests[[#This Row],[FileName]])</f>
        <v>44</v>
      </c>
      <c r="C41" s="80">
        <v>27</v>
      </c>
      <c r="D41" s="33" t="s">
        <v>157</v>
      </c>
      <c r="E41" s="32" t="b">
        <v>0</v>
      </c>
      <c r="F41" s="34" t="s">
        <v>95</v>
      </c>
      <c r="G41" s="34" t="b">
        <v>0</v>
      </c>
      <c r="H41" s="34" t="s">
        <v>95</v>
      </c>
      <c r="I41" s="34" t="s">
        <v>95</v>
      </c>
      <c r="J41" s="34" t="b">
        <v>1</v>
      </c>
      <c r="K41" s="34"/>
      <c r="L41" s="32">
        <v>1</v>
      </c>
      <c r="M41" s="32">
        <v>1</v>
      </c>
      <c r="N41" s="32">
        <v>0</v>
      </c>
      <c r="O41" s="32">
        <v>0</v>
      </c>
      <c r="P41" s="32"/>
      <c r="Q41" s="32"/>
      <c r="R41" s="32"/>
      <c r="S41" s="32"/>
      <c r="T41" s="32" t="s">
        <v>96</v>
      </c>
      <c r="U41" s="44"/>
      <c r="V41" s="68" t="str">
        <f ca="1"/>
        <v xml:space="preserve"> </v>
      </c>
      <c r="X41" t="str">
        <f ca="1"/>
        <v/>
      </c>
      <c r="Y41" s="73" t="str">
        <f ca="1"/>
        <v>24,_x0018_</v>
      </c>
      <c r="Z41" t="str">
        <f ca="1"/>
        <v xml:space="preserve"> </v>
      </c>
      <c r="AA41" s="64" t="str">
        <f ca="1"/>
        <v>26</v>
      </c>
      <c r="AB41" s="64" t="str">
        <f ca="1"/>
        <v>_x001A_</v>
      </c>
      <c r="AC41" s="64"/>
      <c r="AD41" s="64"/>
      <c r="AE41" s="64"/>
      <c r="AF41" s="73"/>
      <c r="AG41" s="73"/>
      <c r="AH41" s="73"/>
      <c r="AI41" s="73"/>
      <c r="AJ41" s="73"/>
      <c r="AK41" s="73"/>
      <c r="AL41" s="73"/>
      <c r="AM41" s="73"/>
      <c r="AN41" s="73"/>
      <c r="AO41" s="73"/>
    </row>
    <row r="42" spans="2:41" x14ac:dyDescent="0.45">
      <c r="B42" s="56" cm="1">
        <f t="array" aca="1" ref="B42" ca="1">FileSize(Folder&amp;Tests[[#This Row],[FileName]])</f>
        <v>51</v>
      </c>
      <c r="C42" s="52">
        <v>28</v>
      </c>
      <c r="D42" s="33" t="s">
        <v>158</v>
      </c>
      <c r="E42" s="32" t="b">
        <v>0</v>
      </c>
      <c r="F42" s="34" t="s">
        <v>95</v>
      </c>
      <c r="G42" s="34" t="b">
        <v>0</v>
      </c>
      <c r="H42" s="34" t="s">
        <v>95</v>
      </c>
      <c r="I42" s="34" t="s">
        <v>95</v>
      </c>
      <c r="J42" s="34" t="b">
        <v>1</v>
      </c>
      <c r="K42" s="34"/>
      <c r="L42" s="32">
        <v>1</v>
      </c>
      <c r="M42" s="32">
        <v>1</v>
      </c>
      <c r="N42" s="32">
        <v>0</v>
      </c>
      <c r="O42" s="32">
        <v>0</v>
      </c>
      <c r="P42" s="32"/>
      <c r="Q42" s="32"/>
      <c r="R42" s="32"/>
      <c r="S42" s="32"/>
      <c r="T42" s="32" t="s">
        <v>96</v>
      </c>
      <c r="U42" s="44" t="s">
        <v>102</v>
      </c>
      <c r="V42" s="68" t="str">
        <f ca="1"/>
        <v xml:space="preserve"> </v>
      </c>
      <c r="X42" t="str">
        <f ca="1"/>
        <v/>
      </c>
      <c r="Y42" s="73" t="str">
        <f ca="1"/>
        <v>25,_x0019_</v>
      </c>
      <c r="Z42" t="str">
        <f ca="1"/>
        <v xml:space="preserve"> </v>
      </c>
      <c r="AA42" s="64" t="str">
        <f ca="1"/>
        <v>27</v>
      </c>
      <c r="AB42" s="64" t="str">
        <f ca="1"/>
        <v>_x001B_</v>
      </c>
      <c r="AC42" s="64"/>
      <c r="AD42" s="64"/>
      <c r="AE42" s="64"/>
      <c r="AF42" s="73"/>
      <c r="AG42" s="73"/>
      <c r="AH42" s="73"/>
      <c r="AI42" s="73"/>
      <c r="AJ42" s="73"/>
      <c r="AK42" s="73"/>
      <c r="AL42" s="73"/>
      <c r="AM42" s="73"/>
      <c r="AN42" s="73"/>
      <c r="AO42" s="73"/>
    </row>
    <row r="43" spans="2:41" x14ac:dyDescent="0.45">
      <c r="B43" s="56" cm="1">
        <f t="array" aca="1" ref="B43" ca="1">FileSize(Folder&amp;Tests[[#This Row],[FileName]])</f>
        <v>47</v>
      </c>
      <c r="C43" s="52">
        <v>29</v>
      </c>
      <c r="D43" s="33" t="s">
        <v>159</v>
      </c>
      <c r="E43" s="32" t="b">
        <v>0</v>
      </c>
      <c r="F43" s="34" t="s">
        <v>95</v>
      </c>
      <c r="G43" s="34" t="b">
        <v>0</v>
      </c>
      <c r="H43" s="34" t="s">
        <v>95</v>
      </c>
      <c r="I43" s="34" t="s">
        <v>95</v>
      </c>
      <c r="J43" s="34" t="b">
        <v>1</v>
      </c>
      <c r="K43" s="34"/>
      <c r="L43" s="32">
        <v>1</v>
      </c>
      <c r="M43" s="32">
        <v>1</v>
      </c>
      <c r="N43" s="32">
        <v>0</v>
      </c>
      <c r="O43" s="32">
        <v>0</v>
      </c>
      <c r="P43" s="32"/>
      <c r="Q43" s="32"/>
      <c r="R43" s="32"/>
      <c r="S43" s="32"/>
      <c r="T43" s="32" t="s">
        <v>96</v>
      </c>
      <c r="U43" s="44"/>
      <c r="V43" s="68" t="str">
        <f ca="1"/>
        <v xml:space="preserve"> </v>
      </c>
      <c r="X43" t="str">
        <f ca="1"/>
        <v/>
      </c>
      <c r="Y43" s="73" t="str">
        <f ca="1"/>
        <v>26,_x001A_</v>
      </c>
      <c r="Z43" t="str">
        <f ca="1"/>
        <v xml:space="preserve"> </v>
      </c>
      <c r="AA43" s="64" t="str">
        <f ca="1"/>
        <v>28</v>
      </c>
      <c r="AB43" s="64" t="str">
        <f ca="1"/>
        <v>_x001C_</v>
      </c>
      <c r="AC43" s="64"/>
      <c r="AD43" s="64"/>
      <c r="AE43" s="64"/>
      <c r="AF43" s="73"/>
      <c r="AG43" s="73"/>
      <c r="AH43" s="73"/>
      <c r="AI43" s="73"/>
      <c r="AJ43" s="73"/>
      <c r="AK43" s="73"/>
      <c r="AL43" s="73"/>
      <c r="AM43" s="73"/>
      <c r="AN43" s="73"/>
      <c r="AO43" s="73"/>
    </row>
    <row r="44" spans="2:41" x14ac:dyDescent="0.45">
      <c r="B44" s="56" cm="1">
        <f t="array" aca="1" ref="B44" ca="1">FileSize(Folder&amp;Tests[[#This Row],[FileName]])</f>
        <v>50</v>
      </c>
      <c r="C44" s="80">
        <v>30</v>
      </c>
      <c r="D44" s="33" t="s">
        <v>160</v>
      </c>
      <c r="E44" s="32" t="b">
        <v>1</v>
      </c>
      <c r="F44" s="34" t="s">
        <v>95</v>
      </c>
      <c r="G44" s="34" t="b">
        <v>0</v>
      </c>
      <c r="H44" s="34" t="s">
        <v>95</v>
      </c>
      <c r="I44" s="34" t="s">
        <v>95</v>
      </c>
      <c r="J44" s="34" t="b">
        <v>1</v>
      </c>
      <c r="K44" s="34"/>
      <c r="L44" s="32">
        <v>1</v>
      </c>
      <c r="M44" s="32">
        <v>1</v>
      </c>
      <c r="N44" s="32">
        <v>0</v>
      </c>
      <c r="O44" s="32">
        <v>0</v>
      </c>
      <c r="P44" s="32"/>
      <c r="Q44" s="32"/>
      <c r="R44" s="32"/>
      <c r="S44" s="32"/>
      <c r="T44" s="32" t="s">
        <v>96</v>
      </c>
      <c r="U44" s="44"/>
      <c r="V44" s="68" t="str">
        <f ca="1"/>
        <v xml:space="preserve"> </v>
      </c>
      <c r="X44" t="str">
        <f ca="1"/>
        <v/>
      </c>
      <c r="Y44" s="73" t="str">
        <f ca="1"/>
        <v>27,_x001B_</v>
      </c>
      <c r="Z44" t="str">
        <f ca="1"/>
        <v xml:space="preserve"> </v>
      </c>
      <c r="AA44" s="64" t="str">
        <f ca="1"/>
        <v>29</v>
      </c>
      <c r="AB44" s="64" t="str">
        <f ca="1"/>
        <v>_x001D_</v>
      </c>
      <c r="AC44" s="64"/>
      <c r="AD44" s="64"/>
      <c r="AE44" s="64"/>
      <c r="AF44" s="73"/>
      <c r="AG44" s="73"/>
      <c r="AH44" s="73"/>
      <c r="AI44" s="73"/>
      <c r="AJ44" s="73"/>
      <c r="AK44" s="73"/>
      <c r="AL44" s="73"/>
      <c r="AM44" s="73"/>
      <c r="AN44" s="73"/>
      <c r="AO44" s="73"/>
    </row>
    <row r="45" spans="2:41" x14ac:dyDescent="0.45">
      <c r="B45" s="56" cm="1">
        <f t="array" aca="1" ref="B45" ca="1">FileSize(Folder&amp;Tests[[#This Row],[FileName]])</f>
        <v>53</v>
      </c>
      <c r="C45" s="80">
        <v>31</v>
      </c>
      <c r="D45" s="33" t="s">
        <v>161</v>
      </c>
      <c r="E45" s="32" t="b">
        <v>1</v>
      </c>
      <c r="F45" s="34" t="s">
        <v>95</v>
      </c>
      <c r="G45" s="34" t="b">
        <v>0</v>
      </c>
      <c r="H45" s="34" t="s">
        <v>95</v>
      </c>
      <c r="I45" s="34" t="s">
        <v>95</v>
      </c>
      <c r="J45" s="34" t="b">
        <v>1</v>
      </c>
      <c r="K45" s="34"/>
      <c r="L45" s="32">
        <v>1</v>
      </c>
      <c r="M45" s="32">
        <v>1</v>
      </c>
      <c r="N45" s="32">
        <v>0</v>
      </c>
      <c r="O45" s="32">
        <v>0</v>
      </c>
      <c r="P45" s="32" t="s">
        <v>304</v>
      </c>
      <c r="Q45" s="32" t="s">
        <v>305</v>
      </c>
      <c r="R45" s="32"/>
      <c r="S45" s="32"/>
      <c r="T45" s="32" t="s">
        <v>96</v>
      </c>
      <c r="U45" s="44"/>
      <c r="V45" s="68" t="str">
        <f ca="1"/>
        <v xml:space="preserve"> </v>
      </c>
      <c r="X45" t="str">
        <f ca="1"/>
        <v/>
      </c>
      <c r="Y45" s="73" t="str">
        <f ca="1"/>
        <v>28,_x001C_</v>
      </c>
      <c r="Z45" t="str">
        <f ca="1"/>
        <v xml:space="preserve"> </v>
      </c>
      <c r="AA45" s="64" t="str">
        <f ca="1"/>
        <v>30</v>
      </c>
      <c r="AB45" s="64" t="str">
        <f ca="1"/>
        <v>_x001E_</v>
      </c>
      <c r="AC45" s="64"/>
      <c r="AD45" s="64"/>
      <c r="AE45" s="64"/>
      <c r="AF45" s="73"/>
      <c r="AG45" s="73"/>
      <c r="AH45" s="73"/>
      <c r="AI45" s="73"/>
      <c r="AJ45" s="73"/>
      <c r="AK45" s="73"/>
      <c r="AL45" s="73"/>
      <c r="AM45" s="73"/>
      <c r="AN45" s="73"/>
      <c r="AO45" s="73"/>
    </row>
    <row r="46" spans="2:41" x14ac:dyDescent="0.45">
      <c r="B46" s="56" cm="1">
        <f t="array" aca="1" ref="B46" ca="1">FileSize(Folder&amp;Tests[[#This Row],[FileName]])</f>
        <v>53</v>
      </c>
      <c r="C46" s="80">
        <v>32</v>
      </c>
      <c r="D46" s="33" t="s">
        <v>162</v>
      </c>
      <c r="E46" s="32" t="b">
        <v>1</v>
      </c>
      <c r="F46" s="34" t="s">
        <v>95</v>
      </c>
      <c r="G46" s="34" t="b">
        <v>0</v>
      </c>
      <c r="H46" s="34" t="s">
        <v>95</v>
      </c>
      <c r="I46" s="34" t="s">
        <v>95</v>
      </c>
      <c r="J46" s="34" t="b">
        <v>1</v>
      </c>
      <c r="K46" s="34"/>
      <c r="L46" s="32">
        <v>1</v>
      </c>
      <c r="M46" s="32">
        <v>1</v>
      </c>
      <c r="N46" s="32">
        <v>0</v>
      </c>
      <c r="O46" s="32">
        <v>0</v>
      </c>
      <c r="P46" s="32"/>
      <c r="Q46" s="32"/>
      <c r="R46" s="32"/>
      <c r="S46" s="32"/>
      <c r="T46" s="32" t="s">
        <v>96</v>
      </c>
      <c r="U46" s="44"/>
      <c r="V46" s="68" t="str">
        <f ca="1"/>
        <v xml:space="preserve"> </v>
      </c>
      <c r="X46" t="str">
        <f ca="1"/>
        <v/>
      </c>
      <c r="Y46" s="73" t="str">
        <f ca="1"/>
        <v>29,_x001D_</v>
      </c>
      <c r="Z46" t="str">
        <f ca="1"/>
        <v xml:space="preserve"> </v>
      </c>
      <c r="AA46" s="64" t="str">
        <f ca="1"/>
        <v>31</v>
      </c>
      <c r="AB46" s="64" t="str">
        <f ca="1"/>
        <v>_x001F_</v>
      </c>
      <c r="AC46" s="64"/>
      <c r="AD46" s="64"/>
      <c r="AE46" s="64"/>
      <c r="AF46" s="73"/>
      <c r="AG46" s="73"/>
      <c r="AH46" s="73"/>
      <c r="AI46" s="73"/>
      <c r="AJ46" s="73"/>
      <c r="AK46" s="73"/>
      <c r="AL46" s="73"/>
      <c r="AM46" s="73"/>
      <c r="AN46" s="73"/>
      <c r="AO46" s="73"/>
    </row>
    <row r="47" spans="2:41" x14ac:dyDescent="0.45">
      <c r="B47" s="56" cm="1">
        <f t="array" aca="1" ref="B47" ca="1">FileSize(Folder&amp;Tests[[#This Row],[FileName]])</f>
        <v>53</v>
      </c>
      <c r="C47" s="80">
        <v>33</v>
      </c>
      <c r="D47" s="33" t="s">
        <v>163</v>
      </c>
      <c r="E47" s="32" t="b">
        <v>1</v>
      </c>
      <c r="F47" s="34" t="s">
        <v>95</v>
      </c>
      <c r="G47" s="34" t="b">
        <v>0</v>
      </c>
      <c r="H47" s="34" t="s">
        <v>95</v>
      </c>
      <c r="I47" s="34" t="s">
        <v>95</v>
      </c>
      <c r="J47" s="34" t="b">
        <v>1</v>
      </c>
      <c r="K47" s="34"/>
      <c r="L47" s="32">
        <v>1</v>
      </c>
      <c r="M47" s="32">
        <v>1</v>
      </c>
      <c r="N47" s="32">
        <v>0</v>
      </c>
      <c r="O47" s="32">
        <v>0</v>
      </c>
      <c r="P47" s="32"/>
      <c r="Q47" s="32"/>
      <c r="R47" s="32"/>
      <c r="S47" s="32"/>
      <c r="T47" s="32" t="s">
        <v>96</v>
      </c>
      <c r="U47" s="44"/>
      <c r="V47" s="68" t="str">
        <f ca="1"/>
        <v xml:space="preserve"> </v>
      </c>
      <c r="X47" t="str">
        <f ca="1"/>
        <v/>
      </c>
      <c r="Y47" s="73" t="str">
        <f ca="1"/>
        <v>30,_x001E_</v>
      </c>
      <c r="Z47" t="str">
        <f ca="1"/>
        <v xml:space="preserve"> </v>
      </c>
      <c r="AA47" s="64" t="str">
        <f ca="1"/>
        <v>32</v>
      </c>
      <c r="AB47" s="64" t="str">
        <f ca="1"/>
        <v xml:space="preserve"> </v>
      </c>
      <c r="AC47" s="64"/>
      <c r="AD47" s="64"/>
      <c r="AE47" s="64"/>
      <c r="AF47" s="73"/>
      <c r="AG47" s="73"/>
      <c r="AH47" s="73"/>
      <c r="AI47" s="73"/>
      <c r="AJ47" s="73"/>
      <c r="AK47" s="73"/>
      <c r="AL47" s="73"/>
      <c r="AM47" s="73"/>
      <c r="AN47" s="73"/>
      <c r="AO47" s="73"/>
    </row>
    <row r="48" spans="2:41" x14ac:dyDescent="0.45">
      <c r="B48" s="56" cm="1">
        <f t="array" aca="1" ref="B48" ca="1">FileSize(Folder&amp;Tests[[#This Row],[FileName]])</f>
        <v>53</v>
      </c>
      <c r="C48" s="80">
        <v>34</v>
      </c>
      <c r="D48" s="33" t="s">
        <v>164</v>
      </c>
      <c r="E48" s="32" t="b">
        <v>1</v>
      </c>
      <c r="F48" s="34" t="s">
        <v>95</v>
      </c>
      <c r="G48" s="34" t="b">
        <v>0</v>
      </c>
      <c r="H48" s="34" t="s">
        <v>95</v>
      </c>
      <c r="I48" s="34" t="s">
        <v>95</v>
      </c>
      <c r="J48" s="34" t="b">
        <v>1</v>
      </c>
      <c r="K48" s="34"/>
      <c r="L48" s="32">
        <v>1</v>
      </c>
      <c r="M48" s="32">
        <v>1</v>
      </c>
      <c r="N48" s="32">
        <v>0</v>
      </c>
      <c r="O48" s="32">
        <v>0</v>
      </c>
      <c r="P48" s="32"/>
      <c r="Q48" s="32"/>
      <c r="R48" s="32"/>
      <c r="S48" s="32"/>
      <c r="T48" s="32" t="s">
        <v>96</v>
      </c>
      <c r="U48" s="41" t="s">
        <v>573</v>
      </c>
      <c r="V48" s="68" t="str">
        <f ca="1"/>
        <v xml:space="preserve"> </v>
      </c>
      <c r="X48" t="str">
        <f ca="1"/>
        <v/>
      </c>
      <c r="Y48" s="73" t="str">
        <f ca="1"/>
        <v>31,_x001F_</v>
      </c>
      <c r="Z48" t="str">
        <f ca="1"/>
        <v xml:space="preserve"> </v>
      </c>
      <c r="AA48" s="64" t="str">
        <f ca="1"/>
        <v>33</v>
      </c>
      <c r="AB48" s="64" t="str">
        <f ca="1"/>
        <v>!</v>
      </c>
      <c r="AC48" s="64"/>
      <c r="AD48" s="64"/>
      <c r="AE48" s="64"/>
      <c r="AF48" s="73"/>
      <c r="AG48" s="73"/>
      <c r="AH48" s="73"/>
      <c r="AI48" s="73"/>
      <c r="AJ48" s="73"/>
      <c r="AK48" s="73"/>
      <c r="AL48" s="73"/>
      <c r="AM48" s="73"/>
      <c r="AN48" s="73"/>
      <c r="AO48" s="73"/>
    </row>
    <row r="49" spans="2:41" x14ac:dyDescent="0.45">
      <c r="B49" s="56" cm="1">
        <f t="array" aca="1" ref="B49" ca="1">FileSize(Folder&amp;Tests[[#This Row],[FileName]])</f>
        <v>54</v>
      </c>
      <c r="C49" s="80">
        <v>35</v>
      </c>
      <c r="D49" s="33" t="s">
        <v>165</v>
      </c>
      <c r="E49" s="32" t="b">
        <v>1</v>
      </c>
      <c r="F49" s="34" t="s">
        <v>95</v>
      </c>
      <c r="G49" s="34" t="b">
        <v>0</v>
      </c>
      <c r="H49" s="34" t="s">
        <v>95</v>
      </c>
      <c r="I49" s="34" t="s">
        <v>95</v>
      </c>
      <c r="J49" s="34" t="b">
        <v>1</v>
      </c>
      <c r="K49" s="34"/>
      <c r="L49" s="32">
        <v>1</v>
      </c>
      <c r="M49" s="32">
        <v>1</v>
      </c>
      <c r="N49" s="32">
        <v>0</v>
      </c>
      <c r="O49" s="32">
        <v>0</v>
      </c>
      <c r="P49" s="32"/>
      <c r="Q49" s="32"/>
      <c r="R49" s="32" t="s">
        <v>303</v>
      </c>
      <c r="S49" s="32"/>
      <c r="T49" s="32" t="s">
        <v>96</v>
      </c>
      <c r="U49" s="44"/>
      <c r="V49" s="68" t="str">
        <f ca="1"/>
        <v xml:space="preserve"> </v>
      </c>
      <c r="X49" t="str">
        <f ca="1"/>
        <v/>
      </c>
      <c r="Y49" s="73" t="str">
        <f ca="1"/>
        <v xml:space="preserve">32, </v>
      </c>
      <c r="Z49" t="str">
        <f ca="1"/>
        <v xml:space="preserve"> </v>
      </c>
      <c r="AA49" s="64" t="str">
        <f ca="1"/>
        <v>34</v>
      </c>
      <c r="AB49" s="64" t="str">
        <f ca="1"/>
        <v>"</v>
      </c>
      <c r="AC49" s="64"/>
      <c r="AD49" s="64"/>
      <c r="AE49" s="64"/>
      <c r="AF49" s="73"/>
      <c r="AG49" s="73"/>
      <c r="AH49" s="73"/>
      <c r="AI49" s="73"/>
      <c r="AJ49" s="73"/>
      <c r="AK49" s="73"/>
      <c r="AL49" s="73"/>
      <c r="AM49" s="73"/>
      <c r="AN49" s="73"/>
      <c r="AO49" s="73"/>
    </row>
    <row r="50" spans="2:41" x14ac:dyDescent="0.45">
      <c r="B50" s="56" cm="1">
        <f t="array" aca="1" ref="B50" ca="1">FileSize(Folder&amp;Tests[[#This Row],[FileName]])</f>
        <v>56</v>
      </c>
      <c r="C50" s="80">
        <v>36</v>
      </c>
      <c r="D50" s="33" t="s">
        <v>166</v>
      </c>
      <c r="E50" s="32" t="s">
        <v>241</v>
      </c>
      <c r="F50" s="34" t="s">
        <v>95</v>
      </c>
      <c r="G50" s="34" t="b">
        <v>0</v>
      </c>
      <c r="H50" s="34" t="s">
        <v>95</v>
      </c>
      <c r="I50" s="34" t="s">
        <v>95</v>
      </c>
      <c r="J50" s="34" t="b">
        <v>1</v>
      </c>
      <c r="K50" s="34"/>
      <c r="L50" s="32">
        <v>1</v>
      </c>
      <c r="M50" s="32">
        <v>1</v>
      </c>
      <c r="N50" s="32">
        <v>0</v>
      </c>
      <c r="O50" s="32">
        <v>0</v>
      </c>
      <c r="P50" s="32"/>
      <c r="Q50" s="32"/>
      <c r="R50" s="32"/>
      <c r="S50" s="32"/>
      <c r="T50" s="32" t="s">
        <v>96</v>
      </c>
      <c r="U50" s="45"/>
      <c r="V50" s="68" t="str">
        <f ca="1"/>
        <v xml:space="preserve"> </v>
      </c>
      <c r="X50" t="str">
        <f ca="1"/>
        <v/>
      </c>
      <c r="Y50" s="73" t="str">
        <f ca="1"/>
        <v>33,!</v>
      </c>
      <c r="Z50" t="str">
        <f ca="1"/>
        <v xml:space="preserve"> </v>
      </c>
      <c r="AA50" s="64" t="str">
        <f ca="1"/>
        <v>35</v>
      </c>
      <c r="AB50" s="64" t="str">
        <f ca="1"/>
        <v>#</v>
      </c>
      <c r="AC50" s="64"/>
      <c r="AD50" s="64"/>
      <c r="AE50" s="64"/>
      <c r="AF50" s="73"/>
      <c r="AG50" s="73"/>
      <c r="AH50" s="73"/>
      <c r="AI50" s="73"/>
      <c r="AJ50" s="73"/>
      <c r="AK50" s="73"/>
      <c r="AL50" s="73"/>
      <c r="AM50" s="73"/>
      <c r="AN50" s="73"/>
      <c r="AO50" s="73"/>
    </row>
    <row r="51" spans="2:41" x14ac:dyDescent="0.45">
      <c r="B51" s="56" cm="1">
        <f t="array" aca="1" ref="B51" ca="1">FileSize(Folder&amp;Tests[[#This Row],[FileName]])</f>
        <v>61</v>
      </c>
      <c r="C51" s="80">
        <v>37</v>
      </c>
      <c r="D51" s="33" t="s">
        <v>167</v>
      </c>
      <c r="E51" s="32" t="b">
        <v>1</v>
      </c>
      <c r="F51" s="34" t="s">
        <v>95</v>
      </c>
      <c r="G51" s="34" t="b">
        <v>0</v>
      </c>
      <c r="H51" s="34" t="s">
        <v>95</v>
      </c>
      <c r="I51" s="34" t="s">
        <v>95</v>
      </c>
      <c r="J51" s="34" t="b">
        <v>1</v>
      </c>
      <c r="K51" s="34"/>
      <c r="L51" s="32">
        <v>1</v>
      </c>
      <c r="M51" s="32">
        <v>1</v>
      </c>
      <c r="N51" s="32">
        <v>0</v>
      </c>
      <c r="O51" s="32">
        <v>0</v>
      </c>
      <c r="P51" s="32"/>
      <c r="Q51" s="32"/>
      <c r="R51" s="32"/>
      <c r="S51" s="32"/>
      <c r="T51" s="32" t="s">
        <v>96</v>
      </c>
      <c r="U51" s="41" t="s">
        <v>229</v>
      </c>
      <c r="V51" s="68" t="str">
        <f ca="1"/>
        <v xml:space="preserve"> </v>
      </c>
      <c r="X51" t="str">
        <f ca="1"/>
        <v/>
      </c>
      <c r="Y51" t="str">
        <f ca="1"/>
        <v>34,""""</v>
      </c>
      <c r="Z51" t="str">
        <f ca="1"/>
        <v xml:space="preserve"> </v>
      </c>
      <c r="AA51" s="48" t="str">
        <f ca="1"/>
        <v>36</v>
      </c>
      <c r="AB51" s="48" t="str">
        <f ca="1"/>
        <v>$</v>
      </c>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168</v>
      </c>
      <c r="E52" s="32" t="b">
        <v>1</v>
      </c>
      <c r="F52" s="34" t="s">
        <v>95</v>
      </c>
      <c r="G52" s="34" t="b">
        <v>0</v>
      </c>
      <c r="H52" s="34" t="s">
        <v>95</v>
      </c>
      <c r="I52" s="34" t="s">
        <v>95</v>
      </c>
      <c r="J52" s="34" t="b">
        <v>1</v>
      </c>
      <c r="K52" s="34"/>
      <c r="L52" s="32">
        <v>1</v>
      </c>
      <c r="M52" s="32">
        <v>1</v>
      </c>
      <c r="N52" s="32">
        <v>0</v>
      </c>
      <c r="O52" s="32">
        <v>0</v>
      </c>
      <c r="P52" s="32"/>
      <c r="Q52" s="32"/>
      <c r="R52" s="32"/>
      <c r="S52" s="32"/>
      <c r="T52" s="32" t="s">
        <v>96</v>
      </c>
      <c r="U52" s="41"/>
      <c r="V52" s="68" t="str">
        <f ca="1"/>
        <v xml:space="preserve"> </v>
      </c>
      <c r="X52" t="str">
        <f ca="1"/>
        <v/>
      </c>
      <c r="Y52" t="str">
        <f ca="1"/>
        <v>35,#</v>
      </c>
      <c r="Z52" t="str">
        <f ca="1"/>
        <v xml:space="preserve"> </v>
      </c>
      <c r="AA52" s="48" t="str">
        <f ca="1"/>
        <v>37</v>
      </c>
      <c r="AB52" s="48" t="str">
        <f ca="1"/>
        <v>%</v>
      </c>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169</v>
      </c>
      <c r="E53" s="32" t="b">
        <v>1</v>
      </c>
      <c r="F53" s="34" t="s">
        <v>95</v>
      </c>
      <c r="G53" s="34" t="b">
        <v>0</v>
      </c>
      <c r="H53" s="34" t="s">
        <v>95</v>
      </c>
      <c r="I53" s="34" t="s">
        <v>95</v>
      </c>
      <c r="J53" s="34" t="b">
        <v>1</v>
      </c>
      <c r="K53" s="34"/>
      <c r="L53" s="32">
        <v>1</v>
      </c>
      <c r="M53" s="32">
        <v>1</v>
      </c>
      <c r="N53" s="32">
        <v>0</v>
      </c>
      <c r="O53" s="32">
        <v>0</v>
      </c>
      <c r="P53" s="32"/>
      <c r="Q53" s="32"/>
      <c r="R53" s="32"/>
      <c r="S53" s="32"/>
      <c r="T53" s="32" t="s">
        <v>96</v>
      </c>
      <c r="U53" s="44"/>
      <c r="V53" s="68" t="str">
        <f ca="1"/>
        <v xml:space="preserve"> </v>
      </c>
      <c r="X53" t="str">
        <f ca="1"/>
        <v/>
      </c>
      <c r="Y53" t="str">
        <f ca="1"/>
        <v>36,$</v>
      </c>
      <c r="Z53" t="str">
        <f ca="1"/>
        <v xml:space="preserve"> </v>
      </c>
      <c r="AA53" s="48" t="str">
        <f ca="1"/>
        <v>38</v>
      </c>
      <c r="AB53" s="48" t="str">
        <f ca="1"/>
        <v>&amp;</v>
      </c>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171</v>
      </c>
      <c r="E54" s="32" t="b">
        <v>1</v>
      </c>
      <c r="F54" s="34" t="s">
        <v>95</v>
      </c>
      <c r="G54" s="34" t="b">
        <v>0</v>
      </c>
      <c r="H54" s="34" t="s">
        <v>95</v>
      </c>
      <c r="I54" s="34" t="s">
        <v>95</v>
      </c>
      <c r="J54" s="34" t="b">
        <v>1</v>
      </c>
      <c r="K54" s="34"/>
      <c r="L54" s="32">
        <v>1</v>
      </c>
      <c r="M54" s="32">
        <v>1</v>
      </c>
      <c r="N54" s="32">
        <v>0</v>
      </c>
      <c r="O54" s="32">
        <v>0</v>
      </c>
      <c r="P54" s="32"/>
      <c r="Q54" s="32"/>
      <c r="R54" s="50" t="s">
        <v>306</v>
      </c>
      <c r="S54" s="32"/>
      <c r="T54" s="32" t="s">
        <v>97</v>
      </c>
      <c r="U54" s="44"/>
      <c r="V54" s="68" t="str">
        <f ca="1"/>
        <v xml:space="preserve"> </v>
      </c>
      <c r="X54" t="str">
        <f ca="1"/>
        <v/>
      </c>
      <c r="Y54" t="str">
        <f ca="1"/>
        <v>37,%</v>
      </c>
      <c r="Z54" t="str">
        <f ca="1"/>
        <v xml:space="preserve"> </v>
      </c>
      <c r="AA54" s="48" t="str">
        <f ca="1"/>
        <v>39</v>
      </c>
      <c r="AB54" s="48" t="str">
        <f ca="1"/>
        <v>'</v>
      </c>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172</v>
      </c>
      <c r="E55" s="32" t="b">
        <v>1</v>
      </c>
      <c r="F55" s="34" t="s">
        <v>95</v>
      </c>
      <c r="G55" s="34" t="b">
        <v>0</v>
      </c>
      <c r="H55" s="34" t="s">
        <v>291</v>
      </c>
      <c r="I55" s="34" t="s">
        <v>95</v>
      </c>
      <c r="J55" s="34" t="b">
        <v>1</v>
      </c>
      <c r="K55" s="34"/>
      <c r="L55" s="32">
        <v>1</v>
      </c>
      <c r="M55" s="32">
        <v>1</v>
      </c>
      <c r="N55" s="32">
        <v>0</v>
      </c>
      <c r="O55" s="32">
        <v>0</v>
      </c>
      <c r="P55" s="32"/>
      <c r="Q55" s="32"/>
      <c r="R55" s="32"/>
      <c r="S55" s="32"/>
      <c r="T55" s="32" t="s">
        <v>96</v>
      </c>
      <c r="U55" s="44" t="s">
        <v>104</v>
      </c>
      <c r="V55" s="68" t="str">
        <f ca="1"/>
        <v xml:space="preserve"> </v>
      </c>
      <c r="X55" t="str">
        <f ca="1"/>
        <v/>
      </c>
      <c r="Y55" t="str">
        <f ca="1"/>
        <v>38,&amp;</v>
      </c>
      <c r="Z55" t="str">
        <f ca="1"/>
        <v xml:space="preserve"> </v>
      </c>
      <c r="AA55" s="48" t="str">
        <f ca="1"/>
        <v>40</v>
      </c>
      <c r="AB55" s="48" t="str">
        <f ca="1"/>
        <v>(</v>
      </c>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173</v>
      </c>
      <c r="E56" s="32" t="b">
        <v>1</v>
      </c>
      <c r="F56" s="34" t="s">
        <v>95</v>
      </c>
      <c r="G56" s="34" t="b">
        <v>0</v>
      </c>
      <c r="H56" s="34" t="s">
        <v>95</v>
      </c>
      <c r="I56" s="34" t="s">
        <v>95</v>
      </c>
      <c r="J56" s="34" t="b">
        <v>1</v>
      </c>
      <c r="K56" s="34"/>
      <c r="L56" s="32">
        <v>1</v>
      </c>
      <c r="M56" s="32">
        <v>1</v>
      </c>
      <c r="N56" s="32">
        <v>0</v>
      </c>
      <c r="O56" s="32">
        <v>0</v>
      </c>
      <c r="P56" s="32"/>
      <c r="Q56" s="32"/>
      <c r="R56" s="32" t="s">
        <v>307</v>
      </c>
      <c r="S56" s="32"/>
      <c r="T56" s="32" t="s">
        <v>96</v>
      </c>
      <c r="U56" s="44"/>
      <c r="V56" s="68" t="str">
        <f ca="1"/>
        <v xml:space="preserve"> </v>
      </c>
      <c r="X56" t="str">
        <f ca="1"/>
        <v/>
      </c>
      <c r="Y56" t="str">
        <f ca="1"/>
        <v>39,'</v>
      </c>
      <c r="Z56" t="str">
        <f ca="1"/>
        <v xml:space="preserve"> </v>
      </c>
      <c r="AA56" s="48" t="str">
        <f ca="1"/>
        <v>41</v>
      </c>
      <c r="AB56" s="48" t="str">
        <f ca="1"/>
        <v>)</v>
      </c>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177</v>
      </c>
      <c r="E57" s="32" t="b">
        <v>1</v>
      </c>
      <c r="F57" s="34" t="s">
        <v>105</v>
      </c>
      <c r="G57" s="34" t="b">
        <v>0</v>
      </c>
      <c r="H57" s="34" t="s">
        <v>95</v>
      </c>
      <c r="I57" s="34" t="s">
        <v>95</v>
      </c>
      <c r="J57" s="34" t="b">
        <v>1</v>
      </c>
      <c r="K57" s="34"/>
      <c r="L57" s="32">
        <v>1</v>
      </c>
      <c r="M57" s="32">
        <v>1</v>
      </c>
      <c r="N57" s="32">
        <v>0</v>
      </c>
      <c r="O57" s="32">
        <v>0</v>
      </c>
      <c r="P57" s="32"/>
      <c r="Q57" s="32"/>
      <c r="R57" s="32"/>
      <c r="S57" s="32"/>
      <c r="T57" s="32" t="s">
        <v>96</v>
      </c>
      <c r="U57" s="44"/>
      <c r="V57" s="68" t="str">
        <f ca="1"/>
        <v xml:space="preserve"> </v>
      </c>
      <c r="X57" t="str">
        <f ca="1"/>
        <v/>
      </c>
      <c r="Y57" t="str">
        <f ca="1"/>
        <v>40,(</v>
      </c>
      <c r="Z57" t="str">
        <f ca="1"/>
        <v xml:space="preserve"> </v>
      </c>
      <c r="AA57" s="48" t="str">
        <f ca="1"/>
        <v>42</v>
      </c>
      <c r="AB57" s="48" t="str">
        <f ca="1"/>
        <v>*</v>
      </c>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178</v>
      </c>
      <c r="E58" s="32" t="b">
        <v>1</v>
      </c>
      <c r="F58" s="34" t="s">
        <v>95</v>
      </c>
      <c r="G58" s="34" t="b">
        <v>0</v>
      </c>
      <c r="H58" s="34" t="s">
        <v>95</v>
      </c>
      <c r="I58" s="34" t="s">
        <v>95</v>
      </c>
      <c r="J58" s="34" t="b">
        <v>1</v>
      </c>
      <c r="K58" s="34"/>
      <c r="L58" s="32">
        <v>1</v>
      </c>
      <c r="M58" s="32">
        <v>1</v>
      </c>
      <c r="N58" s="32">
        <v>0</v>
      </c>
      <c r="O58" s="32">
        <v>0</v>
      </c>
      <c r="P58" s="32"/>
      <c r="Q58" s="32"/>
      <c r="R58" s="32"/>
      <c r="S58" s="32"/>
      <c r="T58" s="32" t="s">
        <v>96</v>
      </c>
      <c r="U58" s="44"/>
      <c r="V58" s="68" t="str">
        <f ca="1"/>
        <v xml:space="preserve"> </v>
      </c>
      <c r="X58" t="str">
        <f ca="1"/>
        <v/>
      </c>
      <c r="Y58" t="str">
        <f ca="1"/>
        <v>41,)</v>
      </c>
      <c r="Z58" t="str">
        <f ca="1"/>
        <v xml:space="preserve"> </v>
      </c>
      <c r="AA58" s="48" t="str">
        <f ca="1"/>
        <v>43</v>
      </c>
      <c r="AB58" s="48" t="str">
        <f ca="1"/>
        <v>+</v>
      </c>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179</v>
      </c>
      <c r="E59" s="32" t="b">
        <v>1</v>
      </c>
      <c r="F59" s="34" t="s">
        <v>95</v>
      </c>
      <c r="G59" s="34" t="b">
        <v>0</v>
      </c>
      <c r="H59" s="34" t="s">
        <v>95</v>
      </c>
      <c r="I59" s="34" t="s">
        <v>95</v>
      </c>
      <c r="J59" s="34" t="b">
        <v>1</v>
      </c>
      <c r="K59" s="34"/>
      <c r="L59" s="32">
        <v>1</v>
      </c>
      <c r="M59" s="32">
        <v>1</v>
      </c>
      <c r="N59" s="32">
        <v>0</v>
      </c>
      <c r="O59" s="32">
        <v>0</v>
      </c>
      <c r="P59" s="32"/>
      <c r="Q59" s="32"/>
      <c r="R59" s="32"/>
      <c r="S59" s="32"/>
      <c r="T59" s="32" t="s">
        <v>96</v>
      </c>
      <c r="U59" s="44"/>
      <c r="V59" s="68" t="str">
        <f ca="1"/>
        <v xml:space="preserve"> </v>
      </c>
      <c r="X59" t="str">
        <f ca="1"/>
        <v/>
      </c>
      <c r="Y59" t="str">
        <f ca="1"/>
        <v>42,*</v>
      </c>
      <c r="Z59" t="str">
        <f ca="1"/>
        <v xml:space="preserve"> </v>
      </c>
      <c r="AA59" s="48" t="str">
        <f ca="1"/>
        <v>44</v>
      </c>
      <c r="AB59" s="48" t="str">
        <f ca="1"/>
        <v>,</v>
      </c>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52">
        <v>46</v>
      </c>
      <c r="D60" s="33" t="s">
        <v>182</v>
      </c>
      <c r="E60" s="32" t="b">
        <v>1</v>
      </c>
      <c r="F60" s="34" t="s">
        <v>95</v>
      </c>
      <c r="G60" s="34" t="b">
        <v>0</v>
      </c>
      <c r="H60" s="34" t="s">
        <v>95</v>
      </c>
      <c r="I60" s="34" t="s">
        <v>250</v>
      </c>
      <c r="J60" s="34" t="b">
        <v>1</v>
      </c>
      <c r="K60" s="34"/>
      <c r="L60" s="32">
        <v>1</v>
      </c>
      <c r="M60" s="32">
        <v>1</v>
      </c>
      <c r="N60" s="32">
        <v>0</v>
      </c>
      <c r="O60" s="32">
        <v>0</v>
      </c>
      <c r="P60" s="32"/>
      <c r="Q60" s="32"/>
      <c r="R60" s="32"/>
      <c r="S60" s="32"/>
      <c r="T60" s="32" t="s">
        <v>96</v>
      </c>
      <c r="U60" s="44"/>
      <c r="V60" s="68" t="str">
        <f ca="1"/>
        <v xml:space="preserve"> </v>
      </c>
      <c r="X60" t="str">
        <f ca="1"/>
        <v/>
      </c>
      <c r="Y60" t="str">
        <f ca="1"/>
        <v>43,+</v>
      </c>
      <c r="Z60" t="str">
        <f ca="1"/>
        <v xml:space="preserve"> </v>
      </c>
      <c r="AA60" s="48" t="str">
        <f ca="1"/>
        <v>45</v>
      </c>
      <c r="AB60" s="48" t="str">
        <f ca="1"/>
        <v>-</v>
      </c>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52">
        <v>47</v>
      </c>
      <c r="D61" s="33" t="s">
        <v>183</v>
      </c>
      <c r="E61" s="32" t="b">
        <v>1</v>
      </c>
      <c r="F61" s="34" t="s">
        <v>95</v>
      </c>
      <c r="G61" s="34" t="b">
        <v>0</v>
      </c>
      <c r="H61" s="34" t="s">
        <v>95</v>
      </c>
      <c r="I61" s="34" t="s">
        <v>95</v>
      </c>
      <c r="J61" s="34" t="b">
        <v>1</v>
      </c>
      <c r="K61" s="34"/>
      <c r="L61" s="32">
        <v>1</v>
      </c>
      <c r="M61" s="32">
        <v>1</v>
      </c>
      <c r="N61" s="32">
        <v>0</v>
      </c>
      <c r="O61" s="32">
        <v>0</v>
      </c>
      <c r="P61" s="32"/>
      <c r="Q61" s="32"/>
      <c r="R61" s="32"/>
      <c r="S61" s="32"/>
      <c r="T61" s="32" t="s">
        <v>96</v>
      </c>
      <c r="U61" s="44"/>
      <c r="V61" s="68" t="str">
        <f ca="1"/>
        <v xml:space="preserve"> </v>
      </c>
      <c r="Y61" t="str">
        <f ca="1"/>
        <v>44,","</v>
      </c>
      <c r="Z61" t="str">
        <f ca="1"/>
        <v xml:space="preserve"> </v>
      </c>
      <c r="AA61" s="48" t="str">
        <f ca="1"/>
        <v>46</v>
      </c>
      <c r="AB61" s="48" t="str">
        <f ca="1"/>
        <v>.</v>
      </c>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52">
        <v>48</v>
      </c>
      <c r="D62" s="33" t="s">
        <v>184</v>
      </c>
      <c r="E62" s="32" t="b">
        <v>1</v>
      </c>
      <c r="F62" s="34" t="s">
        <v>95</v>
      </c>
      <c r="G62" s="34" t="b">
        <v>0</v>
      </c>
      <c r="H62" s="34" t="s">
        <v>95</v>
      </c>
      <c r="I62" s="34" t="s">
        <v>250</v>
      </c>
      <c r="J62" s="34" t="b">
        <v>1</v>
      </c>
      <c r="K62" s="34"/>
      <c r="L62" s="32">
        <v>1</v>
      </c>
      <c r="M62" s="32">
        <v>1</v>
      </c>
      <c r="N62" s="32">
        <v>0</v>
      </c>
      <c r="O62" s="32">
        <v>0</v>
      </c>
      <c r="P62" s="32"/>
      <c r="Q62" s="32"/>
      <c r="R62" s="32"/>
      <c r="S62" s="32"/>
      <c r="T62" s="32" t="s">
        <v>96</v>
      </c>
      <c r="U62" s="41"/>
      <c r="V62" s="68" t="str">
        <f ca="1"/>
        <v xml:space="preserve"> </v>
      </c>
      <c r="Y62" t="str">
        <f ca="1"/>
        <v>45,-</v>
      </c>
      <c r="Z62" t="str">
        <f ca="1"/>
        <v xml:space="preserve"> </v>
      </c>
      <c r="AA62" s="48" t="str">
        <f ca="1"/>
        <v>47</v>
      </c>
      <c r="AB62" s="48" t="str">
        <f ca="1"/>
        <v>/</v>
      </c>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52">
        <v>49</v>
      </c>
      <c r="D63" s="33" t="s">
        <v>185</v>
      </c>
      <c r="E63" s="32" t="b">
        <v>1</v>
      </c>
      <c r="F63" s="34" t="s">
        <v>95</v>
      </c>
      <c r="G63" s="34" t="b">
        <v>0</v>
      </c>
      <c r="H63" s="34" t="s">
        <v>95</v>
      </c>
      <c r="I63" s="34" t="s">
        <v>95</v>
      </c>
      <c r="J63" s="34" t="b">
        <v>1</v>
      </c>
      <c r="K63" s="34"/>
      <c r="L63" s="32">
        <v>1</v>
      </c>
      <c r="M63" s="32">
        <v>1</v>
      </c>
      <c r="N63" s="32">
        <v>0</v>
      </c>
      <c r="O63" s="32">
        <v>0</v>
      </c>
      <c r="P63" s="32"/>
      <c r="Q63" s="32"/>
      <c r="R63" s="32"/>
      <c r="S63" s="35" t="s">
        <v>282</v>
      </c>
      <c r="T63" s="32" t="s">
        <v>96</v>
      </c>
      <c r="U63" s="41" t="s">
        <v>107</v>
      </c>
      <c r="V63" s="68" t="str">
        <f ca="1"/>
        <v xml:space="preserve"> </v>
      </c>
      <c r="Y63" t="str">
        <f ca="1"/>
        <v>46,.</v>
      </c>
      <c r="Z63" t="str">
        <f ca="1"/>
        <v xml:space="preserve"> </v>
      </c>
      <c r="AA63" s="48" t="str">
        <f ca="1"/>
        <v>48</v>
      </c>
      <c r="AB63" s="48" t="str">
        <f ca="1"/>
        <v>0</v>
      </c>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52">
        <v>50</v>
      </c>
      <c r="D64" s="33" t="s">
        <v>187</v>
      </c>
      <c r="E64" s="32" t="b">
        <v>1</v>
      </c>
      <c r="F64" s="34" t="s">
        <v>95</v>
      </c>
      <c r="G64" s="34" t="b">
        <v>0</v>
      </c>
      <c r="H64" s="34" t="s">
        <v>95</v>
      </c>
      <c r="I64" s="34" t="s">
        <v>95</v>
      </c>
      <c r="J64" s="34" t="b">
        <v>1</v>
      </c>
      <c r="K64" s="34"/>
      <c r="L64" s="32">
        <v>1</v>
      </c>
      <c r="M64" s="32">
        <v>1</v>
      </c>
      <c r="N64" s="32">
        <v>0</v>
      </c>
      <c r="O64" s="32">
        <v>0</v>
      </c>
      <c r="P64" s="32"/>
      <c r="Q64" s="32"/>
      <c r="R64" s="32"/>
      <c r="S64" s="35" t="s">
        <v>282</v>
      </c>
      <c r="T64" s="32" t="s">
        <v>96</v>
      </c>
      <c r="U64" s="41" t="s">
        <v>107</v>
      </c>
      <c r="V64" s="68" t="str">
        <f ca="1"/>
        <v xml:space="preserve"> </v>
      </c>
      <c r="Y64" t="str">
        <f ca="1"/>
        <v>47,/</v>
      </c>
      <c r="Z64" t="str">
        <f ca="1"/>
        <v xml:space="preserve"> </v>
      </c>
      <c r="AA64" s="48" t="str">
        <f ca="1"/>
        <v>49</v>
      </c>
      <c r="AB64" s="48" t="str">
        <f ca="1"/>
        <v>1</v>
      </c>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52">
        <v>51</v>
      </c>
      <c r="D65" s="33" t="s">
        <v>189</v>
      </c>
      <c r="E65" s="32" t="b">
        <v>1</v>
      </c>
      <c r="F65" s="34" t="s">
        <v>95</v>
      </c>
      <c r="G65" s="34" t="b">
        <v>0</v>
      </c>
      <c r="H65" s="34" t="s">
        <v>311</v>
      </c>
      <c r="I65" s="34" t="s">
        <v>95</v>
      </c>
      <c r="J65" s="34" t="b">
        <v>1</v>
      </c>
      <c r="K65" s="34"/>
      <c r="L65" s="32">
        <v>1</v>
      </c>
      <c r="M65" s="32">
        <v>1</v>
      </c>
      <c r="N65" s="32">
        <v>0</v>
      </c>
      <c r="O65" s="32">
        <v>0</v>
      </c>
      <c r="P65" s="32"/>
      <c r="Q65" s="32"/>
      <c r="R65" s="32"/>
      <c r="S65" s="32"/>
      <c r="T65" s="32" t="s">
        <v>96</v>
      </c>
      <c r="U65" s="44"/>
      <c r="V65" s="68" t="str">
        <f ca="1"/>
        <v xml:space="preserve"> </v>
      </c>
      <c r="Y65" t="str">
        <f ca="1"/>
        <v>48,0</v>
      </c>
      <c r="Z65" t="str">
        <f ca="1"/>
        <v xml:space="preserve"> </v>
      </c>
      <c r="AA65" s="48" t="str">
        <f ca="1"/>
        <v>50</v>
      </c>
      <c r="AB65" s="48" t="str">
        <f ca="1"/>
        <v>2</v>
      </c>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52">
        <v>52</v>
      </c>
      <c r="D66" s="33" t="s">
        <v>190</v>
      </c>
      <c r="E66" s="32" t="b">
        <v>1</v>
      </c>
      <c r="F66" s="34" t="s">
        <v>95</v>
      </c>
      <c r="G66" s="34" t="b">
        <v>0</v>
      </c>
      <c r="H66" s="34" t="s">
        <v>95</v>
      </c>
      <c r="I66" s="34" t="s">
        <v>250</v>
      </c>
      <c r="J66" s="34" t="b">
        <v>1</v>
      </c>
      <c r="K66" s="34"/>
      <c r="L66" s="32">
        <v>1</v>
      </c>
      <c r="M66" s="32">
        <v>1</v>
      </c>
      <c r="N66" s="32">
        <v>0</v>
      </c>
      <c r="O66" s="32">
        <v>0</v>
      </c>
      <c r="P66" s="32"/>
      <c r="Q66" s="32"/>
      <c r="R66" s="32"/>
      <c r="S66" s="32"/>
      <c r="T66" s="32" t="s">
        <v>96</v>
      </c>
      <c r="U66" s="44"/>
      <c r="V66" s="68" t="str">
        <f ca="1"/>
        <v xml:space="preserve"> </v>
      </c>
      <c r="Y66" t="str">
        <f ca="1"/>
        <v>49,1</v>
      </c>
      <c r="Z66" t="str">
        <f ca="1"/>
        <v xml:space="preserve"> </v>
      </c>
      <c r="AA66" s="48" t="str">
        <f ca="1"/>
        <v>51</v>
      </c>
      <c r="AB66" s="48" t="str">
        <f ca="1"/>
        <v>3</v>
      </c>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52">
        <v>53</v>
      </c>
      <c r="D67" s="33" t="s">
        <v>192</v>
      </c>
      <c r="E67" s="32" t="b">
        <v>1</v>
      </c>
      <c r="F67" s="34" t="s">
        <v>95</v>
      </c>
      <c r="G67" s="34" t="b">
        <v>0</v>
      </c>
      <c r="H67" s="34" t="s">
        <v>101</v>
      </c>
      <c r="I67" s="34" t="s">
        <v>95</v>
      </c>
      <c r="J67" s="34" t="b">
        <v>1</v>
      </c>
      <c r="K67" s="34"/>
      <c r="L67" s="32">
        <v>1</v>
      </c>
      <c r="M67" s="32">
        <v>1</v>
      </c>
      <c r="N67" s="32">
        <v>0</v>
      </c>
      <c r="O67" s="32">
        <v>0</v>
      </c>
      <c r="P67" s="32"/>
      <c r="Q67" s="32"/>
      <c r="R67" s="50" t="s">
        <v>308</v>
      </c>
      <c r="S67" s="32" t="s">
        <v>643</v>
      </c>
      <c r="T67" s="32" t="s">
        <v>97</v>
      </c>
      <c r="U67" s="41" t="s">
        <v>358</v>
      </c>
      <c r="V67" s="68" t="str">
        <f ca="1"/>
        <v xml:space="preserve"> </v>
      </c>
      <c r="Y67" t="str">
        <f ca="1"/>
        <v>50,2</v>
      </c>
      <c r="Z67" t="str">
        <f ca="1"/>
        <v xml:space="preserve"> </v>
      </c>
      <c r="AA67" s="48" t="str">
        <f ca="1"/>
        <v>52</v>
      </c>
      <c r="AB67" s="48" t="str">
        <f ca="1"/>
        <v>4</v>
      </c>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193</v>
      </c>
      <c r="E68" s="32" t="s">
        <v>228</v>
      </c>
      <c r="F68" s="34" t="s">
        <v>95</v>
      </c>
      <c r="G68" s="34" t="b">
        <v>0</v>
      </c>
      <c r="H68" s="34" t="s">
        <v>95</v>
      </c>
      <c r="I68" s="34" t="s">
        <v>250</v>
      </c>
      <c r="J68" s="34" t="b">
        <v>1</v>
      </c>
      <c r="K68" s="34"/>
      <c r="L68" s="32">
        <v>1</v>
      </c>
      <c r="M68" s="32">
        <v>1</v>
      </c>
      <c r="N68" s="32">
        <v>0</v>
      </c>
      <c r="O68" s="32">
        <v>0</v>
      </c>
      <c r="P68" s="32"/>
      <c r="Q68" s="32"/>
      <c r="R68" s="32"/>
      <c r="S68" s="32"/>
      <c r="T68" s="32" t="s">
        <v>96</v>
      </c>
      <c r="U68" s="44"/>
      <c r="V68" s="68" t="str">
        <f ca="1"/>
        <v xml:space="preserve"> </v>
      </c>
      <c r="Y68" t="str">
        <f ca="1"/>
        <v>51,3</v>
      </c>
      <c r="Z68" t="str">
        <f ca="1"/>
        <v xml:space="preserve"> </v>
      </c>
      <c r="AA68" s="48" t="str">
        <f ca="1"/>
        <v>53</v>
      </c>
      <c r="AB68" s="48" t="str">
        <f ca="1"/>
        <v>5</v>
      </c>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194</v>
      </c>
      <c r="E69" s="32" t="b">
        <v>1</v>
      </c>
      <c r="F69" s="34" t="s">
        <v>98</v>
      </c>
      <c r="G69" s="34" t="b">
        <v>1</v>
      </c>
      <c r="H69" s="34" t="s">
        <v>95</v>
      </c>
      <c r="I69" s="34" t="s">
        <v>95</v>
      </c>
      <c r="J69" s="34" t="b">
        <v>1</v>
      </c>
      <c r="K69" s="34"/>
      <c r="L69" s="32">
        <v>1</v>
      </c>
      <c r="M69" s="32">
        <v>1</v>
      </c>
      <c r="N69" s="32">
        <v>0</v>
      </c>
      <c r="O69" s="32">
        <v>0</v>
      </c>
      <c r="P69" s="32"/>
      <c r="Q69" s="32"/>
      <c r="R69" s="32"/>
      <c r="S69" s="32"/>
      <c r="T69" s="32" t="s">
        <v>96</v>
      </c>
      <c r="U69" s="41"/>
      <c r="V69" s="68" t="str">
        <f ca="1"/>
        <v xml:space="preserve"> </v>
      </c>
      <c r="Y69" t="str">
        <f ca="1"/>
        <v>52,4</v>
      </c>
      <c r="Z69" t="str">
        <f ca="1"/>
        <v xml:space="preserve"> </v>
      </c>
      <c r="AA69" s="48" t="str">
        <f ca="1"/>
        <v>54</v>
      </c>
      <c r="AB69" s="48" t="str">
        <f ca="1"/>
        <v>6</v>
      </c>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196</v>
      </c>
      <c r="E70" s="32" t="b">
        <v>1</v>
      </c>
      <c r="F70" s="34" t="s">
        <v>95</v>
      </c>
      <c r="G70" s="34" t="b">
        <v>0</v>
      </c>
      <c r="H70" s="34" t="s">
        <v>311</v>
      </c>
      <c r="I70" s="34" t="s">
        <v>95</v>
      </c>
      <c r="J70" s="34" t="b">
        <v>1</v>
      </c>
      <c r="K70" s="34"/>
      <c r="L70" s="32">
        <v>1</v>
      </c>
      <c r="M70" s="32">
        <v>1</v>
      </c>
      <c r="N70" s="32">
        <v>0</v>
      </c>
      <c r="O70" s="32">
        <v>0</v>
      </c>
      <c r="P70" s="32"/>
      <c r="Q70" s="32"/>
      <c r="R70" s="32"/>
      <c r="S70" s="32"/>
      <c r="T70" s="32" t="s">
        <v>96</v>
      </c>
      <c r="U70" s="41"/>
      <c r="V70" s="68" t="str">
        <f ca="1"/>
        <v xml:space="preserve"> </v>
      </c>
      <c r="Y70" t="str">
        <f ca="1"/>
        <v>53,5</v>
      </c>
      <c r="Z70" t="str">
        <f ca="1"/>
        <v xml:space="preserve"> </v>
      </c>
      <c r="AA70" s="48" t="str">
        <f ca="1"/>
        <v>55</v>
      </c>
      <c r="AB70" s="48" t="str">
        <f ca="1"/>
        <v>7</v>
      </c>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197</v>
      </c>
      <c r="E71" s="32" t="s">
        <v>269</v>
      </c>
      <c r="F71" s="34" t="s">
        <v>95</v>
      </c>
      <c r="G71" s="34" t="b">
        <v>0</v>
      </c>
      <c r="H71" s="34" t="s">
        <v>95</v>
      </c>
      <c r="I71" s="34" t="s">
        <v>95</v>
      </c>
      <c r="J71" s="34" t="b">
        <v>1</v>
      </c>
      <c r="K71" s="34"/>
      <c r="L71" s="32">
        <v>1</v>
      </c>
      <c r="M71" s="32">
        <v>1</v>
      </c>
      <c r="N71" s="32">
        <v>0</v>
      </c>
      <c r="O71" s="32">
        <v>0</v>
      </c>
      <c r="P71" s="32"/>
      <c r="Q71" s="32"/>
      <c r="R71" s="32"/>
      <c r="S71" s="32"/>
      <c r="T71" s="32" t="s">
        <v>96</v>
      </c>
      <c r="U71" s="44"/>
      <c r="V71" s="68" t="str">
        <f ca="1"/>
        <v xml:space="preserve"> </v>
      </c>
      <c r="Y71" t="str">
        <f ca="1"/>
        <v>54,6</v>
      </c>
      <c r="Z71" t="str">
        <f ca="1"/>
        <v xml:space="preserve"> </v>
      </c>
      <c r="AA71" s="48" t="str">
        <f ca="1"/>
        <v>56</v>
      </c>
      <c r="AB71" s="48" t="str">
        <f ca="1"/>
        <v>8</v>
      </c>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198</v>
      </c>
      <c r="E72" s="32" t="b">
        <v>1</v>
      </c>
      <c r="F72" s="34" t="s">
        <v>98</v>
      </c>
      <c r="G72" s="34" t="b">
        <v>1</v>
      </c>
      <c r="H72" s="34" t="s">
        <v>95</v>
      </c>
      <c r="I72" s="34" t="s">
        <v>95</v>
      </c>
      <c r="J72" s="34" t="b">
        <v>1</v>
      </c>
      <c r="K72" s="34"/>
      <c r="L72" s="32">
        <v>1</v>
      </c>
      <c r="M72" s="32">
        <v>1</v>
      </c>
      <c r="N72" s="32">
        <v>0</v>
      </c>
      <c r="O72" s="32">
        <v>0</v>
      </c>
      <c r="P72" s="32"/>
      <c r="Q72" s="32"/>
      <c r="R72" s="32"/>
      <c r="S72" s="32"/>
      <c r="T72" s="32" t="s">
        <v>96</v>
      </c>
      <c r="U72" s="41" t="s">
        <v>359</v>
      </c>
      <c r="V72" s="68" t="str">
        <f ca="1"/>
        <v xml:space="preserve"> </v>
      </c>
      <c r="Y72" t="str">
        <f ca="1"/>
        <v>55,7</v>
      </c>
      <c r="Z72" t="str">
        <f ca="1"/>
        <v xml:space="preserve"> </v>
      </c>
      <c r="AA72" s="48" t="str">
        <f ca="1"/>
        <v>57</v>
      </c>
      <c r="AB72" s="48" t="str">
        <f ca="1"/>
        <v>9</v>
      </c>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207</v>
      </c>
      <c r="E73" s="32" t="s">
        <v>112</v>
      </c>
      <c r="F73" s="34" t="s">
        <v>95</v>
      </c>
      <c r="G73" s="34" t="b">
        <v>0</v>
      </c>
      <c r="H73" s="34" t="s">
        <v>286</v>
      </c>
      <c r="I73" s="34" t="s">
        <v>95</v>
      </c>
      <c r="J73" s="34" t="b">
        <v>1</v>
      </c>
      <c r="K73" s="34"/>
      <c r="L73" s="32">
        <v>1</v>
      </c>
      <c r="M73" s="32">
        <v>1</v>
      </c>
      <c r="N73" s="32">
        <v>3</v>
      </c>
      <c r="O73" s="32">
        <v>0</v>
      </c>
      <c r="P73" s="32"/>
      <c r="Q73" s="32"/>
      <c r="R73" s="32"/>
      <c r="S73" s="32"/>
      <c r="T73" s="32" t="s">
        <v>96</v>
      </c>
      <c r="U73" s="44" t="s">
        <v>360</v>
      </c>
      <c r="V73" s="68" t="str">
        <f ca="1"/>
        <v xml:space="preserve"> </v>
      </c>
      <c r="Y73" t="str">
        <f ca="1"/>
        <v>56,8</v>
      </c>
      <c r="Z73" t="str">
        <f ca="1"/>
        <v xml:space="preserve"> </v>
      </c>
      <c r="AA73" s="48" t="str">
        <f ca="1"/>
        <v>58</v>
      </c>
      <c r="AB73" s="48" t="str">
        <f ca="1"/>
        <v>:</v>
      </c>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199</v>
      </c>
      <c r="E74" s="32" t="b">
        <v>1</v>
      </c>
      <c r="F74" s="34" t="s">
        <v>95</v>
      </c>
      <c r="G74" s="34" t="b">
        <v>0</v>
      </c>
      <c r="H74" s="34" t="s">
        <v>95</v>
      </c>
      <c r="I74" s="34" t="s">
        <v>95</v>
      </c>
      <c r="J74" s="34" t="b">
        <v>1</v>
      </c>
      <c r="K74" s="34"/>
      <c r="L74" s="32">
        <v>1</v>
      </c>
      <c r="M74" s="32">
        <v>1</v>
      </c>
      <c r="N74" s="32">
        <v>0</v>
      </c>
      <c r="O74" s="32">
        <v>0</v>
      </c>
      <c r="P74" s="32"/>
      <c r="Q74" s="32"/>
      <c r="R74" s="32"/>
      <c r="S74" s="32"/>
      <c r="T74" s="32" t="s">
        <v>96</v>
      </c>
      <c r="U74" s="41" t="s">
        <v>114</v>
      </c>
      <c r="V74" s="68" t="str">
        <f ca="1"/>
        <v xml:space="preserve"> </v>
      </c>
      <c r="Y74" t="str">
        <f ca="1"/>
        <v>57,9</v>
      </c>
      <c r="Z74" t="str">
        <f ca="1"/>
        <v xml:space="preserve"> </v>
      </c>
      <c r="AA74" s="48" t="str">
        <f ca="1"/>
        <v>59</v>
      </c>
      <c r="AB74" s="48" t="str">
        <f ca="1"/>
        <v>;</v>
      </c>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200</v>
      </c>
      <c r="E75" s="32" t="s">
        <v>268</v>
      </c>
      <c r="F75" s="34" t="str">
        <f ca="1">CHAR(9)</f>
        <v xml:space="preserve">	</v>
      </c>
      <c r="G75" s="34" t="b">
        <v>0</v>
      </c>
      <c r="H75" s="34" t="s">
        <v>95</v>
      </c>
      <c r="I75" s="34" t="s">
        <v>95</v>
      </c>
      <c r="J75" s="34" t="b">
        <v>1</v>
      </c>
      <c r="K75" s="34"/>
      <c r="L75" s="32">
        <v>1</v>
      </c>
      <c r="M75" s="32">
        <v>1</v>
      </c>
      <c r="N75" s="32">
        <v>0</v>
      </c>
      <c r="O75" s="32">
        <v>0</v>
      </c>
      <c r="P75" s="32"/>
      <c r="Q75" s="32"/>
      <c r="R75" s="32"/>
      <c r="S75" s="32"/>
      <c r="T75" s="32" t="s">
        <v>96</v>
      </c>
      <c r="U75" s="44" t="s">
        <v>110</v>
      </c>
      <c r="V75" s="68" t="str">
        <f ca="1"/>
        <v xml:space="preserve"> </v>
      </c>
      <c r="Y75" t="str">
        <f ca="1"/>
        <v>58,:</v>
      </c>
      <c r="Z75" t="str">
        <f ca="1"/>
        <v xml:space="preserve"> </v>
      </c>
      <c r="AA75" s="48" t="str">
        <f ca="1"/>
        <v>60</v>
      </c>
      <c r="AB75" s="48" t="str">
        <f ca="1"/>
        <v>&lt;</v>
      </c>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201</v>
      </c>
      <c r="E76" s="32" t="b">
        <v>1</v>
      </c>
      <c r="F76" s="34" t="s">
        <v>95</v>
      </c>
      <c r="G76" s="34" t="b">
        <v>0</v>
      </c>
      <c r="H76" s="34" t="s">
        <v>95</v>
      </c>
      <c r="I76" s="34" t="s">
        <v>95</v>
      </c>
      <c r="J76" s="34" t="b">
        <v>1</v>
      </c>
      <c r="K76" s="34"/>
      <c r="L76" s="32">
        <v>1</v>
      </c>
      <c r="M76" s="32">
        <v>1</v>
      </c>
      <c r="N76" s="32">
        <v>0</v>
      </c>
      <c r="O76" s="32">
        <v>0</v>
      </c>
      <c r="P76" s="32"/>
      <c r="Q76" s="32"/>
      <c r="R76" s="32"/>
      <c r="S76" s="32"/>
      <c r="T76" s="32" t="s">
        <v>96</v>
      </c>
      <c r="U76" s="44"/>
      <c r="V76" s="68" t="str">
        <f ca="1"/>
        <v xml:space="preserve"> </v>
      </c>
      <c r="Y76" t="str">
        <f ca="1"/>
        <v>59,;</v>
      </c>
      <c r="Z76" t="str">
        <f ca="1"/>
        <v xml:space="preserve"> </v>
      </c>
      <c r="AA76" s="48" t="str">
        <f ca="1"/>
        <v>61</v>
      </c>
      <c r="AB76" s="48" t="str">
        <f ca="1"/>
        <v>=</v>
      </c>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202</v>
      </c>
      <c r="E77" s="32" t="s">
        <v>228</v>
      </c>
      <c r="F77" s="34" t="s">
        <v>95</v>
      </c>
      <c r="G77" s="34" t="b">
        <v>0</v>
      </c>
      <c r="H77" s="34" t="s">
        <v>95</v>
      </c>
      <c r="I77" s="34" t="s">
        <v>95</v>
      </c>
      <c r="J77" s="34" t="b">
        <v>1</v>
      </c>
      <c r="K77" s="34"/>
      <c r="L77" s="32">
        <v>1</v>
      </c>
      <c r="M77" s="32">
        <v>1</v>
      </c>
      <c r="N77" s="32">
        <v>0</v>
      </c>
      <c r="O77" s="32">
        <v>0</v>
      </c>
      <c r="P77" s="32"/>
      <c r="Q77" s="32"/>
      <c r="R77" s="32"/>
      <c r="S77" s="32"/>
      <c r="T77" s="32" t="s">
        <v>96</v>
      </c>
      <c r="U77" s="44"/>
      <c r="V77" s="68" t="str">
        <f ca="1"/>
        <v xml:space="preserve"> </v>
      </c>
      <c r="Y77" t="str">
        <f ca="1"/>
        <v>60,&lt;</v>
      </c>
      <c r="Z77" t="str">
        <f ca="1"/>
        <v xml:space="preserve"> </v>
      </c>
      <c r="AA77" s="48" t="str">
        <f ca="1"/>
        <v>62</v>
      </c>
      <c r="AB77" s="48" t="str">
        <f ca="1"/>
        <v>&gt;</v>
      </c>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252</v>
      </c>
      <c r="E78" s="32" t="b" cm="1">
        <v>1</v>
      </c>
      <c r="F78" s="34" t="s">
        <v>95</v>
      </c>
      <c r="G78" s="34" t="b">
        <v>0</v>
      </c>
      <c r="H78" s="34" t="s">
        <v>291</v>
      </c>
      <c r="I78" s="34" t="s">
        <v>95</v>
      </c>
      <c r="J78" s="34" t="b">
        <v>1</v>
      </c>
      <c r="K78" s="34"/>
      <c r="L78" s="32">
        <v>1</v>
      </c>
      <c r="M78" s="32">
        <v>1</v>
      </c>
      <c r="N78" s="32">
        <v>0</v>
      </c>
      <c r="O78" s="32">
        <v>0</v>
      </c>
      <c r="P78" s="32"/>
      <c r="Q78" s="32"/>
      <c r="R78" s="32"/>
      <c r="S78" s="32"/>
      <c r="T78" s="32" t="s">
        <v>96</v>
      </c>
      <c r="U78" s="44"/>
      <c r="V78" s="68" t="str">
        <f ca="1"/>
        <v xml:space="preserve"> </v>
      </c>
      <c r="Y78" t="str">
        <f ca="1"/>
        <v>61,=</v>
      </c>
      <c r="Z78" t="str">
        <f ca="1"/>
        <v xml:space="preserve"> </v>
      </c>
      <c r="AA78" s="48" t="str">
        <f ca="1"/>
        <v>63</v>
      </c>
      <c r="AB78" s="48" t="str">
        <f ca="1"/>
        <v>?</v>
      </c>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252</v>
      </c>
      <c r="E79" s="32" t="b">
        <v>0</v>
      </c>
      <c r="F79" s="34" t="s">
        <v>95</v>
      </c>
      <c r="G79" s="34" t="b">
        <v>0</v>
      </c>
      <c r="H79" s="34" t="s">
        <v>95</v>
      </c>
      <c r="I79" s="34" t="s">
        <v>95</v>
      </c>
      <c r="J79" s="34" t="b">
        <v>1</v>
      </c>
      <c r="K79" s="34"/>
      <c r="L79" s="32">
        <v>1</v>
      </c>
      <c r="M79" s="32">
        <v>1</v>
      </c>
      <c r="N79" s="32">
        <v>0</v>
      </c>
      <c r="O79" s="32">
        <v>0</v>
      </c>
      <c r="P79" s="32"/>
      <c r="Q79" s="32"/>
      <c r="R79" s="32"/>
      <c r="S79" s="32"/>
      <c r="T79" s="32" t="s">
        <v>96</v>
      </c>
      <c r="U79" s="44"/>
      <c r="V79" s="68" t="str">
        <f ca="1"/>
        <v xml:space="preserve"> </v>
      </c>
      <c r="Y79" t="str">
        <f ca="1"/>
        <v>62,&gt;</v>
      </c>
      <c r="Z79" t="str">
        <f ca="1"/>
        <v xml:space="preserve"> </v>
      </c>
      <c r="AA79" s="48" t="str">
        <f ca="1"/>
        <v>64</v>
      </c>
      <c r="AB79" s="48" t="str">
        <f ca="1"/>
        <v>@</v>
      </c>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252</v>
      </c>
      <c r="E80" s="32" t="s">
        <v>228</v>
      </c>
      <c r="F80" s="34" t="s">
        <v>95</v>
      </c>
      <c r="G80" s="34" t="b">
        <v>0</v>
      </c>
      <c r="H80" s="34" t="s">
        <v>95</v>
      </c>
      <c r="I80" s="34" t="s">
        <v>95</v>
      </c>
      <c r="J80" s="34" t="b">
        <v>1</v>
      </c>
      <c r="K80" s="34"/>
      <c r="L80" s="32">
        <v>1</v>
      </c>
      <c r="M80" s="32">
        <v>1</v>
      </c>
      <c r="N80" s="32">
        <v>0</v>
      </c>
      <c r="O80" s="32">
        <v>0</v>
      </c>
      <c r="P80" s="32"/>
      <c r="Q80" s="32"/>
      <c r="R80" s="32"/>
      <c r="S80" s="32"/>
      <c r="T80" s="32" t="s">
        <v>96</v>
      </c>
      <c r="U80" s="44"/>
      <c r="V80" s="68" t="str">
        <f ca="1"/>
        <v xml:space="preserve"> </v>
      </c>
      <c r="Y80" t="str">
        <f ca="1"/>
        <v>63,?</v>
      </c>
      <c r="Z80" t="str">
        <f ca="1"/>
        <v xml:space="preserve"> </v>
      </c>
      <c r="AA80" s="48" t="str">
        <f ca="1"/>
        <v>65</v>
      </c>
      <c r="AB80" s="48" t="str">
        <f ca="1"/>
        <v>A</v>
      </c>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252</v>
      </c>
      <c r="E81" s="32" t="s">
        <v>237</v>
      </c>
      <c r="F81" s="34" t="s">
        <v>95</v>
      </c>
      <c r="G81" s="34" t="b">
        <v>0</v>
      </c>
      <c r="H81" s="34" t="s">
        <v>291</v>
      </c>
      <c r="I81" s="34" t="s">
        <v>95</v>
      </c>
      <c r="J81" s="34" t="b">
        <v>1</v>
      </c>
      <c r="K81" s="34"/>
      <c r="L81" s="32">
        <v>1</v>
      </c>
      <c r="M81" s="32">
        <v>1</v>
      </c>
      <c r="N81" s="32">
        <v>0</v>
      </c>
      <c r="O81" s="32">
        <v>0</v>
      </c>
      <c r="P81" s="32"/>
      <c r="Q81" s="32"/>
      <c r="R81" s="32"/>
      <c r="S81" s="32"/>
      <c r="T81" s="32" t="s">
        <v>96</v>
      </c>
      <c r="U81" s="44"/>
      <c r="V81" s="68" t="str">
        <f ca="1"/>
        <v xml:space="preserve"> </v>
      </c>
      <c r="Y81" t="str">
        <f ca="1"/>
        <v>64,@</v>
      </c>
      <c r="Z81" t="str">
        <f ca="1"/>
        <v xml:space="preserve"> </v>
      </c>
      <c r="AA81" s="48" t="str">
        <f ca="1"/>
        <v>66</v>
      </c>
      <c r="AB81" s="48" t="str">
        <f ca="1"/>
        <v>B</v>
      </c>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252</v>
      </c>
      <c r="E82" s="32" t="s">
        <v>238</v>
      </c>
      <c r="F82" s="34" t="s">
        <v>95</v>
      </c>
      <c r="G82" s="34" t="b">
        <v>0</v>
      </c>
      <c r="H82" s="34" t="s">
        <v>95</v>
      </c>
      <c r="I82" s="34" t="s">
        <v>95</v>
      </c>
      <c r="J82" s="34" t="b">
        <v>1</v>
      </c>
      <c r="K82" s="34"/>
      <c r="L82" s="32">
        <v>1</v>
      </c>
      <c r="M82" s="32">
        <v>1</v>
      </c>
      <c r="N82" s="32">
        <v>0</v>
      </c>
      <c r="O82" s="32">
        <v>0</v>
      </c>
      <c r="P82" s="32"/>
      <c r="Q82" s="32"/>
      <c r="R82" s="32"/>
      <c r="S82" s="32"/>
      <c r="T82" s="32" t="s">
        <v>96</v>
      </c>
      <c r="U82" s="44"/>
      <c r="V82" s="68" t="str">
        <f ca="1"/>
        <v xml:space="preserve"> </v>
      </c>
      <c r="Y82" t="str">
        <f ca="1"/>
        <v>65,A</v>
      </c>
      <c r="Z82" t="str">
        <f ca="1"/>
        <v xml:space="preserve"> </v>
      </c>
      <c r="AA82" s="48" t="str">
        <f ca="1"/>
        <v>67</v>
      </c>
      <c r="AB82" s="48" t="str">
        <f ca="1"/>
        <v>C</v>
      </c>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252</v>
      </c>
      <c r="E83" s="32" t="s">
        <v>239</v>
      </c>
      <c r="F83" s="34" t="s">
        <v>95</v>
      </c>
      <c r="G83" s="34" t="b">
        <v>0</v>
      </c>
      <c r="H83" s="34" t="s">
        <v>95</v>
      </c>
      <c r="I83" s="34" t="s">
        <v>95</v>
      </c>
      <c r="J83" s="34" t="b">
        <v>1</v>
      </c>
      <c r="K83" s="34"/>
      <c r="L83" s="32">
        <v>1</v>
      </c>
      <c r="M83" s="32">
        <v>1</v>
      </c>
      <c r="N83" s="32">
        <v>0</v>
      </c>
      <c r="O83" s="32">
        <v>0</v>
      </c>
      <c r="P83" s="32"/>
      <c r="Q83" s="32"/>
      <c r="R83" s="32"/>
      <c r="S83" s="32"/>
      <c r="T83" s="32" t="s">
        <v>96</v>
      </c>
      <c r="U83" s="44"/>
      <c r="V83" s="68" t="str">
        <f ca="1"/>
        <v xml:space="preserve"> </v>
      </c>
      <c r="Y83" t="str">
        <f ca="1"/>
        <v>66,B</v>
      </c>
      <c r="Z83" t="str">
        <f ca="1"/>
        <v xml:space="preserve"> </v>
      </c>
      <c r="AA83" s="48" t="str">
        <f ca="1"/>
        <v>68</v>
      </c>
      <c r="AB83" s="48" t="str">
        <f ca="1"/>
        <v>D</v>
      </c>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252</v>
      </c>
      <c r="E84" s="32" t="s">
        <v>241</v>
      </c>
      <c r="F84" s="34" t="s">
        <v>95</v>
      </c>
      <c r="G84" s="34" t="b">
        <v>0</v>
      </c>
      <c r="H84" s="34" t="s">
        <v>95</v>
      </c>
      <c r="I84" s="34" t="s">
        <v>95</v>
      </c>
      <c r="J84" s="34" t="b">
        <v>1</v>
      </c>
      <c r="K84" s="34"/>
      <c r="L84" s="32">
        <v>1</v>
      </c>
      <c r="M84" s="32">
        <v>1</v>
      </c>
      <c r="N84" s="32">
        <v>0</v>
      </c>
      <c r="O84" s="32">
        <v>0</v>
      </c>
      <c r="P84" s="32"/>
      <c r="Q84" s="32"/>
      <c r="R84" s="32"/>
      <c r="S84" s="32"/>
      <c r="T84" s="32" t="s">
        <v>96</v>
      </c>
      <c r="U84" s="44"/>
      <c r="V84" s="68" t="str">
        <f ca="1"/>
        <v xml:space="preserve"> </v>
      </c>
      <c r="Y84" t="str">
        <f ca="1"/>
        <v>67,C</v>
      </c>
      <c r="Z84" t="str">
        <f ca="1"/>
        <v xml:space="preserve"> </v>
      </c>
      <c r="AA84" s="48" t="str">
        <f ca="1"/>
        <v>69</v>
      </c>
      <c r="AB84" s="48" t="str">
        <f ca="1"/>
        <v>E</v>
      </c>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252</v>
      </c>
      <c r="E85" s="32" t="s">
        <v>242</v>
      </c>
      <c r="F85" s="34" t="s">
        <v>95</v>
      </c>
      <c r="G85" s="34" t="b">
        <v>0</v>
      </c>
      <c r="H85" s="34" t="s">
        <v>291</v>
      </c>
      <c r="I85" s="34" t="s">
        <v>95</v>
      </c>
      <c r="J85" s="34" t="b">
        <v>1</v>
      </c>
      <c r="K85" s="34"/>
      <c r="L85" s="32">
        <v>1</v>
      </c>
      <c r="M85" s="32">
        <v>1</v>
      </c>
      <c r="N85" s="32">
        <v>0</v>
      </c>
      <c r="O85" s="32">
        <v>0</v>
      </c>
      <c r="P85" s="32"/>
      <c r="Q85" s="32"/>
      <c r="R85" s="32"/>
      <c r="S85" s="32"/>
      <c r="T85" s="32" t="s">
        <v>96</v>
      </c>
      <c r="U85" s="44"/>
      <c r="V85" s="68" t="str">
        <f ca="1"/>
        <v xml:space="preserve"> </v>
      </c>
      <c r="Y85" t="str">
        <f ca="1"/>
        <v>68,D</v>
      </c>
      <c r="Z85" t="str">
        <f ca="1"/>
        <v xml:space="preserve"> </v>
      </c>
      <c r="AA85" s="48" t="str">
        <f ca="1"/>
        <v>70</v>
      </c>
      <c r="AB85" s="48" t="str">
        <f ca="1"/>
        <v>F</v>
      </c>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252</v>
      </c>
      <c r="E86" s="32" t="s">
        <v>243</v>
      </c>
      <c r="F86" s="34" t="s">
        <v>95</v>
      </c>
      <c r="G86" s="34" t="b">
        <v>0</v>
      </c>
      <c r="H86" s="34" t="s">
        <v>95</v>
      </c>
      <c r="I86" s="34" t="s">
        <v>95</v>
      </c>
      <c r="J86" s="34" t="b">
        <v>1</v>
      </c>
      <c r="K86" s="34"/>
      <c r="L86" s="32">
        <v>1</v>
      </c>
      <c r="M86" s="32">
        <v>1</v>
      </c>
      <c r="N86" s="32">
        <v>0</v>
      </c>
      <c r="O86" s="32">
        <v>0</v>
      </c>
      <c r="P86" s="32"/>
      <c r="Q86" s="32"/>
      <c r="R86" s="32"/>
      <c r="S86" s="32"/>
      <c r="T86" s="32" t="s">
        <v>96</v>
      </c>
      <c r="U86" s="44"/>
      <c r="V86" s="68" t="str">
        <f ca="1"/>
        <v xml:space="preserve"> </v>
      </c>
      <c r="Y86" t="str">
        <f ca="1"/>
        <v>69,E</v>
      </c>
      <c r="Z86" t="str">
        <f ca="1"/>
        <v xml:space="preserve"> </v>
      </c>
      <c r="AA86" s="48" t="str">
        <f ca="1"/>
        <v>71</v>
      </c>
      <c r="AB86" s="48" t="str">
        <f ca="1"/>
        <v>G</v>
      </c>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252</v>
      </c>
      <c r="E87" s="32" t="s">
        <v>244</v>
      </c>
      <c r="F87" s="34" t="s">
        <v>95</v>
      </c>
      <c r="G87" s="34" t="b">
        <v>0</v>
      </c>
      <c r="H87" s="34" t="s">
        <v>95</v>
      </c>
      <c r="I87" s="34" t="s">
        <v>95</v>
      </c>
      <c r="J87" s="34" t="b">
        <v>1</v>
      </c>
      <c r="K87" s="34"/>
      <c r="L87" s="32">
        <v>1</v>
      </c>
      <c r="M87" s="32">
        <v>1</v>
      </c>
      <c r="N87" s="32">
        <v>0</v>
      </c>
      <c r="O87" s="32">
        <v>0</v>
      </c>
      <c r="P87" s="32"/>
      <c r="Q87" s="32"/>
      <c r="R87" s="32"/>
      <c r="S87" s="32"/>
      <c r="T87" s="32" t="s">
        <v>96</v>
      </c>
      <c r="U87" s="44"/>
      <c r="V87" s="68" t="str">
        <f ca="1"/>
        <v xml:space="preserve"> </v>
      </c>
      <c r="Y87" t="str">
        <f ca="1"/>
        <v>70,F</v>
      </c>
      <c r="Z87" t="str">
        <f ca="1"/>
        <v xml:space="preserve"> </v>
      </c>
      <c r="AA87" s="48" t="str">
        <f ca="1"/>
        <v>72</v>
      </c>
      <c r="AB87" s="48" t="str">
        <f ca="1"/>
        <v>H</v>
      </c>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252</v>
      </c>
      <c r="E88" s="32" t="s">
        <v>234</v>
      </c>
      <c r="F88" s="34" t="s">
        <v>95</v>
      </c>
      <c r="G88" s="34" t="b">
        <v>0</v>
      </c>
      <c r="H88" s="34" t="s">
        <v>95</v>
      </c>
      <c r="I88" s="34" t="s">
        <v>95</v>
      </c>
      <c r="J88" s="34" t="b">
        <v>1</v>
      </c>
      <c r="K88" s="34"/>
      <c r="L88" s="32">
        <v>1</v>
      </c>
      <c r="M88" s="32">
        <v>1</v>
      </c>
      <c r="N88" s="32">
        <v>0</v>
      </c>
      <c r="O88" s="32">
        <v>0</v>
      </c>
      <c r="P88" s="32"/>
      <c r="Q88" s="32"/>
      <c r="R88" s="32"/>
      <c r="S88" s="32"/>
      <c r="T88" s="32" t="s">
        <v>96</v>
      </c>
      <c r="U88" s="44"/>
      <c r="V88" s="68" t="str">
        <f ca="1"/>
        <v xml:space="preserve"> </v>
      </c>
      <c r="Y88" t="str">
        <f ca="1"/>
        <v>71,G</v>
      </c>
      <c r="Z88" t="str">
        <f ca="1"/>
        <v xml:space="preserve"> </v>
      </c>
      <c r="AA88" s="48" t="str">
        <f ca="1"/>
        <v>73</v>
      </c>
      <c r="AB88" s="48" t="str">
        <f ca="1"/>
        <v>I</v>
      </c>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252</v>
      </c>
      <c r="E89" s="32" t="s">
        <v>235</v>
      </c>
      <c r="F89" s="34" t="s">
        <v>95</v>
      </c>
      <c r="G89" s="34" t="b">
        <v>0</v>
      </c>
      <c r="H89" s="34" t="s">
        <v>95</v>
      </c>
      <c r="I89" s="34" t="s">
        <v>95</v>
      </c>
      <c r="J89" s="34" t="b">
        <v>1</v>
      </c>
      <c r="K89" s="34"/>
      <c r="L89" s="32">
        <v>1</v>
      </c>
      <c r="M89" s="32">
        <v>1</v>
      </c>
      <c r="N89" s="32">
        <v>0</v>
      </c>
      <c r="O89" s="32">
        <v>0</v>
      </c>
      <c r="P89" s="32"/>
      <c r="Q89" s="32"/>
      <c r="R89" s="32"/>
      <c r="S89" s="32"/>
      <c r="T89" s="32" t="s">
        <v>96</v>
      </c>
      <c r="U89" s="44"/>
      <c r="V89" s="68" t="str">
        <f ca="1"/>
        <v xml:space="preserve"> </v>
      </c>
      <c r="Y89" t="str">
        <f ca="1"/>
        <v>72,H</v>
      </c>
      <c r="Z89" t="str">
        <f ca="1"/>
        <v xml:space="preserve"> </v>
      </c>
      <c r="AA89" s="48" t="str">
        <f ca="1"/>
        <v>74</v>
      </c>
      <c r="AB89" s="48" t="str">
        <f ca="1"/>
        <v>J</v>
      </c>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212</v>
      </c>
      <c r="E90" s="32" t="s">
        <v>112</v>
      </c>
      <c r="F90" s="34"/>
      <c r="G90" s="34"/>
      <c r="H90" s="34" t="s">
        <v>311</v>
      </c>
      <c r="I90" s="34"/>
      <c r="J90" s="34" t="b">
        <v>1</v>
      </c>
      <c r="K90" s="34"/>
      <c r="L90" s="32">
        <v>1</v>
      </c>
      <c r="M90" s="32">
        <v>1</v>
      </c>
      <c r="N90" s="32">
        <v>0</v>
      </c>
      <c r="O90" s="32">
        <v>0</v>
      </c>
      <c r="P90" s="32"/>
      <c r="Q90" s="32"/>
      <c r="R90" s="50" t="s">
        <v>368</v>
      </c>
      <c r="S90" s="32"/>
      <c r="T90" s="32"/>
      <c r="U90" s="44" t="s">
        <v>369</v>
      </c>
      <c r="V90" s="68" t="str">
        <f ca="1"/>
        <v xml:space="preserve"> </v>
      </c>
      <c r="Y90" t="str">
        <f ca="1"/>
        <v>73,I</v>
      </c>
      <c r="Z90" t="str">
        <f ca="1"/>
        <v xml:space="preserve"> </v>
      </c>
      <c r="AA90" s="48" t="str">
        <f ca="1"/>
        <v>75</v>
      </c>
      <c r="AB90" s="48" t="str">
        <f ca="1"/>
        <v>K</v>
      </c>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135</v>
      </c>
      <c r="E91" s="32" t="b">
        <v>1</v>
      </c>
      <c r="F91" s="34" t="s">
        <v>95</v>
      </c>
      <c r="G91" s="34" t="b">
        <v>0</v>
      </c>
      <c r="H91" s="34" t="s">
        <v>95</v>
      </c>
      <c r="I91" s="34" t="s">
        <v>95</v>
      </c>
      <c r="J91" s="34" t="b">
        <v>1</v>
      </c>
      <c r="K91" s="34"/>
      <c r="L91" s="32">
        <v>1</v>
      </c>
      <c r="M91" s="32">
        <v>1</v>
      </c>
      <c r="N91" s="32">
        <v>0</v>
      </c>
      <c r="O91" s="32">
        <v>0</v>
      </c>
      <c r="P91" s="32"/>
      <c r="Q91" s="32"/>
      <c r="R91" s="32"/>
      <c r="S91" s="32"/>
      <c r="T91" s="32"/>
      <c r="U91" s="44" t="s">
        <v>370</v>
      </c>
      <c r="V91" s="68" t="str">
        <f ca="1"/>
        <v xml:space="preserve"> </v>
      </c>
      <c r="Y91" t="str">
        <f ca="1"/>
        <v>74,J</v>
      </c>
      <c r="Z91" t="str">
        <f ca="1"/>
        <v xml:space="preserve"> </v>
      </c>
      <c r="AA91" s="48" t="str">
        <f ca="1"/>
        <v>76</v>
      </c>
      <c r="AB91" s="48" t="str">
        <f ca="1"/>
        <v>L</v>
      </c>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223</v>
      </c>
      <c r="E92" s="32" t="s">
        <v>228</v>
      </c>
      <c r="F92" s="34" t="s">
        <v>95</v>
      </c>
      <c r="G92" s="34" t="b">
        <v>0</v>
      </c>
      <c r="H92" s="34" t="s">
        <v>95</v>
      </c>
      <c r="I92" s="34" t="s">
        <v>95</v>
      </c>
      <c r="J92" s="34" t="b">
        <v>1</v>
      </c>
      <c r="K92" s="34"/>
      <c r="L92" s="32">
        <v>1</v>
      </c>
      <c r="M92" s="32">
        <v>1</v>
      </c>
      <c r="N92" s="32">
        <v>2</v>
      </c>
      <c r="O92" s="32">
        <v>0</v>
      </c>
      <c r="P92" s="32"/>
      <c r="Q92" s="32"/>
      <c r="R92" s="32"/>
      <c r="S92" s="32"/>
      <c r="T92" s="32" t="s">
        <v>96</v>
      </c>
      <c r="U92" s="44"/>
      <c r="V92" s="68" t="str">
        <f ca="1"/>
        <v xml:space="preserve"> </v>
      </c>
      <c r="Y92" t="str">
        <f ca="1"/>
        <v>75,K</v>
      </c>
      <c r="Z92" t="str">
        <f ca="1"/>
        <v xml:space="preserve"> </v>
      </c>
      <c r="AA92" s="48" t="str">
        <f ca="1"/>
        <v>77</v>
      </c>
      <c r="AB92" s="48" t="str">
        <f ca="1"/>
        <v>M</v>
      </c>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223</v>
      </c>
      <c r="E93" s="32" t="s">
        <v>228</v>
      </c>
      <c r="F93" s="34"/>
      <c r="G93" s="34" t="b">
        <v>0</v>
      </c>
      <c r="H93" s="34"/>
      <c r="I93" s="34"/>
      <c r="J93" s="34" t="b">
        <v>1</v>
      </c>
      <c r="K93" s="34"/>
      <c r="L93" s="32">
        <v>1</v>
      </c>
      <c r="M93" s="32">
        <v>1</v>
      </c>
      <c r="N93" s="32">
        <v>0</v>
      </c>
      <c r="O93" s="32">
        <v>0</v>
      </c>
      <c r="P93" s="32"/>
      <c r="Q93" s="32"/>
      <c r="R93" s="32"/>
      <c r="S93" s="32"/>
      <c r="T93" s="32"/>
      <c r="U93" s="44" t="s">
        <v>371</v>
      </c>
      <c r="V93" s="68" t="str">
        <f ca="1"/>
        <v xml:space="preserve"> </v>
      </c>
      <c r="Y93" t="str">
        <f ca="1"/>
        <v>76,L</v>
      </c>
      <c r="Z93" t="str">
        <f ca="1"/>
        <v xml:space="preserve"> </v>
      </c>
      <c r="AA93" s="48" t="str">
        <f ca="1"/>
        <v>78</v>
      </c>
      <c r="AB93" s="48" t="str">
        <f ca="1"/>
        <v>N</v>
      </c>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147</v>
      </c>
      <c r="E94" s="32" t="b">
        <v>1</v>
      </c>
      <c r="F94" s="34" t="s">
        <v>95</v>
      </c>
      <c r="G94" s="34" t="b">
        <v>0</v>
      </c>
      <c r="H94" s="34" t="s">
        <v>95</v>
      </c>
      <c r="I94" s="34" t="s">
        <v>95</v>
      </c>
      <c r="J94" s="34" t="b">
        <v>1</v>
      </c>
      <c r="K94" s="34"/>
      <c r="L94" s="32">
        <v>1</v>
      </c>
      <c r="M94" s="32">
        <v>1</v>
      </c>
      <c r="N94" s="32">
        <v>0</v>
      </c>
      <c r="O94" s="32">
        <v>0</v>
      </c>
      <c r="P94" s="32"/>
      <c r="Q94" s="32"/>
      <c r="R94" s="32"/>
      <c r="S94" s="32"/>
      <c r="T94" s="32" t="s">
        <v>96</v>
      </c>
      <c r="U94" s="44" t="s">
        <v>99</v>
      </c>
      <c r="V94" s="68" t="str">
        <f ca="1"/>
        <v xml:space="preserve"> </v>
      </c>
      <c r="Y94" t="str">
        <f ca="1"/>
        <v>77,M</v>
      </c>
      <c r="Z94" t="str">
        <f ca="1"/>
        <v xml:space="preserve"> </v>
      </c>
      <c r="AA94" s="48" t="str">
        <f ca="1"/>
        <v>79</v>
      </c>
      <c r="AB94" s="48" t="str">
        <f ca="1"/>
        <v>O</v>
      </c>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253</v>
      </c>
      <c r="E95" s="32" t="b">
        <v>0</v>
      </c>
      <c r="F95" s="34" t="s">
        <v>95</v>
      </c>
      <c r="G95" s="34" t="b">
        <v>0</v>
      </c>
      <c r="H95" s="34" t="s">
        <v>95</v>
      </c>
      <c r="I95" s="34" t="s">
        <v>95</v>
      </c>
      <c r="J95" s="34" t="b">
        <v>1</v>
      </c>
      <c r="K95" s="34"/>
      <c r="L95" s="32">
        <v>3</v>
      </c>
      <c r="M95" s="32">
        <v>3</v>
      </c>
      <c r="N95" s="32">
        <v>10</v>
      </c>
      <c r="O95" s="32">
        <v>1</v>
      </c>
      <c r="P95" s="32"/>
      <c r="Q95" s="32"/>
      <c r="R95" s="32"/>
      <c r="S95" s="32"/>
      <c r="T95" s="32" t="s">
        <v>96</v>
      </c>
      <c r="U95" s="44"/>
      <c r="V95" s="68" t="str">
        <f ca="1"/>
        <v xml:space="preserve"> </v>
      </c>
      <c r="Y95" t="str">
        <f ca="1"/>
        <v>78,N</v>
      </c>
      <c r="Z95" t="str">
        <f ca="1"/>
        <v xml:space="preserve"> </v>
      </c>
      <c r="AA95" s="48" t="str">
        <f ca="1"/>
        <v>80</v>
      </c>
      <c r="AB95" s="48" t="str">
        <f ca="1"/>
        <v>P</v>
      </c>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253</v>
      </c>
      <c r="E96" s="32" t="b">
        <v>0</v>
      </c>
      <c r="F96" s="34" t="s">
        <v>95</v>
      </c>
      <c r="G96" s="34" t="b">
        <v>0</v>
      </c>
      <c r="H96" s="34" t="s">
        <v>95</v>
      </c>
      <c r="I96" s="34" t="s">
        <v>95</v>
      </c>
      <c r="J96" s="34" t="b">
        <v>1</v>
      </c>
      <c r="K96" s="34"/>
      <c r="L96" s="32">
        <v>6</v>
      </c>
      <c r="M96" s="32">
        <v>5</v>
      </c>
      <c r="N96" s="32">
        <v>1</v>
      </c>
      <c r="O96" s="32">
        <v>8</v>
      </c>
      <c r="P96" s="32"/>
      <c r="Q96" s="32"/>
      <c r="R96" s="32"/>
      <c r="S96" s="32"/>
      <c r="T96" s="32" t="s">
        <v>96</v>
      </c>
      <c r="U96" s="44"/>
      <c r="V96" s="68" t="str">
        <f ca="1"/>
        <v xml:space="preserve"> </v>
      </c>
      <c r="Y96" t="str">
        <f ca="1"/>
        <v>79,O</v>
      </c>
      <c r="Z96" t="str">
        <f ca="1"/>
        <v xml:space="preserve"> </v>
      </c>
      <c r="AA96" s="48" t="str">
        <f ca="1"/>
        <v>81</v>
      </c>
      <c r="AB96" s="48" t="str">
        <f ca="1"/>
        <v>Q</v>
      </c>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253</v>
      </c>
      <c r="E97" s="32" t="b">
        <v>0</v>
      </c>
      <c r="F97" s="34" t="s">
        <v>95</v>
      </c>
      <c r="G97" s="34" t="b">
        <v>0</v>
      </c>
      <c r="H97" s="34" t="s">
        <v>95</v>
      </c>
      <c r="I97" s="34" t="s">
        <v>95</v>
      </c>
      <c r="J97" s="34" t="b">
        <v>1</v>
      </c>
      <c r="K97" s="34"/>
      <c r="L97" s="32">
        <v>8</v>
      </c>
      <c r="M97" s="32">
        <v>8</v>
      </c>
      <c r="N97" s="32">
        <v>4</v>
      </c>
      <c r="O97" s="32">
        <v>4</v>
      </c>
      <c r="P97" s="32"/>
      <c r="Q97" s="32"/>
      <c r="R97" s="32"/>
      <c r="S97" s="32"/>
      <c r="T97" s="32" t="s">
        <v>96</v>
      </c>
      <c r="U97" s="44"/>
      <c r="V97" s="68" t="str">
        <f ca="1"/>
        <v xml:space="preserve"> </v>
      </c>
      <c r="Y97" t="str">
        <f ca="1"/>
        <v>80,P</v>
      </c>
      <c r="Z97" t="str">
        <f ca="1"/>
        <v xml:space="preserve"> </v>
      </c>
      <c r="AA97" s="48" t="str">
        <f ca="1"/>
        <v>82</v>
      </c>
      <c r="AB97" s="48" t="str">
        <f ca="1"/>
        <v>R</v>
      </c>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254</v>
      </c>
      <c r="E98" s="32" t="b">
        <v>0</v>
      </c>
      <c r="F98" s="34" t="s">
        <v>95</v>
      </c>
      <c r="G98" s="34" t="b">
        <v>0</v>
      </c>
      <c r="H98" s="34" t="s">
        <v>95</v>
      </c>
      <c r="I98" s="34" t="s">
        <v>250</v>
      </c>
      <c r="J98" s="34" t="b">
        <v>1</v>
      </c>
      <c r="K98" s="34"/>
      <c r="L98" s="32">
        <v>3</v>
      </c>
      <c r="M98" s="32">
        <v>3</v>
      </c>
      <c r="N98" s="32">
        <v>10</v>
      </c>
      <c r="O98" s="32">
        <v>1</v>
      </c>
      <c r="P98" s="32"/>
      <c r="Q98" s="32"/>
      <c r="R98" s="32"/>
      <c r="S98" s="32"/>
      <c r="T98" s="32" t="s">
        <v>96</v>
      </c>
      <c r="U98" s="44"/>
      <c r="V98" s="68" t="str">
        <f ca="1"/>
        <v xml:space="preserve"> </v>
      </c>
      <c r="Y98" t="str">
        <f ca="1"/>
        <v>81,Q</v>
      </c>
      <c r="Z98" t="str">
        <f ca="1"/>
        <v xml:space="preserve"> </v>
      </c>
      <c r="AA98" s="48" t="str">
        <f ca="1"/>
        <v>83</v>
      </c>
      <c r="AB98" s="48" t="str">
        <f ca="1"/>
        <v>S</v>
      </c>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254</v>
      </c>
      <c r="E99" s="32" t="b">
        <v>0</v>
      </c>
      <c r="F99" s="34" t="s">
        <v>95</v>
      </c>
      <c r="G99" s="34" t="b">
        <v>0</v>
      </c>
      <c r="H99" s="34" t="s">
        <v>95</v>
      </c>
      <c r="I99" s="34" t="s">
        <v>250</v>
      </c>
      <c r="J99" s="34" t="b">
        <v>1</v>
      </c>
      <c r="K99" s="34"/>
      <c r="L99" s="32">
        <v>6</v>
      </c>
      <c r="M99" s="32">
        <v>5</v>
      </c>
      <c r="N99" s="32">
        <v>1</v>
      </c>
      <c r="O99" s="32">
        <v>8</v>
      </c>
      <c r="P99" s="32"/>
      <c r="Q99" s="32"/>
      <c r="R99" s="32"/>
      <c r="S99" s="32"/>
      <c r="T99" s="32" t="s">
        <v>96</v>
      </c>
      <c r="U99" s="44"/>
      <c r="V99" s="68" t="str">
        <f ca="1"/>
        <v xml:space="preserve"> </v>
      </c>
      <c r="Y99" t="str">
        <f ca="1"/>
        <v>82,R</v>
      </c>
      <c r="Z99" t="str">
        <f ca="1"/>
        <v xml:space="preserve"> </v>
      </c>
      <c r="AA99" s="48" t="str">
        <f ca="1"/>
        <v>84</v>
      </c>
      <c r="AB99" s="48" t="str">
        <f ca="1"/>
        <v>T</v>
      </c>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254</v>
      </c>
      <c r="E100" s="32" t="b">
        <v>0</v>
      </c>
      <c r="F100" s="34" t="s">
        <v>95</v>
      </c>
      <c r="G100" s="34" t="b">
        <v>0</v>
      </c>
      <c r="H100" s="34" t="s">
        <v>95</v>
      </c>
      <c r="I100" s="34" t="s">
        <v>250</v>
      </c>
      <c r="J100" s="34" t="b">
        <v>1</v>
      </c>
      <c r="K100" s="34"/>
      <c r="L100" s="32">
        <v>8</v>
      </c>
      <c r="M100" s="32">
        <v>8</v>
      </c>
      <c r="N100" s="32">
        <v>4</v>
      </c>
      <c r="O100" s="32">
        <v>4</v>
      </c>
      <c r="P100" s="32"/>
      <c r="Q100" s="32"/>
      <c r="R100" s="32"/>
      <c r="S100" s="32"/>
      <c r="T100" s="32" t="s">
        <v>96</v>
      </c>
      <c r="U100" s="44"/>
      <c r="V100" s="68" t="str">
        <f ca="1"/>
        <v xml:space="preserve"> </v>
      </c>
      <c r="Y100" t="str">
        <f ca="1"/>
        <v>83,S</v>
      </c>
      <c r="Z100" t="str">
        <f ca="1"/>
        <v xml:space="preserve"> </v>
      </c>
      <c r="AA100" s="48" t="str">
        <f ca="1"/>
        <v>85</v>
      </c>
      <c r="AB100" s="48" t="str">
        <f ca="1"/>
        <v>U</v>
      </c>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257</v>
      </c>
      <c r="E101" s="32" t="b">
        <v>1</v>
      </c>
      <c r="F101" s="34" t="s">
        <v>95</v>
      </c>
      <c r="G101" s="34" t="b">
        <v>0</v>
      </c>
      <c r="H101" s="34" t="s">
        <v>95</v>
      </c>
      <c r="I101" s="34" t="s">
        <v>95</v>
      </c>
      <c r="J101" s="34" t="b">
        <v>1</v>
      </c>
      <c r="K101" s="34"/>
      <c r="L101" s="32">
        <v>1</v>
      </c>
      <c r="M101" s="32">
        <v>1</v>
      </c>
      <c r="N101" s="32">
        <v>0</v>
      </c>
      <c r="O101" s="32">
        <v>0</v>
      </c>
      <c r="P101" s="32"/>
      <c r="Q101" s="32"/>
      <c r="R101" s="32"/>
      <c r="S101" s="32"/>
      <c r="T101" s="32" t="s">
        <v>96</v>
      </c>
      <c r="U101" s="44"/>
      <c r="V101" s="68" t="str">
        <f ca="1"/>
        <v xml:space="preserve"> </v>
      </c>
      <c r="Y101" t="str">
        <f ca="1"/>
        <v>84,T</v>
      </c>
      <c r="Z101" t="str">
        <f ca="1"/>
        <v xml:space="preserve"> </v>
      </c>
      <c r="AA101" s="48" t="str">
        <f ca="1"/>
        <v>86</v>
      </c>
      <c r="AB101" s="48" t="str">
        <f ca="1"/>
        <v>V</v>
      </c>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260</v>
      </c>
      <c r="E102" s="32" t="b">
        <v>1</v>
      </c>
      <c r="F102" s="34" t="s">
        <v>259</v>
      </c>
      <c r="G102" s="34" t="b">
        <v>0</v>
      </c>
      <c r="H102" s="34" t="s">
        <v>95</v>
      </c>
      <c r="I102" s="34" t="s">
        <v>95</v>
      </c>
      <c r="J102" s="34" t="b">
        <v>1</v>
      </c>
      <c r="K102" s="34"/>
      <c r="L102" s="32">
        <v>1</v>
      </c>
      <c r="M102" s="32">
        <v>1</v>
      </c>
      <c r="N102" s="32">
        <v>0</v>
      </c>
      <c r="O102" s="32">
        <v>0</v>
      </c>
      <c r="P102" s="32"/>
      <c r="Q102" s="32"/>
      <c r="R102" s="32"/>
      <c r="S102" s="32"/>
      <c r="T102" s="32" t="s">
        <v>96</v>
      </c>
      <c r="U102" s="44"/>
      <c r="V102" s="68" t="str">
        <f ca="1"/>
        <v xml:space="preserve"> </v>
      </c>
      <c r="Y102" t="str">
        <f ca="1"/>
        <v>85,U</v>
      </c>
      <c r="Z102" t="str">
        <f ca="1"/>
        <v xml:space="preserve"> </v>
      </c>
      <c r="AA102" s="48" t="str">
        <f ca="1"/>
        <v>87</v>
      </c>
      <c r="AB102" s="48" t="str">
        <f ca="1"/>
        <v>W</v>
      </c>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261</v>
      </c>
      <c r="E103" s="32" t="b">
        <v>1</v>
      </c>
      <c r="F103" s="34" t="s">
        <v>262</v>
      </c>
      <c r="G103" s="34" t="b">
        <v>1</v>
      </c>
      <c r="H103" s="34" t="s">
        <v>95</v>
      </c>
      <c r="I103" s="34" t="s">
        <v>95</v>
      </c>
      <c r="J103" s="34" t="b">
        <v>1</v>
      </c>
      <c r="K103" s="34"/>
      <c r="L103" s="32">
        <v>1</v>
      </c>
      <c r="M103" s="32">
        <v>1</v>
      </c>
      <c r="N103" s="32">
        <v>0</v>
      </c>
      <c r="O103" s="32">
        <v>0</v>
      </c>
      <c r="P103" s="32"/>
      <c r="Q103" s="32"/>
      <c r="R103" s="32"/>
      <c r="S103" s="32"/>
      <c r="T103" s="32" t="s">
        <v>96</v>
      </c>
      <c r="U103" s="44"/>
      <c r="V103" s="68" t="str">
        <f ca="1"/>
        <v xml:space="preserve"> </v>
      </c>
      <c r="Y103" t="str">
        <f ca="1"/>
        <v>86,V</v>
      </c>
      <c r="Z103" t="str">
        <f ca="1"/>
        <v xml:space="preserve"> </v>
      </c>
      <c r="AA103" s="48" t="str">
        <f ca="1"/>
        <v>88</v>
      </c>
      <c r="AB103" s="48" t="str">
        <f ca="1"/>
        <v>X</v>
      </c>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116</v>
      </c>
      <c r="E104" s="32" t="b">
        <v>0</v>
      </c>
      <c r="F104" s="34" t="s">
        <v>95</v>
      </c>
      <c r="G104" s="34" t="b">
        <v>0</v>
      </c>
      <c r="H104" s="34" t="s">
        <v>95</v>
      </c>
      <c r="I104" s="34" t="s">
        <v>95</v>
      </c>
      <c r="J104" s="34" t="b">
        <v>1</v>
      </c>
      <c r="K104" s="34"/>
      <c r="L104" s="32">
        <v>1</v>
      </c>
      <c r="M104" s="32">
        <v>1</v>
      </c>
      <c r="N104" s="32">
        <v>0</v>
      </c>
      <c r="O104" s="32">
        <v>0</v>
      </c>
      <c r="P104" s="32"/>
      <c r="Q104" s="32"/>
      <c r="R104" s="32"/>
      <c r="S104" s="32"/>
      <c r="T104" s="32" t="s">
        <v>96</v>
      </c>
      <c r="U104" s="44"/>
      <c r="V104" s="68" t="str">
        <f ca="1"/>
        <v xml:space="preserve"> </v>
      </c>
      <c r="Y104" t="str">
        <f ca="1"/>
        <v>87,W</v>
      </c>
      <c r="Z104" t="str">
        <f ca="1"/>
        <v xml:space="preserve"> </v>
      </c>
      <c r="AA104" s="48" t="str">
        <f ca="1"/>
        <v>89</v>
      </c>
      <c r="AB104" s="48" t="str">
        <f ca="1"/>
        <v>Y</v>
      </c>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220</v>
      </c>
      <c r="E105" s="32" t="b">
        <v>1</v>
      </c>
      <c r="F105" s="34" t="s">
        <v>95</v>
      </c>
      <c r="G105" s="34" t="b">
        <v>0</v>
      </c>
      <c r="H105" s="34" t="s">
        <v>95</v>
      </c>
      <c r="I105" s="34" t="s">
        <v>95</v>
      </c>
      <c r="J105" s="34" t="b">
        <v>1</v>
      </c>
      <c r="K105" s="34"/>
      <c r="L105" s="32">
        <v>1</v>
      </c>
      <c r="M105" s="32">
        <v>1</v>
      </c>
      <c r="N105" s="32">
        <v>1</v>
      </c>
      <c r="O105" s="32">
        <v>0</v>
      </c>
      <c r="P105" s="32"/>
      <c r="Q105" s="32"/>
      <c r="R105" s="32"/>
      <c r="S105" s="32"/>
      <c r="T105" s="32" t="s">
        <v>96</v>
      </c>
      <c r="U105" s="44"/>
      <c r="V105" s="68" t="str">
        <f ca="1"/>
        <v xml:space="preserve"> </v>
      </c>
      <c r="Y105" t="str">
        <f ca="1"/>
        <v>88,X</v>
      </c>
      <c r="Z105" t="str">
        <f ca="1"/>
        <v xml:space="preserve"> </v>
      </c>
      <c r="AA105" s="48" t="str">
        <f ca="1"/>
        <v>90</v>
      </c>
      <c r="AB105" s="48" t="str">
        <f ca="1"/>
        <v>Z</v>
      </c>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225</v>
      </c>
      <c r="E106" s="32" t="s">
        <v>228</v>
      </c>
      <c r="F106" s="34" t="s">
        <v>95</v>
      </c>
      <c r="G106" s="34" t="b">
        <v>0</v>
      </c>
      <c r="H106" s="34" t="s">
        <v>95</v>
      </c>
      <c r="I106" s="34" t="s">
        <v>95</v>
      </c>
      <c r="J106" s="34" t="b">
        <v>1</v>
      </c>
      <c r="K106" s="34"/>
      <c r="L106" s="32">
        <v>1</v>
      </c>
      <c r="M106" s="32">
        <v>1</v>
      </c>
      <c r="N106" s="32">
        <v>0</v>
      </c>
      <c r="O106" s="32">
        <v>0</v>
      </c>
      <c r="P106" s="32"/>
      <c r="Q106" s="32"/>
      <c r="R106" s="32"/>
      <c r="S106" s="32"/>
      <c r="T106" s="32" t="s">
        <v>96</v>
      </c>
      <c r="U106" s="41" t="s">
        <v>361</v>
      </c>
      <c r="V106" s="68" t="str">
        <f ca="1"/>
        <v xml:space="preserve"> </v>
      </c>
      <c r="Y106" t="str">
        <f ca="1"/>
        <v>89,Y</v>
      </c>
      <c r="Z106" t="str">
        <f ca="1"/>
        <v xml:space="preserve"> </v>
      </c>
      <c r="AA106" s="48" t="str">
        <f ca="1"/>
        <v>91</v>
      </c>
      <c r="AB106" s="48" t="str">
        <f ca="1"/>
        <v>[</v>
      </c>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218</v>
      </c>
      <c r="E107" s="32" t="b">
        <v>1</v>
      </c>
      <c r="F107" s="34" t="s">
        <v>98</v>
      </c>
      <c r="G107" s="34" t="b">
        <v>1</v>
      </c>
      <c r="H107" s="34" t="s">
        <v>95</v>
      </c>
      <c r="I107" s="34" t="s">
        <v>95</v>
      </c>
      <c r="J107" s="34" t="b">
        <v>1</v>
      </c>
      <c r="K107" s="34"/>
      <c r="L107" s="32">
        <v>1</v>
      </c>
      <c r="M107" s="32">
        <v>1</v>
      </c>
      <c r="N107" s="32">
        <v>3</v>
      </c>
      <c r="O107" s="32">
        <v>0</v>
      </c>
      <c r="P107" s="32"/>
      <c r="Q107" s="32"/>
      <c r="R107" s="32"/>
      <c r="S107" s="32"/>
      <c r="T107" s="32" t="s">
        <v>96</v>
      </c>
      <c r="U107" s="44"/>
      <c r="V107" s="68" t="str">
        <f ca="1"/>
        <v xml:space="preserve"> </v>
      </c>
      <c r="Y107" t="str">
        <f ca="1"/>
        <v>90,Z</v>
      </c>
      <c r="Z107" t="str">
        <f ca="1"/>
        <v xml:space="preserve"> </v>
      </c>
      <c r="AA107" s="48" t="str">
        <f ca="1"/>
        <v>92</v>
      </c>
      <c r="AB107" s="48" t="str">
        <f ca="1"/>
        <v>\</v>
      </c>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213</v>
      </c>
      <c r="E108" s="32" t="b">
        <v>1</v>
      </c>
      <c r="F108" s="34" t="s">
        <v>95</v>
      </c>
      <c r="G108" s="34" t="b">
        <v>0</v>
      </c>
      <c r="H108" s="34" t="s">
        <v>291</v>
      </c>
      <c r="I108" s="34" t="s">
        <v>95</v>
      </c>
      <c r="J108" s="34" t="b">
        <v>1</v>
      </c>
      <c r="K108" s="34"/>
      <c r="L108" s="32">
        <v>1</v>
      </c>
      <c r="M108" s="32">
        <v>1</v>
      </c>
      <c r="N108" s="32">
        <v>2</v>
      </c>
      <c r="O108" s="32">
        <v>0</v>
      </c>
      <c r="P108" s="32"/>
      <c r="Q108" s="32"/>
      <c r="R108" s="32"/>
      <c r="S108" s="32"/>
      <c r="T108" s="32" t="s">
        <v>96</v>
      </c>
      <c r="U108" s="44" t="s">
        <v>362</v>
      </c>
      <c r="V108" s="68" t="str">
        <f ca="1"/>
        <v xml:space="preserve"> </v>
      </c>
      <c r="Y108" t="str">
        <f ca="1"/>
        <v>91,[</v>
      </c>
      <c r="Z108" t="str">
        <f ca="1"/>
        <v xml:space="preserve"> </v>
      </c>
      <c r="AA108" s="48" t="str">
        <f ca="1"/>
        <v>93</v>
      </c>
      <c r="AB108" s="48" t="str">
        <f ca="1"/>
        <v>]</v>
      </c>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287</v>
      </c>
      <c r="E109" s="32" t="s">
        <v>237</v>
      </c>
      <c r="F109" s="34" t="s">
        <v>97</v>
      </c>
      <c r="G109" s="34" t="b">
        <v>0</v>
      </c>
      <c r="H109" s="34" t="s">
        <v>286</v>
      </c>
      <c r="I109" s="34"/>
      <c r="J109" s="34" t="b">
        <v>1</v>
      </c>
      <c r="K109" s="34"/>
      <c r="L109" s="32">
        <v>1</v>
      </c>
      <c r="M109" s="32">
        <v>1</v>
      </c>
      <c r="N109" s="32">
        <v>0</v>
      </c>
      <c r="O109" s="32">
        <v>0</v>
      </c>
      <c r="P109" s="32"/>
      <c r="Q109" s="32"/>
      <c r="R109" s="32"/>
      <c r="S109" s="32"/>
      <c r="T109" s="32" t="s">
        <v>96</v>
      </c>
      <c r="U109" s="44"/>
      <c r="V109" s="68" t="str">
        <f ca="1"/>
        <v xml:space="preserve"> </v>
      </c>
      <c r="Y109" t="str">
        <f ca="1"/>
        <v>92,\</v>
      </c>
      <c r="Z109" t="str">
        <f ca="1"/>
        <v xml:space="preserve"> </v>
      </c>
      <c r="AA109" s="48" t="str">
        <f ca="1"/>
        <v>94</v>
      </c>
      <c r="AB109" s="48" t="str">
        <f ca="1"/>
        <v>^</v>
      </c>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288</v>
      </c>
      <c r="E110" s="32" t="s">
        <v>237</v>
      </c>
      <c r="F110" s="34" t="s">
        <v>97</v>
      </c>
      <c r="G110" s="34" t="b">
        <v>0</v>
      </c>
      <c r="H110" s="34" t="s">
        <v>289</v>
      </c>
      <c r="I110" s="34" t="s">
        <v>95</v>
      </c>
      <c r="J110" s="34" t="b">
        <v>1</v>
      </c>
      <c r="K110" s="34"/>
      <c r="L110" s="32">
        <v>1</v>
      </c>
      <c r="M110" s="32">
        <v>1</v>
      </c>
      <c r="N110" s="32">
        <v>0</v>
      </c>
      <c r="O110" s="32">
        <v>0</v>
      </c>
      <c r="P110" s="32"/>
      <c r="Q110" s="32"/>
      <c r="R110" s="32"/>
      <c r="S110" s="32"/>
      <c r="T110" s="32" t="s">
        <v>96</v>
      </c>
      <c r="U110" s="44"/>
      <c r="V110" s="68" t="str">
        <f ca="1"/>
        <v xml:space="preserve"> </v>
      </c>
      <c r="Y110" t="str">
        <f ca="1"/>
        <v>93,]</v>
      </c>
      <c r="Z110" t="str">
        <f ca="1"/>
        <v xml:space="preserve"> </v>
      </c>
      <c r="AA110" s="48" t="str">
        <f ca="1"/>
        <v>95</v>
      </c>
      <c r="AB110" s="48" t="str">
        <f ca="1"/>
        <v>_</v>
      </c>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290</v>
      </c>
      <c r="E111" s="32" t="s">
        <v>237</v>
      </c>
      <c r="F111" s="34" t="s">
        <v>97</v>
      </c>
      <c r="G111" s="34" t="b">
        <v>0</v>
      </c>
      <c r="H111" s="34" t="s">
        <v>291</v>
      </c>
      <c r="I111" s="34"/>
      <c r="J111" s="34" t="b">
        <v>1</v>
      </c>
      <c r="K111" s="34"/>
      <c r="L111" s="32">
        <v>1</v>
      </c>
      <c r="M111" s="32">
        <v>1</v>
      </c>
      <c r="N111" s="32">
        <v>0</v>
      </c>
      <c r="O111" s="32">
        <v>0</v>
      </c>
      <c r="P111" s="32"/>
      <c r="Q111" s="32"/>
      <c r="R111" s="32"/>
      <c r="S111" s="32"/>
      <c r="T111" s="32"/>
      <c r="U111" s="44"/>
      <c r="V111" s="68" t="str">
        <f ca="1"/>
        <v xml:space="preserve"> </v>
      </c>
      <c r="Y111" t="str">
        <f ca="1"/>
        <v>94,^</v>
      </c>
      <c r="Z111" t="str">
        <f ca="1"/>
        <v xml:space="preserve"> </v>
      </c>
      <c r="AA111" s="48" t="str">
        <f ca="1"/>
        <v>96</v>
      </c>
      <c r="AB111" s="48" t="str">
        <f ca="1"/>
        <v>`</v>
      </c>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203</v>
      </c>
      <c r="E112" s="32" t="s">
        <v>228</v>
      </c>
      <c r="F112" s="34" t="s">
        <v>95</v>
      </c>
      <c r="G112" s="34" t="b">
        <v>0</v>
      </c>
      <c r="H112" s="34" t="s">
        <v>95</v>
      </c>
      <c r="I112" s="34" t="s">
        <v>95</v>
      </c>
      <c r="J112" s="34" t="b">
        <v>1</v>
      </c>
      <c r="K112" s="34"/>
      <c r="L112" s="32">
        <v>1</v>
      </c>
      <c r="M112" s="32">
        <v>1</v>
      </c>
      <c r="N112" s="32">
        <v>10</v>
      </c>
      <c r="O112" s="32">
        <v>0</v>
      </c>
      <c r="P112" s="32"/>
      <c r="Q112" s="32"/>
      <c r="R112" s="32"/>
      <c r="S112" s="32"/>
      <c r="T112" s="32" t="s">
        <v>96</v>
      </c>
      <c r="U112" s="44"/>
      <c r="V112" s="68" t="str">
        <f ca="1"/>
        <v xml:space="preserve"> </v>
      </c>
      <c r="Y112" t="str">
        <f ca="1"/>
        <v>95,_</v>
      </c>
      <c r="Z112" t="str">
        <f ca="1"/>
        <v xml:space="preserve"> </v>
      </c>
      <c r="AA112" s="48" t="str">
        <f ca="1"/>
        <v>97</v>
      </c>
      <c r="AB112" s="48" t="str">
        <f ca="1"/>
        <v>a</v>
      </c>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310</v>
      </c>
      <c r="E113" s="32" t="s">
        <v>237</v>
      </c>
      <c r="F113" s="34"/>
      <c r="G113" s="34" t="b">
        <v>0</v>
      </c>
      <c r="H113" s="34" t="s">
        <v>311</v>
      </c>
      <c r="I113" s="34"/>
      <c r="J113" s="34" t="b">
        <v>1</v>
      </c>
      <c r="K113" s="34"/>
      <c r="L113" s="32">
        <v>2</v>
      </c>
      <c r="M113" s="32">
        <v>1</v>
      </c>
      <c r="N113" s="32">
        <v>0</v>
      </c>
      <c r="O113" s="32">
        <v>1</v>
      </c>
      <c r="P113" s="32"/>
      <c r="Q113" s="32"/>
      <c r="R113" s="32"/>
      <c r="S113" s="32"/>
      <c r="T113" s="32"/>
      <c r="U113" s="44"/>
      <c r="V113" s="68" t="str">
        <f ca="1"/>
        <v xml:space="preserve"> </v>
      </c>
      <c r="Y113" t="str">
        <f ca="1"/>
        <v>96,`</v>
      </c>
      <c r="Z113" t="str">
        <f ca="1"/>
        <v xml:space="preserve"> </v>
      </c>
      <c r="AA113" s="48" t="str">
        <f ca="1"/>
        <v>98</v>
      </c>
      <c r="AB113" s="48" t="str">
        <f ca="1"/>
        <v>b</v>
      </c>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310</v>
      </c>
      <c r="E114" s="32" t="s">
        <v>237</v>
      </c>
      <c r="F114" s="34" t="s">
        <v>97</v>
      </c>
      <c r="G114" s="34" t="b">
        <v>0</v>
      </c>
      <c r="H114" s="34" t="s">
        <v>352</v>
      </c>
      <c r="I114" s="34"/>
      <c r="J114" s="34" t="b">
        <v>1</v>
      </c>
      <c r="K114" s="34"/>
      <c r="L114" s="32">
        <v>2</v>
      </c>
      <c r="M114" s="32">
        <v>1</v>
      </c>
      <c r="N114" s="32">
        <v>0</v>
      </c>
      <c r="O114" s="32">
        <v>1</v>
      </c>
      <c r="P114" s="32"/>
      <c r="Q114" s="32"/>
      <c r="R114" s="32"/>
      <c r="S114" s="32"/>
      <c r="T114" s="32" t="s">
        <v>96</v>
      </c>
      <c r="U114" s="44"/>
      <c r="V114" s="68" t="str">
        <f ca="1"/>
        <v xml:space="preserve"> </v>
      </c>
      <c r="Y114" t="str">
        <f ca="1"/>
        <v>97,a</v>
      </c>
      <c r="Z114" t="str">
        <f ca="1"/>
        <v xml:space="preserve"> </v>
      </c>
      <c r="AA114" s="48" t="str">
        <f ca="1"/>
        <v>99</v>
      </c>
      <c r="AB114" s="48" t="str">
        <f ca="1"/>
        <v>c</v>
      </c>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309</v>
      </c>
      <c r="E115" s="32" t="s">
        <v>237</v>
      </c>
      <c r="F115" s="34" t="s">
        <v>97</v>
      </c>
      <c r="G115" s="34" t="b">
        <v>0</v>
      </c>
      <c r="H115" s="34" t="s">
        <v>311</v>
      </c>
      <c r="I115" s="34"/>
      <c r="J115" s="34" t="b">
        <v>1</v>
      </c>
      <c r="K115" s="34"/>
      <c r="L115" s="32">
        <v>2</v>
      </c>
      <c r="M115" s="32">
        <v>2</v>
      </c>
      <c r="N115" s="32">
        <v>0</v>
      </c>
      <c r="O115" s="32">
        <v>0</v>
      </c>
      <c r="P115" s="32"/>
      <c r="Q115" s="32"/>
      <c r="R115" s="32"/>
      <c r="S115" s="32"/>
      <c r="T115" s="32"/>
      <c r="U115" s="44"/>
      <c r="V115" s="68" t="str">
        <f ca="1"/>
        <v xml:space="preserve"> </v>
      </c>
      <c r="Y115" t="str">
        <f ca="1"/>
        <v>98,b</v>
      </c>
      <c r="Z115" t="str">
        <f ca="1"/>
        <v xml:space="preserve"> </v>
      </c>
      <c r="AA115" s="48" t="str">
        <f ca="1"/>
        <v>100</v>
      </c>
      <c r="AB115" s="48" t="str">
        <f ca="1"/>
        <v>d</v>
      </c>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237</v>
      </c>
      <c r="F116" s="34" t="s">
        <v>97</v>
      </c>
      <c r="G116" s="34" t="b">
        <v>0</v>
      </c>
      <c r="H116" s="34" t="s">
        <v>291</v>
      </c>
      <c r="I116" s="34"/>
      <c r="J116" s="34" t="b">
        <v>1</v>
      </c>
      <c r="K116" s="34"/>
      <c r="L116" s="32">
        <v>2</v>
      </c>
      <c r="M116" s="32">
        <v>1</v>
      </c>
      <c r="N116" s="32">
        <v>0</v>
      </c>
      <c r="O116" s="32">
        <v>1</v>
      </c>
      <c r="P116" s="32"/>
      <c r="Q116" s="32"/>
      <c r="R116" s="32"/>
      <c r="S116" s="32"/>
      <c r="T116" s="32"/>
      <c r="U116" s="44"/>
      <c r="V116" s="68" t="str">
        <f ca="1"/>
        <v xml:space="preserve"> </v>
      </c>
      <c r="Y116" t="str">
        <f ca="1"/>
        <v>99,c</v>
      </c>
      <c r="Z116" t="str">
        <f ca="1"/>
        <v xml:space="preserve"> </v>
      </c>
      <c r="AA116" s="48" t="str">
        <f ca="1"/>
        <v>101</v>
      </c>
      <c r="AB116" s="48" t="str">
        <f ca="1"/>
        <v>e</v>
      </c>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237</v>
      </c>
      <c r="F117" s="34" t="s">
        <v>97</v>
      </c>
      <c r="G117" s="34" t="b">
        <v>0</v>
      </c>
      <c r="H117" s="34" t="s">
        <v>291</v>
      </c>
      <c r="I117" s="34"/>
      <c r="J117" s="34" t="b">
        <v>1</v>
      </c>
      <c r="K117" s="34"/>
      <c r="L117" s="32">
        <v>2</v>
      </c>
      <c r="M117" s="32">
        <v>2</v>
      </c>
      <c r="N117" s="32">
        <v>0</v>
      </c>
      <c r="O117" s="32">
        <v>0</v>
      </c>
      <c r="P117" s="32"/>
      <c r="Q117" s="32"/>
      <c r="R117" s="32"/>
      <c r="S117" s="32"/>
      <c r="T117" s="32"/>
      <c r="U117" s="44"/>
      <c r="V117" s="68" t="str">
        <f ca="1"/>
        <v xml:space="preserve"> </v>
      </c>
      <c r="Y117" t="str">
        <f ca="1"/>
        <v>100,d</v>
      </c>
      <c r="Z117" t="str">
        <f ca="1"/>
        <v xml:space="preserve"> </v>
      </c>
      <c r="AA117" s="48" t="str">
        <f ca="1"/>
        <v>102</v>
      </c>
      <c r="AB117" s="48" t="str">
        <f ca="1"/>
        <v>f</v>
      </c>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237</v>
      </c>
      <c r="F118" s="34" t="s">
        <v>97</v>
      </c>
      <c r="G118" s="34" t="b">
        <v>0</v>
      </c>
      <c r="H118" s="34" t="s">
        <v>286</v>
      </c>
      <c r="I118" s="34"/>
      <c r="J118" s="34" t="b">
        <v>1</v>
      </c>
      <c r="K118" s="34"/>
      <c r="L118" s="32">
        <v>2</v>
      </c>
      <c r="M118" s="32">
        <v>1</v>
      </c>
      <c r="N118" s="32">
        <v>0</v>
      </c>
      <c r="O118" s="32">
        <v>1</v>
      </c>
      <c r="P118" s="32"/>
      <c r="Q118" s="32"/>
      <c r="R118" s="32"/>
      <c r="S118" s="32"/>
      <c r="T118" s="32"/>
      <c r="U118" s="44"/>
      <c r="V118" s="68" t="str">
        <f ca="1"/>
        <v xml:space="preserve"> </v>
      </c>
      <c r="Y118" t="str">
        <f ca="1"/>
        <v>101,e</v>
      </c>
      <c r="Z118" t="str">
        <f ca="1"/>
        <v xml:space="preserve"> </v>
      </c>
      <c r="AA118" s="48" t="str">
        <f ca="1"/>
        <v>103</v>
      </c>
      <c r="AB118" s="48" t="str">
        <f ca="1"/>
        <v>g</v>
      </c>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237</v>
      </c>
      <c r="F119" s="34" t="s">
        <v>97</v>
      </c>
      <c r="G119" s="34" t="b">
        <v>0</v>
      </c>
      <c r="H119" s="34" t="s">
        <v>286</v>
      </c>
      <c r="I119" s="34"/>
      <c r="J119" s="34" t="b">
        <v>1</v>
      </c>
      <c r="K119" s="34"/>
      <c r="L119" s="32">
        <v>2</v>
      </c>
      <c r="M119" s="32">
        <v>2</v>
      </c>
      <c r="N119" s="32">
        <v>0</v>
      </c>
      <c r="O119" s="32">
        <v>0</v>
      </c>
      <c r="P119" s="32"/>
      <c r="Q119" s="32"/>
      <c r="R119" s="32"/>
      <c r="S119" s="32"/>
      <c r="T119" s="32"/>
      <c r="U119" s="44"/>
      <c r="V119" s="68" t="str">
        <f ca="1"/>
        <v xml:space="preserve"> </v>
      </c>
      <c r="Y119" t="str">
        <f ca="1"/>
        <v>102,f</v>
      </c>
      <c r="Z119" t="str">
        <f ca="1"/>
        <v xml:space="preserve"> </v>
      </c>
      <c r="AA119" s="48" t="str">
        <f ca="1"/>
        <v>104</v>
      </c>
      <c r="AB119" s="48" t="str">
        <f ca="1"/>
        <v>h</v>
      </c>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237</v>
      </c>
      <c r="F120" s="34" t="s">
        <v>97</v>
      </c>
      <c r="G120" s="34" t="b">
        <v>0</v>
      </c>
      <c r="H120" s="34" t="s">
        <v>289</v>
      </c>
      <c r="I120" s="34"/>
      <c r="J120" s="34" t="b">
        <v>1</v>
      </c>
      <c r="K120" s="34"/>
      <c r="L120" s="32">
        <v>2</v>
      </c>
      <c r="M120" s="32">
        <v>1</v>
      </c>
      <c r="N120" s="32">
        <v>0</v>
      </c>
      <c r="O120" s="32">
        <v>1</v>
      </c>
      <c r="P120" s="32"/>
      <c r="Q120" s="32"/>
      <c r="R120" s="32"/>
      <c r="S120" s="32"/>
      <c r="T120" s="32"/>
      <c r="U120" s="44"/>
      <c r="V120" s="68" t="str">
        <f ca="1"/>
        <v xml:space="preserve"> </v>
      </c>
      <c r="Y120" t="str">
        <f ca="1"/>
        <v>103,g</v>
      </c>
      <c r="Z120" t="str">
        <f ca="1"/>
        <v xml:space="preserve"> </v>
      </c>
      <c r="AA120" s="48" t="str">
        <f ca="1"/>
        <v>105</v>
      </c>
      <c r="AB120" s="48" t="str">
        <f ca="1"/>
        <v>i</v>
      </c>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237</v>
      </c>
      <c r="F121" s="34" t="s">
        <v>97</v>
      </c>
      <c r="G121" s="34" t="b">
        <v>0</v>
      </c>
      <c r="H121" s="34" t="s">
        <v>289</v>
      </c>
      <c r="I121" s="34"/>
      <c r="J121" s="34" t="b">
        <v>1</v>
      </c>
      <c r="K121" s="34"/>
      <c r="L121" s="32">
        <v>2</v>
      </c>
      <c r="M121" s="32">
        <v>2</v>
      </c>
      <c r="N121" s="32">
        <v>0</v>
      </c>
      <c r="O121" s="32">
        <v>0</v>
      </c>
      <c r="P121" s="32"/>
      <c r="Q121" s="32"/>
      <c r="R121" s="32"/>
      <c r="S121" s="32"/>
      <c r="T121" s="32"/>
      <c r="U121" s="44"/>
      <c r="V121" s="68" t="str">
        <f ca="1"/>
        <v xml:space="preserve"> </v>
      </c>
      <c r="Y121" t="str">
        <f ca="1"/>
        <v>104,h</v>
      </c>
      <c r="Z121" t="str">
        <f ca="1"/>
        <v xml:space="preserve"> </v>
      </c>
      <c r="AA121" s="48" t="str">
        <f ca="1"/>
        <v>106</v>
      </c>
      <c r="AB121" s="48" t="str">
        <f ca="1"/>
        <v>j</v>
      </c>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195</v>
      </c>
      <c r="E122" s="32" t="b">
        <v>1</v>
      </c>
      <c r="F122" s="34" t="s">
        <v>95</v>
      </c>
      <c r="G122" s="34" t="b">
        <v>0</v>
      </c>
      <c r="H122" s="34" t="s">
        <v>332</v>
      </c>
      <c r="I122" s="34" t="s">
        <v>95</v>
      </c>
      <c r="J122" s="34" t="b">
        <v>1</v>
      </c>
      <c r="K122" s="34"/>
      <c r="L122" s="32">
        <v>1</v>
      </c>
      <c r="M122" s="32">
        <v>1</v>
      </c>
      <c r="N122" s="32">
        <v>0</v>
      </c>
      <c r="O122" s="32">
        <v>0</v>
      </c>
      <c r="P122" s="32"/>
      <c r="Q122" s="32"/>
      <c r="R122" s="32"/>
      <c r="S122" s="32"/>
      <c r="T122" s="32" t="s">
        <v>96</v>
      </c>
      <c r="U122" s="44"/>
      <c r="V122" s="68" t="str">
        <f ca="1"/>
        <v xml:space="preserve"> </v>
      </c>
      <c r="Y122" t="str">
        <f ca="1"/>
        <v>105,i</v>
      </c>
      <c r="Z122" t="str">
        <f ca="1"/>
        <v xml:space="preserve"> </v>
      </c>
      <c r="AA122" s="48" t="str">
        <f ca="1"/>
        <v>107</v>
      </c>
      <c r="AB122" s="48" t="str">
        <f ca="1"/>
        <v>k</v>
      </c>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141</v>
      </c>
      <c r="E123" s="32" t="b">
        <v>1</v>
      </c>
      <c r="F123" s="34" t="s">
        <v>95</v>
      </c>
      <c r="G123" s="34" t="b">
        <v>0</v>
      </c>
      <c r="H123" s="34" t="s">
        <v>95</v>
      </c>
      <c r="I123" s="34" t="s">
        <v>95</v>
      </c>
      <c r="J123" s="34" t="b">
        <v>1</v>
      </c>
      <c r="K123" s="34"/>
      <c r="L123" s="32">
        <v>1</v>
      </c>
      <c r="M123" s="32">
        <v>1</v>
      </c>
      <c r="N123" s="32">
        <v>0</v>
      </c>
      <c r="O123" s="32">
        <v>0</v>
      </c>
      <c r="P123" s="32"/>
      <c r="Q123" s="32"/>
      <c r="R123" s="32"/>
      <c r="S123" s="32"/>
      <c r="T123" s="32" t="s">
        <v>96</v>
      </c>
      <c r="U123" s="44"/>
      <c r="V123" s="68" t="str">
        <f ca="1"/>
        <v xml:space="preserve"> </v>
      </c>
      <c r="Y123" t="str">
        <f ca="1"/>
        <v>106,j</v>
      </c>
      <c r="Z123" t="str">
        <f ca="1"/>
        <v xml:space="preserve"> </v>
      </c>
      <c r="AA123" s="48" t="str">
        <f ca="1"/>
        <v>108</v>
      </c>
      <c r="AB123" s="48" t="str">
        <f ca="1"/>
        <v>l</v>
      </c>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181</v>
      </c>
      <c r="E124" s="32" t="b">
        <v>1</v>
      </c>
      <c r="F124" s="34" t="s">
        <v>97</v>
      </c>
      <c r="G124" s="34" t="b">
        <v>0</v>
      </c>
      <c r="H124" s="34" t="s">
        <v>291</v>
      </c>
      <c r="I124" s="34" t="s">
        <v>95</v>
      </c>
      <c r="J124" s="34" t="b">
        <v>1</v>
      </c>
      <c r="K124" s="34"/>
      <c r="L124" s="32">
        <v>1</v>
      </c>
      <c r="M124" s="32">
        <v>1</v>
      </c>
      <c r="N124" s="32">
        <v>0</v>
      </c>
      <c r="O124" s="32">
        <v>0</v>
      </c>
      <c r="P124" s="32"/>
      <c r="Q124" s="32"/>
      <c r="R124" s="32"/>
      <c r="S124" s="32"/>
      <c r="T124" s="32" t="s">
        <v>96</v>
      </c>
      <c r="U124" s="44" t="s">
        <v>363</v>
      </c>
      <c r="V124" s="68" t="str">
        <f ca="1"/>
        <v xml:space="preserve"> </v>
      </c>
      <c r="Y124" t="str">
        <f ca="1"/>
        <v>107,k</v>
      </c>
      <c r="Z124" t="str">
        <f ca="1"/>
        <v xml:space="preserve"> </v>
      </c>
      <c r="AA124" s="48" t="str">
        <f ca="1"/>
        <v>109</v>
      </c>
      <c r="AB124" s="48" t="str">
        <f ca="1"/>
        <v>m</v>
      </c>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123</v>
      </c>
      <c r="E125" s="32" t="b">
        <v>1</v>
      </c>
      <c r="F125" s="34" t="s">
        <v>95</v>
      </c>
      <c r="G125" s="34" t="b">
        <v>0</v>
      </c>
      <c r="H125" s="34" t="s">
        <v>95</v>
      </c>
      <c r="I125" s="34" t="s">
        <v>95</v>
      </c>
      <c r="J125" s="34" t="b">
        <v>1</v>
      </c>
      <c r="K125" s="34"/>
      <c r="L125" s="32">
        <v>1</v>
      </c>
      <c r="M125" s="32">
        <v>1</v>
      </c>
      <c r="N125" s="32">
        <v>0</v>
      </c>
      <c r="O125" s="32">
        <v>0</v>
      </c>
      <c r="P125" s="32"/>
      <c r="Q125" s="32"/>
      <c r="R125" s="32" t="s">
        <v>308</v>
      </c>
      <c r="S125" s="32"/>
      <c r="T125" s="32" t="s">
        <v>96</v>
      </c>
      <c r="U125" s="44"/>
      <c r="V125" s="68" t="str">
        <f ca="1"/>
        <v xml:space="preserve"> </v>
      </c>
      <c r="Y125" t="str">
        <f ca="1"/>
        <v>108,l</v>
      </c>
      <c r="Z125" t="str">
        <f ca="1"/>
        <v xml:space="preserve"> </v>
      </c>
      <c r="AA125" s="48" t="str">
        <f ca="1"/>
        <v>110</v>
      </c>
      <c r="AB125" s="48" t="str">
        <f ca="1"/>
        <v>n</v>
      </c>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148</v>
      </c>
      <c r="E126" s="32" t="b">
        <v>1</v>
      </c>
      <c r="F126" s="34" t="s">
        <v>95</v>
      </c>
      <c r="G126" s="34" t="b">
        <v>0</v>
      </c>
      <c r="H126" s="34" t="s">
        <v>95</v>
      </c>
      <c r="I126" s="34" t="s">
        <v>95</v>
      </c>
      <c r="J126" s="34" t="b">
        <v>1</v>
      </c>
      <c r="K126" s="34"/>
      <c r="L126" s="32">
        <v>1</v>
      </c>
      <c r="M126" s="32">
        <v>1</v>
      </c>
      <c r="N126" s="32">
        <v>0</v>
      </c>
      <c r="O126" s="32">
        <v>0</v>
      </c>
      <c r="P126" s="32"/>
      <c r="Q126" s="32"/>
      <c r="R126" s="32" t="s">
        <v>333</v>
      </c>
      <c r="S126" s="32"/>
      <c r="T126" s="32" t="s">
        <v>96</v>
      </c>
      <c r="U126" s="44" t="s">
        <v>100</v>
      </c>
      <c r="V126" s="68" t="str">
        <f ca="1"/>
        <v xml:space="preserve"> </v>
      </c>
      <c r="Y126" t="str">
        <f ca="1"/>
        <v>109,m</v>
      </c>
      <c r="Z126" t="str">
        <f ca="1"/>
        <v xml:space="preserve"> </v>
      </c>
      <c r="AA126" s="48" t="str">
        <f ca="1"/>
        <v>111</v>
      </c>
      <c r="AB126" s="48" t="str">
        <f ca="1"/>
        <v>o</v>
      </c>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119</v>
      </c>
      <c r="E127" s="32" t="b">
        <v>1</v>
      </c>
      <c r="F127" s="34" t="s">
        <v>95</v>
      </c>
      <c r="G127" s="34" t="b">
        <v>0</v>
      </c>
      <c r="H127" s="34" t="s">
        <v>95</v>
      </c>
      <c r="I127" s="34" t="s">
        <v>95</v>
      </c>
      <c r="J127" s="34" t="b">
        <v>1</v>
      </c>
      <c r="K127" s="34"/>
      <c r="L127" s="32">
        <v>1</v>
      </c>
      <c r="M127" s="32">
        <v>1</v>
      </c>
      <c r="N127" s="32">
        <v>0</v>
      </c>
      <c r="O127" s="32">
        <v>0</v>
      </c>
      <c r="P127" s="32"/>
      <c r="Q127" s="32"/>
      <c r="R127" s="32"/>
      <c r="S127" s="32"/>
      <c r="T127" s="32" t="s">
        <v>96</v>
      </c>
      <c r="U127" s="44"/>
      <c r="V127" s="68" t="str">
        <f ca="1"/>
        <v xml:space="preserve"> </v>
      </c>
      <c r="Y127" t="str">
        <f ca="1"/>
        <v>110,n</v>
      </c>
      <c r="Z127" t="str">
        <f ca="1"/>
        <v xml:space="preserve"> </v>
      </c>
      <c r="AA127" s="48" t="str">
        <f ca="1"/>
        <v>112</v>
      </c>
      <c r="AB127" s="48" t="str">
        <f ca="1"/>
        <v>p</v>
      </c>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124</v>
      </c>
      <c r="E128" s="32" t="b">
        <v>1</v>
      </c>
      <c r="F128" s="34" t="s">
        <v>95</v>
      </c>
      <c r="G128" s="34" t="b">
        <v>0</v>
      </c>
      <c r="H128" s="34" t="s">
        <v>95</v>
      </c>
      <c r="I128" s="34" t="s">
        <v>95</v>
      </c>
      <c r="J128" s="34" t="b">
        <v>1</v>
      </c>
      <c r="K128" s="34"/>
      <c r="L128" s="32">
        <v>1</v>
      </c>
      <c r="M128" s="32">
        <v>1</v>
      </c>
      <c r="N128" s="32">
        <v>0</v>
      </c>
      <c r="O128" s="32">
        <v>0</v>
      </c>
      <c r="P128" s="32"/>
      <c r="Q128" s="32"/>
      <c r="R128" s="32" t="s">
        <v>334</v>
      </c>
      <c r="S128" s="32"/>
      <c r="T128" s="32" t="s">
        <v>96</v>
      </c>
      <c r="U128" s="44"/>
      <c r="V128" s="68" t="str">
        <f ca="1"/>
        <v xml:space="preserve"> </v>
      </c>
      <c r="Y128" t="str">
        <f ca="1"/>
        <v>111,o</v>
      </c>
      <c r="Z128" t="str">
        <f ca="1"/>
        <v xml:space="preserve"> </v>
      </c>
      <c r="AA128" s="48" t="str">
        <f ca="1"/>
        <v>113</v>
      </c>
      <c r="AB128" s="48" t="str">
        <f ca="1"/>
        <v>q</v>
      </c>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143</v>
      </c>
      <c r="E129" s="32" t="b">
        <v>1</v>
      </c>
      <c r="F129" s="34" t="s">
        <v>95</v>
      </c>
      <c r="G129" s="34" t="b">
        <v>0</v>
      </c>
      <c r="H129" s="34" t="s">
        <v>95</v>
      </c>
      <c r="I129" s="34" t="s">
        <v>95</v>
      </c>
      <c r="J129" s="34" t="b">
        <v>1</v>
      </c>
      <c r="K129" s="34"/>
      <c r="L129" s="32">
        <v>1</v>
      </c>
      <c r="M129" s="32">
        <v>1</v>
      </c>
      <c r="N129" s="32">
        <v>0</v>
      </c>
      <c r="O129" s="32">
        <v>0</v>
      </c>
      <c r="P129" s="32"/>
      <c r="Q129" s="32"/>
      <c r="R129" s="32"/>
      <c r="S129" s="32"/>
      <c r="T129" s="32" t="s">
        <v>96</v>
      </c>
      <c r="U129" s="44"/>
      <c r="V129" s="68" t="str">
        <f ca="1"/>
        <v xml:space="preserve"> </v>
      </c>
      <c r="Y129" t="str">
        <f ca="1"/>
        <v>112,p</v>
      </c>
      <c r="Z129" t="str">
        <f ca="1"/>
        <v xml:space="preserve"> </v>
      </c>
      <c r="AA129" s="48" t="str">
        <f ca="1"/>
        <v>114</v>
      </c>
      <c r="AB129" s="48" t="str">
        <f ca="1"/>
        <v>r</v>
      </c>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146</v>
      </c>
      <c r="E130" s="32" t="b">
        <v>1</v>
      </c>
      <c r="F130" s="34" t="s">
        <v>95</v>
      </c>
      <c r="G130" s="34" t="b">
        <v>0</v>
      </c>
      <c r="H130" s="34" t="s">
        <v>95</v>
      </c>
      <c r="I130" s="34" t="s">
        <v>95</v>
      </c>
      <c r="J130" s="34" t="b">
        <v>1</v>
      </c>
      <c r="K130" s="34"/>
      <c r="L130" s="32">
        <v>1</v>
      </c>
      <c r="M130" s="32">
        <v>1</v>
      </c>
      <c r="N130" s="32">
        <v>0</v>
      </c>
      <c r="O130" s="32">
        <v>0</v>
      </c>
      <c r="P130" s="32"/>
      <c r="Q130" s="32"/>
      <c r="R130" s="32"/>
      <c r="S130" s="32"/>
      <c r="T130" s="32" t="s">
        <v>96</v>
      </c>
      <c r="U130" s="44"/>
      <c r="V130" s="68" t="str">
        <f ca="1"/>
        <v xml:space="preserve"> </v>
      </c>
      <c r="Y130" t="str">
        <f ca="1"/>
        <v>113,q</v>
      </c>
      <c r="Z130" t="str">
        <f ca="1"/>
        <v xml:space="preserve"> </v>
      </c>
      <c r="AA130" s="48" t="str">
        <f ca="1"/>
        <v>115</v>
      </c>
      <c r="AB130" s="48" t="str">
        <f ca="1"/>
        <v>s</v>
      </c>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204</v>
      </c>
      <c r="E131" s="32" t="b">
        <v>1</v>
      </c>
      <c r="F131" s="34" t="s">
        <v>95</v>
      </c>
      <c r="G131" s="34" t="b">
        <v>0</v>
      </c>
      <c r="H131" s="34" t="s">
        <v>311</v>
      </c>
      <c r="I131" s="34" t="s">
        <v>95</v>
      </c>
      <c r="J131" s="34" t="b">
        <v>1</v>
      </c>
      <c r="K131" s="34"/>
      <c r="L131" s="32">
        <v>1</v>
      </c>
      <c r="M131" s="32">
        <v>1</v>
      </c>
      <c r="N131" s="32">
        <v>20</v>
      </c>
      <c r="O131" s="32">
        <v>0</v>
      </c>
      <c r="P131" s="32"/>
      <c r="Q131" s="32"/>
      <c r="R131" s="32"/>
      <c r="S131" s="32"/>
      <c r="T131" s="32" t="s">
        <v>96</v>
      </c>
      <c r="U131" s="41" t="s">
        <v>364</v>
      </c>
      <c r="V131" s="68" t="str">
        <f ca="1"/>
        <v xml:space="preserve"> </v>
      </c>
      <c r="Y131" t="str">
        <f ca="1"/>
        <v>114,r</v>
      </c>
      <c r="Z131" t="str">
        <f ca="1"/>
        <v xml:space="preserve"> </v>
      </c>
      <c r="AA131" s="48" t="str">
        <f ca="1"/>
        <v>116</v>
      </c>
      <c r="AB131" s="48" t="str">
        <f ca="1"/>
        <v>t</v>
      </c>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208</v>
      </c>
      <c r="E132" s="32" t="b">
        <v>0</v>
      </c>
      <c r="F132" s="34" t="s">
        <v>95</v>
      </c>
      <c r="G132" s="34" t="b">
        <v>0</v>
      </c>
      <c r="H132" s="34" t="s">
        <v>95</v>
      </c>
      <c r="I132" s="34" t="s">
        <v>95</v>
      </c>
      <c r="J132" s="34" t="b">
        <v>1</v>
      </c>
      <c r="K132" s="34"/>
      <c r="L132" s="32">
        <v>5112</v>
      </c>
      <c r="M132" s="32">
        <v>1</v>
      </c>
      <c r="N132" s="32">
        <v>3</v>
      </c>
      <c r="O132" s="32">
        <v>0</v>
      </c>
      <c r="P132" s="32"/>
      <c r="Q132" s="32"/>
      <c r="R132" s="32"/>
      <c r="S132" s="32"/>
      <c r="T132" s="32" t="s">
        <v>96</v>
      </c>
      <c r="U132" s="41" t="s">
        <v>365</v>
      </c>
      <c r="V132" s="68" t="str">
        <f ca="1"/>
        <v xml:space="preserve"> </v>
      </c>
      <c r="Y132" t="str">
        <f ca="1"/>
        <v>115,s</v>
      </c>
      <c r="Z132" t="str">
        <f ca="1"/>
        <v xml:space="preserve"> </v>
      </c>
      <c r="AA132" s="48" t="str">
        <f ca="1"/>
        <v>117</v>
      </c>
      <c r="AB132" s="48" t="str">
        <f ca="1"/>
        <v>u</v>
      </c>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209</v>
      </c>
      <c r="E133" s="32" t="b">
        <v>1</v>
      </c>
      <c r="F133" s="34" t="s">
        <v>95</v>
      </c>
      <c r="G133" s="34" t="b">
        <v>0</v>
      </c>
      <c r="H133" s="34" t="s">
        <v>95</v>
      </c>
      <c r="I133" s="34" t="s">
        <v>95</v>
      </c>
      <c r="J133" s="34" t="b">
        <v>1</v>
      </c>
      <c r="K133" s="34"/>
      <c r="L133" s="32">
        <v>1</v>
      </c>
      <c r="M133" s="32">
        <v>1</v>
      </c>
      <c r="N133" s="32">
        <v>0</v>
      </c>
      <c r="O133" s="32">
        <v>0</v>
      </c>
      <c r="P133" s="32"/>
      <c r="Q133" s="32"/>
      <c r="R133" s="32"/>
      <c r="S133" s="32"/>
      <c r="T133" s="32" t="s">
        <v>96</v>
      </c>
      <c r="U133" s="44"/>
      <c r="V133" s="68" t="str">
        <f ca="1"/>
        <v xml:space="preserve"> </v>
      </c>
      <c r="Y133" t="str">
        <f ca="1"/>
        <v>116,t</v>
      </c>
      <c r="Z133" t="str">
        <f ca="1"/>
        <v xml:space="preserve"> </v>
      </c>
      <c r="AA133" s="48" t="str">
        <f ca="1"/>
        <v>118</v>
      </c>
      <c r="AB133" s="48" t="str">
        <f ca="1"/>
        <v>v</v>
      </c>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205</v>
      </c>
      <c r="E134" s="32" t="b">
        <v>1</v>
      </c>
      <c r="F134" s="34" t="s">
        <v>95</v>
      </c>
      <c r="G134" s="34" t="b">
        <v>0</v>
      </c>
      <c r="H134" s="34" t="s">
        <v>95</v>
      </c>
      <c r="I134" s="34" t="s">
        <v>95</v>
      </c>
      <c r="J134" s="34" t="b">
        <v>1</v>
      </c>
      <c r="K134" s="34"/>
      <c r="L134" s="32">
        <v>1</v>
      </c>
      <c r="M134" s="32">
        <v>1</v>
      </c>
      <c r="N134" s="32">
        <v>0</v>
      </c>
      <c r="O134" s="32">
        <v>0</v>
      </c>
      <c r="P134" s="32"/>
      <c r="Q134" s="32"/>
      <c r="R134" s="32"/>
      <c r="S134" s="32"/>
      <c r="T134" s="32" t="s">
        <v>96</v>
      </c>
      <c r="U134" s="44" t="s">
        <v>366</v>
      </c>
      <c r="V134" s="68" t="str">
        <f ca="1"/>
        <v xml:space="preserve"> </v>
      </c>
      <c r="Y134" t="str">
        <f ca="1"/>
        <v>117,u</v>
      </c>
      <c r="Z134" t="str">
        <f ca="1"/>
        <v xml:space="preserve"> </v>
      </c>
      <c r="AA134" s="48" t="str">
        <f ca="1"/>
        <v>119</v>
      </c>
      <c r="AB134" s="48" t="str">
        <f ca="1"/>
        <v>w</v>
      </c>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210</v>
      </c>
      <c r="E135" s="32" t="b">
        <v>1</v>
      </c>
      <c r="F135" s="34" t="s">
        <v>95</v>
      </c>
      <c r="G135" s="34" t="b">
        <v>0</v>
      </c>
      <c r="H135" s="34" t="s">
        <v>332</v>
      </c>
      <c r="I135" s="34" t="s">
        <v>95</v>
      </c>
      <c r="J135" s="34" t="b">
        <v>1</v>
      </c>
      <c r="K135" s="34"/>
      <c r="L135" s="32">
        <v>1</v>
      </c>
      <c r="M135" s="32">
        <v>1</v>
      </c>
      <c r="N135" s="32">
        <v>20</v>
      </c>
      <c r="O135" s="32">
        <v>0</v>
      </c>
      <c r="P135" s="32"/>
      <c r="Q135" s="32"/>
      <c r="R135" s="32"/>
      <c r="S135" s="32"/>
      <c r="T135" s="32" t="s">
        <v>96</v>
      </c>
      <c r="U135" s="44"/>
      <c r="V135" s="68" t="str">
        <f ca="1"/>
        <v xml:space="preserve"> </v>
      </c>
      <c r="Y135" t="str">
        <f ca="1"/>
        <v>118,v</v>
      </c>
      <c r="Z135" t="str">
        <f ca="1"/>
        <v xml:space="preserve"> </v>
      </c>
      <c r="AA135" s="48" t="str">
        <f ca="1"/>
        <v>120</v>
      </c>
      <c r="AB135" s="48" t="str">
        <f ca="1"/>
        <v>x</v>
      </c>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215</v>
      </c>
      <c r="E136" s="32" t="b">
        <v>1</v>
      </c>
      <c r="F136" s="34" t="s">
        <v>95</v>
      </c>
      <c r="G136" s="34" t="b">
        <v>0</v>
      </c>
      <c r="H136" s="34" t="s">
        <v>95</v>
      </c>
      <c r="I136" s="34" t="s">
        <v>95</v>
      </c>
      <c r="J136" s="34" t="b">
        <v>1</v>
      </c>
      <c r="K136" s="34"/>
      <c r="L136" s="32">
        <v>1</v>
      </c>
      <c r="M136" s="32">
        <v>1</v>
      </c>
      <c r="N136" s="32">
        <v>0</v>
      </c>
      <c r="O136" s="32">
        <v>0</v>
      </c>
      <c r="P136" s="32"/>
      <c r="Q136" s="32"/>
      <c r="R136" s="32"/>
      <c r="S136" s="32"/>
      <c r="T136" s="32" t="s">
        <v>96</v>
      </c>
      <c r="U136" s="41" t="s">
        <v>226</v>
      </c>
      <c r="V136" s="68" t="str">
        <f ca="1"/>
        <v xml:space="preserve"> </v>
      </c>
      <c r="Y136" t="str">
        <f ca="1"/>
        <v>119,w</v>
      </c>
      <c r="Z136" t="str">
        <f ca="1"/>
        <v xml:space="preserve"> </v>
      </c>
      <c r="AA136" s="48" t="str">
        <f ca="1"/>
        <v>121</v>
      </c>
      <c r="AB136" s="48" t="str">
        <f ca="1"/>
        <v>y</v>
      </c>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221</v>
      </c>
      <c r="E137" s="32" t="b">
        <v>1</v>
      </c>
      <c r="F137" s="34" t="s">
        <v>95</v>
      </c>
      <c r="G137" s="34" t="b">
        <v>0</v>
      </c>
      <c r="H137" s="34" t="s">
        <v>332</v>
      </c>
      <c r="I137" s="34" t="s">
        <v>95</v>
      </c>
      <c r="J137" s="34" t="b">
        <v>1</v>
      </c>
      <c r="K137" s="34"/>
      <c r="L137" s="32">
        <v>7580</v>
      </c>
      <c r="M137" s="32">
        <v>1</v>
      </c>
      <c r="N137" s="32">
        <v>0</v>
      </c>
      <c r="O137" s="32">
        <v>0</v>
      </c>
      <c r="P137" s="32"/>
      <c r="Q137" s="32"/>
      <c r="R137" s="32"/>
      <c r="S137" s="32"/>
      <c r="T137" s="32" t="s">
        <v>96</v>
      </c>
      <c r="U137" s="44"/>
      <c r="V137" s="68" t="str">
        <f ca="1"/>
        <v xml:space="preserve"> </v>
      </c>
      <c r="Y137" t="str">
        <f ca="1"/>
        <v>120,x</v>
      </c>
      <c r="Z137" t="str">
        <f ca="1"/>
        <v xml:space="preserve"> </v>
      </c>
      <c r="AA137" s="48" t="str">
        <f ca="1"/>
        <v>122</v>
      </c>
      <c r="AB137" s="48" t="str">
        <f ca="1"/>
        <v>z</v>
      </c>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337</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Y138" t="str">
        <f ca="1"/>
        <v>121,y</v>
      </c>
      <c r="Z138" t="str">
        <f ca="1"/>
        <v xml:space="preserve"> </v>
      </c>
      <c r="AA138" s="48" t="str">
        <f ca="1"/>
        <v>123</v>
      </c>
      <c r="AB138" s="48" t="str">
        <f ca="1"/>
        <v>{</v>
      </c>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340</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Y139" t="str">
        <f ca="1"/>
        <v>122,z</v>
      </c>
      <c r="Z139" t="str">
        <f ca="1"/>
        <v xml:space="preserve"> </v>
      </c>
      <c r="AA139" s="48" t="str">
        <f ca="1"/>
        <v>124</v>
      </c>
      <c r="AB139" s="48" t="str">
        <f ca="1"/>
        <v>|</v>
      </c>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341</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Y140" t="str">
        <f ca="1"/>
        <v>123,{</v>
      </c>
      <c r="Z140" t="str">
        <f ca="1"/>
        <v xml:space="preserve"> </v>
      </c>
      <c r="AA140" s="48" t="str">
        <f ca="1"/>
        <v>125</v>
      </c>
      <c r="AB140" s="48" t="str">
        <f ca="1"/>
        <v>}</v>
      </c>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341</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Y141" t="str">
        <f ca="1"/>
        <v>124,|</v>
      </c>
      <c r="Z141" t="str">
        <f ca="1"/>
        <v xml:space="preserve"> </v>
      </c>
      <c r="AA141" s="48" t="str">
        <f ca="1"/>
        <v>126</v>
      </c>
      <c r="AB141" s="48" t="str">
        <f ca="1"/>
        <v>~</v>
      </c>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224</v>
      </c>
      <c r="E142" s="32" t="s">
        <v>228</v>
      </c>
      <c r="F142" s="34" t="s">
        <v>95</v>
      </c>
      <c r="G142" s="34" t="b">
        <v>0</v>
      </c>
      <c r="H142" s="34" t="s">
        <v>95</v>
      </c>
      <c r="I142" s="34" t="s">
        <v>95</v>
      </c>
      <c r="J142" s="34" t="b">
        <v>1</v>
      </c>
      <c r="K142" s="34"/>
      <c r="L142" s="32">
        <v>1</v>
      </c>
      <c r="M142" s="32">
        <v>1</v>
      </c>
      <c r="N142" s="32">
        <v>0</v>
      </c>
      <c r="O142" s="32">
        <v>0</v>
      </c>
      <c r="P142" s="32"/>
      <c r="Q142" s="32"/>
      <c r="R142" s="32"/>
      <c r="S142" s="32"/>
      <c r="T142" s="32" t="s">
        <v>96</v>
      </c>
      <c r="U142" s="44"/>
      <c r="V142" s="68" t="str">
        <f ca="1"/>
        <v xml:space="preserve"> </v>
      </c>
      <c r="Y142" t="str">
        <f ca="1"/>
        <v>125,}</v>
      </c>
      <c r="Z142" t="str">
        <f ca="1"/>
        <v xml:space="preserve"> </v>
      </c>
      <c r="AA142" s="48" t="str">
        <f ca="1"/>
        <v>127</v>
      </c>
      <c r="AB142" s="48" t="str">
        <f ca="1"/>
        <v></v>
      </c>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217</v>
      </c>
      <c r="E143" s="32" t="b">
        <v>1</v>
      </c>
      <c r="F143" s="34" t="s">
        <v>95</v>
      </c>
      <c r="G143" s="34" t="b">
        <v>0</v>
      </c>
      <c r="H143" s="34" t="s">
        <v>311</v>
      </c>
      <c r="I143" s="34" t="s">
        <v>95</v>
      </c>
      <c r="J143" s="34" t="b">
        <v>1</v>
      </c>
      <c r="K143" s="34"/>
      <c r="L143" s="32">
        <v>1</v>
      </c>
      <c r="M143" s="32">
        <v>1</v>
      </c>
      <c r="N143" s="32">
        <v>2</v>
      </c>
      <c r="O143" s="32">
        <v>0</v>
      </c>
      <c r="P143" s="32"/>
      <c r="Q143" s="32"/>
      <c r="R143" s="32"/>
      <c r="S143" s="32"/>
      <c r="T143" s="32" t="s">
        <v>96</v>
      </c>
      <c r="U143" s="44"/>
      <c r="V143" s="68" t="str">
        <f ca="1"/>
        <v xml:space="preserve"> </v>
      </c>
      <c r="Y143" t="str">
        <f ca="1"/>
        <v>126,~</v>
      </c>
      <c r="Z143" t="str">
        <f ca="1"/>
        <v xml:space="preserve"> </v>
      </c>
      <c r="AA143" s="48" t="str">
        <f ca="1"/>
        <v>128</v>
      </c>
      <c r="AB143" s="48" t="str">
        <f ca="1"/>
        <v>€</v>
      </c>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217</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Y144" t="str">
        <f ca="1"/>
        <v>127,</v>
      </c>
      <c r="Z144" t="str">
        <f ca="1"/>
        <v xml:space="preserve"> </v>
      </c>
      <c r="AA144" s="48" t="str">
        <f ca="1"/>
        <v>129</v>
      </c>
      <c r="AB144" s="48" t="str">
        <f ca="1"/>
        <v></v>
      </c>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214</v>
      </c>
      <c r="E145" s="32" t="b">
        <v>1</v>
      </c>
      <c r="F145" s="34" t="s">
        <v>95</v>
      </c>
      <c r="G145" s="34" t="b">
        <v>0</v>
      </c>
      <c r="H145" s="34" t="s">
        <v>311</v>
      </c>
      <c r="I145" s="34" t="s">
        <v>95</v>
      </c>
      <c r="J145" s="34" t="b">
        <v>1</v>
      </c>
      <c r="K145" s="34"/>
      <c r="L145" s="32">
        <v>1</v>
      </c>
      <c r="M145" s="32">
        <v>1</v>
      </c>
      <c r="N145" s="32">
        <v>3</v>
      </c>
      <c r="O145" s="32">
        <v>0</v>
      </c>
      <c r="P145" s="32"/>
      <c r="Q145" s="32"/>
      <c r="R145" s="32"/>
      <c r="S145" s="32"/>
      <c r="T145" s="32" t="s">
        <v>96</v>
      </c>
      <c r="U145" s="44"/>
      <c r="V145" s="68" t="str">
        <f ca="1"/>
        <v xml:space="preserve"> </v>
      </c>
      <c r="Y145" t="str">
        <f ca="1"/>
        <v>128,€</v>
      </c>
      <c r="Z145" t="str">
        <f ca="1"/>
        <v xml:space="preserve"> </v>
      </c>
      <c r="AA145" s="48" t="str">
        <f ca="1"/>
        <v>130</v>
      </c>
      <c r="AB145" s="48" t="str">
        <f ca="1"/>
        <v>‚</v>
      </c>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382</v>
      </c>
      <c r="E146" s="32" t="b">
        <v>1</v>
      </c>
      <c r="F146" s="34"/>
      <c r="G146" s="34" t="b">
        <v>0</v>
      </c>
      <c r="H146" s="34" t="s">
        <v>311</v>
      </c>
      <c r="I146" s="34"/>
      <c r="J146" s="34" t="b">
        <v>1</v>
      </c>
      <c r="K146" s="34">
        <v>1</v>
      </c>
      <c r="L146" s="32">
        <v>2</v>
      </c>
      <c r="M146" s="32">
        <v>2</v>
      </c>
      <c r="N146" s="32">
        <v>2</v>
      </c>
      <c r="O146" s="32">
        <v>2</v>
      </c>
      <c r="P146" s="32"/>
      <c r="Q146" s="32"/>
      <c r="R146" s="32"/>
      <c r="S146" s="32"/>
      <c r="T146" s="32"/>
      <c r="U146" s="44"/>
      <c r="V146" s="68" t="str">
        <f ca="1"/>
        <v xml:space="preserve"> </v>
      </c>
      <c r="Y146" t="str">
        <f ca="1"/>
        <v>129,</v>
      </c>
      <c r="Z146" t="str">
        <f ca="1"/>
        <v xml:space="preserve"> </v>
      </c>
      <c r="AA146" s="48" t="str">
        <f ca="1"/>
        <v>131</v>
      </c>
      <c r="AB146" s="48" t="str">
        <f ca="1"/>
        <v>ƒ</v>
      </c>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383</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Y147" t="str">
        <f ca="1"/>
        <v>130,‚</v>
      </c>
      <c r="Z147" t="str">
        <f ca="1"/>
        <v xml:space="preserve"> </v>
      </c>
      <c r="AA147" s="48" t="str">
        <f ca="1"/>
        <v>132</v>
      </c>
      <c r="AB147" s="48" t="str">
        <f ca="1"/>
        <v>„</v>
      </c>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151</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Y148" t="str">
        <f ca="1"/>
        <v>131,ƒ</v>
      </c>
      <c r="Z148" t="str">
        <f ca="1"/>
        <v xml:space="preserve"> </v>
      </c>
      <c r="AA148" s="48" t="str">
        <f ca="1"/>
        <v>133</v>
      </c>
      <c r="AB148" s="48" t="str">
        <f ca="1"/>
        <v>…</v>
      </c>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385</v>
      </c>
      <c r="E149" s="32"/>
      <c r="F149" s="34">
        <v>1</v>
      </c>
      <c r="G149" s="34"/>
      <c r="H149" s="34"/>
      <c r="I149" s="34"/>
      <c r="J149" s="34"/>
      <c r="K149" s="34"/>
      <c r="L149" s="32"/>
      <c r="M149" s="32"/>
      <c r="N149" s="32"/>
      <c r="O149" s="32"/>
      <c r="P149" s="32"/>
      <c r="Q149" s="32"/>
      <c r="R149" s="32"/>
      <c r="S149" s="32"/>
      <c r="T149" s="32"/>
      <c r="U149" s="44"/>
      <c r="V149" s="68" t="str">
        <f ca="1"/>
        <v xml:space="preserve"> </v>
      </c>
      <c r="Y149" t="str">
        <f ca="1"/>
        <v>132,„</v>
      </c>
      <c r="Z149" t="str">
        <f ca="1"/>
        <v xml:space="preserve"> </v>
      </c>
      <c r="AA149" s="48" t="str">
        <f ca="1"/>
        <v>134</v>
      </c>
      <c r="AB149" s="48" t="str">
        <f ca="1"/>
        <v>†</v>
      </c>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385</v>
      </c>
      <c r="E150" s="32"/>
      <c r="F150" s="50" t="s">
        <v>386</v>
      </c>
      <c r="G150" s="34"/>
      <c r="H150" s="34"/>
      <c r="I150" s="34"/>
      <c r="J150" s="34"/>
      <c r="K150" s="34"/>
      <c r="L150" s="32"/>
      <c r="M150" s="32"/>
      <c r="N150" s="32"/>
      <c r="O150" s="32"/>
      <c r="P150" s="32"/>
      <c r="Q150" s="32"/>
      <c r="R150" s="32"/>
      <c r="S150" s="32"/>
      <c r="T150" s="32"/>
      <c r="U150" s="44"/>
      <c r="V150" s="68" t="str">
        <f ca="1"/>
        <v xml:space="preserve"> </v>
      </c>
      <c r="Y150" t="str">
        <f ca="1"/>
        <v>133,…</v>
      </c>
      <c r="Z150" t="str">
        <f ca="1"/>
        <v xml:space="preserve"> </v>
      </c>
      <c r="AA150" s="48" t="str">
        <f ca="1"/>
        <v>135</v>
      </c>
      <c r="AB150" s="48" t="str">
        <f ca="1"/>
        <v>‡</v>
      </c>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385</v>
      </c>
      <c r="E151" s="32"/>
      <c r="F151" s="34"/>
      <c r="G151" s="34"/>
      <c r="H151" s="34"/>
      <c r="I151" s="34"/>
      <c r="J151" s="34"/>
      <c r="K151" s="34"/>
      <c r="L151" s="32"/>
      <c r="M151" s="32"/>
      <c r="N151" s="32"/>
      <c r="O151" s="32">
        <v>-1</v>
      </c>
      <c r="P151" s="32"/>
      <c r="Q151" s="32"/>
      <c r="R151" s="32"/>
      <c r="S151" s="32"/>
      <c r="T151" s="32"/>
      <c r="U151" s="44"/>
      <c r="V151" s="68" t="str">
        <f ca="1"/>
        <v xml:space="preserve"> </v>
      </c>
      <c r="Y151" t="str">
        <f ca="1"/>
        <v>134,†</v>
      </c>
      <c r="Z151" t="str">
        <f ca="1"/>
        <v xml:space="preserve"> </v>
      </c>
      <c r="AA151" s="48" t="str">
        <f ca="1"/>
        <v>136</v>
      </c>
      <c r="AB151" s="48" t="str">
        <f ca="1"/>
        <v>ˆ</v>
      </c>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385</v>
      </c>
      <c r="E152" s="32"/>
      <c r="F152" s="34"/>
      <c r="G152" s="34"/>
      <c r="H152" s="34"/>
      <c r="I152" s="34"/>
      <c r="J152" s="34"/>
      <c r="K152" s="34"/>
      <c r="L152" s="32"/>
      <c r="M152" s="32"/>
      <c r="N152" s="32">
        <v>-1</v>
      </c>
      <c r="O152" s="32"/>
      <c r="P152" s="32"/>
      <c r="Q152" s="32"/>
      <c r="R152" s="32"/>
      <c r="S152" s="32"/>
      <c r="T152" s="32"/>
      <c r="U152" s="44"/>
      <c r="V152" s="68" t="str">
        <f ca="1"/>
        <v xml:space="preserve"> </v>
      </c>
      <c r="Y152" t="str">
        <f ca="1"/>
        <v>135,‡</v>
      </c>
      <c r="Z152" t="str">
        <f ca="1"/>
        <v xml:space="preserve"> </v>
      </c>
      <c r="AA152" s="48" t="str">
        <f ca="1"/>
        <v>137</v>
      </c>
      <c r="AB152" s="48" t="str">
        <f ca="1"/>
        <v>‰</v>
      </c>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385</v>
      </c>
      <c r="E153" s="32"/>
      <c r="F153" s="34"/>
      <c r="G153" s="34"/>
      <c r="H153" s="34"/>
      <c r="I153" s="34"/>
      <c r="J153" s="34"/>
      <c r="K153" s="34"/>
      <c r="L153" s="32"/>
      <c r="M153" s="32"/>
      <c r="N153" s="32"/>
      <c r="O153" s="32"/>
      <c r="P153" s="32"/>
      <c r="Q153" s="32"/>
      <c r="R153" s="32"/>
      <c r="S153" s="32"/>
      <c r="T153" s="32" t="s">
        <v>387</v>
      </c>
      <c r="U153" s="44"/>
      <c r="V153" s="68" t="str">
        <f ca="1"/>
        <v xml:space="preserve"> </v>
      </c>
      <c r="Y153" t="str">
        <f ca="1"/>
        <v>136,ˆ</v>
      </c>
      <c r="Z153" t="str">
        <f ca="1"/>
        <v xml:space="preserve"> </v>
      </c>
      <c r="AA153" s="48" t="str">
        <f ca="1"/>
        <v>138</v>
      </c>
      <c r="AB153" s="48" t="str">
        <f ca="1"/>
        <v>Š</v>
      </c>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385</v>
      </c>
      <c r="E154" s="32" t="s">
        <v>228</v>
      </c>
      <c r="F154" s="34" t="s">
        <v>97</v>
      </c>
      <c r="G154" s="34"/>
      <c r="H154" s="34"/>
      <c r="I154" s="34"/>
      <c r="J154" s="34"/>
      <c r="K154" s="34"/>
      <c r="L154" s="32"/>
      <c r="M154" s="32"/>
      <c r="N154" s="32"/>
      <c r="O154" s="32"/>
      <c r="P154" s="32"/>
      <c r="Q154" s="32"/>
      <c r="R154" s="32"/>
      <c r="S154" s="32"/>
      <c r="T154" s="32" t="s">
        <v>97</v>
      </c>
      <c r="U154" s="44"/>
      <c r="V154" s="68" t="str">
        <f ca="1"/>
        <v xml:space="preserve"> </v>
      </c>
      <c r="Y154" t="str">
        <f ca="1"/>
        <v>137,‰</v>
      </c>
      <c r="Z154" t="str">
        <f ca="1"/>
        <v xml:space="preserve"> </v>
      </c>
      <c r="AA154" s="48" t="str">
        <f ca="1"/>
        <v>139</v>
      </c>
      <c r="AB154" s="48" t="str">
        <f ca="1"/>
        <v>‹</v>
      </c>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385</v>
      </c>
      <c r="E155" s="32"/>
      <c r="F155" s="34"/>
      <c r="G155" s="34"/>
      <c r="H155" s="34"/>
      <c r="I155" s="34"/>
      <c r="J155" s="34"/>
      <c r="K155" s="34"/>
      <c r="L155" s="32"/>
      <c r="M155" s="32">
        <v>-1</v>
      </c>
      <c r="N155" s="32"/>
      <c r="O155" s="32"/>
      <c r="P155" s="32"/>
      <c r="Q155" s="32"/>
      <c r="R155" s="32"/>
      <c r="S155" s="32"/>
      <c r="T155" s="32"/>
      <c r="U155" s="44"/>
      <c r="V155" s="68" t="str">
        <f ca="1"/>
        <v xml:space="preserve"> </v>
      </c>
      <c r="Y155" t="str">
        <f ca="1"/>
        <v>138,Š</v>
      </c>
      <c r="Z155" t="str">
        <f ca="1"/>
        <v xml:space="preserve"> </v>
      </c>
      <c r="AA155" s="48" t="str">
        <f ca="1"/>
        <v>140</v>
      </c>
      <c r="AB155" s="48" t="str">
        <f ca="1"/>
        <v>Œ</v>
      </c>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385</v>
      </c>
      <c r="E156" s="32"/>
      <c r="F156" s="34"/>
      <c r="G156" s="34"/>
      <c r="H156" s="34"/>
      <c r="I156" s="34"/>
      <c r="J156" s="34"/>
      <c r="K156" s="34"/>
      <c r="L156" s="32">
        <v>-1</v>
      </c>
      <c r="M156" s="32"/>
      <c r="N156" s="32"/>
      <c r="O156" s="32"/>
      <c r="P156" s="32"/>
      <c r="Q156" s="32"/>
      <c r="R156" s="32"/>
      <c r="S156" s="32"/>
      <c r="T156" s="32"/>
      <c r="U156" s="44"/>
      <c r="V156" s="68" t="str">
        <f ca="1"/>
        <v xml:space="preserve"> </v>
      </c>
      <c r="Y156" t="str">
        <f ca="1"/>
        <v>139,‹</v>
      </c>
      <c r="Z156" t="str">
        <f ca="1"/>
        <v xml:space="preserve"> </v>
      </c>
      <c r="AA156" s="48" t="str">
        <f ca="1"/>
        <v>141</v>
      </c>
      <c r="AB156" s="48" t="str">
        <f ca="1"/>
        <v></v>
      </c>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385</v>
      </c>
      <c r="E157" s="32"/>
      <c r="F157" s="34"/>
      <c r="G157" s="34"/>
      <c r="H157" s="34"/>
      <c r="I157" s="34" t="s">
        <v>388</v>
      </c>
      <c r="J157" s="34"/>
      <c r="K157" s="34"/>
      <c r="L157" s="32"/>
      <c r="M157" s="32"/>
      <c r="N157" s="32"/>
      <c r="O157" s="32"/>
      <c r="P157" s="32"/>
      <c r="Q157" s="32"/>
      <c r="R157" s="32"/>
      <c r="S157" s="32"/>
      <c r="T157" s="32"/>
      <c r="U157" s="44"/>
      <c r="V157" s="68" t="str">
        <f ca="1"/>
        <v xml:space="preserve"> </v>
      </c>
      <c r="Y157" t="str">
        <f ca="1"/>
        <v>140,Œ</v>
      </c>
      <c r="Z157" t="str">
        <f ca="1"/>
        <v xml:space="preserve"> </v>
      </c>
      <c r="AA157" s="48" t="str">
        <f ca="1"/>
        <v>142</v>
      </c>
      <c r="AB157" s="48" t="str">
        <f ca="1"/>
        <v>Ž</v>
      </c>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385</v>
      </c>
      <c r="E158" s="32"/>
      <c r="F158" s="34"/>
      <c r="G158" s="34"/>
      <c r="H158" s="34"/>
      <c r="I158" s="34"/>
      <c r="J158" s="34"/>
      <c r="K158" s="34">
        <v>-1</v>
      </c>
      <c r="L158" s="32"/>
      <c r="M158" s="32"/>
      <c r="N158" s="32"/>
      <c r="O158" s="32"/>
      <c r="P158" s="32"/>
      <c r="Q158" s="32"/>
      <c r="R158" s="32"/>
      <c r="S158" s="32"/>
      <c r="T158" s="32"/>
      <c r="U158" s="44"/>
      <c r="V158" s="68" t="str">
        <f ca="1"/>
        <v xml:space="preserve"> </v>
      </c>
      <c r="Y158" t="str">
        <f ca="1"/>
        <v>141,</v>
      </c>
      <c r="Z158" t="str">
        <f ca="1"/>
        <v xml:space="preserve"> </v>
      </c>
      <c r="AA158" s="48" t="str">
        <f ca="1"/>
        <v>143</v>
      </c>
      <c r="AB158" s="48" t="str">
        <f ca="1"/>
        <v></v>
      </c>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52">
        <v>145</v>
      </c>
      <c r="D159" s="33" t="s">
        <v>385</v>
      </c>
      <c r="E159" s="32"/>
      <c r="F159" s="34"/>
      <c r="G159" s="34"/>
      <c r="H159" s="34"/>
      <c r="I159" s="34"/>
      <c r="J159" s="34"/>
      <c r="K159" s="34"/>
      <c r="L159" s="32"/>
      <c r="M159" s="32"/>
      <c r="N159" s="32"/>
      <c r="O159" s="32"/>
      <c r="P159" s="32"/>
      <c r="Q159" s="32"/>
      <c r="R159" s="32"/>
      <c r="S159" s="32" t="s">
        <v>389</v>
      </c>
      <c r="T159" s="32"/>
      <c r="U159" s="44"/>
      <c r="V159" s="68" t="str">
        <f ca="1"/>
        <v xml:space="preserve"> </v>
      </c>
      <c r="Y159" t="str">
        <f ca="1"/>
        <v>142,Ž</v>
      </c>
      <c r="Z159" t="str">
        <f ca="1"/>
        <v xml:space="preserve"> </v>
      </c>
      <c r="AA159" s="48" t="str">
        <f ca="1"/>
        <v>144</v>
      </c>
      <c r="AB159" s="48" t="str">
        <f ca="1"/>
        <v></v>
      </c>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385</v>
      </c>
      <c r="E160" s="32" t="s">
        <v>389</v>
      </c>
      <c r="F160" s="34"/>
      <c r="G160" s="34"/>
      <c r="H160" s="34"/>
      <c r="I160" s="34"/>
      <c r="J160" s="34"/>
      <c r="K160" s="34"/>
      <c r="L160" s="32"/>
      <c r="M160" s="32"/>
      <c r="N160" s="32"/>
      <c r="O160" s="32"/>
      <c r="P160" s="32"/>
      <c r="Q160" s="32"/>
      <c r="R160" s="32"/>
      <c r="S160" s="32"/>
      <c r="T160" s="32"/>
      <c r="U160" s="44"/>
      <c r="V160" s="68" t="str">
        <f ca="1"/>
        <v xml:space="preserve"> </v>
      </c>
      <c r="Y160" t="str">
        <f ca="1"/>
        <v>143,</v>
      </c>
      <c r="Z160" t="str">
        <f ca="1"/>
        <v xml:space="preserve"> </v>
      </c>
      <c r="AA160" s="48" t="str">
        <f ca="1"/>
        <v>145</v>
      </c>
      <c r="AB160" s="48" t="str">
        <f ca="1"/>
        <v>‘</v>
      </c>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52">
        <v>147</v>
      </c>
      <c r="D161" s="33" t="s">
        <v>385</v>
      </c>
      <c r="E161" s="32" t="s">
        <v>389</v>
      </c>
      <c r="F161" s="34"/>
      <c r="G161" s="34"/>
      <c r="H161" s="34"/>
      <c r="I161" s="34"/>
      <c r="J161" s="34"/>
      <c r="K161" s="34"/>
      <c r="L161" s="32"/>
      <c r="M161" s="32"/>
      <c r="N161" s="32"/>
      <c r="O161" s="32"/>
      <c r="P161" s="32"/>
      <c r="Q161" s="32"/>
      <c r="R161" s="32"/>
      <c r="S161" s="32"/>
      <c r="T161" s="32"/>
      <c r="U161" s="44"/>
      <c r="V161" s="68" t="str">
        <f ca="1"/>
        <v xml:space="preserve"> </v>
      </c>
      <c r="Y161" t="str">
        <f ca="1"/>
        <v>144,</v>
      </c>
      <c r="Z161" t="str">
        <f ca="1"/>
        <v xml:space="preserve"> </v>
      </c>
      <c r="AA161" s="48" t="str">
        <f ca="1"/>
        <v>146</v>
      </c>
      <c r="AB161" s="48" t="str">
        <f ca="1"/>
        <v>’</v>
      </c>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52">
        <v>148</v>
      </c>
      <c r="D162" s="33" t="s">
        <v>385</v>
      </c>
      <c r="E162" s="32" t="s">
        <v>389</v>
      </c>
      <c r="F162" s="34"/>
      <c r="G162" s="34"/>
      <c r="H162" s="34"/>
      <c r="I162" s="34"/>
      <c r="J162" s="34"/>
      <c r="K162" s="34"/>
      <c r="L162" s="32"/>
      <c r="M162" s="32"/>
      <c r="N162" s="32"/>
      <c r="O162" s="32"/>
      <c r="P162" s="32"/>
      <c r="Q162" s="32"/>
      <c r="R162" s="32"/>
      <c r="S162" s="32"/>
      <c r="T162" s="32"/>
      <c r="U162" s="44"/>
      <c r="V162" s="68" t="str">
        <f ca="1"/>
        <v xml:space="preserve"> </v>
      </c>
      <c r="Y162" t="str">
        <f ca="1"/>
        <v>145,‘</v>
      </c>
      <c r="Z162" t="str">
        <f ca="1"/>
        <v xml:space="preserve"> </v>
      </c>
      <c r="AA162" s="48" t="str">
        <f ca="1"/>
        <v>147</v>
      </c>
      <c r="AB162" s="48" t="str">
        <f ca="1"/>
        <v>“</v>
      </c>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52">
        <v>149</v>
      </c>
      <c r="D163" s="33" t="s">
        <v>385</v>
      </c>
      <c r="E163" s="32" t="s">
        <v>390</v>
      </c>
      <c r="F163" s="34"/>
      <c r="G163" s="34"/>
      <c r="H163" s="34"/>
      <c r="I163" s="34"/>
      <c r="J163" s="34"/>
      <c r="K163" s="34"/>
      <c r="L163" s="32"/>
      <c r="M163" s="32"/>
      <c r="N163" s="32"/>
      <c r="O163" s="32"/>
      <c r="P163" s="32"/>
      <c r="Q163" s="32"/>
      <c r="R163" s="32"/>
      <c r="S163" s="32"/>
      <c r="T163" s="32"/>
      <c r="U163" s="44"/>
      <c r="V163" s="68" t="str">
        <f ca="1"/>
        <v xml:space="preserve"> </v>
      </c>
      <c r="Y163" t="str">
        <f ca="1"/>
        <v>146,’</v>
      </c>
      <c r="Z163" t="str">
        <f ca="1"/>
        <v xml:space="preserve"> </v>
      </c>
      <c r="AA163" s="48" t="str">
        <f ca="1"/>
        <v>148</v>
      </c>
      <c r="AB163" s="48" t="str">
        <f ca="1"/>
        <v>”</v>
      </c>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52">
        <v>150</v>
      </c>
      <c r="D164" s="33" t="s">
        <v>385</v>
      </c>
      <c r="E164" s="32"/>
      <c r="F164" s="50" t="s">
        <v>391</v>
      </c>
      <c r="G164" s="34"/>
      <c r="H164" s="34"/>
      <c r="I164" s="34"/>
      <c r="J164" s="34"/>
      <c r="K164" s="34"/>
      <c r="L164" s="32"/>
      <c r="M164" s="32"/>
      <c r="N164" s="32"/>
      <c r="O164" s="32"/>
      <c r="P164" s="32"/>
      <c r="Q164" s="32"/>
      <c r="R164" s="32"/>
      <c r="S164" s="32"/>
      <c r="T164" s="32"/>
      <c r="U164" s="44"/>
      <c r="V164" s="68" t="str">
        <f ca="1"/>
        <v xml:space="preserve"> </v>
      </c>
      <c r="Y164" t="str">
        <f ca="1"/>
        <v>147,“</v>
      </c>
      <c r="Z164" t="str">
        <f ca="1"/>
        <v xml:space="preserve"> </v>
      </c>
      <c r="AA164" s="48" t="str">
        <f ca="1"/>
        <v>149</v>
      </c>
      <c r="AB164" s="48" t="str">
        <f ca="1"/>
        <v>•</v>
      </c>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52">
        <v>151</v>
      </c>
      <c r="D165" s="33" t="s">
        <v>385</v>
      </c>
      <c r="E165" s="32" t="s">
        <v>238</v>
      </c>
      <c r="F165" s="34"/>
      <c r="G165" s="34"/>
      <c r="H165" s="34"/>
      <c r="I165" s="34"/>
      <c r="J165" s="34"/>
      <c r="K165" s="34"/>
      <c r="L165" s="32"/>
      <c r="M165" s="32"/>
      <c r="N165" s="32"/>
      <c r="O165" s="32"/>
      <c r="P165" s="32">
        <v>2</v>
      </c>
      <c r="Q165" s="32"/>
      <c r="R165" s="32"/>
      <c r="S165" s="32"/>
      <c r="T165" s="32"/>
      <c r="U165" s="44"/>
      <c r="V165" s="68" t="str">
        <f ca="1"/>
        <v xml:space="preserve"> </v>
      </c>
      <c r="Y165" t="str">
        <f ca="1"/>
        <v>148,”</v>
      </c>
      <c r="Z165" t="str">
        <f ca="1"/>
        <v xml:space="preserve"> </v>
      </c>
      <c r="AA165" s="48" t="str">
        <f ca="1"/>
        <v>150</v>
      </c>
      <c r="AB165" s="48" t="str">
        <f ca="1"/>
        <v>–</v>
      </c>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385</v>
      </c>
      <c r="E166" s="32"/>
      <c r="F166" s="34"/>
      <c r="G166" s="34"/>
      <c r="H166" s="34"/>
      <c r="I166" s="34"/>
      <c r="J166" s="34"/>
      <c r="K166" s="34"/>
      <c r="L166" s="32"/>
      <c r="M166" s="32"/>
      <c r="N166" s="32"/>
      <c r="O166" s="32"/>
      <c r="P166" s="32" t="s">
        <v>326</v>
      </c>
      <c r="Q166" s="32"/>
      <c r="R166" s="32"/>
      <c r="S166" s="32"/>
      <c r="T166" s="32"/>
      <c r="U166" s="44"/>
      <c r="V166" s="68" t="str">
        <f ca="1"/>
        <v xml:space="preserve"> </v>
      </c>
      <c r="Y166" t="str">
        <f ca="1"/>
        <v>149,•</v>
      </c>
      <c r="Z166" t="str">
        <f ca="1"/>
        <v xml:space="preserve"> </v>
      </c>
      <c r="AA166" s="48" t="str">
        <f ca="1"/>
        <v>151</v>
      </c>
      <c r="AB166" s="48" t="str">
        <f ca="1"/>
        <v>—</v>
      </c>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385</v>
      </c>
      <c r="E167" s="32"/>
      <c r="F167" s="34"/>
      <c r="G167" s="34"/>
      <c r="H167" s="34"/>
      <c r="I167" s="34"/>
      <c r="J167" s="34"/>
      <c r="K167" s="34"/>
      <c r="L167" s="32"/>
      <c r="M167" s="32"/>
      <c r="N167" s="32"/>
      <c r="O167" s="32"/>
      <c r="P167" s="32"/>
      <c r="Q167" s="32" t="s">
        <v>326</v>
      </c>
      <c r="R167" s="32"/>
      <c r="S167" s="32"/>
      <c r="T167" s="32"/>
      <c r="U167" s="44"/>
      <c r="V167" s="68" t="str">
        <f ca="1"/>
        <v xml:space="preserve"> </v>
      </c>
      <c r="Y167" t="str">
        <f ca="1"/>
        <v>150,–</v>
      </c>
      <c r="Z167" t="str">
        <f ca="1"/>
        <v xml:space="preserve"> </v>
      </c>
      <c r="AA167" s="48" t="str">
        <f ca="1"/>
        <v>152</v>
      </c>
      <c r="AB167" s="48" t="str">
        <f ca="1"/>
        <v>˜</v>
      </c>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383</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Y168" t="str">
        <f ca="1"/>
        <v>151,—</v>
      </c>
      <c r="Z168" t="str">
        <f ca="1"/>
        <v xml:space="preserve"> </v>
      </c>
      <c r="AA168" s="48" t="str">
        <f ca="1"/>
        <v>153</v>
      </c>
      <c r="AB168" s="48" t="str">
        <f ca="1"/>
        <v>™</v>
      </c>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402</v>
      </c>
      <c r="E169" s="32" t="s">
        <v>403</v>
      </c>
      <c r="F169" s="34"/>
      <c r="G169" s="34"/>
      <c r="H169" s="34" t="s">
        <v>311</v>
      </c>
      <c r="I169" s="34"/>
      <c r="J169" s="34"/>
      <c r="K169" s="34">
        <v>1</v>
      </c>
      <c r="L169" s="32">
        <v>1</v>
      </c>
      <c r="M169" s="32"/>
      <c r="N169" s="32"/>
      <c r="O169" s="32"/>
      <c r="P169" s="32"/>
      <c r="Q169" s="32"/>
      <c r="R169" s="32"/>
      <c r="S169" s="32"/>
      <c r="T169" s="32"/>
      <c r="U169" s="44"/>
      <c r="V169" s="68" t="str">
        <f ca="1"/>
        <v xml:space="preserve"> </v>
      </c>
      <c r="Y169" t="str">
        <f ca="1"/>
        <v>152,˜</v>
      </c>
      <c r="Z169" t="str">
        <f ca="1"/>
        <v xml:space="preserve"> </v>
      </c>
      <c r="AA169" s="48" t="str">
        <f ca="1"/>
        <v>154</v>
      </c>
      <c r="AB169" s="48" t="str">
        <f ca="1"/>
        <v>š</v>
      </c>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556</v>
      </c>
      <c r="E170" s="32" t="b">
        <v>0</v>
      </c>
      <c r="F170" s="34" t="b">
        <v>0</v>
      </c>
      <c r="G170" s="34"/>
      <c r="H170" s="34"/>
      <c r="I170" s="34"/>
      <c r="J170" s="34"/>
      <c r="K170" s="34"/>
      <c r="L170" s="32"/>
      <c r="M170" s="32"/>
      <c r="N170" s="32"/>
      <c r="O170" s="32"/>
      <c r="P170" s="32"/>
      <c r="Q170" s="32"/>
      <c r="R170" s="32"/>
      <c r="S170" s="32"/>
      <c r="T170" s="32"/>
      <c r="U170" s="44"/>
      <c r="V170" s="68" t="str">
        <f ca="1"/>
        <v xml:space="preserve"> </v>
      </c>
      <c r="Y170" t="str">
        <f ca="1"/>
        <v>153,™</v>
      </c>
      <c r="Z170" t="str">
        <f ca="1"/>
        <v xml:space="preserve"> </v>
      </c>
      <c r="AA170" s="48" t="str">
        <f ca="1"/>
        <v>155</v>
      </c>
      <c r="AB170" s="48" t="str">
        <f ca="1"/>
        <v>›</v>
      </c>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385</v>
      </c>
      <c r="E171" s="32"/>
      <c r="F171" s="34">
        <v>99</v>
      </c>
      <c r="G171" s="34"/>
      <c r="H171" s="34"/>
      <c r="I171" s="34"/>
      <c r="J171" s="34"/>
      <c r="K171" s="34"/>
      <c r="L171" s="32"/>
      <c r="M171" s="32"/>
      <c r="N171" s="32"/>
      <c r="O171" s="32"/>
      <c r="P171" s="32"/>
      <c r="Q171" s="32"/>
      <c r="R171" s="32"/>
      <c r="S171" s="32"/>
      <c r="T171" s="32"/>
      <c r="U171" s="44"/>
      <c r="V171" s="68" t="str">
        <f ca="1"/>
        <v xml:space="preserve"> </v>
      </c>
      <c r="Y171" t="str">
        <f ca="1"/>
        <v>154,š</v>
      </c>
      <c r="Z171" t="str">
        <f ca="1"/>
        <v xml:space="preserve"> </v>
      </c>
      <c r="AA171" s="48" t="str">
        <f ca="1"/>
        <v>156</v>
      </c>
      <c r="AB171" s="48" t="str">
        <f ca="1"/>
        <v>œ</v>
      </c>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385</v>
      </c>
      <c r="E172" s="32" t="b">
        <v>1</v>
      </c>
      <c r="F172" s="50" t="s">
        <v>95</v>
      </c>
      <c r="G172" s="34"/>
      <c r="H172" s="34"/>
      <c r="I172" s="34"/>
      <c r="J172" s="34"/>
      <c r="K172" s="34"/>
      <c r="L172" s="32"/>
      <c r="M172" s="32">
        <v>4</v>
      </c>
      <c r="N172" s="32"/>
      <c r="O172" s="32"/>
      <c r="P172" s="32"/>
      <c r="Q172" s="32"/>
      <c r="R172" s="32"/>
      <c r="S172" s="32"/>
      <c r="T172" s="32"/>
      <c r="U172" s="44"/>
      <c r="V172" s="68" t="str">
        <f ca="1"/>
        <v xml:space="preserve"> </v>
      </c>
      <c r="Y172" t="str">
        <f ca="1"/>
        <v>155,›</v>
      </c>
      <c r="Z172" t="str">
        <f ca="1"/>
        <v xml:space="preserve"> </v>
      </c>
      <c r="AA172" s="48" t="str">
        <f ca="1"/>
        <v>157</v>
      </c>
      <c r="AB172" s="48" t="str">
        <f ca="1"/>
        <v></v>
      </c>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557</v>
      </c>
      <c r="E173" s="32" t="b">
        <v>1</v>
      </c>
      <c r="F173" s="34"/>
      <c r="G173" s="34"/>
      <c r="H173" s="34"/>
      <c r="I173" s="34"/>
      <c r="J173" s="34"/>
      <c r="K173" s="34">
        <v>1</v>
      </c>
      <c r="L173" s="32">
        <v>1</v>
      </c>
      <c r="M173" s="32"/>
      <c r="N173" s="32"/>
      <c r="O173" s="32"/>
      <c r="P173" s="32"/>
      <c r="Q173" s="32"/>
      <c r="R173" s="32"/>
      <c r="S173" s="32"/>
      <c r="T173" s="32"/>
      <c r="U173" s="44"/>
      <c r="V173" s="68" t="str">
        <f ca="1"/>
        <v xml:space="preserve"> </v>
      </c>
      <c r="Y173" t="str">
        <f ca="1"/>
        <v>156,œ</v>
      </c>
      <c r="Z173" t="str">
        <f ca="1"/>
        <v xml:space="preserve"> </v>
      </c>
      <c r="AA173" s="48" t="str">
        <f ca="1"/>
        <v>158</v>
      </c>
      <c r="AB173" s="48" t="str">
        <f ca="1"/>
        <v>ž</v>
      </c>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385</v>
      </c>
      <c r="E174" s="32" t="s">
        <v>558</v>
      </c>
      <c r="F174" s="34"/>
      <c r="G174" s="34"/>
      <c r="H174" s="34"/>
      <c r="I174" s="34"/>
      <c r="J174" s="34"/>
      <c r="K174" s="34"/>
      <c r="L174" s="32"/>
      <c r="M174" s="32"/>
      <c r="N174" s="32"/>
      <c r="O174" s="32"/>
      <c r="P174" s="32"/>
      <c r="Q174" s="32"/>
      <c r="R174" s="32"/>
      <c r="S174" s="32"/>
      <c r="T174" s="32"/>
      <c r="U174" s="44"/>
      <c r="V174" s="68" t="str">
        <f ca="1"/>
        <v xml:space="preserve"> </v>
      </c>
      <c r="Y174" t="str">
        <f ca="1"/>
        <v>157,</v>
      </c>
      <c r="Z174" t="str">
        <f ca="1"/>
        <v xml:space="preserve"> </v>
      </c>
      <c r="AA174" s="48" t="str">
        <f ca="1"/>
        <v>159</v>
      </c>
      <c r="AB174" s="48" t="str">
        <f ca="1"/>
        <v>Ÿ</v>
      </c>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559</v>
      </c>
      <c r="E175" s="32" t="b">
        <v>1</v>
      </c>
      <c r="F175" s="34"/>
      <c r="G175" s="34"/>
      <c r="H175" s="34"/>
      <c r="I175" s="34"/>
      <c r="J175" s="34"/>
      <c r="K175" s="34">
        <v>1</v>
      </c>
      <c r="L175" s="32">
        <v>1</v>
      </c>
      <c r="M175" s="32"/>
      <c r="N175" s="32"/>
      <c r="O175" s="32"/>
      <c r="P175" s="32"/>
      <c r="Q175" s="32"/>
      <c r="R175" s="32"/>
      <c r="S175" s="32"/>
      <c r="T175" s="32"/>
      <c r="U175" s="44"/>
      <c r="V175" s="68" t="str">
        <f ca="1"/>
        <v xml:space="preserve"> </v>
      </c>
      <c r="Y175" t="str">
        <f ca="1"/>
        <v>158,ž</v>
      </c>
      <c r="Z175" t="str">
        <f ca="1"/>
        <v xml:space="preserve"> </v>
      </c>
      <c r="AA175" s="48" t="str">
        <f ca="1"/>
        <v>160</v>
      </c>
      <c r="AB175" s="48" t="str">
        <f ca="1"/>
        <v> </v>
      </c>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385</v>
      </c>
      <c r="E176" s="32" t="b">
        <v>1</v>
      </c>
      <c r="F176" s="34"/>
      <c r="G176" s="34"/>
      <c r="H176" s="34" t="s">
        <v>389</v>
      </c>
      <c r="I176" s="34"/>
      <c r="J176" s="34"/>
      <c r="K176" s="34"/>
      <c r="L176" s="32"/>
      <c r="M176" s="32"/>
      <c r="N176" s="32"/>
      <c r="O176" s="32"/>
      <c r="P176" s="32"/>
      <c r="Q176" s="32"/>
      <c r="R176" s="32"/>
      <c r="S176" s="32"/>
      <c r="T176" s="32"/>
      <c r="U176" s="44"/>
      <c r="V176" s="68" t="str">
        <f ca="1"/>
        <v xml:space="preserve"> </v>
      </c>
      <c r="Y176" t="str">
        <f ca="1"/>
        <v>159,Ÿ</v>
      </c>
      <c r="Z176" t="str">
        <f ca="1"/>
        <v xml:space="preserve"> </v>
      </c>
      <c r="AA176" s="48" t="str">
        <f ca="1"/>
        <v>161</v>
      </c>
      <c r="AB176" s="48" t="str">
        <f ca="1"/>
        <v>¡</v>
      </c>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385</v>
      </c>
      <c r="E177" s="32" t="b">
        <v>1</v>
      </c>
      <c r="F177" s="34"/>
      <c r="G177" s="34"/>
      <c r="H177" s="34" t="s">
        <v>560</v>
      </c>
      <c r="I177" s="34"/>
      <c r="J177" s="34"/>
      <c r="K177" s="34"/>
      <c r="L177" s="32"/>
      <c r="M177" s="32"/>
      <c r="N177" s="32"/>
      <c r="O177" s="32"/>
      <c r="P177" s="32"/>
      <c r="Q177" s="32"/>
      <c r="R177" s="32"/>
      <c r="S177" s="32"/>
      <c r="T177" s="32"/>
      <c r="U177" s="44"/>
      <c r="V177" s="68" t="str">
        <f ca="1"/>
        <v xml:space="preserve"> </v>
      </c>
      <c r="Y177" t="str">
        <f ca="1"/>
        <v>160, </v>
      </c>
      <c r="Z177" t="str">
        <f ca="1"/>
        <v xml:space="preserve"> </v>
      </c>
      <c r="AA177" s="48" t="str">
        <f ca="1"/>
        <v>162</v>
      </c>
      <c r="AB177" s="48" t="str">
        <f ca="1"/>
        <v>¢</v>
      </c>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385</v>
      </c>
      <c r="E178" s="32" t="s">
        <v>561</v>
      </c>
      <c r="F178" s="34"/>
      <c r="G178" s="34"/>
      <c r="H178" s="34"/>
      <c r="I178" s="34"/>
      <c r="J178" s="34"/>
      <c r="K178" s="34"/>
      <c r="L178" s="32"/>
      <c r="M178" s="32"/>
      <c r="N178" s="32"/>
      <c r="O178" s="32"/>
      <c r="P178" s="32"/>
      <c r="Q178" s="32"/>
      <c r="R178" s="32"/>
      <c r="S178" s="32"/>
      <c r="T178" s="32"/>
      <c r="U178" s="44"/>
      <c r="V178" s="68" t="str">
        <f ca="1"/>
        <v xml:space="preserve"> </v>
      </c>
      <c r="Y178" t="str">
        <f ca="1"/>
        <v>161,¡</v>
      </c>
      <c r="Z178" t="str">
        <f ca="1"/>
        <v xml:space="preserve"> </v>
      </c>
      <c r="AA178" s="48" t="str">
        <f ca="1"/>
        <v>163</v>
      </c>
      <c r="AB178" s="48" t="str">
        <f ca="1"/>
        <v>£</v>
      </c>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385</v>
      </c>
      <c r="E179" s="32" t="s">
        <v>562</v>
      </c>
      <c r="F179" s="34"/>
      <c r="G179" s="34"/>
      <c r="H179" s="34"/>
      <c r="I179" s="34"/>
      <c r="J179" s="34"/>
      <c r="K179" s="34"/>
      <c r="L179" s="32"/>
      <c r="M179" s="32"/>
      <c r="N179" s="32"/>
      <c r="O179" s="32"/>
      <c r="P179" s="32"/>
      <c r="Q179" s="32"/>
      <c r="R179" s="32"/>
      <c r="S179" s="32"/>
      <c r="T179" s="32"/>
      <c r="U179" s="44"/>
      <c r="V179" s="68" t="str">
        <f ca="1"/>
        <v xml:space="preserve"> </v>
      </c>
      <c r="Y179" t="str">
        <f ca="1"/>
        <v>162,¢</v>
      </c>
      <c r="Z179" t="str">
        <f ca="1"/>
        <v xml:space="preserve"> </v>
      </c>
      <c r="AA179" s="48" t="str">
        <f ca="1"/>
        <v>164</v>
      </c>
      <c r="AB179" s="48" t="str">
        <f ca="1"/>
        <v>¤</v>
      </c>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556</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Y180" t="str">
        <f ca="1"/>
        <v>163,£</v>
      </c>
      <c r="Z180" t="str">
        <f ca="1"/>
        <v xml:space="preserve"> </v>
      </c>
      <c r="AA180" s="48" t="str">
        <f ca="1"/>
        <v>165</v>
      </c>
      <c r="AB180" s="48" t="str">
        <f ca="1"/>
        <v>¥</v>
      </c>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563</v>
      </c>
      <c r="E181" s="32" t="b">
        <v>1</v>
      </c>
      <c r="F181" s="34"/>
      <c r="G181" s="34"/>
      <c r="H181" s="34" t="s">
        <v>564</v>
      </c>
      <c r="I181" s="34"/>
      <c r="J181" s="34"/>
      <c r="K181" s="34"/>
      <c r="L181" s="32"/>
      <c r="M181" s="32"/>
      <c r="N181" s="32"/>
      <c r="O181" s="32"/>
      <c r="P181" s="32"/>
      <c r="Q181" s="32"/>
      <c r="R181" s="32"/>
      <c r="S181" s="32"/>
      <c r="T181" s="32"/>
      <c r="U181" s="44"/>
      <c r="V181" s="68" t="str">
        <f ca="1"/>
        <v xml:space="preserve"> </v>
      </c>
      <c r="Y181" t="str">
        <f ca="1"/>
        <v>164,¤</v>
      </c>
      <c r="Z181" t="str">
        <f ca="1"/>
        <v xml:space="preserve"> </v>
      </c>
      <c r="AA181" s="48" t="str">
        <f ca="1"/>
        <v>166</v>
      </c>
      <c r="AB181" s="48" t="str">
        <f ca="1"/>
        <v>¦</v>
      </c>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385</v>
      </c>
      <c r="E182" s="32" t="s">
        <v>565</v>
      </c>
      <c r="F182" s="34"/>
      <c r="G182" s="34"/>
      <c r="H182" s="34"/>
      <c r="I182" s="34"/>
      <c r="J182" s="34"/>
      <c r="K182" s="34"/>
      <c r="L182" s="32"/>
      <c r="M182" s="32"/>
      <c r="N182" s="32"/>
      <c r="O182" s="32"/>
      <c r="P182" s="32"/>
      <c r="Q182" s="32"/>
      <c r="R182" s="32"/>
      <c r="S182" s="32"/>
      <c r="T182" s="32"/>
      <c r="U182" s="44"/>
      <c r="V182" s="68" t="str">
        <f ca="1"/>
        <v xml:space="preserve"> </v>
      </c>
      <c r="Y182" t="str">
        <f ca="1"/>
        <v>165,¥</v>
      </c>
      <c r="Z182" t="str">
        <f ca="1"/>
        <v xml:space="preserve"> </v>
      </c>
      <c r="AA182" s="48" t="str">
        <f ca="1"/>
        <v>167</v>
      </c>
      <c r="AB182" s="48" t="str">
        <f ca="1"/>
        <v>§</v>
      </c>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385</v>
      </c>
      <c r="E183" s="32" t="s">
        <v>566</v>
      </c>
      <c r="F183" s="34"/>
      <c r="G183" s="34"/>
      <c r="H183" s="34"/>
      <c r="I183" s="34"/>
      <c r="J183" s="34"/>
      <c r="K183" s="34"/>
      <c r="L183" s="32"/>
      <c r="M183" s="32"/>
      <c r="N183" s="32"/>
      <c r="O183" s="32"/>
      <c r="P183" s="32"/>
      <c r="Q183" s="32"/>
      <c r="R183" s="32"/>
      <c r="S183" s="32"/>
      <c r="T183" s="32"/>
      <c r="U183" s="44"/>
      <c r="V183" s="68" t="str">
        <f ca="1"/>
        <v xml:space="preserve"> </v>
      </c>
      <c r="Y183" t="str">
        <f ca="1"/>
        <v>166,¦</v>
      </c>
      <c r="Z183" t="str">
        <f ca="1"/>
        <v xml:space="preserve"> </v>
      </c>
      <c r="AA183" s="48" t="str">
        <f ca="1"/>
        <v>168</v>
      </c>
      <c r="AB183" s="48" t="str">
        <f ca="1"/>
        <v>¨</v>
      </c>
      <c r="AC183" s="48"/>
      <c r="AD183" s="48"/>
      <c r="AE183" s="48"/>
      <c r="AF183" s="48"/>
      <c r="AG183" s="48"/>
      <c r="AH183" s="48"/>
      <c r="AI183" s="48"/>
      <c r="AJ183" s="48"/>
      <c r="AK183" s="48"/>
      <c r="AL183" s="48"/>
      <c r="AM183" s="48"/>
      <c r="AN183" s="48"/>
      <c r="AO183" s="48"/>
    </row>
    <row r="184" spans="2:41" x14ac:dyDescent="0.45">
      <c r="B184" s="56"/>
      <c r="C184" s="51">
        <v>170</v>
      </c>
      <c r="D184" s="81" t="s">
        <v>567</v>
      </c>
      <c r="E184" s="32" t="b">
        <v>1</v>
      </c>
      <c r="F184" s="34"/>
      <c r="G184" s="34"/>
      <c r="H184" s="34"/>
      <c r="I184" s="34"/>
      <c r="J184" s="34"/>
      <c r="K184" s="34">
        <v>1</v>
      </c>
      <c r="L184" s="32">
        <v>1</v>
      </c>
      <c r="M184" s="32"/>
      <c r="N184" s="32"/>
      <c r="O184" s="32"/>
      <c r="P184" s="32"/>
      <c r="Q184" s="32"/>
      <c r="R184" s="32"/>
      <c r="S184" s="32"/>
      <c r="T184" s="32"/>
      <c r="U184" s="44"/>
      <c r="V184" s="68" t="str">
        <f ca="1"/>
        <v xml:space="preserve"> </v>
      </c>
      <c r="Y184" t="str">
        <f ca="1"/>
        <v>167,§</v>
      </c>
      <c r="Z184" t="str">
        <f ca="1"/>
        <v xml:space="preserve"> </v>
      </c>
      <c r="AA184" s="48" t="str">
        <f ca="1"/>
        <v>169</v>
      </c>
      <c r="AB184" s="48" t="str">
        <f ca="1"/>
        <v>©</v>
      </c>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402</v>
      </c>
      <c r="E185" s="32" t="s">
        <v>574</v>
      </c>
      <c r="F185" s="34"/>
      <c r="G185" s="34"/>
      <c r="H185" s="34" t="s">
        <v>311</v>
      </c>
      <c r="I185" s="34"/>
      <c r="J185" s="34"/>
      <c r="K185" s="34"/>
      <c r="L185" s="32"/>
      <c r="M185" s="32"/>
      <c r="N185" s="32"/>
      <c r="O185" s="32"/>
      <c r="P185" s="32"/>
      <c r="Q185" s="32"/>
      <c r="R185" s="32"/>
      <c r="S185" s="32"/>
      <c r="T185" s="32"/>
      <c r="U185" s="44"/>
      <c r="V185" s="68" t="str">
        <f ca="1"/>
        <v xml:space="preserve"> </v>
      </c>
      <c r="Y185" t="str">
        <f ca="1"/>
        <v>168,¨</v>
      </c>
      <c r="Z185" t="str">
        <f ca="1"/>
        <v xml:space="preserve"> </v>
      </c>
      <c r="AA185" s="48" t="str">
        <f ca="1"/>
        <v>170</v>
      </c>
      <c r="AB185" s="48" t="str">
        <f ca="1"/>
        <v>ª</v>
      </c>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402</v>
      </c>
      <c r="E186" s="32" t="s">
        <v>575</v>
      </c>
      <c r="F186" s="34"/>
      <c r="G186" s="34"/>
      <c r="H186" s="34"/>
      <c r="I186" s="34"/>
      <c r="J186" s="34"/>
      <c r="K186" s="34"/>
      <c r="L186" s="32"/>
      <c r="M186" s="32"/>
      <c r="N186" s="32"/>
      <c r="O186" s="32"/>
      <c r="P186" s="32"/>
      <c r="Q186" s="32"/>
      <c r="R186" s="32"/>
      <c r="S186" s="32"/>
      <c r="T186" s="32"/>
      <c r="U186" s="44"/>
      <c r="V186" s="68" t="str">
        <f ca="1"/>
        <v xml:space="preserve"> </v>
      </c>
      <c r="Y186" t="str">
        <f ca="1"/>
        <v>169,©</v>
      </c>
      <c r="Z186" t="str">
        <f ca="1"/>
        <v xml:space="preserve"> </v>
      </c>
      <c r="AA186" s="48" t="str">
        <f ca="1"/>
        <v>171</v>
      </c>
      <c r="AB186" s="48" t="str">
        <f ca="1"/>
        <v>«</v>
      </c>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402</v>
      </c>
      <c r="E187" s="32" t="s">
        <v>576</v>
      </c>
      <c r="F187" s="34"/>
      <c r="G187" s="34"/>
      <c r="H187" s="34"/>
      <c r="I187" s="34"/>
      <c r="J187" s="34"/>
      <c r="K187" s="34"/>
      <c r="L187" s="32"/>
      <c r="M187" s="32"/>
      <c r="N187" s="32"/>
      <c r="O187" s="32"/>
      <c r="P187" s="32"/>
      <c r="Q187" s="32"/>
      <c r="R187" s="32"/>
      <c r="S187" s="32"/>
      <c r="T187" s="32"/>
      <c r="U187" s="44"/>
      <c r="V187" s="68" t="str">
        <f ca="1"/>
        <v xml:space="preserve"> </v>
      </c>
      <c r="Y187" t="str">
        <f ca="1"/>
        <v>170,ª</v>
      </c>
      <c r="Z187" t="str">
        <f ca="1"/>
        <v xml:space="preserve"> </v>
      </c>
      <c r="AA187" s="48" t="str">
        <f ca="1"/>
        <v>172</v>
      </c>
      <c r="AB187" s="48" t="str">
        <f ca="1"/>
        <v>¬</v>
      </c>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402</v>
      </c>
      <c r="E188" s="32" t="s">
        <v>577</v>
      </c>
      <c r="F188" s="34"/>
      <c r="G188" s="34"/>
      <c r="H188" s="34"/>
      <c r="I188" s="34"/>
      <c r="J188" s="34"/>
      <c r="K188" s="34"/>
      <c r="L188" s="32"/>
      <c r="M188" s="32"/>
      <c r="N188" s="32"/>
      <c r="O188" s="32"/>
      <c r="P188" s="32"/>
      <c r="Q188" s="32"/>
      <c r="R188" s="32"/>
      <c r="S188" s="32"/>
      <c r="T188" s="32"/>
      <c r="U188" s="44"/>
      <c r="V188" s="68" t="str">
        <f ca="1"/>
        <v xml:space="preserve"> </v>
      </c>
      <c r="Y188" t="str">
        <f ca="1"/>
        <v>171,«</v>
      </c>
      <c r="Z188" t="str">
        <f ca="1"/>
        <v xml:space="preserve"> </v>
      </c>
      <c r="AA188" s="48" t="str">
        <f ca="1"/>
        <v>173</v>
      </c>
      <c r="AB188" s="48" t="str">
        <f ca="1"/>
        <v>­</v>
      </c>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402</v>
      </c>
      <c r="E189" s="32" t="s">
        <v>578</v>
      </c>
      <c r="F189" s="34"/>
      <c r="G189" s="34"/>
      <c r="H189" s="34"/>
      <c r="I189" s="34"/>
      <c r="J189" s="34"/>
      <c r="K189" s="34">
        <v>0</v>
      </c>
      <c r="L189" s="32"/>
      <c r="M189" s="32"/>
      <c r="N189" s="32"/>
      <c r="O189" s="32"/>
      <c r="P189" s="32"/>
      <c r="Q189" s="32"/>
      <c r="R189" s="32"/>
      <c r="S189" s="32"/>
      <c r="T189" s="32"/>
      <c r="U189" s="44"/>
      <c r="V189" t="str">
        <f ca="1"/>
        <v xml:space="preserve"> </v>
      </c>
      <c r="Y189" t="str">
        <f ca="1"/>
        <v>172,¬</v>
      </c>
      <c r="Z189" t="str">
        <f ca="1"/>
        <v xml:space="preserve"> </v>
      </c>
      <c r="AA189" s="48" t="str">
        <f ca="1"/>
        <v>174</v>
      </c>
      <c r="AB189" s="48" t="str">
        <f ca="1"/>
        <v>®</v>
      </c>
      <c r="AC189" s="48"/>
      <c r="AD189" s="48"/>
      <c r="AE189" s="48"/>
    </row>
    <row r="190" spans="2:41" x14ac:dyDescent="0.45">
      <c r="B190" s="56" cm="1">
        <f t="array" aca="1" ref="B190" ca="1">FileSize(Folder&amp;Tests[[#This Row],[FileName]])</f>
        <v>2889</v>
      </c>
      <c r="C190" s="52">
        <v>176</v>
      </c>
      <c r="D190" s="38" t="s">
        <v>580</v>
      </c>
      <c r="E190" s="40" t="s">
        <v>581</v>
      </c>
      <c r="F190" s="40"/>
      <c r="G190" s="40"/>
      <c r="H190" s="40"/>
      <c r="I190" s="40"/>
      <c r="J190" s="40"/>
      <c r="K190" s="40"/>
      <c r="L190" s="39">
        <v>2</v>
      </c>
      <c r="M190" s="39"/>
      <c r="N190" s="39"/>
      <c r="O190" s="39">
        <v>1</v>
      </c>
      <c r="P190" s="39"/>
      <c r="Q190" s="39"/>
      <c r="R190" s="39"/>
      <c r="S190" s="39"/>
      <c r="T190" s="39"/>
      <c r="U190" s="44"/>
      <c r="V190" t="str">
        <f ca="1"/>
        <v xml:space="preserve"> </v>
      </c>
      <c r="Y190" t="str">
        <f ca="1"/>
        <v>173,­</v>
      </c>
      <c r="Z190" t="str">
        <f ca="1"/>
        <v xml:space="preserve"> </v>
      </c>
      <c r="AA190" s="48" t="str">
        <f ca="1"/>
        <v>175</v>
      </c>
      <c r="AB190" s="48" t="str">
        <f ca="1"/>
        <v>¯</v>
      </c>
      <c r="AC190" s="48"/>
      <c r="AD190" s="48"/>
      <c r="AE190" s="48"/>
    </row>
    <row r="191" spans="2:41" x14ac:dyDescent="0.45">
      <c r="B191" s="56" cm="1">
        <f t="array" aca="1" ref="B191" ca="1">FileSize(Folder&amp;Tests[[#This Row],[FileName]])</f>
        <v>66081</v>
      </c>
      <c r="C191" s="52">
        <v>177</v>
      </c>
      <c r="D191" s="33" t="s">
        <v>582</v>
      </c>
      <c r="E191" s="32" t="b">
        <v>1</v>
      </c>
      <c r="F191" s="34"/>
      <c r="G191" s="34"/>
      <c r="H191" s="34"/>
      <c r="I191" s="34"/>
      <c r="J191" s="34"/>
      <c r="K191" s="34"/>
      <c r="L191" s="32"/>
      <c r="M191" s="32"/>
      <c r="N191" s="32"/>
      <c r="O191" s="32"/>
      <c r="P191" s="32"/>
      <c r="Q191" s="32"/>
      <c r="R191" s="32"/>
      <c r="S191" s="32"/>
      <c r="T191" s="32"/>
      <c r="U191" s="44"/>
      <c r="V191" t="str">
        <f ca="1"/>
        <v xml:space="preserve"> </v>
      </c>
      <c r="Y191" t="str">
        <f ca="1"/>
        <v>174,®</v>
      </c>
      <c r="Z191" t="str">
        <f ca="1"/>
        <v xml:space="preserve"> </v>
      </c>
      <c r="AA191" s="48" t="str">
        <f ca="1"/>
        <v>176</v>
      </c>
      <c r="AB191" s="48" t="str">
        <f ca="1"/>
        <v>°</v>
      </c>
      <c r="AC191" s="48"/>
      <c r="AD191" s="48"/>
      <c r="AE191" s="48"/>
    </row>
    <row r="192" spans="2:41" x14ac:dyDescent="0.45">
      <c r="B192" s="56"/>
      <c r="C192" s="52">
        <v>178</v>
      </c>
      <c r="D192" s="50" t="s">
        <v>609</v>
      </c>
      <c r="E192" s="32" t="b">
        <v>1</v>
      </c>
      <c r="F192" s="34"/>
      <c r="G192" s="34"/>
      <c r="H192" s="34"/>
      <c r="I192" s="34"/>
      <c r="J192" s="34"/>
      <c r="K192" s="34">
        <v>1</v>
      </c>
      <c r="L192" s="32">
        <v>1</v>
      </c>
      <c r="M192" s="32">
        <v>1</v>
      </c>
      <c r="N192" s="32">
        <v>17</v>
      </c>
      <c r="O192" s="32">
        <v>0</v>
      </c>
      <c r="P192" s="32"/>
      <c r="Q192" s="32"/>
      <c r="R192" s="32" t="s">
        <v>333</v>
      </c>
      <c r="S192" s="32"/>
      <c r="T192" s="32"/>
      <c r="U192" s="44"/>
      <c r="V192" t="str">
        <f ca="1"/>
        <v xml:space="preserve"> </v>
      </c>
      <c r="Y192" t="str">
        <f ca="1"/>
        <v>175,¯</v>
      </c>
      <c r="Z192" t="str">
        <f ca="1"/>
        <v xml:space="preserve"> </v>
      </c>
      <c r="AA192" s="48" t="str">
        <f ca="1"/>
        <v>177</v>
      </c>
      <c r="AB192" s="48" t="str">
        <f ca="1"/>
        <v>±</v>
      </c>
      <c r="AC192" s="48"/>
      <c r="AD192" s="48"/>
      <c r="AE192" s="48"/>
    </row>
    <row r="193" spans="2:31" x14ac:dyDescent="0.45">
      <c r="B193" s="79"/>
      <c r="C193" s="80">
        <v>179</v>
      </c>
      <c r="D193" s="50" t="s">
        <v>621</v>
      </c>
      <c r="E193" s="32" t="b">
        <v>1</v>
      </c>
      <c r="F193" s="34" t="s">
        <v>98</v>
      </c>
      <c r="G193" s="34" t="b">
        <v>1</v>
      </c>
      <c r="H193" s="34"/>
      <c r="I193" s="34"/>
      <c r="J193" s="34"/>
      <c r="K193" s="34">
        <v>1</v>
      </c>
      <c r="L193" s="32">
        <v>1</v>
      </c>
      <c r="M193" s="32"/>
      <c r="N193" s="32"/>
      <c r="O193" s="32"/>
      <c r="P193" s="32"/>
      <c r="Q193" s="32"/>
      <c r="R193" s="32"/>
      <c r="S193" s="32"/>
      <c r="T193" s="32"/>
      <c r="U193" s="44"/>
      <c r="V193" t="str">
        <f ca="1"/>
        <v xml:space="preserve"> </v>
      </c>
      <c r="Y193" t="str">
        <f ca="1"/>
        <v>176,°</v>
      </c>
      <c r="Z193" t="str">
        <f ca="1"/>
        <v xml:space="preserve"> </v>
      </c>
      <c r="AA193" s="48" t="str">
        <f ca="1"/>
        <v>178</v>
      </c>
      <c r="AB193" s="48" t="str">
        <f ca="1"/>
        <v>²</v>
      </c>
      <c r="AC193" s="48"/>
      <c r="AD193" s="48"/>
      <c r="AE193" s="48"/>
    </row>
    <row r="194" spans="2:31" x14ac:dyDescent="0.45">
      <c r="B194" s="79"/>
      <c r="C194" s="80">
        <v>180</v>
      </c>
      <c r="D194" s="50" t="s">
        <v>627</v>
      </c>
      <c r="E194" s="32" t="b">
        <v>1</v>
      </c>
      <c r="F194" s="34"/>
      <c r="G194" s="34"/>
      <c r="H194" s="34"/>
      <c r="I194" s="34"/>
      <c r="J194" s="34"/>
      <c r="K194" s="34"/>
      <c r="L194" s="32"/>
      <c r="M194" s="32"/>
      <c r="N194" s="32"/>
      <c r="O194" s="32"/>
      <c r="P194" s="32"/>
      <c r="Q194" s="32"/>
      <c r="R194" s="32"/>
      <c r="S194" s="32"/>
      <c r="T194" s="32"/>
      <c r="U194" s="44"/>
      <c r="V194" t="str">
        <f ca="1"/>
        <v xml:space="preserve"> </v>
      </c>
      <c r="Y194" t="str">
        <f ca="1"/>
        <v>177,±</v>
      </c>
      <c r="Z194" t="str">
        <f ca="1"/>
        <v xml:space="preserve"> </v>
      </c>
      <c r="AA194" s="48" t="str">
        <f ca="1"/>
        <v>179</v>
      </c>
      <c r="AB194" s="48" t="str">
        <f ca="1"/>
        <v>³</v>
      </c>
      <c r="AC194" s="48"/>
      <c r="AD194" s="48"/>
      <c r="AE194" s="48"/>
    </row>
    <row r="195" spans="2:31" x14ac:dyDescent="0.45">
      <c r="B195" s="83"/>
      <c r="C195" s="84">
        <v>181</v>
      </c>
      <c r="D195" s="50" t="s">
        <v>634</v>
      </c>
      <c r="E195" s="32" t="b">
        <v>1</v>
      </c>
      <c r="F195" s="34"/>
      <c r="G195" s="34"/>
      <c r="H195" s="34"/>
      <c r="I195" s="34"/>
      <c r="J195" s="34"/>
      <c r="K195" s="34"/>
      <c r="L195" s="32"/>
      <c r="M195" s="32"/>
      <c r="N195" s="32"/>
      <c r="O195" s="32"/>
      <c r="P195" s="32"/>
      <c r="Q195" s="32"/>
      <c r="R195" s="32"/>
      <c r="S195" s="32"/>
      <c r="T195" s="32"/>
      <c r="U195" s="44"/>
      <c r="V195" t="str">
        <f ca="1"/>
        <v xml:space="preserve"> </v>
      </c>
      <c r="Y195" t="str">
        <f ca="1"/>
        <v>178,²</v>
      </c>
      <c r="Z195" t="str">
        <f ca="1"/>
        <v xml:space="preserve"> </v>
      </c>
      <c r="AA195" s="48" t="str">
        <f ca="1"/>
        <v>180</v>
      </c>
      <c r="AB195" s="48" t="str">
        <f ca="1"/>
        <v>´</v>
      </c>
      <c r="AC195" s="48"/>
      <c r="AD195" s="48"/>
      <c r="AE195" s="48"/>
    </row>
    <row r="196" spans="2:31" x14ac:dyDescent="0.45">
      <c r="B196" s="83"/>
      <c r="C196" s="84">
        <v>182</v>
      </c>
      <c r="D196" s="50" t="s">
        <v>646</v>
      </c>
      <c r="E196" s="32" t="b">
        <v>0</v>
      </c>
      <c r="F196" s="34"/>
      <c r="G196" s="34"/>
      <c r="H196" s="34"/>
      <c r="I196" s="34"/>
      <c r="J196" s="34"/>
      <c r="K196" s="34"/>
      <c r="L196" s="32"/>
      <c r="M196" s="32"/>
      <c r="N196" s="32"/>
      <c r="O196" s="32"/>
      <c r="P196" s="32"/>
      <c r="Q196" s="32"/>
      <c r="R196" s="32"/>
      <c r="S196" s="32"/>
      <c r="T196" s="32"/>
      <c r="U196" s="44"/>
      <c r="V196" t="str">
        <f ca="1"/>
        <v xml:space="preserve"> </v>
      </c>
      <c r="Y196" t="str">
        <f ca="1"/>
        <v>179,³</v>
      </c>
      <c r="Z196" t="str">
        <f ca="1"/>
        <v xml:space="preserve"> </v>
      </c>
      <c r="AA196" s="48" t="str">
        <f ca="1"/>
        <v>181</v>
      </c>
      <c r="AB196" s="48" t="str">
        <f ca="1"/>
        <v>µ</v>
      </c>
      <c r="AC196" s="48"/>
      <c r="AD196" s="48"/>
      <c r="AE196" s="48"/>
    </row>
    <row r="197" spans="2:31" x14ac:dyDescent="0.45">
      <c r="B197" s="83"/>
      <c r="C197" s="84">
        <v>183</v>
      </c>
      <c r="D197" s="50" t="s">
        <v>647</v>
      </c>
      <c r="E197" s="32" t="b">
        <v>0</v>
      </c>
      <c r="F197" s="34"/>
      <c r="G197" s="34"/>
      <c r="H197" s="34"/>
      <c r="I197" s="34"/>
      <c r="J197" s="34"/>
      <c r="K197" s="34"/>
      <c r="L197" s="32"/>
      <c r="M197" s="32"/>
      <c r="N197" s="32"/>
      <c r="O197" s="32"/>
      <c r="P197" s="32"/>
      <c r="Q197" s="32"/>
      <c r="R197" s="32"/>
      <c r="S197" s="32"/>
      <c r="T197" s="32"/>
      <c r="U197" s="44"/>
      <c r="V197" t="str">
        <f ca="1"/>
        <v xml:space="preserve"> </v>
      </c>
      <c r="Y197" t="str">
        <f ca="1"/>
        <v>180,´</v>
      </c>
      <c r="Z197" t="str">
        <f ca="1"/>
        <v xml:space="preserve"> </v>
      </c>
      <c r="AA197" s="48" t="str">
        <f ca="1"/>
        <v>182</v>
      </c>
      <c r="AB197" s="48" t="str">
        <f ca="1"/>
        <v>¶</v>
      </c>
      <c r="AC197" s="48"/>
      <c r="AD197" s="48"/>
      <c r="AE197" s="48"/>
    </row>
    <row r="198" spans="2:31" x14ac:dyDescent="0.45">
      <c r="B198" s="83"/>
      <c r="C198" s="84">
        <v>184</v>
      </c>
      <c r="D198" s="50" t="s">
        <v>648</v>
      </c>
      <c r="E198" s="32" t="b">
        <v>0</v>
      </c>
      <c r="F198" s="34"/>
      <c r="G198" s="34"/>
      <c r="H198" s="34"/>
      <c r="I198" s="34"/>
      <c r="J198" s="34"/>
      <c r="K198" s="34"/>
      <c r="L198" s="32"/>
      <c r="M198" s="32"/>
      <c r="N198" s="32"/>
      <c r="O198" s="32"/>
      <c r="P198" s="32"/>
      <c r="Q198" s="32"/>
      <c r="R198" s="32"/>
      <c r="S198" s="32"/>
      <c r="T198" s="32"/>
      <c r="U198" s="44"/>
      <c r="V198" t="str">
        <f ca="1"/>
        <v xml:space="preserve"> </v>
      </c>
      <c r="Y198" t="str">
        <f ca="1"/>
        <v>181,µ</v>
      </c>
      <c r="Z198" t="str">
        <f ca="1"/>
        <v xml:space="preserve"> </v>
      </c>
      <c r="AA198" s="48" t="str">
        <f ca="1"/>
        <v>183</v>
      </c>
      <c r="AB198" s="48" t="str">
        <f ca="1"/>
        <v>·</v>
      </c>
      <c r="AC198" s="48"/>
      <c r="AD198" s="48"/>
      <c r="AE198" s="48"/>
    </row>
    <row r="199" spans="2:31" x14ac:dyDescent="0.45">
      <c r="B199" s="83"/>
      <c r="C199" s="84">
        <v>185</v>
      </c>
      <c r="D199" s="50" t="s">
        <v>649</v>
      </c>
      <c r="E199" s="32" t="b">
        <v>0</v>
      </c>
      <c r="F199" s="34"/>
      <c r="G199" s="34"/>
      <c r="H199" s="34"/>
      <c r="I199" s="34"/>
      <c r="J199" s="34"/>
      <c r="K199" s="34"/>
      <c r="L199" s="32"/>
      <c r="M199" s="32"/>
      <c r="N199" s="32"/>
      <c r="O199" s="32"/>
      <c r="P199" s="32"/>
      <c r="Q199" s="32"/>
      <c r="R199" s="32"/>
      <c r="S199" s="32"/>
      <c r="T199" s="32"/>
      <c r="U199" s="44"/>
      <c r="V199" t="str">
        <f ca="1"/>
        <v xml:space="preserve"> </v>
      </c>
      <c r="Y199" t="str">
        <f ca="1"/>
        <v>182,¶</v>
      </c>
      <c r="Z199" t="str">
        <f ca="1"/>
        <v xml:space="preserve"> </v>
      </c>
      <c r="AA199" s="48" t="str">
        <f ca="1"/>
        <v>184</v>
      </c>
      <c r="AB199" s="48" t="str">
        <f ca="1"/>
        <v>¸</v>
      </c>
      <c r="AC199" s="48"/>
      <c r="AD199" s="48"/>
      <c r="AE199" s="48"/>
    </row>
    <row r="200" spans="2:31" x14ac:dyDescent="0.45">
      <c r="B200" s="83"/>
      <c r="C200" s="84">
        <v>186</v>
      </c>
      <c r="D200" s="50" t="s">
        <v>650</v>
      </c>
      <c r="E200" s="32" t="b">
        <v>0</v>
      </c>
      <c r="F200" s="34"/>
      <c r="G200" s="34"/>
      <c r="H200" s="34"/>
      <c r="I200" s="34"/>
      <c r="J200" s="34"/>
      <c r="K200" s="34"/>
      <c r="L200" s="32"/>
      <c r="M200" s="32"/>
      <c r="N200" s="32"/>
      <c r="O200" s="32"/>
      <c r="P200" s="32"/>
      <c r="Q200" s="32"/>
      <c r="R200" s="32"/>
      <c r="S200" s="32"/>
      <c r="T200" s="32"/>
      <c r="U200" s="44"/>
      <c r="V200" t="str">
        <f ca="1"/>
        <v xml:space="preserve"> </v>
      </c>
      <c r="Y200" t="str">
        <f ca="1"/>
        <v>183,·</v>
      </c>
      <c r="Z200" t="str">
        <f ca="1"/>
        <v xml:space="preserve"> </v>
      </c>
      <c r="AA200" s="48" t="str">
        <f ca="1"/>
        <v>185</v>
      </c>
      <c r="AB200" s="48" t="str">
        <f ca="1"/>
        <v>¹</v>
      </c>
      <c r="AC200" s="48"/>
      <c r="AD200" s="48"/>
      <c r="AE200" s="48"/>
    </row>
    <row r="201" spans="2:31" x14ac:dyDescent="0.45">
      <c r="B201" s="83"/>
      <c r="C201" s="84"/>
      <c r="D201" s="50"/>
      <c r="E201" s="32"/>
      <c r="F201" s="34"/>
      <c r="G201" s="34"/>
      <c r="H201" s="34"/>
      <c r="I201" s="34"/>
      <c r="J201" s="34"/>
      <c r="K201" s="34"/>
      <c r="L201" s="32"/>
      <c r="M201" s="32"/>
      <c r="N201" s="32"/>
      <c r="O201" s="32"/>
      <c r="P201" s="32"/>
      <c r="Q201" s="32"/>
      <c r="R201" s="32"/>
      <c r="S201" s="32"/>
      <c r="T201" s="32"/>
      <c r="U201" s="44"/>
      <c r="V201" t="str">
        <f ca="1"/>
        <v xml:space="preserve"> </v>
      </c>
      <c r="Y201" t="str">
        <f ca="1"/>
        <v>184,¸</v>
      </c>
      <c r="Z201" t="str">
        <f ca="1"/>
        <v xml:space="preserve"> </v>
      </c>
      <c r="AA201" s="48" t="str">
        <f ca="1"/>
        <v>186</v>
      </c>
      <c r="AB201" s="48" t="str">
        <f ca="1"/>
        <v>º</v>
      </c>
      <c r="AC201" s="48"/>
      <c r="AD201" s="48"/>
      <c r="AE201" s="48"/>
    </row>
    <row r="202" spans="2:31" x14ac:dyDescent="0.45">
      <c r="B202" s="56" cm="1">
        <f t="array" aca="1" ref="B202" ca="1">FileSize(Folder&amp;Tests[[#This Row],[FileName]])</f>
        <v>166384</v>
      </c>
      <c r="C202" s="80" t="s">
        <v>372</v>
      </c>
      <c r="D202" s="33" t="s">
        <v>211</v>
      </c>
      <c r="E202" s="32" t="b">
        <v>0</v>
      </c>
      <c r="F202" s="34" t="s">
        <v>95</v>
      </c>
      <c r="G202" s="34" t="b">
        <v>0</v>
      </c>
      <c r="H202" s="34" t="s">
        <v>95</v>
      </c>
      <c r="I202" s="34" t="s">
        <v>95</v>
      </c>
      <c r="J202" s="34" t="b">
        <v>1</v>
      </c>
      <c r="K202" s="34"/>
      <c r="L202" s="32">
        <v>1</v>
      </c>
      <c r="M202" s="32">
        <v>1</v>
      </c>
      <c r="N202" s="32">
        <v>0</v>
      </c>
      <c r="O202" s="32">
        <v>0</v>
      </c>
      <c r="P202" s="32"/>
      <c r="Q202" s="32"/>
      <c r="R202" s="32"/>
      <c r="S202" s="32"/>
      <c r="T202" s="32" t="s">
        <v>96</v>
      </c>
      <c r="U202" s="41" t="s">
        <v>367</v>
      </c>
      <c r="V202" t="str">
        <f ca="1"/>
        <v xml:space="preserve"> </v>
      </c>
      <c r="Y202" t="str">
        <f ca="1"/>
        <v>185,¹</v>
      </c>
      <c r="Z202" t="str">
        <f ca="1"/>
        <v xml:space="preserve"> </v>
      </c>
      <c r="AA202" s="48" t="str">
        <f ca="1"/>
        <v>187</v>
      </c>
      <c r="AB202" s="48" t="str">
        <f ca="1"/>
        <v>»</v>
      </c>
      <c r="AC202" s="48"/>
      <c r="AD202" s="48"/>
      <c r="AE202" s="48"/>
    </row>
    <row r="203" spans="2:31" x14ac:dyDescent="0.45">
      <c r="B203" s="56" cm="1">
        <f t="array" aca="1" ref="B203" ca="1">FileSize(Folder&amp;Tests[[#This Row],[FileName]])</f>
        <v>4</v>
      </c>
      <c r="C203" s="80" t="s">
        <v>372</v>
      </c>
      <c r="D203" s="33" t="s">
        <v>117</v>
      </c>
      <c r="E203" s="32" t="b">
        <v>0</v>
      </c>
      <c r="F203" s="34" t="s">
        <v>95</v>
      </c>
      <c r="G203" s="34" t="b">
        <v>0</v>
      </c>
      <c r="H203" s="34" t="s">
        <v>95</v>
      </c>
      <c r="I203" s="34" t="s">
        <v>95</v>
      </c>
      <c r="J203" s="34" t="b">
        <v>1</v>
      </c>
      <c r="K203" s="34"/>
      <c r="L203" s="32">
        <v>1</v>
      </c>
      <c r="M203" s="32">
        <v>1</v>
      </c>
      <c r="N203" s="32">
        <v>0</v>
      </c>
      <c r="O203" s="32">
        <v>0</v>
      </c>
      <c r="P203" s="32"/>
      <c r="Q203" s="32"/>
      <c r="R203" s="32"/>
      <c r="S203" s="32"/>
      <c r="T203" s="32" t="s">
        <v>96</v>
      </c>
      <c r="U203" s="44" t="s">
        <v>568</v>
      </c>
      <c r="V203" t="str">
        <f ca="1"/>
        <v xml:space="preserve"> </v>
      </c>
      <c r="Y203" t="str">
        <f ca="1"/>
        <v>186,º</v>
      </c>
      <c r="Z203" t="str">
        <f ca="1"/>
        <v xml:space="preserve"> </v>
      </c>
      <c r="AA203" s="48" t="str">
        <f ca="1"/>
        <v>188</v>
      </c>
      <c r="AB203" s="48" t="str">
        <f ca="1"/>
        <v>¼</v>
      </c>
      <c r="AC203" s="48"/>
      <c r="AD203" s="48"/>
      <c r="AE203" s="48"/>
    </row>
    <row r="204" spans="2:31" x14ac:dyDescent="0.45">
      <c r="B204" s="56" cm="1">
        <f t="array" aca="1" ref="B204" ca="1">FileSize(Folder&amp;Tests[[#This Row],[FileName]])</f>
        <v>6</v>
      </c>
      <c r="C204" s="80" t="s">
        <v>372</v>
      </c>
      <c r="D204" s="33" t="s">
        <v>120</v>
      </c>
      <c r="E204" s="32" t="b">
        <v>1</v>
      </c>
      <c r="F204" s="34" t="s">
        <v>95</v>
      </c>
      <c r="G204" s="34" t="b">
        <v>0</v>
      </c>
      <c r="H204" s="34" t="s">
        <v>95</v>
      </c>
      <c r="I204" s="34" t="s">
        <v>95</v>
      </c>
      <c r="J204" s="34" t="b">
        <v>1</v>
      </c>
      <c r="K204" s="34"/>
      <c r="L204" s="32">
        <v>1</v>
      </c>
      <c r="M204" s="32">
        <v>1</v>
      </c>
      <c r="N204" s="32">
        <v>0</v>
      </c>
      <c r="O204" s="32">
        <v>0</v>
      </c>
      <c r="P204" s="32"/>
      <c r="Q204" s="32"/>
      <c r="R204" s="32"/>
      <c r="S204" s="32"/>
      <c r="T204" s="32" t="s">
        <v>96</v>
      </c>
      <c r="U204" s="44" t="s">
        <v>568</v>
      </c>
      <c r="V204" t="str">
        <f ca="1"/>
        <v xml:space="preserve"> </v>
      </c>
      <c r="Y204" t="str">
        <f ca="1"/>
        <v>187,»</v>
      </c>
      <c r="Z204" t="str">
        <f ca="1"/>
        <v xml:space="preserve"> </v>
      </c>
      <c r="AA204" s="48" t="str">
        <f ca="1"/>
        <v>189</v>
      </c>
      <c r="AB204" s="48" t="str">
        <f ca="1"/>
        <v>½</v>
      </c>
      <c r="AC204" s="48"/>
      <c r="AD204" s="48"/>
      <c r="AE204" s="48"/>
    </row>
    <row r="205" spans="2:31" x14ac:dyDescent="0.45">
      <c r="B205" s="56" cm="1">
        <f t="array" aca="1" ref="B205" ca="1">FileSize(Folder&amp;Tests[[#This Row],[FileName]])</f>
        <v>13</v>
      </c>
      <c r="C205" s="80" t="s">
        <v>372</v>
      </c>
      <c r="D205" s="33" t="s">
        <v>125</v>
      </c>
      <c r="E205" s="32" t="b">
        <v>1</v>
      </c>
      <c r="F205" s="34" t="s">
        <v>95</v>
      </c>
      <c r="G205" s="34" t="b">
        <v>0</v>
      </c>
      <c r="H205" s="34" t="s">
        <v>95</v>
      </c>
      <c r="I205" s="34" t="s">
        <v>95</v>
      </c>
      <c r="J205" s="34" t="b">
        <v>1</v>
      </c>
      <c r="K205" s="34"/>
      <c r="L205" s="32">
        <v>1</v>
      </c>
      <c r="M205" s="32">
        <v>1</v>
      </c>
      <c r="N205" s="32">
        <v>0</v>
      </c>
      <c r="O205" s="32">
        <v>0</v>
      </c>
      <c r="P205" s="32"/>
      <c r="Q205" s="32"/>
      <c r="R205" s="32"/>
      <c r="S205" s="32"/>
      <c r="T205" s="32" t="s">
        <v>96</v>
      </c>
      <c r="U205" s="44" t="s">
        <v>568</v>
      </c>
      <c r="V205" t="str">
        <f ca="1"/>
        <v xml:space="preserve"> </v>
      </c>
      <c r="Y205" t="str">
        <f ca="1"/>
        <v>188,¼</v>
      </c>
      <c r="Z205" t="str">
        <f ca="1"/>
        <v xml:space="preserve"> </v>
      </c>
      <c r="AA205" s="48" t="str">
        <f ca="1"/>
        <v>190</v>
      </c>
      <c r="AB205" s="48" t="str">
        <f ca="1"/>
        <v>¾</v>
      </c>
      <c r="AC205" s="48"/>
      <c r="AD205" s="48"/>
      <c r="AE205" s="48"/>
    </row>
    <row r="206" spans="2:31" x14ac:dyDescent="0.45">
      <c r="B206" s="56" cm="1">
        <f t="array" aca="1" ref="B206" ca="1">FileSize(Folder&amp;Tests[[#This Row],[FileName]])</f>
        <v>20</v>
      </c>
      <c r="C206" s="80" t="s">
        <v>372</v>
      </c>
      <c r="D206" s="33" t="s">
        <v>127</v>
      </c>
      <c r="E206" s="32" t="b">
        <v>1</v>
      </c>
      <c r="F206" s="34" t="s">
        <v>95</v>
      </c>
      <c r="G206" s="34" t="b">
        <v>0</v>
      </c>
      <c r="H206" s="34" t="s">
        <v>95</v>
      </c>
      <c r="I206" s="34" t="s">
        <v>95</v>
      </c>
      <c r="J206" s="34" t="b">
        <v>1</v>
      </c>
      <c r="K206" s="34"/>
      <c r="L206" s="32">
        <v>1</v>
      </c>
      <c r="M206" s="32">
        <v>1</v>
      </c>
      <c r="N206" s="32">
        <v>0</v>
      </c>
      <c r="O206" s="32">
        <v>0</v>
      </c>
      <c r="P206" s="32"/>
      <c r="Q206" s="32"/>
      <c r="R206" s="32"/>
      <c r="S206" s="32"/>
      <c r="T206" s="32" t="s">
        <v>96</v>
      </c>
      <c r="U206" s="44" t="s">
        <v>568</v>
      </c>
      <c r="V206" t="str">
        <f ca="1"/>
        <v xml:space="preserve"> </v>
      </c>
      <c r="Y206" t="str">
        <f ca="1"/>
        <v>189,½</v>
      </c>
      <c r="Z206" t="str">
        <f ca="1"/>
        <v xml:space="preserve"> </v>
      </c>
      <c r="AA206" s="48" t="str">
        <f ca="1"/>
        <v>191</v>
      </c>
      <c r="AB206" s="48" t="str">
        <f ca="1"/>
        <v>¿</v>
      </c>
      <c r="AC206" s="48"/>
      <c r="AD206" s="48"/>
      <c r="AE206" s="48"/>
    </row>
    <row r="207" spans="2:31" x14ac:dyDescent="0.45">
      <c r="B207" s="56" cm="1">
        <f t="array" aca="1" ref="B207" ca="1">FileSize(Folder&amp;Tests[[#This Row],[FileName]])</f>
        <v>34</v>
      </c>
      <c r="C207" s="80" t="s">
        <v>372</v>
      </c>
      <c r="D207" s="33" t="s">
        <v>142</v>
      </c>
      <c r="E207" s="32" t="b">
        <v>1</v>
      </c>
      <c r="F207" s="34" t="s">
        <v>95</v>
      </c>
      <c r="G207" s="34" t="b">
        <v>0</v>
      </c>
      <c r="H207" s="34" t="s">
        <v>95</v>
      </c>
      <c r="I207" s="34" t="s">
        <v>95</v>
      </c>
      <c r="J207" s="34" t="b">
        <v>1</v>
      </c>
      <c r="K207" s="34"/>
      <c r="L207" s="32">
        <v>1</v>
      </c>
      <c r="M207" s="32">
        <v>1</v>
      </c>
      <c r="N207" s="32">
        <v>0</v>
      </c>
      <c r="O207" s="32">
        <v>0</v>
      </c>
      <c r="P207" s="32"/>
      <c r="Q207" s="32"/>
      <c r="R207" s="32"/>
      <c r="S207" s="32"/>
      <c r="T207" s="32" t="s">
        <v>96</v>
      </c>
      <c r="U207" s="44" t="s">
        <v>568</v>
      </c>
      <c r="V207" t="str">
        <f ca="1"/>
        <v xml:space="preserve"> </v>
      </c>
      <c r="Y207" t="str">
        <f ca="1"/>
        <v>190,¾</v>
      </c>
      <c r="Z207" t="str">
        <f ca="1"/>
        <v xml:space="preserve"> </v>
      </c>
      <c r="AA207" s="48" t="str">
        <f ca="1"/>
        <v>192</v>
      </c>
      <c r="AB207" s="48" t="str">
        <f ca="1"/>
        <v>À</v>
      </c>
      <c r="AC207" s="48"/>
      <c r="AD207" s="48"/>
      <c r="AE207" s="48"/>
    </row>
    <row r="208" spans="2:31" x14ac:dyDescent="0.45">
      <c r="B208" s="56" cm="1">
        <f t="array" aca="1" ref="B208" ca="1">FileSize(Folder&amp;Tests[[#This Row],[FileName]])</f>
        <v>60</v>
      </c>
      <c r="C208" s="80" t="s">
        <v>372</v>
      </c>
      <c r="D208" s="33" t="s">
        <v>170</v>
      </c>
      <c r="E208" s="32" t="b">
        <v>1</v>
      </c>
      <c r="F208" s="34" t="s">
        <v>95</v>
      </c>
      <c r="G208" s="34" t="b">
        <v>0</v>
      </c>
      <c r="H208" s="34" t="s">
        <v>95</v>
      </c>
      <c r="I208" s="34" t="s">
        <v>95</v>
      </c>
      <c r="J208" s="34" t="b">
        <v>1</v>
      </c>
      <c r="K208" s="34"/>
      <c r="L208" s="32">
        <v>1</v>
      </c>
      <c r="M208" s="32">
        <v>1</v>
      </c>
      <c r="N208" s="32">
        <v>0</v>
      </c>
      <c r="O208" s="32">
        <v>0</v>
      </c>
      <c r="P208" s="32"/>
      <c r="Q208" s="32"/>
      <c r="R208" s="32"/>
      <c r="S208" s="32"/>
      <c r="T208" s="32" t="s">
        <v>96</v>
      </c>
      <c r="U208" s="44" t="s">
        <v>103</v>
      </c>
      <c r="V208" t="str">
        <f ca="1"/>
        <v xml:space="preserve"> </v>
      </c>
      <c r="Y208" t="str">
        <f ca="1"/>
        <v>191,¿</v>
      </c>
      <c r="Z208" t="str">
        <f ca="1"/>
        <v xml:space="preserve"> </v>
      </c>
      <c r="AA208" s="48" t="str">
        <f ca="1"/>
        <v>193</v>
      </c>
      <c r="AB208" s="48" t="str">
        <f ca="1"/>
        <v>Á</v>
      </c>
      <c r="AC208" s="48"/>
      <c r="AD208" s="48"/>
      <c r="AE208" s="48"/>
    </row>
    <row r="209" spans="2:31" x14ac:dyDescent="0.45">
      <c r="B209" s="56" cm="1">
        <f t="array" aca="1" ref="B209" ca="1">FileSize(Folder&amp;Tests[[#This Row],[FileName]])</f>
        <v>65</v>
      </c>
      <c r="C209" s="80" t="s">
        <v>372</v>
      </c>
      <c r="D209" s="33" t="s">
        <v>174</v>
      </c>
      <c r="E209" s="32" t="b">
        <v>1</v>
      </c>
      <c r="F209" s="34" t="s">
        <v>95</v>
      </c>
      <c r="G209" s="34" t="b">
        <v>0</v>
      </c>
      <c r="H209" s="34" t="s">
        <v>95</v>
      </c>
      <c r="I209" s="34" t="s">
        <v>95</v>
      </c>
      <c r="J209" s="34" t="b">
        <v>1</v>
      </c>
      <c r="K209" s="34"/>
      <c r="L209" s="32">
        <v>1</v>
      </c>
      <c r="M209" s="32">
        <v>1</v>
      </c>
      <c r="N209" s="32">
        <v>0</v>
      </c>
      <c r="O209" s="32">
        <v>0</v>
      </c>
      <c r="P209" s="32"/>
      <c r="Q209" s="32"/>
      <c r="R209" s="32"/>
      <c r="S209" s="32"/>
      <c r="T209" s="32" t="s">
        <v>96</v>
      </c>
      <c r="U209" s="44" t="s">
        <v>569</v>
      </c>
      <c r="V209" t="str">
        <f ca="1"/>
        <v xml:space="preserve"> </v>
      </c>
      <c r="Y209" t="str">
        <f ca="1"/>
        <v>192,À</v>
      </c>
      <c r="Z209" t="str">
        <f ca="1"/>
        <v xml:space="preserve"> </v>
      </c>
      <c r="AA209" s="48" t="str">
        <f ca="1"/>
        <v>194</v>
      </c>
      <c r="AB209" s="48" t="str">
        <f ca="1"/>
        <v>Â</v>
      </c>
      <c r="AC209" s="48"/>
      <c r="AD209" s="48"/>
      <c r="AE209" s="48"/>
    </row>
    <row r="210" spans="2:31" x14ac:dyDescent="0.45">
      <c r="B210" s="56" cm="1">
        <f t="array" aca="1" ref="B210" ca="1">FileSize(Folder&amp;Tests[[#This Row],[FileName]])</f>
        <v>64</v>
      </c>
      <c r="C210" s="80" t="s">
        <v>372</v>
      </c>
      <c r="D210" s="33" t="s">
        <v>175</v>
      </c>
      <c r="E210" s="32" t="b">
        <v>1</v>
      </c>
      <c r="F210" s="34" t="s">
        <v>95</v>
      </c>
      <c r="G210" s="34" t="b">
        <v>0</v>
      </c>
      <c r="H210" s="34" t="s">
        <v>95</v>
      </c>
      <c r="I210" s="34" t="s">
        <v>95</v>
      </c>
      <c r="J210" s="34" t="b">
        <v>1</v>
      </c>
      <c r="K210" s="34"/>
      <c r="L210" s="32">
        <v>1</v>
      </c>
      <c r="M210" s="32">
        <v>1</v>
      </c>
      <c r="N210" s="32">
        <v>0</v>
      </c>
      <c r="O210" s="32">
        <v>0</v>
      </c>
      <c r="P210" s="32"/>
      <c r="Q210" s="32"/>
      <c r="R210" s="32"/>
      <c r="S210" s="32"/>
      <c r="T210" s="32" t="s">
        <v>96</v>
      </c>
      <c r="U210" s="44" t="s">
        <v>570</v>
      </c>
      <c r="V210" t="str">
        <f ca="1"/>
        <v xml:space="preserve"> </v>
      </c>
      <c r="Y210" t="str">
        <f ca="1"/>
        <v>193,Á</v>
      </c>
      <c r="Z210" t="str">
        <f ca="1"/>
        <v xml:space="preserve"> </v>
      </c>
      <c r="AA210" s="48" t="str">
        <f ca="1"/>
        <v>195</v>
      </c>
      <c r="AB210" s="48" t="str">
        <f ca="1"/>
        <v>Ã</v>
      </c>
      <c r="AC210" s="48"/>
      <c r="AD210" s="48"/>
      <c r="AE210" s="48"/>
    </row>
    <row r="211" spans="2:31" x14ac:dyDescent="0.45">
      <c r="B211" s="56" cm="1">
        <f t="array" aca="1" ref="B211" ca="1">FileSize(Folder&amp;Tests[[#This Row],[FileName]])</f>
        <v>70</v>
      </c>
      <c r="C211" s="80" t="s">
        <v>372</v>
      </c>
      <c r="D211" s="33" t="s">
        <v>176</v>
      </c>
      <c r="E211" s="32" t="b">
        <v>0</v>
      </c>
      <c r="F211" s="34" t="s">
        <v>95</v>
      </c>
      <c r="G211" s="34" t="b">
        <v>0</v>
      </c>
      <c r="H211" s="34" t="s">
        <v>95</v>
      </c>
      <c r="I211" s="34" t="s">
        <v>95</v>
      </c>
      <c r="J211" s="34" t="b">
        <v>1</v>
      </c>
      <c r="K211" s="34"/>
      <c r="L211" s="32">
        <v>1</v>
      </c>
      <c r="M211" s="32">
        <v>1</v>
      </c>
      <c r="N211" s="32">
        <v>0</v>
      </c>
      <c r="O211" s="32">
        <v>0</v>
      </c>
      <c r="P211" s="32"/>
      <c r="Q211" s="32"/>
      <c r="R211" s="32"/>
      <c r="S211" s="32"/>
      <c r="T211" s="32" t="s">
        <v>96</v>
      </c>
      <c r="U211" s="44" t="s">
        <v>571</v>
      </c>
      <c r="V211" t="str">
        <f ca="1"/>
        <v xml:space="preserve"> </v>
      </c>
      <c r="Y211" t="str">
        <f ca="1"/>
        <v>194,Â</v>
      </c>
      <c r="Z211" t="str">
        <f ca="1"/>
        <v xml:space="preserve"> </v>
      </c>
      <c r="AA211" s="48" t="str">
        <f ca="1"/>
        <v>196</v>
      </c>
      <c r="AB211" s="48" t="str">
        <f ca="1"/>
        <v>Ä</v>
      </c>
      <c r="AC211" s="48"/>
      <c r="AD211" s="48"/>
      <c r="AE211" s="48"/>
    </row>
    <row r="212" spans="2:31" x14ac:dyDescent="0.45">
      <c r="B212" s="56" cm="1">
        <f t="array" aca="1" ref="B212" ca="1">FileSize(Folder&amp;Tests[[#This Row],[FileName]])</f>
        <v>74</v>
      </c>
      <c r="C212" s="80" t="s">
        <v>372</v>
      </c>
      <c r="D212" s="33" t="s">
        <v>180</v>
      </c>
      <c r="E212" s="32" t="b">
        <v>1</v>
      </c>
      <c r="F212" s="34" t="s">
        <v>95</v>
      </c>
      <c r="G212" s="34" t="b">
        <v>0</v>
      </c>
      <c r="H212" s="34" t="s">
        <v>95</v>
      </c>
      <c r="I212" s="34" t="s">
        <v>95</v>
      </c>
      <c r="J212" s="34" t="b">
        <v>1</v>
      </c>
      <c r="K212" s="34"/>
      <c r="L212" s="32">
        <v>1</v>
      </c>
      <c r="M212" s="32">
        <v>1</v>
      </c>
      <c r="N212" s="32">
        <v>0</v>
      </c>
      <c r="O212" s="32">
        <v>0</v>
      </c>
      <c r="P212" s="32"/>
      <c r="Q212" s="32"/>
      <c r="R212" s="32"/>
      <c r="S212" s="32"/>
      <c r="T212" s="32" t="s">
        <v>96</v>
      </c>
      <c r="U212" s="44" t="s">
        <v>106</v>
      </c>
      <c r="V212" t="str">
        <f ca="1"/>
        <v xml:space="preserve"> </v>
      </c>
      <c r="Y212" t="str">
        <f ca="1"/>
        <v>195,Ã</v>
      </c>
      <c r="Z212" t="str">
        <f ca="1"/>
        <v xml:space="preserve"> </v>
      </c>
      <c r="AA212" s="48" t="str">
        <f ca="1"/>
        <v>197</v>
      </c>
      <c r="AB212" s="48" t="str">
        <f ca="1"/>
        <v>Å</v>
      </c>
    </row>
    <row r="213" spans="2:31" x14ac:dyDescent="0.45">
      <c r="B213" s="56" cm="1">
        <f t="array" aca="1" ref="B213" ca="1">FileSize(Folder&amp;Tests[[#This Row],[FileName]])</f>
        <v>100</v>
      </c>
      <c r="C213" s="80" t="s">
        <v>372</v>
      </c>
      <c r="D213" s="33" t="s">
        <v>186</v>
      </c>
      <c r="E213" s="32" t="b">
        <v>1</v>
      </c>
      <c r="F213" s="34" t="s">
        <v>95</v>
      </c>
      <c r="G213" s="34" t="b">
        <v>0</v>
      </c>
      <c r="H213" s="34" t="s">
        <v>95</v>
      </c>
      <c r="I213" s="34" t="s">
        <v>95</v>
      </c>
      <c r="J213" s="34" t="b">
        <v>1</v>
      </c>
      <c r="K213" s="34"/>
      <c r="L213" s="32">
        <v>1</v>
      </c>
      <c r="M213" s="32">
        <v>1</v>
      </c>
      <c r="N213" s="32">
        <v>0</v>
      </c>
      <c r="O213" s="32">
        <v>0</v>
      </c>
      <c r="P213" s="32"/>
      <c r="Q213" s="32"/>
      <c r="R213" s="32"/>
      <c r="S213" s="35"/>
      <c r="T213" s="32" t="s">
        <v>96</v>
      </c>
      <c r="U213" s="41" t="s">
        <v>108</v>
      </c>
      <c r="V213" t="str">
        <f ca="1"/>
        <v xml:space="preserve"> </v>
      </c>
      <c r="Y213" t="str">
        <f ca="1"/>
        <v>196,Ä</v>
      </c>
      <c r="Z213" t="str">
        <f ca="1"/>
        <v xml:space="preserve"> </v>
      </c>
      <c r="AA213" s="48" t="str">
        <f ca="1"/>
        <v>198</v>
      </c>
      <c r="AB213" s="48" t="str">
        <f ca="1"/>
        <v>Æ</v>
      </c>
    </row>
    <row r="214" spans="2:31" x14ac:dyDescent="0.45">
      <c r="B214" s="56" cm="1">
        <f t="array" aca="1" ref="B214" ca="1">FileSize(Folder&amp;Tests[[#This Row],[FileName]])</f>
        <v>108</v>
      </c>
      <c r="C214" s="80" t="s">
        <v>372</v>
      </c>
      <c r="D214" s="33" t="s">
        <v>188</v>
      </c>
      <c r="E214" s="32" t="b">
        <v>1</v>
      </c>
      <c r="F214" s="34" t="s">
        <v>95</v>
      </c>
      <c r="G214" s="34" t="b">
        <v>0</v>
      </c>
      <c r="H214" s="34" t="s">
        <v>311</v>
      </c>
      <c r="I214" s="34" t="s">
        <v>95</v>
      </c>
      <c r="J214" s="34" t="b">
        <v>1</v>
      </c>
      <c r="K214" s="34"/>
      <c r="L214" s="32">
        <v>1</v>
      </c>
      <c r="M214" s="32">
        <v>1</v>
      </c>
      <c r="N214" s="32">
        <v>0</v>
      </c>
      <c r="O214" s="32">
        <v>0</v>
      </c>
      <c r="P214" s="32"/>
      <c r="Q214" s="32"/>
      <c r="R214" s="32"/>
      <c r="S214" s="32"/>
      <c r="T214" s="32" t="s">
        <v>96</v>
      </c>
      <c r="U214" s="41" t="s">
        <v>335</v>
      </c>
      <c r="V214" t="str">
        <f ca="1"/>
        <v xml:space="preserve"> </v>
      </c>
      <c r="Y214" t="str">
        <f ca="1"/>
        <v>197,Å</v>
      </c>
      <c r="Z214" t="str">
        <f ca="1"/>
        <v xml:space="preserve"> </v>
      </c>
      <c r="AA214" s="48" t="str">
        <f ca="1"/>
        <v>199</v>
      </c>
      <c r="AB214" s="48" t="str">
        <f ca="1"/>
        <v>Ç</v>
      </c>
    </row>
    <row r="215" spans="2:31" x14ac:dyDescent="0.45">
      <c r="B215" s="56" cm="1">
        <f t="array" aca="1" ref="B215" ca="1">FileSize(Folder&amp;Tests[[#This Row],[FileName]])</f>
        <v>197</v>
      </c>
      <c r="C215" s="80" t="s">
        <v>372</v>
      </c>
      <c r="D215" s="33" t="s">
        <v>191</v>
      </c>
      <c r="E215" s="32" t="b">
        <v>1</v>
      </c>
      <c r="F215" s="34" t="str">
        <f ca="1">CHAR(9)</f>
        <v xml:space="preserve">	</v>
      </c>
      <c r="G215" s="34" t="b">
        <v>0</v>
      </c>
      <c r="H215" s="34" t="s">
        <v>95</v>
      </c>
      <c r="I215" s="34" t="s">
        <v>95</v>
      </c>
      <c r="J215" s="34" t="b">
        <v>1</v>
      </c>
      <c r="K215" s="34"/>
      <c r="L215" s="32">
        <v>1</v>
      </c>
      <c r="M215" s="32">
        <v>1</v>
      </c>
      <c r="N215" s="32">
        <v>0</v>
      </c>
      <c r="O215" s="32">
        <v>0</v>
      </c>
      <c r="P215" s="32"/>
      <c r="Q215" s="32"/>
      <c r="R215" s="32"/>
      <c r="S215" s="35" t="s">
        <v>282</v>
      </c>
      <c r="T215" s="32" t="s">
        <v>96</v>
      </c>
      <c r="U215" s="41" t="s">
        <v>109</v>
      </c>
      <c r="V215" t="str">
        <f ca="1"/>
        <v xml:space="preserve"> </v>
      </c>
      <c r="Y215" t="str">
        <f ca="1"/>
        <v>198,Æ</v>
      </c>
      <c r="Z215" t="str">
        <f ca="1"/>
        <v xml:space="preserve"> </v>
      </c>
      <c r="AA215" s="48" t="str">
        <f ca="1"/>
        <v>200</v>
      </c>
      <c r="AB215" s="48" t="str">
        <f ca="1"/>
        <v>È</v>
      </c>
    </row>
    <row r="216" spans="2:31" x14ac:dyDescent="0.45">
      <c r="B216" s="56" cm="1">
        <f t="array" aca="1" ref="B216" ca="1">FileSize(Folder&amp;Tests[[#This Row],[FileName]])</f>
        <v>43457</v>
      </c>
      <c r="C216" s="80" t="s">
        <v>372</v>
      </c>
      <c r="D216" s="33" t="s">
        <v>206</v>
      </c>
      <c r="E216" s="32" t="b">
        <v>0</v>
      </c>
      <c r="F216" s="34" t="s">
        <v>95</v>
      </c>
      <c r="G216" s="34" t="b">
        <v>0</v>
      </c>
      <c r="H216" s="34" t="s">
        <v>95</v>
      </c>
      <c r="I216" s="34" t="s">
        <v>95</v>
      </c>
      <c r="J216" s="34" t="b">
        <v>1</v>
      </c>
      <c r="K216" s="34"/>
      <c r="L216" s="32">
        <v>1</v>
      </c>
      <c r="M216" s="32">
        <v>1</v>
      </c>
      <c r="N216" s="32">
        <v>0</v>
      </c>
      <c r="O216" s="32">
        <v>0</v>
      </c>
      <c r="P216" s="32"/>
      <c r="Q216" s="32"/>
      <c r="R216" s="32"/>
      <c r="S216" s="32"/>
      <c r="T216" s="32" t="s">
        <v>96</v>
      </c>
      <c r="U216" s="44" t="s">
        <v>111</v>
      </c>
      <c r="V216" t="str">
        <f ca="1"/>
        <v xml:space="preserve"> </v>
      </c>
      <c r="Y216" t="str">
        <f ca="1"/>
        <v>199,Ç</v>
      </c>
      <c r="Z216" t="str">
        <f ca="1"/>
        <v xml:space="preserve"> </v>
      </c>
      <c r="AA216" s="48" t="str">
        <f ca="1"/>
        <v>201</v>
      </c>
      <c r="AB216" s="48" t="str">
        <f ca="1"/>
        <v>É</v>
      </c>
    </row>
    <row r="217" spans="2:31" x14ac:dyDescent="0.45">
      <c r="B217" s="56" cm="1">
        <f t="array" aca="1" ref="B217" ca="1">FileSize(Folder&amp;Tests[[#This Row],[FileName]])</f>
        <v>270111</v>
      </c>
      <c r="C217" s="80" t="s">
        <v>372</v>
      </c>
      <c r="D217" s="33" t="s">
        <v>216</v>
      </c>
      <c r="E217" s="32" t="b">
        <v>1</v>
      </c>
      <c r="F217" s="34" t="s">
        <v>95</v>
      </c>
      <c r="G217" s="34" t="b">
        <v>0</v>
      </c>
      <c r="H217" s="34" t="s">
        <v>95</v>
      </c>
      <c r="I217" s="34" t="s">
        <v>95</v>
      </c>
      <c r="J217" s="34" t="b">
        <v>1</v>
      </c>
      <c r="K217" s="34"/>
      <c r="L217" s="32">
        <v>1</v>
      </c>
      <c r="M217" s="32">
        <v>1</v>
      </c>
      <c r="N217" s="32">
        <v>0</v>
      </c>
      <c r="O217" s="32">
        <v>0</v>
      </c>
      <c r="P217" s="32"/>
      <c r="Q217" s="32"/>
      <c r="R217" s="32"/>
      <c r="S217" s="32"/>
      <c r="T217" s="32" t="s">
        <v>96</v>
      </c>
      <c r="U217" s="41" t="s">
        <v>227</v>
      </c>
      <c r="V217" t="str">
        <f ca="1"/>
        <v xml:space="preserve"> </v>
      </c>
      <c r="Y217" t="str">
        <f ca="1"/>
        <v>200,È</v>
      </c>
      <c r="Z217" t="str">
        <f ca="1"/>
        <v xml:space="preserve"> </v>
      </c>
      <c r="AA217" s="48" t="str">
        <f ca="1"/>
        <v>202</v>
      </c>
      <c r="AB217" s="48" t="str">
        <f ca="1"/>
        <v>Ê</v>
      </c>
    </row>
    <row r="218" spans="2:31" x14ac:dyDescent="0.45">
      <c r="B218" s="56" cm="1">
        <f t="array" aca="1" ref="B218" ca="1">FileSize(Folder&amp;Tests[[#This Row],[FileName]])</f>
        <v>729395</v>
      </c>
      <c r="C218" s="51" t="s">
        <v>372</v>
      </c>
      <c r="D218" s="33" t="s">
        <v>219</v>
      </c>
      <c r="E218" s="32" t="b">
        <v>1</v>
      </c>
      <c r="F218" s="34" t="s">
        <v>95</v>
      </c>
      <c r="G218" s="34" t="b">
        <v>0</v>
      </c>
      <c r="H218" s="34" t="s">
        <v>95</v>
      </c>
      <c r="I218" s="34" t="s">
        <v>95</v>
      </c>
      <c r="J218" s="34" t="b">
        <v>1</v>
      </c>
      <c r="K218" s="34"/>
      <c r="L218" s="32">
        <v>1</v>
      </c>
      <c r="M218" s="32">
        <v>1</v>
      </c>
      <c r="N218" s="32">
        <v>0</v>
      </c>
      <c r="O218" s="32">
        <v>0</v>
      </c>
      <c r="P218" s="32"/>
      <c r="Q218" s="32"/>
      <c r="R218" s="32"/>
      <c r="S218" s="32"/>
      <c r="T218" s="32" t="s">
        <v>97</v>
      </c>
      <c r="U218" s="41" t="s">
        <v>258</v>
      </c>
      <c r="V218" t="str">
        <f ca="1"/>
        <v xml:space="preserve"> </v>
      </c>
      <c r="Y218" t="str">
        <f ca="1"/>
        <v>201,É</v>
      </c>
      <c r="Z218" t="str">
        <f ca="1"/>
        <v xml:space="preserve"> </v>
      </c>
      <c r="AA218" s="48" t="str">
        <f ca="1"/>
        <v>203</v>
      </c>
      <c r="AB218" s="48" t="str">
        <f ca="1"/>
        <v>Ë</v>
      </c>
    </row>
    <row r="219" spans="2:31" x14ac:dyDescent="0.45">
      <c r="B219" s="56" cm="1">
        <f t="array" aca="1" ref="B219" ca="1">FileSize(Folder&amp;Tests[[#This Row],[FileName]])</f>
        <v>1647418</v>
      </c>
      <c r="C219" s="80" t="s">
        <v>372</v>
      </c>
      <c r="D219" s="38" t="s">
        <v>222</v>
      </c>
      <c r="E219" s="32" t="s">
        <v>228</v>
      </c>
      <c r="F219" s="34" t="s">
        <v>95</v>
      </c>
      <c r="G219" s="34" t="b">
        <v>0</v>
      </c>
      <c r="H219" s="34" t="s">
        <v>95</v>
      </c>
      <c r="I219" s="34" t="s">
        <v>95</v>
      </c>
      <c r="J219" s="34" t="b">
        <v>1</v>
      </c>
      <c r="K219" s="34"/>
      <c r="L219" s="32">
        <v>1</v>
      </c>
      <c r="M219" s="32">
        <v>1</v>
      </c>
      <c r="N219" s="32">
        <v>0</v>
      </c>
      <c r="O219" s="32">
        <v>0</v>
      </c>
      <c r="P219" s="32"/>
      <c r="Q219" s="32"/>
      <c r="R219" s="32"/>
      <c r="S219" s="32"/>
      <c r="T219" s="32" t="s">
        <v>96</v>
      </c>
      <c r="U219" s="46" t="s">
        <v>572</v>
      </c>
      <c r="V219" t="str">
        <f ca="1"/>
        <v xml:space="preserve"> </v>
      </c>
      <c r="Y219" t="str">
        <f ca="1"/>
        <v>202,Ê</v>
      </c>
      <c r="Z219" t="str">
        <f ca="1"/>
        <v xml:space="preserve"> </v>
      </c>
      <c r="AA219" s="48" t="str">
        <f ca="1"/>
        <v>204</v>
      </c>
      <c r="AB219" s="48" t="str">
        <f ca="1"/>
        <v>Ì</v>
      </c>
    </row>
    <row r="220" spans="2:31" x14ac:dyDescent="0.45">
      <c r="B220" s="55"/>
      <c r="C220" s="52"/>
      <c r="D220" s="38"/>
      <c r="E220" s="32"/>
      <c r="F220" s="34"/>
      <c r="G220" s="34"/>
      <c r="H220" s="34"/>
      <c r="I220" s="34"/>
      <c r="J220" s="34"/>
      <c r="K220" s="34"/>
      <c r="L220" s="32"/>
      <c r="M220" s="32"/>
      <c r="N220" s="32"/>
      <c r="O220" s="32"/>
      <c r="P220" s="32"/>
      <c r="Q220" s="32"/>
      <c r="R220" s="32"/>
      <c r="S220" s="32"/>
      <c r="T220" s="32"/>
      <c r="U220" s="46"/>
      <c r="Y220" t="str">
        <f ca="1"/>
        <v>203,Ë</v>
      </c>
      <c r="Z220" t="str">
        <f ca="1"/>
        <v xml:space="preserve"> </v>
      </c>
      <c r="AA220" s="48" t="str">
        <f ca="1"/>
        <v>205</v>
      </c>
      <c r="AB220" s="48" t="str">
        <f ca="1"/>
        <v>Í</v>
      </c>
    </row>
    <row r="221" spans="2:31" x14ac:dyDescent="0.45">
      <c r="Y221" t="str">
        <f ca="1"/>
        <v>204,Ì</v>
      </c>
      <c r="Z221" t="str">
        <f ca="1"/>
        <v xml:space="preserve"> </v>
      </c>
      <c r="AA221" t="str">
        <f ca="1"/>
        <v>206</v>
      </c>
      <c r="AB221" t="str">
        <f ca="1"/>
        <v>Î</v>
      </c>
    </row>
    <row r="222" spans="2:31" x14ac:dyDescent="0.45">
      <c r="Y222" t="str">
        <f ca="1"/>
        <v>205,Í</v>
      </c>
      <c r="Z222" t="str">
        <f ca="1"/>
        <v xml:space="preserve"> </v>
      </c>
      <c r="AA222" t="str">
        <f ca="1"/>
        <v>207</v>
      </c>
      <c r="AB222" t="str">
        <f ca="1"/>
        <v>Ï</v>
      </c>
    </row>
    <row r="223" spans="2:31" x14ac:dyDescent="0.45">
      <c r="Y223" t="str">
        <f ca="1"/>
        <v>206,Î</v>
      </c>
      <c r="Z223" t="str">
        <f ca="1"/>
        <v xml:space="preserve"> </v>
      </c>
      <c r="AA223" t="str">
        <f ca="1"/>
        <v>208</v>
      </c>
      <c r="AB223" t="str">
        <f ca="1"/>
        <v>Ð</v>
      </c>
    </row>
    <row r="224" spans="2:31" x14ac:dyDescent="0.45">
      <c r="Y224" t="str">
        <f ca="1"/>
        <v>207,Ï</v>
      </c>
      <c r="Z224" t="str">
        <f ca="1"/>
        <v xml:space="preserve"> </v>
      </c>
      <c r="AA224" t="str">
        <f ca="1"/>
        <v>209</v>
      </c>
      <c r="AB224" t="str">
        <f ca="1"/>
        <v>Ñ</v>
      </c>
    </row>
    <row r="225" spans="25:28" x14ac:dyDescent="0.45">
      <c r="Y225" t="str">
        <f ca="1"/>
        <v>208,Ð</v>
      </c>
      <c r="Z225" t="str">
        <f ca="1"/>
        <v xml:space="preserve"> </v>
      </c>
      <c r="AA225" t="str">
        <f ca="1"/>
        <v>210</v>
      </c>
      <c r="AB225" t="str">
        <f ca="1"/>
        <v>Ò</v>
      </c>
    </row>
    <row r="226" spans="25:28" x14ac:dyDescent="0.45">
      <c r="Y226" t="str">
        <f ca="1"/>
        <v>209,Ñ</v>
      </c>
      <c r="Z226" t="str">
        <f ca="1"/>
        <v xml:space="preserve"> </v>
      </c>
      <c r="AA226" t="str">
        <f ca="1"/>
        <v>211</v>
      </c>
      <c r="AB226" t="str">
        <f ca="1"/>
        <v>Ó</v>
      </c>
    </row>
    <row r="227" spans="25:28" x14ac:dyDescent="0.45">
      <c r="Y227" t="str">
        <f ca="1"/>
        <v>210,Ò</v>
      </c>
      <c r="Z227" t="str">
        <f ca="1"/>
        <v xml:space="preserve"> </v>
      </c>
      <c r="AA227" t="str">
        <f ca="1"/>
        <v>212</v>
      </c>
      <c r="AB227" t="str">
        <f ca="1"/>
        <v>Ô</v>
      </c>
    </row>
    <row r="228" spans="25:28" x14ac:dyDescent="0.45">
      <c r="Y228" t="str">
        <f ca="1"/>
        <v>211,Ó</v>
      </c>
      <c r="Z228" t="str">
        <f ca="1"/>
        <v xml:space="preserve"> </v>
      </c>
      <c r="AA228" t="str">
        <f ca="1"/>
        <v>213</v>
      </c>
      <c r="AB228" t="str">
        <f ca="1"/>
        <v>Õ</v>
      </c>
    </row>
    <row r="229" spans="25:28" x14ac:dyDescent="0.45">
      <c r="Y229" t="str">
        <f ca="1"/>
        <v>212,Ô</v>
      </c>
      <c r="Z229" t="str">
        <f ca="1"/>
        <v xml:space="preserve"> </v>
      </c>
      <c r="AA229" t="str">
        <f ca="1"/>
        <v>214</v>
      </c>
      <c r="AB229" t="str">
        <f ca="1"/>
        <v>Ö</v>
      </c>
    </row>
    <row r="230" spans="25:28" x14ac:dyDescent="0.45">
      <c r="Y230" t="str">
        <f ca="1"/>
        <v>213,Õ</v>
      </c>
      <c r="Z230" t="str">
        <f ca="1"/>
        <v xml:space="preserve"> </v>
      </c>
      <c r="AA230" t="str">
        <f ca="1"/>
        <v>215</v>
      </c>
      <c r="AB230" t="str">
        <f ca="1"/>
        <v>×</v>
      </c>
    </row>
    <row r="231" spans="25:28" x14ac:dyDescent="0.45">
      <c r="Y231" t="str">
        <f ca="1"/>
        <v>214,Ö</v>
      </c>
      <c r="Z231" t="str">
        <f ca="1"/>
        <v xml:space="preserve"> </v>
      </c>
      <c r="AA231" t="str">
        <f ca="1"/>
        <v>216</v>
      </c>
      <c r="AB231" t="str">
        <f ca="1"/>
        <v>Ø</v>
      </c>
    </row>
    <row r="232" spans="25:28" x14ac:dyDescent="0.45">
      <c r="Y232" t="str">
        <f ca="1"/>
        <v>215,×</v>
      </c>
      <c r="Z232" t="str">
        <f ca="1"/>
        <v xml:space="preserve"> </v>
      </c>
      <c r="AA232" t="str">
        <f ca="1"/>
        <v>217</v>
      </c>
      <c r="AB232" t="str">
        <f ca="1"/>
        <v>Ù</v>
      </c>
    </row>
    <row r="233" spans="25:28" x14ac:dyDescent="0.45">
      <c r="Y233" t="str">
        <f ca="1"/>
        <v>216,Ø</v>
      </c>
      <c r="Z233" t="str">
        <f ca="1"/>
        <v xml:space="preserve"> </v>
      </c>
      <c r="AA233" t="str">
        <f ca="1"/>
        <v>218</v>
      </c>
      <c r="AB233" t="str">
        <f ca="1"/>
        <v>Ú</v>
      </c>
    </row>
    <row r="234" spans="25:28" x14ac:dyDescent="0.45">
      <c r="Y234" t="str">
        <f ca="1"/>
        <v>217,Ù</v>
      </c>
      <c r="Z234" t="str">
        <f ca="1"/>
        <v xml:space="preserve"> </v>
      </c>
      <c r="AA234" t="str">
        <f ca="1"/>
        <v>219</v>
      </c>
      <c r="AB234" t="str">
        <f ca="1"/>
        <v>Û</v>
      </c>
    </row>
    <row r="235" spans="25:28" x14ac:dyDescent="0.45">
      <c r="Y235" t="str">
        <f ca="1"/>
        <v>218,Ú</v>
      </c>
      <c r="Z235" t="str">
        <f ca="1"/>
        <v xml:space="preserve"> </v>
      </c>
      <c r="AA235" t="str">
        <f ca="1"/>
        <v>220</v>
      </c>
      <c r="AB235" t="str">
        <f ca="1"/>
        <v>Ü</v>
      </c>
    </row>
    <row r="236" spans="25:28" x14ac:dyDescent="0.45">
      <c r="Y236" t="str">
        <f ca="1"/>
        <v>219,Û</v>
      </c>
      <c r="Z236" t="str">
        <f ca="1"/>
        <v xml:space="preserve"> </v>
      </c>
      <c r="AA236" t="str">
        <f ca="1"/>
        <v>221</v>
      </c>
      <c r="AB236" t="str">
        <f ca="1"/>
        <v>Ý</v>
      </c>
    </row>
    <row r="237" spans="25:28" x14ac:dyDescent="0.45">
      <c r="Y237" t="str">
        <f ca="1"/>
        <v>220,Ü</v>
      </c>
      <c r="Z237" t="str">
        <f ca="1"/>
        <v xml:space="preserve"> </v>
      </c>
      <c r="AA237" t="str">
        <f ca="1"/>
        <v>222</v>
      </c>
      <c r="AB237" t="str">
        <f ca="1"/>
        <v>Þ</v>
      </c>
    </row>
    <row r="238" spans="25:28" x14ac:dyDescent="0.45">
      <c r="Y238" t="str">
        <f ca="1"/>
        <v>221,Ý</v>
      </c>
      <c r="Z238" t="str">
        <f ca="1"/>
        <v xml:space="preserve"> </v>
      </c>
      <c r="AA238" t="str">
        <f ca="1"/>
        <v>223</v>
      </c>
      <c r="AB238" t="str">
        <f ca="1"/>
        <v>ß</v>
      </c>
    </row>
    <row r="239" spans="25:28" x14ac:dyDescent="0.45">
      <c r="Y239" t="str">
        <f ca="1"/>
        <v>222,Þ</v>
      </c>
      <c r="Z239" t="str">
        <f ca="1"/>
        <v xml:space="preserve"> </v>
      </c>
      <c r="AA239" t="str">
        <f ca="1"/>
        <v>224</v>
      </c>
      <c r="AB239" t="str">
        <f ca="1"/>
        <v>à</v>
      </c>
    </row>
    <row r="240" spans="25:28" x14ac:dyDescent="0.45">
      <c r="Y240" t="str">
        <f ca="1"/>
        <v>223,ß</v>
      </c>
      <c r="Z240" t="str">
        <f ca="1"/>
        <v xml:space="preserve"> </v>
      </c>
      <c r="AA240" t="str">
        <f ca="1"/>
        <v>225</v>
      </c>
      <c r="AB240" t="str">
        <f ca="1"/>
        <v>á</v>
      </c>
    </row>
    <row r="241" spans="25:28" x14ac:dyDescent="0.45">
      <c r="Y241" t="str">
        <f ca="1"/>
        <v>224,à</v>
      </c>
      <c r="Z241" t="str">
        <f ca="1"/>
        <v xml:space="preserve"> </v>
      </c>
      <c r="AA241" t="str">
        <f ca="1"/>
        <v>226</v>
      </c>
      <c r="AB241" t="str">
        <f ca="1"/>
        <v>â</v>
      </c>
    </row>
    <row r="242" spans="25:28" x14ac:dyDescent="0.45">
      <c r="Y242" t="str">
        <f ca="1"/>
        <v>225,á</v>
      </c>
      <c r="Z242" t="str">
        <f ca="1"/>
        <v xml:space="preserve"> </v>
      </c>
      <c r="AA242" t="str">
        <f ca="1"/>
        <v>227</v>
      </c>
      <c r="AB242" t="str">
        <f ca="1"/>
        <v>ã</v>
      </c>
    </row>
    <row r="243" spans="25:28" x14ac:dyDescent="0.45">
      <c r="Y243" t="str">
        <f ca="1"/>
        <v>226,â</v>
      </c>
      <c r="Z243" t="str">
        <f ca="1"/>
        <v xml:space="preserve"> </v>
      </c>
      <c r="AA243" t="str">
        <f ca="1"/>
        <v>228</v>
      </c>
      <c r="AB243" t="str">
        <f ca="1"/>
        <v>ä</v>
      </c>
    </row>
    <row r="244" spans="25:28" x14ac:dyDescent="0.45">
      <c r="Y244" t="str">
        <f ca="1"/>
        <v>227,ã</v>
      </c>
      <c r="Z244" t="str">
        <f ca="1"/>
        <v xml:space="preserve"> </v>
      </c>
      <c r="AA244" t="str">
        <f ca="1"/>
        <v>229</v>
      </c>
      <c r="AB244" t="str">
        <f ca="1"/>
        <v>å</v>
      </c>
    </row>
    <row r="245" spans="25:28" x14ac:dyDescent="0.45">
      <c r="Y245" t="str">
        <f ca="1"/>
        <v>228,ä</v>
      </c>
      <c r="Z245" t="str">
        <f ca="1"/>
        <v xml:space="preserve"> </v>
      </c>
      <c r="AA245" t="str">
        <f ca="1"/>
        <v>230</v>
      </c>
      <c r="AB245" t="str">
        <f ca="1"/>
        <v>æ</v>
      </c>
    </row>
    <row r="246" spans="25:28" x14ac:dyDescent="0.45">
      <c r="Y246" t="str">
        <f ca="1"/>
        <v>229,å</v>
      </c>
      <c r="Z246" t="str">
        <f ca="1"/>
        <v xml:space="preserve"> </v>
      </c>
      <c r="AA246" t="str">
        <f ca="1"/>
        <v>231</v>
      </c>
      <c r="AB246" t="str">
        <f ca="1"/>
        <v>ç</v>
      </c>
    </row>
    <row r="247" spans="25:28" x14ac:dyDescent="0.45">
      <c r="Y247" t="str">
        <f ca="1"/>
        <v>230,æ</v>
      </c>
      <c r="Z247" t="str">
        <f ca="1"/>
        <v xml:space="preserve"> </v>
      </c>
      <c r="AA247" t="str">
        <f ca="1"/>
        <v>232</v>
      </c>
      <c r="AB247" t="str">
        <f ca="1"/>
        <v>è</v>
      </c>
    </row>
    <row r="248" spans="25:28" x14ac:dyDescent="0.45">
      <c r="Y248" t="str">
        <f ca="1"/>
        <v>231,ç</v>
      </c>
      <c r="Z248" t="str">
        <f ca="1"/>
        <v xml:space="preserve"> </v>
      </c>
      <c r="AA248" t="str">
        <f ca="1"/>
        <v>233</v>
      </c>
      <c r="AB248" t="str">
        <f ca="1"/>
        <v>é</v>
      </c>
    </row>
    <row r="249" spans="25:28" x14ac:dyDescent="0.45">
      <c r="Y249" t="str">
        <f ca="1"/>
        <v>232,è</v>
      </c>
      <c r="Z249" t="str">
        <f ca="1"/>
        <v xml:space="preserve"> </v>
      </c>
      <c r="AA249" t="str">
        <f ca="1"/>
        <v>234</v>
      </c>
      <c r="AB249" t="str">
        <f ca="1"/>
        <v>ê</v>
      </c>
    </row>
    <row r="250" spans="25:28" x14ac:dyDescent="0.45">
      <c r="Y250" t="str">
        <f ca="1"/>
        <v>233,é</v>
      </c>
      <c r="Z250" t="str">
        <f ca="1"/>
        <v xml:space="preserve"> </v>
      </c>
      <c r="AA250" t="str">
        <f ca="1"/>
        <v>235</v>
      </c>
      <c r="AB250" t="str">
        <f ca="1"/>
        <v>ë</v>
      </c>
    </row>
    <row r="251" spans="25:28" x14ac:dyDescent="0.45">
      <c r="Y251" t="str">
        <f ca="1"/>
        <v>234,ê</v>
      </c>
      <c r="Z251" t="str">
        <f ca="1"/>
        <v xml:space="preserve"> </v>
      </c>
      <c r="AA251" t="str">
        <f ca="1"/>
        <v>236</v>
      </c>
      <c r="AB251" t="str">
        <f ca="1"/>
        <v>ì</v>
      </c>
    </row>
    <row r="252" spans="25:28" x14ac:dyDescent="0.45">
      <c r="Y252" t="str">
        <f ca="1"/>
        <v>235,ë</v>
      </c>
      <c r="Z252" t="str">
        <f ca="1"/>
        <v xml:space="preserve"> </v>
      </c>
      <c r="AA252" t="str">
        <f ca="1"/>
        <v>237</v>
      </c>
      <c r="AB252" t="str">
        <f ca="1"/>
        <v>í</v>
      </c>
    </row>
    <row r="253" spans="25:28" x14ac:dyDescent="0.45">
      <c r="Y253" t="str">
        <f ca="1"/>
        <v>236,ì</v>
      </c>
      <c r="Z253" t="str">
        <f ca="1"/>
        <v xml:space="preserve"> </v>
      </c>
      <c r="AA253" t="str">
        <f ca="1"/>
        <v>238</v>
      </c>
      <c r="AB253" t="str">
        <f ca="1"/>
        <v>î</v>
      </c>
    </row>
    <row r="254" spans="25:28" x14ac:dyDescent="0.45">
      <c r="Y254" t="str">
        <f ca="1"/>
        <v>237,í</v>
      </c>
      <c r="Z254" t="str">
        <f ca="1"/>
        <v xml:space="preserve"> </v>
      </c>
      <c r="AA254" t="str">
        <f ca="1"/>
        <v>239</v>
      </c>
      <c r="AB254" t="str">
        <f ca="1"/>
        <v>ï</v>
      </c>
    </row>
    <row r="255" spans="25:28" x14ac:dyDescent="0.45">
      <c r="Y255" t="str">
        <f ca="1"/>
        <v>238,î</v>
      </c>
      <c r="Z255" t="str">
        <f ca="1"/>
        <v xml:space="preserve"> </v>
      </c>
      <c r="AA255" t="str">
        <f ca="1"/>
        <v>240</v>
      </c>
      <c r="AB255" t="str">
        <f ca="1"/>
        <v>ð</v>
      </c>
    </row>
    <row r="256" spans="25:28" x14ac:dyDescent="0.45">
      <c r="Y256" t="str">
        <f ca="1"/>
        <v>239,ï</v>
      </c>
      <c r="Z256" t="str">
        <f ca="1"/>
        <v xml:space="preserve"> </v>
      </c>
      <c r="AA256" t="str">
        <f ca="1"/>
        <v>241</v>
      </c>
      <c r="AB256" t="str">
        <f ca="1"/>
        <v>ñ</v>
      </c>
    </row>
    <row r="257" spans="25:28" x14ac:dyDescent="0.45">
      <c r="Y257" t="str">
        <f ca="1"/>
        <v>240,ð</v>
      </c>
      <c r="Z257" t="str">
        <f ca="1"/>
        <v xml:space="preserve"> </v>
      </c>
      <c r="AA257" t="str">
        <f ca="1"/>
        <v>242</v>
      </c>
      <c r="AB257" t="str">
        <f ca="1"/>
        <v>ò</v>
      </c>
    </row>
    <row r="258" spans="25:28" x14ac:dyDescent="0.45">
      <c r="Y258" t="str">
        <f ca="1"/>
        <v>241,ñ</v>
      </c>
      <c r="Z258" t="str">
        <f ca="1"/>
        <v xml:space="preserve"> </v>
      </c>
      <c r="AA258" t="str">
        <f ca="1"/>
        <v>243</v>
      </c>
      <c r="AB258" t="str">
        <f ca="1"/>
        <v>ó</v>
      </c>
    </row>
    <row r="259" spans="25:28" x14ac:dyDescent="0.45">
      <c r="Y259" t="str">
        <f ca="1"/>
        <v>242,ò</v>
      </c>
      <c r="Z259" t="str">
        <f ca="1"/>
        <v xml:space="preserve"> </v>
      </c>
      <c r="AA259" t="str">
        <f ca="1"/>
        <v>244</v>
      </c>
      <c r="AB259" t="str">
        <f ca="1"/>
        <v>ô</v>
      </c>
    </row>
    <row r="260" spans="25:28" x14ac:dyDescent="0.45">
      <c r="Y260" t="str">
        <f ca="1"/>
        <v>243,ó</v>
      </c>
      <c r="Z260" t="str">
        <f ca="1"/>
        <v xml:space="preserve"> </v>
      </c>
      <c r="AA260" t="str">
        <f ca="1"/>
        <v>245</v>
      </c>
      <c r="AB260" t="str">
        <f ca="1"/>
        <v>õ</v>
      </c>
    </row>
    <row r="261" spans="25:28" x14ac:dyDescent="0.45">
      <c r="Y261" t="str">
        <f ca="1"/>
        <v>244,ô</v>
      </c>
      <c r="Z261" t="str">
        <f ca="1"/>
        <v xml:space="preserve"> </v>
      </c>
      <c r="AA261" t="str">
        <f ca="1"/>
        <v>246</v>
      </c>
      <c r="AB261" t="str">
        <f ca="1"/>
        <v>ö</v>
      </c>
    </row>
    <row r="262" spans="25:28" x14ac:dyDescent="0.45">
      <c r="Y262" t="str">
        <f ca="1"/>
        <v>245,õ</v>
      </c>
      <c r="Z262" t="str">
        <f ca="1"/>
        <v xml:space="preserve"> </v>
      </c>
      <c r="AA262" t="str">
        <f ca="1"/>
        <v>247</v>
      </c>
      <c r="AB262" t="str">
        <f ca="1"/>
        <v>÷</v>
      </c>
    </row>
    <row r="263" spans="25:28" x14ac:dyDescent="0.45">
      <c r="Y263" t="str">
        <f ca="1"/>
        <v>246,ö</v>
      </c>
      <c r="Z263" t="str">
        <f ca="1"/>
        <v xml:space="preserve"> </v>
      </c>
      <c r="AA263" t="str">
        <f ca="1"/>
        <v>248</v>
      </c>
      <c r="AB263" t="str">
        <f ca="1"/>
        <v>ø</v>
      </c>
    </row>
    <row r="264" spans="25:28" x14ac:dyDescent="0.45">
      <c r="Y264" t="str">
        <f ca="1"/>
        <v>247,÷</v>
      </c>
      <c r="Z264" t="str">
        <f ca="1"/>
        <v xml:space="preserve"> </v>
      </c>
      <c r="AA264" t="str">
        <f ca="1"/>
        <v>249</v>
      </c>
      <c r="AB264" t="str">
        <f ca="1"/>
        <v>ù</v>
      </c>
    </row>
    <row r="265" spans="25:28" x14ac:dyDescent="0.45">
      <c r="Y265" t="str">
        <f ca="1"/>
        <v>248,ø</v>
      </c>
      <c r="Z265" t="str">
        <f ca="1"/>
        <v xml:space="preserve"> </v>
      </c>
      <c r="AA265" t="str">
        <f ca="1"/>
        <v>250</v>
      </c>
      <c r="AB265" t="str">
        <f ca="1"/>
        <v>ú</v>
      </c>
    </row>
    <row r="266" spans="25:28" x14ac:dyDescent="0.45">
      <c r="Y266" t="str">
        <f ca="1"/>
        <v>249,ù</v>
      </c>
      <c r="Z266" t="str">
        <f ca="1"/>
        <v xml:space="preserve"> </v>
      </c>
      <c r="AA266" t="str">
        <f ca="1"/>
        <v>251</v>
      </c>
      <c r="AB266" t="str">
        <f ca="1"/>
        <v>û</v>
      </c>
    </row>
    <row r="267" spans="25:28" x14ac:dyDescent="0.45">
      <c r="Y267" t="str">
        <f ca="1"/>
        <v>250,ú</v>
      </c>
      <c r="Z267" t="str">
        <f ca="1"/>
        <v xml:space="preserve"> </v>
      </c>
      <c r="AA267" t="str">
        <f ca="1"/>
        <v>252</v>
      </c>
      <c r="AB267" t="str">
        <f ca="1"/>
        <v>ü</v>
      </c>
    </row>
    <row r="268" spans="25:28" x14ac:dyDescent="0.45">
      <c r="Y268" t="str">
        <f ca="1"/>
        <v>251,û</v>
      </c>
      <c r="Z268" t="str">
        <f ca="1"/>
        <v xml:space="preserve"> </v>
      </c>
      <c r="AA268" t="str">
        <f ca="1"/>
        <v>253</v>
      </c>
      <c r="AB268" t="str">
        <f ca="1"/>
        <v>ý</v>
      </c>
    </row>
    <row r="269" spans="25:28" x14ac:dyDescent="0.45">
      <c r="Y269" t="str">
        <f ca="1"/>
        <v>252,ü</v>
      </c>
      <c r="Z269" t="str">
        <f ca="1"/>
        <v xml:space="preserve"> </v>
      </c>
      <c r="AA269" t="str">
        <f ca="1"/>
        <v>254</v>
      </c>
      <c r="AB269" t="str">
        <f ca="1"/>
        <v>þ</v>
      </c>
    </row>
    <row r="270" spans="25:28" x14ac:dyDescent="0.45">
      <c r="Y270" t="str">
        <f ca="1"/>
        <v>253,ý</v>
      </c>
      <c r="Z270" t="str">
        <f ca="1"/>
        <v xml:space="preserve"> </v>
      </c>
      <c r="AA270" t="str">
        <f ca="1"/>
        <v>255</v>
      </c>
      <c r="AB270" t="str">
        <f ca="1"/>
        <v>ÿ</v>
      </c>
    </row>
    <row r="271" spans="25:28" x14ac:dyDescent="0.45">
      <c r="Y271" t="str">
        <f ca="1"/>
        <v>254,þ</v>
      </c>
      <c r="Z271" t="str">
        <f ca="1"/>
        <v xml:space="preserve"> </v>
      </c>
    </row>
    <row r="272" spans="25:28" x14ac:dyDescent="0.45">
      <c r="Y272" t="str">
        <f ca="1"/>
        <v>255,ÿ</v>
      </c>
      <c r="Z272" t="str">
        <f ca="1"/>
        <v xml:space="preserve"> </v>
      </c>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0">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584</v>
      </c>
    </row>
    <row r="3" spans="1:1" x14ac:dyDescent="0.45">
      <c r="A3" t="s">
        <v>639</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247</v>
      </c>
    </row>
    <row r="2" spans="1:14" x14ac:dyDescent="0.45">
      <c r="N2" s="66"/>
    </row>
    <row r="4" spans="1:14" x14ac:dyDescent="0.45">
      <c r="A4" s="15" t="s">
        <v>614</v>
      </c>
      <c r="M4" s="15" t="s">
        <v>588</v>
      </c>
    </row>
    <row r="5" spans="1:14" x14ac:dyDescent="0.45">
      <c r="M5" t="s">
        <v>538</v>
      </c>
    </row>
    <row r="6" spans="1:14" ht="42.75" x14ac:dyDescent="0.45">
      <c r="A6" s="13" t="s">
        <v>10</v>
      </c>
      <c r="B6" s="13" t="s">
        <v>11</v>
      </c>
      <c r="C6" s="13" t="s">
        <v>12</v>
      </c>
      <c r="D6" s="13" t="s">
        <v>13</v>
      </c>
      <c r="E6" s="14" t="s">
        <v>407</v>
      </c>
      <c r="F6" s="14" t="s">
        <v>408</v>
      </c>
      <c r="G6" s="14" t="s">
        <v>409</v>
      </c>
      <c r="H6" s="14" t="s">
        <v>410</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411</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412</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413</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414</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415</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416</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417</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418</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419</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420</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421</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422</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423</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424</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425</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426</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427</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428</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429</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430</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431</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432</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587</v>
      </c>
      <c r="N31" s="66">
        <f>C28*D28/E28</f>
        <v>700285.65543430927</v>
      </c>
    </row>
    <row r="32" spans="1:14" x14ac:dyDescent="0.45">
      <c r="I32" s="66"/>
      <c r="J32" s="66"/>
      <c r="K32" s="66"/>
      <c r="L32" s="66"/>
      <c r="M32" t="s">
        <v>593</v>
      </c>
    </row>
    <row r="33" spans="1:14" ht="42.75" x14ac:dyDescent="0.45">
      <c r="A33" s="13" t="s">
        <v>10</v>
      </c>
      <c r="B33" s="13" t="s">
        <v>11</v>
      </c>
      <c r="C33" s="13" t="s">
        <v>12</v>
      </c>
      <c r="D33" s="13" t="s">
        <v>13</v>
      </c>
      <c r="E33" s="14" t="s">
        <v>407</v>
      </c>
      <c r="F33" s="14" t="s">
        <v>408</v>
      </c>
      <c r="G33" s="14" t="s">
        <v>409</v>
      </c>
      <c r="H33" s="14" t="s">
        <v>410</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433</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434</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435</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436</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437</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438</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439</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440</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441</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442</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443</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444</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445</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446</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447</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448</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449</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450</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451</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452</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453</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586</v>
      </c>
    </row>
    <row r="59" spans="1:14" x14ac:dyDescent="0.45">
      <c r="I59" s="66"/>
      <c r="J59" s="66"/>
      <c r="K59" s="66"/>
      <c r="L59" s="66"/>
      <c r="M59" t="s">
        <v>594</v>
      </c>
    </row>
    <row r="60" spans="1:14" ht="42.75" x14ac:dyDescent="0.45">
      <c r="A60" s="13" t="s">
        <v>10</v>
      </c>
      <c r="B60" s="13" t="s">
        <v>11</v>
      </c>
      <c r="C60" s="13" t="s">
        <v>12</v>
      </c>
      <c r="D60" s="13" t="s">
        <v>13</v>
      </c>
      <c r="E60" s="14" t="s">
        <v>407</v>
      </c>
      <c r="F60" s="14" t="s">
        <v>408</v>
      </c>
      <c r="G60" s="14" t="s">
        <v>409</v>
      </c>
      <c r="H60" s="14" t="s">
        <v>410</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454</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455</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456</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457</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458</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459</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460</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461</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462</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463</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464</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465</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466</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467</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468</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469</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470</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471</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472</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473</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474</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589</v>
      </c>
    </row>
    <row r="86" spans="1:28" x14ac:dyDescent="0.45">
      <c r="I86" s="66"/>
      <c r="J86" s="66"/>
      <c r="K86" s="66"/>
      <c r="L86" s="66"/>
      <c r="M86" t="s">
        <v>595</v>
      </c>
    </row>
    <row r="87" spans="1:28" ht="42.75" x14ac:dyDescent="0.45">
      <c r="A87" s="13" t="s">
        <v>10</v>
      </c>
      <c r="B87" s="13" t="s">
        <v>11</v>
      </c>
      <c r="C87" s="13" t="s">
        <v>12</v>
      </c>
      <c r="D87" s="13" t="s">
        <v>13</v>
      </c>
      <c r="E87" s="14" t="s">
        <v>407</v>
      </c>
      <c r="F87" s="14" t="s">
        <v>408</v>
      </c>
      <c r="G87" s="14" t="s">
        <v>409</v>
      </c>
      <c r="H87" s="14" t="s">
        <v>410</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475</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476</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477</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478</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479</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480</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481</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482</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483</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484</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485</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486</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487</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488</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489</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490</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491</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492</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493</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590</v>
      </c>
    </row>
    <row r="113" spans="1:14" x14ac:dyDescent="0.45">
      <c r="I113" s="66"/>
      <c r="J113" s="66"/>
      <c r="K113" s="66"/>
      <c r="L113" s="66"/>
      <c r="M113" t="s">
        <v>596</v>
      </c>
    </row>
    <row r="114" spans="1:14" ht="42.75" x14ac:dyDescent="0.45">
      <c r="A114" s="13" t="s">
        <v>10</v>
      </c>
      <c r="B114" s="13" t="s">
        <v>11</v>
      </c>
      <c r="C114" s="13" t="s">
        <v>12</v>
      </c>
      <c r="D114" s="13" t="s">
        <v>13</v>
      </c>
      <c r="E114" s="14" t="s">
        <v>407</v>
      </c>
      <c r="F114" s="14" t="s">
        <v>408</v>
      </c>
      <c r="G114" s="14" t="s">
        <v>409</v>
      </c>
      <c r="H114" s="14" t="s">
        <v>410</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494</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495</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496</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497</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498</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499</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500</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501</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502</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503</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504</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505</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506</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507</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591</v>
      </c>
    </row>
    <row r="140" spans="1:14" x14ac:dyDescent="0.45">
      <c r="I140" s="66"/>
      <c r="J140" s="66"/>
      <c r="K140" s="66"/>
      <c r="L140" s="66"/>
      <c r="M140" t="s">
        <v>597</v>
      </c>
    </row>
    <row r="141" spans="1:14" ht="42.75" x14ac:dyDescent="0.45">
      <c r="A141" s="13" t="s">
        <v>10</v>
      </c>
      <c r="B141" s="13" t="s">
        <v>11</v>
      </c>
      <c r="C141" s="13" t="s">
        <v>12</v>
      </c>
      <c r="D141" s="13" t="s">
        <v>13</v>
      </c>
      <c r="E141" s="14" t="s">
        <v>407</v>
      </c>
      <c r="F141" s="14" t="s">
        <v>408</v>
      </c>
      <c r="G141" s="14" t="s">
        <v>409</v>
      </c>
      <c r="H141" s="14" t="s">
        <v>410</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508</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509</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510</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511</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512</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513</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514</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515</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516</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517</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518</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519</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520</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521</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522</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592</v>
      </c>
    </row>
    <row r="167" spans="1:14" ht="57" x14ac:dyDescent="0.45">
      <c r="I167" s="66"/>
      <c r="J167" s="66"/>
      <c r="K167" s="66"/>
      <c r="L167" s="66"/>
      <c r="M167" s="75" t="s">
        <v>598</v>
      </c>
    </row>
    <row r="168" spans="1:14" ht="42.75" x14ac:dyDescent="0.45">
      <c r="A168" s="13" t="s">
        <v>10</v>
      </c>
      <c r="B168" s="13" t="s">
        <v>11</v>
      </c>
      <c r="C168" s="13" t="s">
        <v>12</v>
      </c>
      <c r="D168" s="13" t="s">
        <v>13</v>
      </c>
      <c r="E168" s="14" t="s">
        <v>407</v>
      </c>
      <c r="F168" s="14" t="s">
        <v>408</v>
      </c>
      <c r="G168" s="14" t="s">
        <v>409</v>
      </c>
      <c r="H168" s="14" t="s">
        <v>410</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523</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524</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525</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526</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527</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528</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529</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530</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531</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532</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533</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534</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535</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536</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537</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20B10-2E9D-41D4-8D98-60E28325BA63}">
  <sheetPr codeName="shPerformance1"/>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247</v>
      </c>
    </row>
    <row r="2" spans="1:14" x14ac:dyDescent="0.45">
      <c r="N2" s="66"/>
    </row>
    <row r="4" spans="1:14" x14ac:dyDescent="0.45">
      <c r="A4" s="15" t="s">
        <v>642</v>
      </c>
      <c r="M4" s="15" t="s">
        <v>588</v>
      </c>
    </row>
    <row r="5" spans="1:14" x14ac:dyDescent="0.45">
      <c r="M5" t="s">
        <v>538</v>
      </c>
    </row>
    <row r="6" spans="1:14" ht="42.75" x14ac:dyDescent="0.45">
      <c r="A6" s="13" t="s">
        <v>10</v>
      </c>
      <c r="B6" s="13" t="s">
        <v>11</v>
      </c>
      <c r="C6" s="13" t="s">
        <v>12</v>
      </c>
      <c r="D6" s="13" t="s">
        <v>13</v>
      </c>
      <c r="E6" s="14" t="s">
        <v>407</v>
      </c>
      <c r="F6" s="14" t="s">
        <v>408</v>
      </c>
      <c r="G6" s="14" t="s">
        <v>409</v>
      </c>
      <c r="H6" s="14" t="s">
        <v>410</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1.8960484604857778E-4</v>
      </c>
      <c r="F7">
        <v>1.2187793784284491E-4</v>
      </c>
      <c r="G7">
        <v>1.7668202473447156E-3</v>
      </c>
      <c r="H7">
        <v>2.8878364329444379E-4</v>
      </c>
      <c r="I7" s="66">
        <v>26372</v>
      </c>
      <c r="J7" s="66">
        <v>41025</v>
      </c>
      <c r="K7" s="66">
        <v>2830</v>
      </c>
      <c r="L7" s="66">
        <v>17314</v>
      </c>
      <c r="M7" s="70" t="s">
        <v>411</v>
      </c>
      <c r="N7" s="66">
        <v>3</v>
      </c>
    </row>
    <row r="8" spans="1:14" x14ac:dyDescent="0.45">
      <c r="A8">
        <f t="shared" ref="A8:A28" ca="1" si="0">LEN(B8)</f>
        <v>1</v>
      </c>
      <c r="B8" t="s">
        <v>16</v>
      </c>
      <c r="C8" s="66">
        <v>2</v>
      </c>
      <c r="D8">
        <v>1</v>
      </c>
      <c r="E8">
        <v>1.9045670209190526E-4</v>
      </c>
      <c r="F8">
        <v>1.2637996916418389E-4</v>
      </c>
      <c r="G8">
        <v>1.8817471407025041E-3</v>
      </c>
      <c r="H8">
        <v>2.8235825615541E-4</v>
      </c>
      <c r="I8" s="66">
        <v>26253</v>
      </c>
      <c r="J8" s="66">
        <v>39564</v>
      </c>
      <c r="K8" s="66">
        <v>2658</v>
      </c>
      <c r="L8" s="66">
        <v>17708</v>
      </c>
      <c r="M8" s="71" t="s">
        <v>412</v>
      </c>
      <c r="N8" s="66">
        <v>6</v>
      </c>
    </row>
    <row r="9" spans="1:14" x14ac:dyDescent="0.45">
      <c r="A9">
        <f t="shared" ca="1" si="0"/>
        <v>1</v>
      </c>
      <c r="B9" t="s">
        <v>16</v>
      </c>
      <c r="C9" s="66">
        <v>4</v>
      </c>
      <c r="D9">
        <v>1</v>
      </c>
      <c r="E9">
        <v>1.9473330607126273E-4</v>
      </c>
      <c r="F9">
        <v>1.279730772187287E-4</v>
      </c>
      <c r="G9">
        <v>1.8673275952203765E-3</v>
      </c>
      <c r="H9">
        <v>3.2488628979857048E-4</v>
      </c>
      <c r="I9" s="66">
        <v>25677</v>
      </c>
      <c r="J9" s="66">
        <v>39071</v>
      </c>
      <c r="K9" s="66">
        <v>2678</v>
      </c>
      <c r="L9" s="66">
        <v>15390</v>
      </c>
      <c r="M9" s="71" t="s">
        <v>413</v>
      </c>
      <c r="N9" s="66">
        <v>12</v>
      </c>
    </row>
    <row r="10" spans="1:14" x14ac:dyDescent="0.45">
      <c r="A10">
        <f t="shared" ca="1" si="0"/>
        <v>1</v>
      </c>
      <c r="B10" t="s">
        <v>16</v>
      </c>
      <c r="C10" s="66">
        <v>8</v>
      </c>
      <c r="D10">
        <v>1</v>
      </c>
      <c r="E10">
        <v>2.0063134579908329E-4</v>
      </c>
      <c r="F10">
        <v>1.3385411056120479E-4</v>
      </c>
      <c r="G10">
        <v>1.8575492199076329E-3</v>
      </c>
      <c r="H10">
        <v>2.8963679545849504E-4</v>
      </c>
      <c r="I10" s="66">
        <v>24922</v>
      </c>
      <c r="J10" s="66">
        <v>37355</v>
      </c>
      <c r="K10" s="66">
        <v>2692</v>
      </c>
      <c r="L10" s="66">
        <v>17263</v>
      </c>
      <c r="M10" s="71" t="s">
        <v>414</v>
      </c>
      <c r="N10" s="66">
        <v>24</v>
      </c>
    </row>
    <row r="11" spans="1:14" x14ac:dyDescent="0.45">
      <c r="A11">
        <f t="shared" ca="1" si="0"/>
        <v>1</v>
      </c>
      <c r="B11" t="s">
        <v>16</v>
      </c>
      <c r="C11" s="66">
        <v>16</v>
      </c>
      <c r="D11">
        <v>1</v>
      </c>
      <c r="E11">
        <v>2.1185193627640814E-4</v>
      </c>
      <c r="F11">
        <v>1.4413269147621477E-4</v>
      </c>
      <c r="G11">
        <v>1.833992042539226E-3</v>
      </c>
      <c r="H11">
        <v>2.9238056254020232E-4</v>
      </c>
      <c r="I11" s="66">
        <v>23602</v>
      </c>
      <c r="J11" s="66">
        <v>34691</v>
      </c>
      <c r="K11" s="66">
        <v>2727</v>
      </c>
      <c r="L11" s="66">
        <v>17101</v>
      </c>
      <c r="M11" s="71" t="s">
        <v>415</v>
      </c>
      <c r="N11" s="66">
        <v>48</v>
      </c>
    </row>
    <row r="12" spans="1:14" x14ac:dyDescent="0.45">
      <c r="A12">
        <f t="shared" ca="1" si="0"/>
        <v>1</v>
      </c>
      <c r="B12" t="s">
        <v>16</v>
      </c>
      <c r="C12" s="66">
        <v>32</v>
      </c>
      <c r="D12">
        <v>1</v>
      </c>
      <c r="E12">
        <v>2.3067306237330759E-4</v>
      </c>
      <c r="F12">
        <v>1.6392315106175207E-4</v>
      </c>
      <c r="G12">
        <v>1.9806566732672808E-3</v>
      </c>
      <c r="H12">
        <v>2.9631385563588954E-4</v>
      </c>
      <c r="I12" s="66">
        <v>21676</v>
      </c>
      <c r="J12" s="66">
        <v>30504</v>
      </c>
      <c r="K12" s="66">
        <v>2525</v>
      </c>
      <c r="L12" s="66">
        <v>16874</v>
      </c>
      <c r="M12" s="71" t="s">
        <v>416</v>
      </c>
      <c r="N12" s="66">
        <v>96</v>
      </c>
    </row>
    <row r="13" spans="1:14" x14ac:dyDescent="0.45">
      <c r="A13">
        <f t="shared" ca="1" si="0"/>
        <v>1</v>
      </c>
      <c r="B13" t="s">
        <v>16</v>
      </c>
      <c r="C13" s="66">
        <v>64</v>
      </c>
      <c r="D13">
        <v>1</v>
      </c>
      <c r="E13">
        <v>2.6936843551407551E-4</v>
      </c>
      <c r="F13">
        <v>2.0066701448837222E-4</v>
      </c>
      <c r="G13">
        <v>1.9761278150956974E-3</v>
      </c>
      <c r="H13">
        <v>3.0244374546334384E-4</v>
      </c>
      <c r="I13" s="66">
        <v>18562</v>
      </c>
      <c r="J13" s="66">
        <v>24917</v>
      </c>
      <c r="K13" s="66">
        <v>2531</v>
      </c>
      <c r="L13" s="66">
        <v>16532</v>
      </c>
      <c r="M13" s="71" t="s">
        <v>417</v>
      </c>
      <c r="N13" s="66">
        <v>192</v>
      </c>
    </row>
    <row r="14" spans="1:14" x14ac:dyDescent="0.45">
      <c r="A14">
        <f t="shared" ca="1" si="0"/>
        <v>1</v>
      </c>
      <c r="B14" t="s">
        <v>16</v>
      </c>
      <c r="C14" s="66">
        <v>128</v>
      </c>
      <c r="D14">
        <v>1</v>
      </c>
      <c r="E14">
        <v>3.4480778567014681E-4</v>
      </c>
      <c r="F14">
        <v>3.0421816743726157E-4</v>
      </c>
      <c r="G14">
        <v>2.3771063213007784E-3</v>
      </c>
      <c r="H14">
        <v>3.0669201987364289E-4</v>
      </c>
      <c r="I14" s="66">
        <v>14501</v>
      </c>
      <c r="J14" s="66">
        <v>16436</v>
      </c>
      <c r="K14" s="66">
        <v>2104</v>
      </c>
      <c r="L14" s="66">
        <v>16303</v>
      </c>
      <c r="M14" s="71" t="s">
        <v>418</v>
      </c>
      <c r="N14" s="66">
        <v>384</v>
      </c>
    </row>
    <row r="15" spans="1:14" x14ac:dyDescent="0.45">
      <c r="A15">
        <f t="shared" ca="1" si="0"/>
        <v>1</v>
      </c>
      <c r="B15" t="s">
        <v>16</v>
      </c>
      <c r="C15" s="66">
        <v>256</v>
      </c>
      <c r="D15">
        <v>1</v>
      </c>
      <c r="E15">
        <v>5.0841277071590155E-4</v>
      </c>
      <c r="F15">
        <v>4.3631667539133586E-4</v>
      </c>
      <c r="G15">
        <v>2.8723223434740036E-3</v>
      </c>
      <c r="H15">
        <v>2.8933510792199528E-4</v>
      </c>
      <c r="I15" s="66">
        <v>9835</v>
      </c>
      <c r="J15" s="66">
        <v>11460</v>
      </c>
      <c r="K15" s="66">
        <v>1741</v>
      </c>
      <c r="L15" s="66">
        <v>17281</v>
      </c>
      <c r="M15" s="71" t="s">
        <v>419</v>
      </c>
      <c r="N15" s="66">
        <v>768</v>
      </c>
    </row>
    <row r="16" spans="1:14" x14ac:dyDescent="0.45">
      <c r="A16">
        <f t="shared" ca="1" si="0"/>
        <v>1</v>
      </c>
      <c r="B16" t="s">
        <v>16</v>
      </c>
      <c r="C16" s="66">
        <v>512</v>
      </c>
      <c r="D16">
        <v>1</v>
      </c>
      <c r="E16">
        <v>8.0453279163697413E-4</v>
      </c>
      <c r="F16">
        <v>7.589698133249591E-4</v>
      </c>
      <c r="G16">
        <v>6.0620077575952039E-3</v>
      </c>
      <c r="H16">
        <v>3.1281281281281281E-4</v>
      </c>
      <c r="I16" s="66">
        <v>6215</v>
      </c>
      <c r="J16" s="66">
        <v>6589</v>
      </c>
      <c r="K16" s="66">
        <v>825</v>
      </c>
      <c r="L16" s="66">
        <v>15984</v>
      </c>
      <c r="M16" s="71" t="s">
        <v>420</v>
      </c>
      <c r="N16" s="66">
        <v>1536</v>
      </c>
    </row>
    <row r="17" spans="1:14" x14ac:dyDescent="0.45">
      <c r="A17">
        <f t="shared" ca="1" si="0"/>
        <v>1</v>
      </c>
      <c r="B17" t="s">
        <v>16</v>
      </c>
      <c r="C17" s="66">
        <v>1024</v>
      </c>
      <c r="D17">
        <v>1</v>
      </c>
      <c r="E17">
        <v>1.5604369734797494E-3</v>
      </c>
      <c r="F17">
        <v>1.458237999416676E-3</v>
      </c>
      <c r="G17">
        <v>6.2824229899710211E-3</v>
      </c>
      <c r="H17">
        <v>3.6791758646063282E-4</v>
      </c>
      <c r="I17" s="66">
        <v>3205</v>
      </c>
      <c r="J17" s="66">
        <v>3429</v>
      </c>
      <c r="K17" s="66">
        <v>796</v>
      </c>
      <c r="L17" s="66">
        <v>13590</v>
      </c>
      <c r="M17" s="71" t="s">
        <v>421</v>
      </c>
      <c r="N17" s="66">
        <v>3072</v>
      </c>
    </row>
    <row r="18" spans="1:14" x14ac:dyDescent="0.45">
      <c r="A18">
        <f t="shared" ca="1" si="0"/>
        <v>1</v>
      </c>
      <c r="B18" t="s">
        <v>16</v>
      </c>
      <c r="C18" s="66">
        <v>2048</v>
      </c>
      <c r="D18">
        <v>1</v>
      </c>
      <c r="E18">
        <v>2.8740327784096036E-3</v>
      </c>
      <c r="F18">
        <v>2.7825934335136706E-3</v>
      </c>
      <c r="G18">
        <v>1.1357800226738832E-2</v>
      </c>
      <c r="H18">
        <v>5.0926869016092895E-4</v>
      </c>
      <c r="I18" s="66">
        <v>1742</v>
      </c>
      <c r="J18" s="66">
        <v>1797</v>
      </c>
      <c r="K18" s="66">
        <v>441</v>
      </c>
      <c r="L18" s="66">
        <v>9818</v>
      </c>
      <c r="M18" s="71" t="s">
        <v>422</v>
      </c>
      <c r="N18" s="66">
        <v>6144</v>
      </c>
    </row>
    <row r="19" spans="1:14" x14ac:dyDescent="0.45">
      <c r="A19">
        <f t="shared" ca="1" si="0"/>
        <v>1</v>
      </c>
      <c r="B19" t="s">
        <v>16</v>
      </c>
      <c r="C19" s="66">
        <v>4096</v>
      </c>
      <c r="D19">
        <v>1</v>
      </c>
      <c r="E19">
        <v>6.1984985129941769E-3</v>
      </c>
      <c r="F19">
        <v>5.6604369909529434E-3</v>
      </c>
      <c r="G19">
        <v>2.0887080416650862E-2</v>
      </c>
      <c r="H19">
        <v>9.6469226316804938E-4</v>
      </c>
      <c r="I19" s="66">
        <v>807</v>
      </c>
      <c r="J19" s="66">
        <v>884</v>
      </c>
      <c r="K19" s="66">
        <v>240</v>
      </c>
      <c r="L19" s="66">
        <v>5183</v>
      </c>
      <c r="M19" s="71" t="s">
        <v>423</v>
      </c>
      <c r="N19" s="66">
        <v>12288</v>
      </c>
    </row>
    <row r="20" spans="1:14" x14ac:dyDescent="0.45">
      <c r="A20">
        <f t="shared" ca="1" si="0"/>
        <v>1</v>
      </c>
      <c r="B20" t="s">
        <v>16</v>
      </c>
      <c r="C20" s="66">
        <v>8192</v>
      </c>
      <c r="D20">
        <v>1</v>
      </c>
      <c r="E20">
        <v>1.2281312990215192E-2</v>
      </c>
      <c r="F20">
        <v>1.3214228495999699E-2</v>
      </c>
      <c r="G20">
        <v>4.0081406399840487E-2</v>
      </c>
      <c r="H20">
        <v>1.5142337976983646E-3</v>
      </c>
      <c r="I20" s="66">
        <v>408</v>
      </c>
      <c r="J20" s="66">
        <v>379</v>
      </c>
      <c r="K20" s="66">
        <v>125</v>
      </c>
      <c r="L20" s="66">
        <v>3302</v>
      </c>
      <c r="M20" s="71" t="s">
        <v>424</v>
      </c>
      <c r="N20" s="66">
        <v>24576</v>
      </c>
    </row>
    <row r="21" spans="1:14" x14ac:dyDescent="0.45">
      <c r="A21">
        <f t="shared" ca="1" si="0"/>
        <v>1</v>
      </c>
      <c r="B21" t="s">
        <v>16</v>
      </c>
      <c r="C21" s="66">
        <v>16384</v>
      </c>
      <c r="D21">
        <v>1</v>
      </c>
      <c r="E21">
        <v>2.3997005263068291E-2</v>
      </c>
      <c r="F21">
        <v>2.2484441704143907E-2</v>
      </c>
      <c r="G21">
        <v>7.2531899999982372E-2</v>
      </c>
      <c r="H21">
        <v>2.7948574622694241E-3</v>
      </c>
      <c r="I21" s="66">
        <v>209</v>
      </c>
      <c r="J21" s="66">
        <v>223</v>
      </c>
      <c r="K21" s="66">
        <v>69</v>
      </c>
      <c r="L21" s="66">
        <v>1789</v>
      </c>
      <c r="M21" s="71" t="s">
        <v>425</v>
      </c>
      <c r="N21" s="66">
        <v>49152</v>
      </c>
    </row>
    <row r="22" spans="1:14" x14ac:dyDescent="0.45">
      <c r="A22">
        <f t="shared" ca="1" si="0"/>
        <v>1</v>
      </c>
      <c r="B22" t="s">
        <v>16</v>
      </c>
      <c r="C22" s="66">
        <v>32768</v>
      </c>
      <c r="D22">
        <v>1</v>
      </c>
      <c r="E22">
        <v>6.269204250020266E-2</v>
      </c>
      <c r="F22">
        <v>4.5528984545274979E-2</v>
      </c>
      <c r="G22">
        <v>0.15030398235317347</v>
      </c>
      <c r="H22">
        <v>4.3449176072452916E-3</v>
      </c>
      <c r="I22" s="66">
        <v>80</v>
      </c>
      <c r="J22" s="66">
        <v>110</v>
      </c>
      <c r="K22" s="66">
        <v>34</v>
      </c>
      <c r="L22" s="66">
        <v>1151</v>
      </c>
      <c r="M22" s="71" t="s">
        <v>426</v>
      </c>
      <c r="N22" s="66">
        <v>98304</v>
      </c>
    </row>
    <row r="23" spans="1:14" x14ac:dyDescent="0.45">
      <c r="A23">
        <f t="shared" ca="1" si="0"/>
        <v>1</v>
      </c>
      <c r="B23" t="s">
        <v>16</v>
      </c>
      <c r="C23" s="66">
        <v>65536</v>
      </c>
      <c r="D23">
        <v>1</v>
      </c>
      <c r="E23">
        <v>8.7339487931377996E-2</v>
      </c>
      <c r="F23">
        <v>9.0510976785610958E-2</v>
      </c>
      <c r="G23">
        <v>0.30852191176381893</v>
      </c>
      <c r="H23">
        <v>7.7838256236739331E-3</v>
      </c>
      <c r="I23" s="66">
        <v>58</v>
      </c>
      <c r="J23" s="66">
        <v>56</v>
      </c>
      <c r="K23" s="66">
        <v>17</v>
      </c>
      <c r="L23" s="66">
        <v>643</v>
      </c>
      <c r="M23" s="71" t="s">
        <v>427</v>
      </c>
      <c r="N23" s="66">
        <v>196608</v>
      </c>
    </row>
    <row r="24" spans="1:14" x14ac:dyDescent="0.45">
      <c r="A24">
        <f t="shared" ca="1" si="0"/>
        <v>1</v>
      </c>
      <c r="B24" t="s">
        <v>16</v>
      </c>
      <c r="C24" s="66">
        <v>131072</v>
      </c>
      <c r="D24">
        <v>1</v>
      </c>
      <c r="E24">
        <v>0.17900400344836365</v>
      </c>
      <c r="F24">
        <v>0.20449540799949317</v>
      </c>
      <c r="G24">
        <v>0.63690628750191536</v>
      </c>
      <c r="H24">
        <v>1.6587458034553151E-2</v>
      </c>
      <c r="I24" s="66">
        <v>29</v>
      </c>
      <c r="J24" s="66">
        <v>25</v>
      </c>
      <c r="K24" s="66">
        <v>8</v>
      </c>
      <c r="L24" s="66">
        <v>303</v>
      </c>
      <c r="M24" s="71" t="s">
        <v>428</v>
      </c>
      <c r="N24" s="66">
        <v>393216</v>
      </c>
    </row>
    <row r="25" spans="1:14" x14ac:dyDescent="0.45">
      <c r="A25">
        <f t="shared" ca="1" si="0"/>
        <v>1</v>
      </c>
      <c r="B25" t="s">
        <v>16</v>
      </c>
      <c r="C25" s="66">
        <v>262144</v>
      </c>
      <c r="D25">
        <v>1</v>
      </c>
      <c r="E25">
        <v>0.36532490714203697</v>
      </c>
      <c r="F25">
        <v>0.45725294545462186</v>
      </c>
      <c r="G25">
        <v>1.7750108666756812</v>
      </c>
      <c r="H25">
        <v>3.0932098259160549E-2</v>
      </c>
      <c r="I25" s="66">
        <v>14</v>
      </c>
      <c r="J25" s="66">
        <v>11</v>
      </c>
      <c r="K25" s="66">
        <v>3</v>
      </c>
      <c r="L25" s="66">
        <v>162</v>
      </c>
      <c r="M25" s="71" t="s">
        <v>429</v>
      </c>
      <c r="N25" s="66">
        <v>786432</v>
      </c>
    </row>
    <row r="26" spans="1:14" x14ac:dyDescent="0.45">
      <c r="A26">
        <f t="shared" ca="1" si="0"/>
        <v>1</v>
      </c>
      <c r="B26" t="s">
        <v>16</v>
      </c>
      <c r="C26" s="66">
        <v>524288</v>
      </c>
      <c r="D26">
        <v>1</v>
      </c>
      <c r="E26">
        <v>0.79951061428541181</v>
      </c>
      <c r="F26">
        <v>0.76551868571550585</v>
      </c>
      <c r="G26">
        <v>2.5907447499921545</v>
      </c>
      <c r="H26">
        <v>6.2234569478918006E-2</v>
      </c>
      <c r="I26" s="66">
        <v>7</v>
      </c>
      <c r="J26" s="66">
        <v>7</v>
      </c>
      <c r="K26" s="66">
        <v>2</v>
      </c>
      <c r="L26" s="66">
        <v>81</v>
      </c>
      <c r="M26" s="71" t="s">
        <v>430</v>
      </c>
      <c r="N26" s="66">
        <v>1572864</v>
      </c>
    </row>
    <row r="27" spans="1:14" x14ac:dyDescent="0.45">
      <c r="A27">
        <f t="shared" ca="1" si="0"/>
        <v>1</v>
      </c>
      <c r="B27" t="s">
        <v>16</v>
      </c>
      <c r="C27" s="66">
        <v>1048576</v>
      </c>
      <c r="D27">
        <v>1</v>
      </c>
      <c r="E27">
        <v>1.6298676750011509</v>
      </c>
      <c r="F27">
        <v>1.629863274996751</v>
      </c>
      <c r="G27">
        <v>4.7512541500036605</v>
      </c>
      <c r="H27">
        <v>0.13415789604187012</v>
      </c>
      <c r="I27" s="66">
        <v>4</v>
      </c>
      <c r="J27" s="66">
        <v>4</v>
      </c>
      <c r="K27" s="66">
        <v>2</v>
      </c>
      <c r="L27" s="66">
        <v>38</v>
      </c>
      <c r="M27" s="71" t="s">
        <v>431</v>
      </c>
      <c r="N27" s="66">
        <v>3145728</v>
      </c>
    </row>
    <row r="28" spans="1:14" x14ac:dyDescent="0.45">
      <c r="A28">
        <f t="shared" ca="1" si="0"/>
        <v>1</v>
      </c>
      <c r="B28" t="s">
        <v>16</v>
      </c>
      <c r="C28" s="66">
        <v>2097152</v>
      </c>
      <c r="D28">
        <v>1</v>
      </c>
      <c r="E28">
        <v>3.3368246000027284</v>
      </c>
      <c r="F28">
        <v>3.1724900499975774</v>
      </c>
      <c r="G28">
        <v>9.7453960000129882</v>
      </c>
      <c r="H28">
        <v>0.27861110369364422</v>
      </c>
      <c r="I28" s="66">
        <v>2</v>
      </c>
      <c r="J28" s="66">
        <v>2</v>
      </c>
      <c r="K28" s="66">
        <v>1</v>
      </c>
      <c r="L28" s="66">
        <v>18</v>
      </c>
      <c r="M28" s="71" t="s">
        <v>432</v>
      </c>
      <c r="N28" s="66">
        <v>6291456</v>
      </c>
    </row>
    <row r="29" spans="1:14" x14ac:dyDescent="0.45">
      <c r="I29" s="66"/>
      <c r="J29" s="66"/>
      <c r="K29" s="66"/>
      <c r="L29" s="66"/>
    </row>
    <row r="30" spans="1:14" x14ac:dyDescent="0.45">
      <c r="N30">
        <f ca="1">N28/1000000/E28</f>
        <v>1.8854620048038653</v>
      </c>
    </row>
    <row r="31" spans="1:14" x14ac:dyDescent="0.45">
      <c r="I31" s="66"/>
      <c r="J31" s="66"/>
      <c r="K31" s="66"/>
      <c r="L31" s="66"/>
      <c r="M31" s="15" t="s">
        <v>587</v>
      </c>
      <c r="N31" s="66">
        <f ca="1">C28*D28/E28</f>
        <v>628487.3349346217</v>
      </c>
    </row>
    <row r="32" spans="1:14" x14ac:dyDescent="0.45">
      <c r="I32" s="66"/>
      <c r="J32" s="66"/>
      <c r="K32" s="66"/>
      <c r="L32" s="66"/>
      <c r="M32" t="s">
        <v>593</v>
      </c>
    </row>
    <row r="33" spans="1:14" ht="42.75" x14ac:dyDescent="0.45">
      <c r="A33" s="13" t="s">
        <v>10</v>
      </c>
      <c r="B33" s="13" t="s">
        <v>11</v>
      </c>
      <c r="C33" s="13" t="s">
        <v>12</v>
      </c>
      <c r="D33" s="13" t="s">
        <v>13</v>
      </c>
      <c r="E33" s="14" t="s">
        <v>407</v>
      </c>
      <c r="F33" s="14" t="s">
        <v>408</v>
      </c>
      <c r="G33" s="14" t="s">
        <v>409</v>
      </c>
      <c r="H33" s="14" t="s">
        <v>410</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2.4945695968892615E-4</v>
      </c>
      <c r="F34">
        <v>1.4949485753617024E-4</v>
      </c>
      <c r="G34">
        <v>2.0511098851460673E-3</v>
      </c>
      <c r="H34">
        <v>3.4204405527431931E-4</v>
      </c>
      <c r="I34" s="66">
        <v>20044</v>
      </c>
      <c r="J34" s="66">
        <v>33447</v>
      </c>
      <c r="K34" s="66">
        <v>2438</v>
      </c>
      <c r="L34" s="66">
        <v>14618</v>
      </c>
      <c r="M34" s="66" t="s">
        <v>433</v>
      </c>
      <c r="N34" s="66">
        <v>34</v>
      </c>
    </row>
    <row r="35" spans="1:14" x14ac:dyDescent="0.45">
      <c r="A35">
        <f t="shared" ref="A35:A54" ca="1" si="1">LEN(B35)</f>
        <v>32</v>
      </c>
      <c r="B35" t="str">
        <f t="shared" ref="B35:B54" ca="1" si="2">REPT("x",32)</f>
        <v>xxxxxxxxxxxxxxxxxxxxxxxxxxxxxxxx</v>
      </c>
      <c r="C35" s="66">
        <v>2</v>
      </c>
      <c r="D35">
        <v>1</v>
      </c>
      <c r="E35">
        <v>2.2618201926974339E-4</v>
      </c>
      <c r="F35">
        <v>1.4691427102310229E-4</v>
      </c>
      <c r="G35">
        <v>2.6465996825468861E-3</v>
      </c>
      <c r="H35">
        <v>2.94681174104227E-4</v>
      </c>
      <c r="I35" s="66">
        <v>22107</v>
      </c>
      <c r="J35" s="66">
        <v>34034</v>
      </c>
      <c r="K35" s="66">
        <v>1890</v>
      </c>
      <c r="L35" s="66">
        <v>17015</v>
      </c>
      <c r="M35" s="66" t="s">
        <v>434</v>
      </c>
      <c r="N35" s="66">
        <v>68</v>
      </c>
    </row>
    <row r="36" spans="1:14" x14ac:dyDescent="0.45">
      <c r="A36">
        <f t="shared" ca="1" si="1"/>
        <v>32</v>
      </c>
      <c r="B36" t="str">
        <f t="shared" ca="1" si="2"/>
        <v>xxxxxxxxxxxxxxxxxxxxxxxxxxxxxxxx</v>
      </c>
      <c r="C36" s="66">
        <v>4</v>
      </c>
      <c r="D36">
        <v>1</v>
      </c>
      <c r="E36">
        <v>2.2183191659261192E-4</v>
      </c>
      <c r="F36">
        <v>1.5346897483120561E-4</v>
      </c>
      <c r="G36">
        <v>2.1144373361469222E-3</v>
      </c>
      <c r="H36">
        <v>2.7922947669015922E-4</v>
      </c>
      <c r="I36" s="66">
        <v>22540</v>
      </c>
      <c r="J36" s="66">
        <v>32580</v>
      </c>
      <c r="K36" s="66">
        <v>2365</v>
      </c>
      <c r="L36" s="66">
        <v>17910</v>
      </c>
      <c r="M36" s="66" t="s">
        <v>435</v>
      </c>
      <c r="N36" s="66">
        <v>136</v>
      </c>
    </row>
    <row r="37" spans="1:14" x14ac:dyDescent="0.45">
      <c r="A37">
        <f t="shared" ca="1" si="1"/>
        <v>32</v>
      </c>
      <c r="B37" t="str">
        <f t="shared" ca="1" si="2"/>
        <v>xxxxxxxxxxxxxxxxxxxxxxxxxxxxxxxx</v>
      </c>
      <c r="C37" s="66">
        <v>8</v>
      </c>
      <c r="D37">
        <v>1</v>
      </c>
      <c r="E37">
        <v>2.4013868024323908E-4</v>
      </c>
      <c r="F37">
        <v>1.6561652479179002E-4</v>
      </c>
      <c r="G37">
        <v>1.9954691141250477E-3</v>
      </c>
      <c r="H37">
        <v>2.8538812785388126E-4</v>
      </c>
      <c r="I37" s="66">
        <v>20822</v>
      </c>
      <c r="J37" s="66">
        <v>30191</v>
      </c>
      <c r="K37" s="66">
        <v>2506</v>
      </c>
      <c r="L37" s="66">
        <v>17520</v>
      </c>
      <c r="M37" s="66" t="s">
        <v>436</v>
      </c>
      <c r="N37" s="66">
        <v>272</v>
      </c>
    </row>
    <row r="38" spans="1:14" x14ac:dyDescent="0.45">
      <c r="A38">
        <f t="shared" ca="1" si="1"/>
        <v>32</v>
      </c>
      <c r="B38" t="str">
        <f t="shared" ca="1" si="2"/>
        <v>xxxxxxxxxxxxxxxxxxxxxxxxxxxxxxxx</v>
      </c>
      <c r="C38" s="66">
        <v>16</v>
      </c>
      <c r="D38">
        <v>1</v>
      </c>
      <c r="E38">
        <v>2.5961651609555806E-4</v>
      </c>
      <c r="F38">
        <v>1.8306926372023882E-4</v>
      </c>
      <c r="G38">
        <v>2.2078553200791905E-3</v>
      </c>
      <c r="H38">
        <v>2.9453345900094249E-4</v>
      </c>
      <c r="I38" s="66">
        <v>19260</v>
      </c>
      <c r="J38" s="66">
        <v>27313</v>
      </c>
      <c r="K38" s="66">
        <v>2265</v>
      </c>
      <c r="L38" s="66">
        <v>16976</v>
      </c>
      <c r="M38" s="66" t="s">
        <v>437</v>
      </c>
      <c r="N38" s="66">
        <v>544</v>
      </c>
    </row>
    <row r="39" spans="1:14" x14ac:dyDescent="0.45">
      <c r="A39">
        <f t="shared" ca="1" si="1"/>
        <v>32</v>
      </c>
      <c r="B39" t="str">
        <f t="shared" ca="1" si="2"/>
        <v>xxxxxxxxxxxxxxxxxxxxxxxxxxxxxxxx</v>
      </c>
      <c r="C39" s="66">
        <v>32</v>
      </c>
      <c r="D39">
        <v>1</v>
      </c>
      <c r="E39">
        <v>3.2726478172634453E-4</v>
      </c>
      <c r="F39">
        <v>2.3862903980137833E-4</v>
      </c>
      <c r="G39">
        <v>2.3540974576264076E-3</v>
      </c>
      <c r="H39">
        <v>2.9301453352086266E-4</v>
      </c>
      <c r="I39" s="66">
        <v>15279</v>
      </c>
      <c r="J39" s="66">
        <v>20954</v>
      </c>
      <c r="K39" s="66">
        <v>2124</v>
      </c>
      <c r="L39" s="66">
        <v>17064</v>
      </c>
      <c r="M39" s="66" t="s">
        <v>438</v>
      </c>
      <c r="N39" s="66">
        <v>1088</v>
      </c>
    </row>
    <row r="40" spans="1:14" x14ac:dyDescent="0.45">
      <c r="A40">
        <f t="shared" ca="1" si="1"/>
        <v>32</v>
      </c>
      <c r="B40" t="str">
        <f t="shared" ca="1" si="2"/>
        <v>xxxxxxxxxxxxxxxxxxxxxxxxxxxxxxxx</v>
      </c>
      <c r="C40" s="66">
        <v>64</v>
      </c>
      <c r="D40">
        <v>1</v>
      </c>
      <c r="E40">
        <v>3.9523748320311088E-4</v>
      </c>
      <c r="F40">
        <v>3.2967468846847593E-4</v>
      </c>
      <c r="G40">
        <v>2.4310831307741646E-3</v>
      </c>
      <c r="H40">
        <v>2.7915805929317177E-4</v>
      </c>
      <c r="I40" s="66">
        <v>12651</v>
      </c>
      <c r="J40" s="66">
        <v>15167</v>
      </c>
      <c r="K40" s="66">
        <v>2057</v>
      </c>
      <c r="L40" s="66">
        <v>17911</v>
      </c>
      <c r="M40" s="66" t="s">
        <v>439</v>
      </c>
      <c r="N40" s="66">
        <v>2176</v>
      </c>
    </row>
    <row r="41" spans="1:14" x14ac:dyDescent="0.45">
      <c r="A41">
        <f t="shared" ca="1" si="1"/>
        <v>32</v>
      </c>
      <c r="B41" t="str">
        <f t="shared" ca="1" si="2"/>
        <v>xxxxxxxxxxxxxxxxxxxxxxxxxxxxxxxx</v>
      </c>
      <c r="C41" s="66">
        <v>128</v>
      </c>
      <c r="D41">
        <v>1</v>
      </c>
      <c r="E41">
        <v>6.7730357578325373E-4</v>
      </c>
      <c r="F41">
        <v>1.1897604806047769E-3</v>
      </c>
      <c r="G41">
        <v>3.5090521403604693E-3</v>
      </c>
      <c r="H41">
        <v>3.0894710825506676E-4</v>
      </c>
      <c r="I41" s="66">
        <v>7383</v>
      </c>
      <c r="J41" s="66">
        <v>4203</v>
      </c>
      <c r="K41" s="66">
        <v>1425</v>
      </c>
      <c r="L41" s="66">
        <v>16184</v>
      </c>
      <c r="M41" s="66" t="s">
        <v>440</v>
      </c>
      <c r="N41" s="66">
        <v>4352</v>
      </c>
    </row>
    <row r="42" spans="1:14" x14ac:dyDescent="0.45">
      <c r="A42">
        <f t="shared" ca="1" si="1"/>
        <v>32</v>
      </c>
      <c r="B42" t="str">
        <f t="shared" ca="1" si="2"/>
        <v>xxxxxxxxxxxxxxxxxxxxxxxxxxxxxxxx</v>
      </c>
      <c r="C42" s="66">
        <v>256</v>
      </c>
      <c r="D42">
        <v>1</v>
      </c>
      <c r="E42">
        <v>1.0156688807642293E-3</v>
      </c>
      <c r="F42">
        <v>1.0152471173407473E-3</v>
      </c>
      <c r="G42">
        <v>5.4614781659410652E-3</v>
      </c>
      <c r="H42">
        <v>3.9872408293460925E-4</v>
      </c>
      <c r="I42" s="66">
        <v>4923</v>
      </c>
      <c r="J42" s="66">
        <v>4926</v>
      </c>
      <c r="K42" s="66">
        <v>916</v>
      </c>
      <c r="L42" s="66">
        <v>12540</v>
      </c>
      <c r="M42" s="66" t="s">
        <v>441</v>
      </c>
      <c r="N42" s="66">
        <v>8704</v>
      </c>
    </row>
    <row r="43" spans="1:14" x14ac:dyDescent="0.45">
      <c r="A43">
        <f t="shared" ca="1" si="1"/>
        <v>32</v>
      </c>
      <c r="B43" t="str">
        <f t="shared" ca="1" si="2"/>
        <v>xxxxxxxxxxxxxxxxxxxxxxxxxxxxxxxx</v>
      </c>
      <c r="C43" s="66">
        <v>512</v>
      </c>
      <c r="D43">
        <v>1</v>
      </c>
      <c r="E43">
        <v>1.6921613797727163E-3</v>
      </c>
      <c r="F43">
        <v>1.658416716418589E-3</v>
      </c>
      <c r="G43">
        <v>4.5425017257212583E-3</v>
      </c>
      <c r="H43">
        <v>4.164584374479427E-4</v>
      </c>
      <c r="I43" s="66">
        <v>2957</v>
      </c>
      <c r="J43" s="66">
        <v>3015</v>
      </c>
      <c r="K43" s="66">
        <v>1101</v>
      </c>
      <c r="L43" s="66">
        <v>12006</v>
      </c>
      <c r="M43" s="66" t="s">
        <v>442</v>
      </c>
      <c r="N43" s="66">
        <v>17408</v>
      </c>
    </row>
    <row r="44" spans="1:14" x14ac:dyDescent="0.45">
      <c r="A44">
        <f t="shared" ca="1" si="1"/>
        <v>32</v>
      </c>
      <c r="B44" t="str">
        <f t="shared" ca="1" si="2"/>
        <v>xxxxxxxxxxxxxxxxxxxxxxxxxxxxxxxx</v>
      </c>
      <c r="C44" s="66">
        <v>1024</v>
      </c>
      <c r="D44">
        <v>1</v>
      </c>
      <c r="E44">
        <v>3.1303680225300808E-3</v>
      </c>
      <c r="F44">
        <v>3.5771829756782877E-3</v>
      </c>
      <c r="G44">
        <v>7.8440358372571326E-3</v>
      </c>
      <c r="H44">
        <v>5.2537564358516337E-4</v>
      </c>
      <c r="I44" s="66">
        <v>1598</v>
      </c>
      <c r="J44" s="66">
        <v>1398</v>
      </c>
      <c r="K44" s="66">
        <v>639</v>
      </c>
      <c r="L44" s="66">
        <v>9517</v>
      </c>
      <c r="M44" s="66" t="s">
        <v>443</v>
      </c>
      <c r="N44" s="66">
        <v>34816</v>
      </c>
    </row>
    <row r="45" spans="1:14" x14ac:dyDescent="0.45">
      <c r="A45">
        <f t="shared" ca="1" si="1"/>
        <v>32</v>
      </c>
      <c r="B45" t="str">
        <f t="shared" ca="1" si="2"/>
        <v>xxxxxxxxxxxxxxxxxxxxxxxxxxxxxxxx</v>
      </c>
      <c r="C45" s="66">
        <v>2048</v>
      </c>
      <c r="D45">
        <v>1</v>
      </c>
      <c r="E45">
        <v>6.4829818652870396E-3</v>
      </c>
      <c r="F45">
        <v>6.4734147477489602E-3</v>
      </c>
      <c r="G45">
        <v>1.3211577836458514E-2</v>
      </c>
      <c r="H45">
        <v>7.1633237822349568E-4</v>
      </c>
      <c r="I45" s="66">
        <v>772</v>
      </c>
      <c r="J45" s="66">
        <v>773</v>
      </c>
      <c r="K45" s="66">
        <v>379</v>
      </c>
      <c r="L45" s="66">
        <v>6980</v>
      </c>
      <c r="M45" s="66" t="s">
        <v>444</v>
      </c>
      <c r="N45" s="66">
        <v>69632</v>
      </c>
    </row>
    <row r="46" spans="1:14" x14ac:dyDescent="0.45">
      <c r="A46">
        <f t="shared" ca="1" si="1"/>
        <v>32</v>
      </c>
      <c r="B46" t="str">
        <f t="shared" ca="1" si="2"/>
        <v>xxxxxxxxxxxxxxxxxxxxxxxxxxxxxxxx</v>
      </c>
      <c r="C46" s="66">
        <v>4096</v>
      </c>
      <c r="D46">
        <v>1</v>
      </c>
      <c r="E46">
        <v>1.4317595428604233E-2</v>
      </c>
      <c r="F46">
        <v>1.2321741133025076E-2</v>
      </c>
      <c r="G46">
        <v>2.404115048067559E-2</v>
      </c>
      <c r="H46">
        <v>1.126887536623845E-3</v>
      </c>
      <c r="I46" s="66">
        <v>350</v>
      </c>
      <c r="J46" s="66">
        <v>406</v>
      </c>
      <c r="K46" s="66">
        <v>208</v>
      </c>
      <c r="L46" s="66">
        <v>4437</v>
      </c>
      <c r="M46" s="66" t="s">
        <v>445</v>
      </c>
      <c r="N46" s="66">
        <v>139264</v>
      </c>
    </row>
    <row r="47" spans="1:14" x14ac:dyDescent="0.45">
      <c r="A47">
        <f t="shared" ca="1" si="1"/>
        <v>32</v>
      </c>
      <c r="B47" t="str">
        <f t="shared" ca="1" si="2"/>
        <v>xxxxxxxxxxxxxxxxxxxxxxxxxxxxxxxx</v>
      </c>
      <c r="C47" s="66">
        <v>8192</v>
      </c>
      <c r="D47">
        <v>1</v>
      </c>
      <c r="E47">
        <v>2.435714757288648E-2</v>
      </c>
      <c r="F47">
        <v>2.4408887317063425E-2</v>
      </c>
      <c r="G47">
        <v>4.3146333620825317E-2</v>
      </c>
      <c r="H47">
        <v>2.2231110466851126E-3</v>
      </c>
      <c r="I47" s="66">
        <v>206</v>
      </c>
      <c r="J47" s="66">
        <v>205</v>
      </c>
      <c r="K47" s="66">
        <v>116</v>
      </c>
      <c r="L47" s="66">
        <v>2250</v>
      </c>
      <c r="M47" s="66" t="s">
        <v>446</v>
      </c>
      <c r="N47" s="66">
        <v>278528</v>
      </c>
    </row>
    <row r="48" spans="1:14" x14ac:dyDescent="0.45">
      <c r="A48">
        <f t="shared" ca="1" si="1"/>
        <v>32</v>
      </c>
      <c r="B48" t="str">
        <f t="shared" ca="1" si="2"/>
        <v>xxxxxxxxxxxxxxxxxxxxxxxxxxxxxxxx</v>
      </c>
      <c r="C48" s="66">
        <v>16384</v>
      </c>
      <c r="D48">
        <v>1</v>
      </c>
      <c r="E48">
        <v>5.0966702020054475E-2</v>
      </c>
      <c r="F48">
        <v>5.3448169148821841E-2</v>
      </c>
      <c r="G48">
        <v>8.2054673770412076E-2</v>
      </c>
      <c r="H48">
        <v>4.2898800115438104E-3</v>
      </c>
      <c r="I48" s="66">
        <v>99</v>
      </c>
      <c r="J48" s="66">
        <v>94</v>
      </c>
      <c r="K48" s="66">
        <v>61</v>
      </c>
      <c r="L48" s="66">
        <v>1166</v>
      </c>
      <c r="M48" s="66" t="s">
        <v>447</v>
      </c>
      <c r="N48" s="66">
        <v>557056</v>
      </c>
    </row>
    <row r="49" spans="1:14" x14ac:dyDescent="0.45">
      <c r="A49">
        <f t="shared" ca="1" si="1"/>
        <v>32</v>
      </c>
      <c r="B49" t="str">
        <f t="shared" ca="1" si="2"/>
        <v>xxxxxxxxxxxxxxxxxxxxxxxxxxxxxxxx</v>
      </c>
      <c r="C49" s="66">
        <v>32768</v>
      </c>
      <c r="D49">
        <v>1</v>
      </c>
      <c r="E49">
        <v>0.11740958139497981</v>
      </c>
      <c r="F49">
        <v>0.10301378571454492</v>
      </c>
      <c r="G49">
        <v>0.16694806666637305</v>
      </c>
      <c r="H49">
        <v>7.6079024369955783E-3</v>
      </c>
      <c r="I49" s="66">
        <v>43</v>
      </c>
      <c r="J49" s="66">
        <v>49</v>
      </c>
      <c r="K49" s="66">
        <v>30</v>
      </c>
      <c r="L49" s="66">
        <v>658</v>
      </c>
      <c r="M49" s="66" t="s">
        <v>448</v>
      </c>
      <c r="N49" s="66">
        <v>1114112</v>
      </c>
    </row>
    <row r="50" spans="1:14" x14ac:dyDescent="0.45">
      <c r="A50">
        <f t="shared" ca="1" si="1"/>
        <v>32</v>
      </c>
      <c r="B50" t="str">
        <f t="shared" ca="1" si="2"/>
        <v>xxxxxxxxxxxxxxxxxxxxxxxxxxxxxxxx</v>
      </c>
      <c r="C50" s="66">
        <v>65536</v>
      </c>
      <c r="D50">
        <v>1</v>
      </c>
      <c r="E50">
        <v>0.20792233999934978</v>
      </c>
      <c r="F50">
        <v>0.20114135200041347</v>
      </c>
      <c r="G50">
        <v>0.31779119374914444</v>
      </c>
      <c r="H50">
        <v>1.4204545454545454E-2</v>
      </c>
      <c r="I50" s="66">
        <v>25</v>
      </c>
      <c r="J50" s="66">
        <v>25</v>
      </c>
      <c r="K50" s="66">
        <v>16</v>
      </c>
      <c r="L50" s="66">
        <v>352</v>
      </c>
      <c r="M50" s="66" t="s">
        <v>449</v>
      </c>
      <c r="N50" s="66">
        <v>2228224</v>
      </c>
    </row>
    <row r="51" spans="1:14" x14ac:dyDescent="0.45">
      <c r="A51">
        <f t="shared" ca="1" si="1"/>
        <v>32</v>
      </c>
      <c r="B51" t="str">
        <f t="shared" ca="1" si="2"/>
        <v>xxxxxxxxxxxxxxxxxxxxxxxxxxxxxxxx</v>
      </c>
      <c r="C51" s="66">
        <v>131072</v>
      </c>
      <c r="D51">
        <v>1</v>
      </c>
      <c r="E51">
        <v>0.41630332307809464</v>
      </c>
      <c r="F51">
        <v>0.41159190769226722</v>
      </c>
      <c r="G51">
        <v>0.67257956250250572</v>
      </c>
      <c r="H51">
        <v>2.889655239280613E-2</v>
      </c>
      <c r="I51" s="66">
        <v>13</v>
      </c>
      <c r="J51" s="66">
        <v>13</v>
      </c>
      <c r="K51" s="66">
        <v>8</v>
      </c>
      <c r="L51" s="66">
        <v>174</v>
      </c>
      <c r="M51" s="66" t="s">
        <v>450</v>
      </c>
      <c r="N51" s="66">
        <v>4456448</v>
      </c>
    </row>
    <row r="52" spans="1:14" x14ac:dyDescent="0.45">
      <c r="A52">
        <f t="shared" ca="1" si="1"/>
        <v>32</v>
      </c>
      <c r="B52" t="str">
        <f t="shared" ca="1" si="2"/>
        <v>xxxxxxxxxxxxxxxxxxxxxxxxxxxxxxxx</v>
      </c>
      <c r="C52" s="66">
        <v>262144</v>
      </c>
      <c r="D52">
        <v>1</v>
      </c>
      <c r="E52">
        <v>0.86374633333374129</v>
      </c>
      <c r="F52">
        <v>0.84885861666407436</v>
      </c>
      <c r="G52">
        <v>1.4310994749976089</v>
      </c>
      <c r="H52">
        <v>6.137804868744641E-2</v>
      </c>
      <c r="I52" s="66">
        <v>6</v>
      </c>
      <c r="J52" s="66">
        <v>6</v>
      </c>
      <c r="K52" s="66">
        <v>4</v>
      </c>
      <c r="L52" s="66">
        <v>82</v>
      </c>
      <c r="M52" s="66" t="s">
        <v>451</v>
      </c>
      <c r="N52" s="66">
        <v>8912896</v>
      </c>
    </row>
    <row r="53" spans="1:14" x14ac:dyDescent="0.45">
      <c r="A53">
        <f t="shared" ca="1" si="1"/>
        <v>32</v>
      </c>
      <c r="B53" t="str">
        <f t="shared" ca="1" si="2"/>
        <v>xxxxxxxxxxxxxxxxxxxxxxxxxxxxxxxx</v>
      </c>
      <c r="C53" s="66">
        <v>524288</v>
      </c>
      <c r="D53">
        <v>1</v>
      </c>
      <c r="E53">
        <v>1.7137609666679054</v>
      </c>
      <c r="F53">
        <v>1.6791433666755136</v>
      </c>
      <c r="G53">
        <v>2.7391591000050539</v>
      </c>
      <c r="H53">
        <v>0.11160000165303548</v>
      </c>
      <c r="I53" s="66">
        <v>3</v>
      </c>
      <c r="J53" s="66">
        <v>3</v>
      </c>
      <c r="K53" s="66">
        <v>2</v>
      </c>
      <c r="L53" s="66">
        <v>45</v>
      </c>
      <c r="M53" s="66" t="s">
        <v>452</v>
      </c>
      <c r="N53" s="66">
        <v>17825792</v>
      </c>
    </row>
    <row r="54" spans="1:14" x14ac:dyDescent="0.45">
      <c r="A54">
        <f t="shared" ca="1" si="1"/>
        <v>32</v>
      </c>
      <c r="B54" t="str">
        <f t="shared" ca="1" si="2"/>
        <v>xxxxxxxxxxxxxxxxxxxxxxxxxxxxxxxx</v>
      </c>
      <c r="C54" s="66">
        <v>1048576</v>
      </c>
      <c r="D54">
        <v>1</v>
      </c>
      <c r="E54">
        <v>3.6124861499993131</v>
      </c>
      <c r="F54">
        <v>3.3434077999991132</v>
      </c>
      <c r="G54">
        <v>5.4561891000194009</v>
      </c>
      <c r="H54">
        <v>0.24123809451148623</v>
      </c>
      <c r="I54" s="66">
        <v>2</v>
      </c>
      <c r="J54" s="66">
        <v>2</v>
      </c>
      <c r="K54" s="66">
        <v>1</v>
      </c>
      <c r="L54" s="66">
        <v>21</v>
      </c>
      <c r="M54" s="66" t="s">
        <v>453</v>
      </c>
      <c r="N54" s="66">
        <v>35651584</v>
      </c>
    </row>
    <row r="55" spans="1:14" x14ac:dyDescent="0.45">
      <c r="C55" s="66"/>
      <c r="I55" s="66"/>
      <c r="J55" s="66"/>
      <c r="K55" s="66"/>
      <c r="L55" s="66"/>
    </row>
    <row r="56" spans="1:14" x14ac:dyDescent="0.45">
      <c r="I56" s="66"/>
      <c r="J56" s="66"/>
      <c r="K56" s="66"/>
      <c r="L56" s="66"/>
      <c r="N56">
        <f ca="1">N54/1000000/E54</f>
        <v>9.8689884250509241</v>
      </c>
    </row>
    <row r="57" spans="1:14" x14ac:dyDescent="0.45">
      <c r="I57" s="66"/>
      <c r="J57" s="66"/>
      <c r="K57" s="66"/>
      <c r="L57" s="66"/>
      <c r="N57" s="66">
        <f ca="1">C54*D54/E54</f>
        <v>290264.36544267426</v>
      </c>
    </row>
    <row r="58" spans="1:14" x14ac:dyDescent="0.45">
      <c r="I58" s="66"/>
      <c r="J58" s="66"/>
      <c r="K58" s="66"/>
      <c r="L58" s="66"/>
      <c r="M58" s="15" t="s">
        <v>586</v>
      </c>
    </row>
    <row r="59" spans="1:14" x14ac:dyDescent="0.45">
      <c r="I59" s="66"/>
      <c r="J59" s="66"/>
      <c r="K59" s="66"/>
      <c r="L59" s="66"/>
      <c r="M59" t="s">
        <v>594</v>
      </c>
    </row>
    <row r="60" spans="1:14" ht="42.75" x14ac:dyDescent="0.45">
      <c r="A60" s="13" t="s">
        <v>10</v>
      </c>
      <c r="B60" s="13" t="s">
        <v>11</v>
      </c>
      <c r="C60" s="13" t="s">
        <v>12</v>
      </c>
      <c r="D60" s="13" t="s">
        <v>13</v>
      </c>
      <c r="E60" s="14" t="s">
        <v>407</v>
      </c>
      <c r="F60" s="14" t="s">
        <v>408</v>
      </c>
      <c r="G60" s="14" t="s">
        <v>409</v>
      </c>
      <c r="H60" s="14" t="s">
        <v>410</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2.0095312060420243E-4</v>
      </c>
      <c r="F61">
        <v>1.4002063567613234E-4</v>
      </c>
      <c r="G61">
        <v>2.1035422801777099E-3</v>
      </c>
      <c r="H61">
        <v>2.6981132692403869E-4</v>
      </c>
      <c r="I61" s="66">
        <v>24883</v>
      </c>
      <c r="J61" s="66">
        <v>35710</v>
      </c>
      <c r="K61" s="66">
        <v>2377</v>
      </c>
      <c r="L61" s="66">
        <v>18550</v>
      </c>
      <c r="M61" s="66" t="s">
        <v>454</v>
      </c>
      <c r="N61" s="66">
        <v>26</v>
      </c>
    </row>
    <row r="62" spans="1:14" x14ac:dyDescent="0.45">
      <c r="A62">
        <f t="shared" ref="A62:A81" ca="1" si="3">LEN(B62)</f>
        <v>20</v>
      </c>
      <c r="B62" t="str">
        <f t="shared" ref="B62:B81" ca="1" si="4">"""xxxxxxxx"&amp;CHAR(13)&amp;CHAR(10)&amp;"yyyyyyyy"""</f>
        <v>"xxxxxxxx_x000D_
yyyyyyyy"</v>
      </c>
      <c r="C62" s="66">
        <v>2</v>
      </c>
      <c r="D62">
        <v>1</v>
      </c>
      <c r="E62">
        <v>2.1484539595158101E-4</v>
      </c>
      <c r="F62">
        <v>1.4230922157395091E-4</v>
      </c>
      <c r="G62">
        <v>2.2224222222187867E-3</v>
      </c>
      <c r="H62">
        <v>2.5379422364346985E-4</v>
      </c>
      <c r="I62" s="66">
        <v>23273</v>
      </c>
      <c r="J62" s="66">
        <v>35135</v>
      </c>
      <c r="K62" s="66">
        <v>2250</v>
      </c>
      <c r="L62" s="66">
        <v>19701</v>
      </c>
      <c r="M62" s="66" t="s">
        <v>455</v>
      </c>
      <c r="N62" s="66">
        <v>52</v>
      </c>
    </row>
    <row r="63" spans="1:14" x14ac:dyDescent="0.45">
      <c r="A63">
        <f t="shared" ca="1" si="3"/>
        <v>20</v>
      </c>
      <c r="B63" t="str">
        <f t="shared" ca="1" si="4"/>
        <v>"xxxxxxxx_x000D_
yyyyyyyy"</v>
      </c>
      <c r="C63" s="66">
        <v>4</v>
      </c>
      <c r="D63">
        <v>1</v>
      </c>
      <c r="E63">
        <v>2.1687017262257371E-4</v>
      </c>
      <c r="F63">
        <v>1.5774321092882609E-4</v>
      </c>
      <c r="G63">
        <v>2.25235319819337E-3</v>
      </c>
      <c r="H63">
        <v>2.5272947836635666E-4</v>
      </c>
      <c r="I63" s="66">
        <v>23056</v>
      </c>
      <c r="J63" s="66">
        <v>31698</v>
      </c>
      <c r="K63" s="66">
        <v>2220</v>
      </c>
      <c r="L63" s="66">
        <v>19784</v>
      </c>
      <c r="M63" s="66" t="s">
        <v>456</v>
      </c>
      <c r="N63" s="66">
        <v>104</v>
      </c>
    </row>
    <row r="64" spans="1:14" x14ac:dyDescent="0.45">
      <c r="A64">
        <f t="shared" ca="1" si="3"/>
        <v>20</v>
      </c>
      <c r="B64" t="str">
        <f t="shared" ca="1" si="4"/>
        <v>"xxxxxxxx_x000D_
yyyyyyyy"</v>
      </c>
      <c r="C64" s="66">
        <v>8</v>
      </c>
      <c r="D64">
        <v>1</v>
      </c>
      <c r="E64">
        <v>2.4285320316584432E-4</v>
      </c>
      <c r="F64">
        <v>1.7729987943779655E-4</v>
      </c>
      <c r="G64">
        <v>2.555569034231223E-3</v>
      </c>
      <c r="H64">
        <v>2.6289228447252022E-4</v>
      </c>
      <c r="I64" s="66">
        <v>20589</v>
      </c>
      <c r="J64" s="66">
        <v>28201</v>
      </c>
      <c r="K64" s="66">
        <v>1957</v>
      </c>
      <c r="L64" s="66">
        <v>19023</v>
      </c>
      <c r="M64" s="66" t="s">
        <v>457</v>
      </c>
      <c r="N64" s="66">
        <v>208</v>
      </c>
    </row>
    <row r="65" spans="1:14" x14ac:dyDescent="0.45">
      <c r="A65">
        <f t="shared" ca="1" si="3"/>
        <v>20</v>
      </c>
      <c r="B65" t="str">
        <f t="shared" ca="1" si="4"/>
        <v>"xxxxxxxx_x000D_
yyyyyyyy"</v>
      </c>
      <c r="C65" s="66">
        <v>16</v>
      </c>
      <c r="D65">
        <v>1</v>
      </c>
      <c r="E65">
        <v>2.751215197539832E-4</v>
      </c>
      <c r="F65">
        <v>2.1834777729249231E-4</v>
      </c>
      <c r="G65">
        <v>2.7000134449270373E-3</v>
      </c>
      <c r="H65">
        <v>2.6372698982013817E-4</v>
      </c>
      <c r="I65" s="66">
        <v>18174</v>
      </c>
      <c r="J65" s="66">
        <v>22900</v>
      </c>
      <c r="K65" s="66">
        <v>1852</v>
      </c>
      <c r="L65" s="66">
        <v>18959</v>
      </c>
      <c r="M65" s="66" t="s">
        <v>458</v>
      </c>
      <c r="N65" s="66">
        <v>416</v>
      </c>
    </row>
    <row r="66" spans="1:14" x14ac:dyDescent="0.45">
      <c r="A66">
        <f t="shared" ca="1" si="3"/>
        <v>20</v>
      </c>
      <c r="B66" t="str">
        <f t="shared" ca="1" si="4"/>
        <v>"xxxxxxxx_x000D_
yyyyyyyy"</v>
      </c>
      <c r="C66" s="66">
        <v>32</v>
      </c>
      <c r="D66">
        <v>1</v>
      </c>
      <c r="E66">
        <v>3.4922519206587952E-4</v>
      </c>
      <c r="F66">
        <v>2.9407881550333215E-4</v>
      </c>
      <c r="G66">
        <v>3.7915828658122755E-3</v>
      </c>
      <c r="H66">
        <v>2.8628685943315199E-4</v>
      </c>
      <c r="I66" s="66">
        <v>14318</v>
      </c>
      <c r="J66" s="66">
        <v>17003</v>
      </c>
      <c r="K66" s="66">
        <v>1319</v>
      </c>
      <c r="L66" s="66">
        <v>17465</v>
      </c>
      <c r="M66" s="66" t="s">
        <v>459</v>
      </c>
      <c r="N66" s="66">
        <v>832</v>
      </c>
    </row>
    <row r="67" spans="1:14" x14ac:dyDescent="0.45">
      <c r="A67">
        <f t="shared" ca="1" si="3"/>
        <v>20</v>
      </c>
      <c r="B67" t="str">
        <f t="shared" ca="1" si="4"/>
        <v>"xxxxxxxx_x000D_
yyyyyyyy"</v>
      </c>
      <c r="C67" s="66">
        <v>64</v>
      </c>
      <c r="D67">
        <v>1</v>
      </c>
      <c r="E67">
        <v>5.1849459767937841E-4</v>
      </c>
      <c r="F67">
        <v>4.4410326849766079E-4</v>
      </c>
      <c r="G67">
        <v>4.9756087562004428E-3</v>
      </c>
      <c r="H67">
        <v>2.810409757742679E-4</v>
      </c>
      <c r="I67" s="66">
        <v>9644</v>
      </c>
      <c r="J67" s="66">
        <v>11259</v>
      </c>
      <c r="K67" s="66">
        <v>1005</v>
      </c>
      <c r="L67" s="66">
        <v>17791</v>
      </c>
      <c r="M67" s="66" t="s">
        <v>460</v>
      </c>
      <c r="N67" s="66">
        <v>1664</v>
      </c>
    </row>
    <row r="68" spans="1:14" x14ac:dyDescent="0.45">
      <c r="A68">
        <f t="shared" ca="1" si="3"/>
        <v>20</v>
      </c>
      <c r="B68" t="str">
        <f t="shared" ca="1" si="4"/>
        <v>"xxxxxxxx_x000D_
yyyyyyyy"</v>
      </c>
      <c r="C68" s="66">
        <v>128</v>
      </c>
      <c r="D68">
        <v>1</v>
      </c>
      <c r="E68">
        <v>7.5230251241228605E-4</v>
      </c>
      <c r="F68">
        <v>7.7408642415101455E-4</v>
      </c>
      <c r="G68">
        <v>7.4464114583125112E-3</v>
      </c>
      <c r="H68">
        <v>2.9140925515794383E-4</v>
      </c>
      <c r="I68" s="66">
        <v>6647</v>
      </c>
      <c r="J68" s="66">
        <v>6460</v>
      </c>
      <c r="K68" s="66">
        <v>672</v>
      </c>
      <c r="L68" s="66">
        <v>17158</v>
      </c>
      <c r="M68" s="66" t="s">
        <v>461</v>
      </c>
      <c r="N68" s="66">
        <v>3328</v>
      </c>
    </row>
    <row r="69" spans="1:14" x14ac:dyDescent="0.45">
      <c r="A69">
        <f t="shared" ca="1" si="3"/>
        <v>20</v>
      </c>
      <c r="B69" t="str">
        <f t="shared" ca="1" si="4"/>
        <v>"xxxxxxxx_x000D_
yyyyyyyy"</v>
      </c>
      <c r="C69" s="66">
        <v>256</v>
      </c>
      <c r="D69">
        <v>1</v>
      </c>
      <c r="E69">
        <v>1.3016328734998654E-3</v>
      </c>
      <c r="F69">
        <v>1.4302238558383884E-3</v>
      </c>
      <c r="G69">
        <v>1.3800443526207965E-2</v>
      </c>
      <c r="H69">
        <v>3.2575412078962801E-4</v>
      </c>
      <c r="I69" s="66">
        <v>3842</v>
      </c>
      <c r="J69" s="66">
        <v>3496</v>
      </c>
      <c r="K69" s="66">
        <v>363</v>
      </c>
      <c r="L69" s="66">
        <v>15349</v>
      </c>
      <c r="M69" s="66" t="s">
        <v>462</v>
      </c>
      <c r="N69" s="66">
        <v>6656</v>
      </c>
    </row>
    <row r="70" spans="1:14" x14ac:dyDescent="0.45">
      <c r="A70">
        <f t="shared" ca="1" si="3"/>
        <v>20</v>
      </c>
      <c r="B70" t="str">
        <f t="shared" ca="1" si="4"/>
        <v>"xxxxxxxx_x000D_
yyyyyyyy"</v>
      </c>
      <c r="C70" s="66">
        <v>512</v>
      </c>
      <c r="D70">
        <v>1</v>
      </c>
      <c r="E70">
        <v>2.5042929894806892E-3</v>
      </c>
      <c r="F70">
        <v>2.7368274220042686E-3</v>
      </c>
      <c r="G70">
        <v>2.4769662376285743E-2</v>
      </c>
      <c r="H70">
        <v>4.5570543200874956E-4</v>
      </c>
      <c r="I70" s="66">
        <v>1997</v>
      </c>
      <c r="J70" s="66">
        <v>1827</v>
      </c>
      <c r="K70" s="66">
        <v>202</v>
      </c>
      <c r="L70" s="66">
        <v>10972</v>
      </c>
      <c r="M70" s="66" t="s">
        <v>463</v>
      </c>
      <c r="N70" s="66">
        <v>13312</v>
      </c>
    </row>
    <row r="71" spans="1:14" x14ac:dyDescent="0.45">
      <c r="A71">
        <f t="shared" ca="1" si="3"/>
        <v>20</v>
      </c>
      <c r="B71" t="str">
        <f t="shared" ca="1" si="4"/>
        <v>"xxxxxxxx_x000D_
yyyyyyyy"</v>
      </c>
      <c r="C71" s="66">
        <v>1024</v>
      </c>
      <c r="D71">
        <v>1</v>
      </c>
      <c r="E71">
        <v>4.7599903992348452E-3</v>
      </c>
      <c r="F71">
        <v>5.4101755675809412E-3</v>
      </c>
      <c r="G71">
        <v>4.5234366666697605E-2</v>
      </c>
      <c r="H71">
        <v>6.0790273556231007E-4</v>
      </c>
      <c r="I71" s="66">
        <v>1052</v>
      </c>
      <c r="J71" s="66">
        <v>925</v>
      </c>
      <c r="K71" s="66">
        <v>111</v>
      </c>
      <c r="L71" s="66">
        <v>8225</v>
      </c>
      <c r="M71" s="66" t="s">
        <v>464</v>
      </c>
      <c r="N71" s="66">
        <v>26624</v>
      </c>
    </row>
    <row r="72" spans="1:14" x14ac:dyDescent="0.45">
      <c r="A72">
        <f t="shared" ca="1" si="3"/>
        <v>20</v>
      </c>
      <c r="B72" t="str">
        <f t="shared" ca="1" si="4"/>
        <v>"xxxxxxxx_x000D_
yyyyyyyy"</v>
      </c>
      <c r="C72" s="66">
        <v>2048</v>
      </c>
      <c r="D72">
        <v>1</v>
      </c>
      <c r="E72">
        <v>9.493555218216378E-3</v>
      </c>
      <c r="F72">
        <v>1.0969128508772803E-2</v>
      </c>
      <c r="G72">
        <v>9.2795738888930321E-2</v>
      </c>
      <c r="H72">
        <v>7.6452599388379206E-4</v>
      </c>
      <c r="I72" s="66">
        <v>527</v>
      </c>
      <c r="J72" s="66">
        <v>456</v>
      </c>
      <c r="K72" s="66">
        <v>54</v>
      </c>
      <c r="L72" s="66">
        <v>6540</v>
      </c>
      <c r="M72" s="66" t="s">
        <v>465</v>
      </c>
      <c r="N72" s="66">
        <v>53248</v>
      </c>
    </row>
    <row r="73" spans="1:14" x14ac:dyDescent="0.45">
      <c r="A73">
        <f t="shared" ca="1" si="3"/>
        <v>20</v>
      </c>
      <c r="B73" t="str">
        <f t="shared" ca="1" si="4"/>
        <v>"xxxxxxxx_x000D_
yyyyyyyy"</v>
      </c>
      <c r="C73" s="66">
        <v>4096</v>
      </c>
      <c r="D73">
        <v>1</v>
      </c>
      <c r="E73">
        <v>1.8195389855068439E-2</v>
      </c>
      <c r="F73">
        <v>2.0926675313808974E-2</v>
      </c>
      <c r="G73">
        <v>0.18169393214338925</v>
      </c>
      <c r="H73">
        <v>1.1544321712694671E-3</v>
      </c>
      <c r="I73" s="66">
        <v>276</v>
      </c>
      <c r="J73" s="66">
        <v>239</v>
      </c>
      <c r="K73" s="66">
        <v>28</v>
      </c>
      <c r="L73" s="66">
        <v>4332</v>
      </c>
      <c r="M73" s="66" t="s">
        <v>466</v>
      </c>
      <c r="N73" s="66">
        <v>106496</v>
      </c>
    </row>
    <row r="74" spans="1:14" x14ac:dyDescent="0.45">
      <c r="A74">
        <f t="shared" ca="1" si="3"/>
        <v>20</v>
      </c>
      <c r="B74" t="str">
        <f t="shared" ca="1" si="4"/>
        <v>"xxxxxxxx_x000D_
yyyyyyyy"</v>
      </c>
      <c r="C74" s="66">
        <v>8192</v>
      </c>
      <c r="D74">
        <v>1</v>
      </c>
      <c r="E74">
        <v>3.7002637500015277E-2</v>
      </c>
      <c r="F74">
        <v>4.2337413445338139E-2</v>
      </c>
      <c r="G74">
        <v>0.36642610714105622</v>
      </c>
      <c r="H74">
        <v>2.8555111364934323E-3</v>
      </c>
      <c r="I74" s="66">
        <v>136</v>
      </c>
      <c r="J74" s="66">
        <v>119</v>
      </c>
      <c r="K74" s="66">
        <v>14</v>
      </c>
      <c r="L74" s="66">
        <v>1751</v>
      </c>
      <c r="M74" s="66" t="s">
        <v>467</v>
      </c>
      <c r="N74" s="66">
        <v>212992</v>
      </c>
    </row>
    <row r="75" spans="1:14" x14ac:dyDescent="0.45">
      <c r="A75">
        <f t="shared" ca="1" si="3"/>
        <v>20</v>
      </c>
      <c r="B75" t="str">
        <f t="shared" ca="1" si="4"/>
        <v>"xxxxxxxx_x000D_
yyyyyyyy"</v>
      </c>
      <c r="C75" s="66">
        <v>16384</v>
      </c>
      <c r="D75">
        <v>1</v>
      </c>
      <c r="E75">
        <v>7.6876996969627784E-2</v>
      </c>
      <c r="F75">
        <v>8.9702748214352007E-2</v>
      </c>
      <c r="G75">
        <v>0.72535682857518879</v>
      </c>
      <c r="H75">
        <v>4.6800748559222031E-3</v>
      </c>
      <c r="I75" s="66">
        <v>66</v>
      </c>
      <c r="J75" s="66">
        <v>56</v>
      </c>
      <c r="K75" s="66">
        <v>7</v>
      </c>
      <c r="L75" s="66">
        <v>1069</v>
      </c>
      <c r="M75" s="66" t="s">
        <v>468</v>
      </c>
      <c r="N75" s="66">
        <v>425984</v>
      </c>
    </row>
    <row r="76" spans="1:14" x14ac:dyDescent="0.45">
      <c r="A76">
        <f t="shared" ca="1" si="3"/>
        <v>20</v>
      </c>
      <c r="B76" t="str">
        <f t="shared" ca="1" si="4"/>
        <v>"xxxxxxxx_x000D_
yyyyyyyy"</v>
      </c>
      <c r="C76" s="66">
        <v>32768</v>
      </c>
      <c r="D76">
        <v>1</v>
      </c>
      <c r="E76">
        <v>0.14730822352986947</v>
      </c>
      <c r="F76">
        <v>0.1706512433331227</v>
      </c>
      <c r="G76">
        <v>1.349540174996946</v>
      </c>
      <c r="H76">
        <v>8.4619288113718313E-3</v>
      </c>
      <c r="I76" s="66">
        <v>34</v>
      </c>
      <c r="J76" s="66">
        <v>30</v>
      </c>
      <c r="K76" s="66">
        <v>4</v>
      </c>
      <c r="L76" s="66">
        <v>591</v>
      </c>
      <c r="M76" s="66" t="s">
        <v>469</v>
      </c>
      <c r="N76" s="66">
        <v>851968</v>
      </c>
    </row>
    <row r="77" spans="1:14" x14ac:dyDescent="0.45">
      <c r="A77">
        <f t="shared" ca="1" si="3"/>
        <v>20</v>
      </c>
      <c r="B77" t="str">
        <f t="shared" ca="1" si="4"/>
        <v>"xxxxxxxx_x000D_
yyyyyyyy"</v>
      </c>
      <c r="C77" s="66">
        <v>65536</v>
      </c>
      <c r="D77">
        <v>1</v>
      </c>
      <c r="E77">
        <v>0.33806180666627672</v>
      </c>
      <c r="F77">
        <v>0.40334359999934138</v>
      </c>
      <c r="G77">
        <v>2.7213374999992084</v>
      </c>
      <c r="H77">
        <v>1.488095238095238E-2</v>
      </c>
      <c r="I77" s="66">
        <v>15</v>
      </c>
      <c r="J77" s="66">
        <v>13</v>
      </c>
      <c r="K77" s="66">
        <v>2</v>
      </c>
      <c r="L77" s="66">
        <v>336</v>
      </c>
      <c r="M77" s="66" t="s">
        <v>470</v>
      </c>
      <c r="N77" s="66">
        <v>1703936</v>
      </c>
    </row>
    <row r="78" spans="1:14" x14ac:dyDescent="0.45">
      <c r="A78">
        <f t="shared" ca="1" si="3"/>
        <v>20</v>
      </c>
      <c r="B78" t="str">
        <f t="shared" ca="1" si="4"/>
        <v>"xxxxxxxx_x000D_
yyyyyyyy"</v>
      </c>
      <c r="C78" s="66">
        <v>131072</v>
      </c>
      <c r="D78">
        <v>1</v>
      </c>
      <c r="E78">
        <v>0.65293245000066236</v>
      </c>
      <c r="F78">
        <v>0.68137391249911161</v>
      </c>
      <c r="G78">
        <v>5.2666155999759212</v>
      </c>
      <c r="H78">
        <v>3.2751633450875874E-2</v>
      </c>
      <c r="I78" s="66">
        <v>8</v>
      </c>
      <c r="J78" s="66">
        <v>8</v>
      </c>
      <c r="K78" s="66">
        <v>1</v>
      </c>
      <c r="L78" s="66">
        <v>153</v>
      </c>
      <c r="M78" s="66" t="s">
        <v>471</v>
      </c>
      <c r="N78" s="66">
        <v>3407872</v>
      </c>
    </row>
    <row r="79" spans="1:14" x14ac:dyDescent="0.45">
      <c r="A79">
        <f t="shared" ca="1" si="3"/>
        <v>20</v>
      </c>
      <c r="B79" t="str">
        <f t="shared" ca="1" si="4"/>
        <v>"xxxxxxxx_x000D_
yyyyyyyy"</v>
      </c>
      <c r="C79" s="66">
        <v>262144</v>
      </c>
      <c r="D79">
        <v>1</v>
      </c>
      <c r="E79">
        <v>1.1784493799961637</v>
      </c>
      <c r="F79">
        <v>1.2820867499976885</v>
      </c>
      <c r="G79">
        <v>10.521984999999404</v>
      </c>
      <c r="H79">
        <v>6.1341465973272558E-2</v>
      </c>
      <c r="I79" s="66">
        <v>5</v>
      </c>
      <c r="J79" s="66">
        <v>4</v>
      </c>
      <c r="K79" s="66">
        <v>1</v>
      </c>
      <c r="L79" s="66">
        <v>82</v>
      </c>
      <c r="M79" s="66" t="s">
        <v>472</v>
      </c>
      <c r="N79" s="66">
        <v>6815744</v>
      </c>
    </row>
    <row r="80" spans="1:14" x14ac:dyDescent="0.45">
      <c r="A80">
        <f t="shared" ca="1" si="3"/>
        <v>20</v>
      </c>
      <c r="B80" t="str">
        <f t="shared" ca="1" si="4"/>
        <v>"xxxxxxxx_x000D_
yyyyyyyy"</v>
      </c>
      <c r="C80" s="66">
        <v>524288</v>
      </c>
      <c r="D80">
        <v>1</v>
      </c>
      <c r="E80">
        <v>2.4002845999978795</v>
      </c>
      <c r="F80">
        <v>2.7440893000020878</v>
      </c>
      <c r="G80">
        <v>22.644878100021742</v>
      </c>
      <c r="H80">
        <v>0.12019047282990955</v>
      </c>
      <c r="I80" s="66">
        <v>3</v>
      </c>
      <c r="J80" s="66">
        <v>2</v>
      </c>
      <c r="K80" s="66">
        <v>1</v>
      </c>
      <c r="L80" s="66">
        <v>42</v>
      </c>
      <c r="M80" s="66" t="s">
        <v>473</v>
      </c>
      <c r="N80" s="66">
        <v>13631488</v>
      </c>
    </row>
    <row r="81" spans="1:14" x14ac:dyDescent="0.45">
      <c r="A81">
        <f t="shared" ca="1" si="3"/>
        <v>20</v>
      </c>
      <c r="B81" t="str">
        <f t="shared" ca="1" si="4"/>
        <v>"xxxxxxxx_x000D_
yyyyyyyy"</v>
      </c>
      <c r="C81" s="66">
        <v>1048576</v>
      </c>
      <c r="D81">
        <v>1</v>
      </c>
      <c r="E81">
        <v>5.1066182000213303</v>
      </c>
      <c r="F81">
        <v>5.4333647000021301</v>
      </c>
      <c r="G81">
        <v>43.54101049999008</v>
      </c>
      <c r="H81">
        <v>0.31800000369548798</v>
      </c>
      <c r="I81" s="66">
        <v>1</v>
      </c>
      <c r="J81" s="66">
        <v>1</v>
      </c>
      <c r="K81" s="66">
        <v>1</v>
      </c>
      <c r="L81" s="66">
        <v>16</v>
      </c>
      <c r="M81" s="66" t="s">
        <v>474</v>
      </c>
      <c r="N81" s="66">
        <v>27262976</v>
      </c>
    </row>
    <row r="82" spans="1:14" x14ac:dyDescent="0.45">
      <c r="C82" s="66"/>
      <c r="I82" s="66"/>
      <c r="J82" s="66"/>
      <c r="K82" s="66"/>
      <c r="L82" s="66"/>
    </row>
    <row r="83" spans="1:14" x14ac:dyDescent="0.45">
      <c r="I83" s="66"/>
      <c r="J83" s="66"/>
      <c r="K83" s="66"/>
      <c r="L83" s="66"/>
      <c r="N83">
        <f ca="1">N81/1000000/E81</f>
        <v>5.3387535414114415</v>
      </c>
    </row>
    <row r="84" spans="1:14" x14ac:dyDescent="0.45">
      <c r="G84">
        <f ca="1">G81/E81</f>
        <v>8.5263884618999342</v>
      </c>
      <c r="I84" s="66"/>
      <c r="J84" s="66"/>
      <c r="K84" s="66"/>
      <c r="L84" s="66"/>
      <c r="N84" s="66">
        <f ca="1">C81*D81/E81</f>
        <v>205336.67466967084</v>
      </c>
    </row>
    <row r="85" spans="1:14" x14ac:dyDescent="0.45">
      <c r="G85">
        <f ca="1">E81/H81</f>
        <v>16.058547612192328</v>
      </c>
      <c r="I85" s="66"/>
      <c r="J85" s="66"/>
      <c r="K85" s="66"/>
      <c r="L85" s="66"/>
      <c r="M85" s="15" t="s">
        <v>589</v>
      </c>
    </row>
    <row r="86" spans="1:14" x14ac:dyDescent="0.45">
      <c r="I86" s="66"/>
      <c r="J86" s="66"/>
      <c r="K86" s="66"/>
      <c r="L86" s="66"/>
      <c r="M86" t="s">
        <v>595</v>
      </c>
    </row>
    <row r="87" spans="1:14" ht="42.75" x14ac:dyDescent="0.45">
      <c r="A87" s="13" t="s">
        <v>10</v>
      </c>
      <c r="B87" s="13" t="s">
        <v>11</v>
      </c>
      <c r="C87" s="13" t="s">
        <v>12</v>
      </c>
      <c r="D87" s="13" t="s">
        <v>13</v>
      </c>
      <c r="E87" s="14" t="s">
        <v>407</v>
      </c>
      <c r="F87" s="14" t="s">
        <v>408</v>
      </c>
      <c r="G87" s="14" t="s">
        <v>409</v>
      </c>
      <c r="H87" s="14" t="s">
        <v>410</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14" x14ac:dyDescent="0.45">
      <c r="A88">
        <f ca="1">LEN(B88)</f>
        <v>17</v>
      </c>
      <c r="B88">
        <v>0.71905720709757637</v>
      </c>
      <c r="C88" s="16">
        <v>1</v>
      </c>
      <c r="D88" s="17">
        <v>10</v>
      </c>
      <c r="E88">
        <v>2.2644973731840383E-4</v>
      </c>
      <c r="F88">
        <v>1.5608209458452176E-4</v>
      </c>
      <c r="G88">
        <v>2.1552271551752646E-3</v>
      </c>
      <c r="H88">
        <v>3.1533804238143291E-4</v>
      </c>
      <c r="I88" s="66">
        <v>22080</v>
      </c>
      <c r="J88" s="66">
        <v>32035</v>
      </c>
      <c r="K88" s="66">
        <v>2320</v>
      </c>
      <c r="L88" s="66">
        <v>15856</v>
      </c>
      <c r="M88" s="66" t="s">
        <v>475</v>
      </c>
      <c r="N88" s="66">
        <v>181</v>
      </c>
    </row>
    <row r="89" spans="1:14" x14ac:dyDescent="0.45">
      <c r="A89">
        <f t="shared" ref="A89:A106" ca="1" si="5">LEN(B89)</f>
        <v>17</v>
      </c>
      <c r="B89">
        <v>0.71905720709757637</v>
      </c>
      <c r="C89" s="16">
        <v>2</v>
      </c>
      <c r="D89" s="17">
        <v>10</v>
      </c>
      <c r="E89">
        <v>2.3361830117227895E-4</v>
      </c>
      <c r="F89">
        <v>1.6665396460364444E-4</v>
      </c>
      <c r="G89">
        <v>2.062432701032148E-3</v>
      </c>
      <c r="H89">
        <v>3.1409008103524091E-4</v>
      </c>
      <c r="I89" s="66">
        <v>21403</v>
      </c>
      <c r="J89" s="66">
        <v>30003</v>
      </c>
      <c r="K89" s="66">
        <v>2425</v>
      </c>
      <c r="L89" s="66">
        <v>15919</v>
      </c>
      <c r="M89" s="66" t="s">
        <v>476</v>
      </c>
      <c r="N89" s="66">
        <v>362</v>
      </c>
    </row>
    <row r="90" spans="1:14" x14ac:dyDescent="0.45">
      <c r="A90">
        <f t="shared" ca="1" si="5"/>
        <v>17</v>
      </c>
      <c r="B90">
        <v>0.71905720709757637</v>
      </c>
      <c r="C90" s="16">
        <v>4</v>
      </c>
      <c r="D90" s="17">
        <v>10</v>
      </c>
      <c r="E90">
        <v>2.8072064900121652E-4</v>
      </c>
      <c r="F90">
        <v>2.0638187146518932E-4</v>
      </c>
      <c r="G90">
        <v>2.1642464733970111E-3</v>
      </c>
      <c r="H90">
        <v>3.1729914963827898E-4</v>
      </c>
      <c r="I90" s="66">
        <v>17812</v>
      </c>
      <c r="J90" s="66">
        <v>24227</v>
      </c>
      <c r="K90" s="66">
        <v>2311</v>
      </c>
      <c r="L90" s="66">
        <v>15758</v>
      </c>
      <c r="M90" s="66" t="s">
        <v>477</v>
      </c>
      <c r="N90" s="66">
        <v>724</v>
      </c>
    </row>
    <row r="91" spans="1:14" x14ac:dyDescent="0.45">
      <c r="A91">
        <f t="shared" ca="1" si="5"/>
        <v>17</v>
      </c>
      <c r="B91">
        <v>0.71905720709757637</v>
      </c>
      <c r="C91" s="16">
        <v>8</v>
      </c>
      <c r="D91" s="17">
        <v>10</v>
      </c>
      <c r="E91">
        <v>3.9899320938363445E-4</v>
      </c>
      <c r="F91">
        <v>2.7536636744105532E-4</v>
      </c>
      <c r="G91">
        <v>2.4951057385259631E-3</v>
      </c>
      <c r="H91">
        <v>3.3485132601125098E-4</v>
      </c>
      <c r="I91" s="66">
        <v>12532</v>
      </c>
      <c r="J91" s="66">
        <v>18158</v>
      </c>
      <c r="K91" s="66">
        <v>2004</v>
      </c>
      <c r="L91" s="66">
        <v>14932</v>
      </c>
      <c r="M91" s="66" t="s">
        <v>478</v>
      </c>
      <c r="N91" s="66">
        <v>1448</v>
      </c>
    </row>
    <row r="92" spans="1:14" x14ac:dyDescent="0.45">
      <c r="A92">
        <f t="shared" ca="1" si="5"/>
        <v>17</v>
      </c>
      <c r="B92">
        <v>0.71905720709757637</v>
      </c>
      <c r="C92" s="16">
        <v>16</v>
      </c>
      <c r="D92" s="17">
        <v>10</v>
      </c>
      <c r="E92">
        <v>4.8755509945545904E-4</v>
      </c>
      <c r="F92">
        <v>4.2608695355802296E-4</v>
      </c>
      <c r="G92">
        <v>2.7571443219393463E-3</v>
      </c>
      <c r="H92">
        <v>3.3333333333333332E-4</v>
      </c>
      <c r="I92" s="66">
        <v>10256</v>
      </c>
      <c r="J92" s="66">
        <v>11735</v>
      </c>
      <c r="K92" s="66">
        <v>1814</v>
      </c>
      <c r="L92" s="66">
        <v>15000</v>
      </c>
      <c r="M92" s="66" t="s">
        <v>479</v>
      </c>
      <c r="N92" s="66">
        <v>2896</v>
      </c>
    </row>
    <row r="93" spans="1:14" x14ac:dyDescent="0.45">
      <c r="A93">
        <f t="shared" ca="1" si="5"/>
        <v>17</v>
      </c>
      <c r="B93">
        <v>0.71905720709757637</v>
      </c>
      <c r="C93" s="16">
        <v>32</v>
      </c>
      <c r="D93" s="17">
        <v>10</v>
      </c>
      <c r="E93">
        <v>8.4031715677700396E-4</v>
      </c>
      <c r="F93">
        <v>7.7551051489136433E-4</v>
      </c>
      <c r="G93">
        <v>3.141070917085949E-3</v>
      </c>
      <c r="H93">
        <v>3.5984166966534722E-4</v>
      </c>
      <c r="I93" s="66">
        <v>5951</v>
      </c>
      <c r="J93" s="66">
        <v>6448</v>
      </c>
      <c r="K93" s="66">
        <v>1592</v>
      </c>
      <c r="L93" s="66">
        <v>13895</v>
      </c>
      <c r="M93" s="66" t="s">
        <v>480</v>
      </c>
      <c r="N93" s="66">
        <v>5792</v>
      </c>
    </row>
    <row r="94" spans="1:14" x14ac:dyDescent="0.45">
      <c r="A94">
        <f t="shared" ca="1" si="5"/>
        <v>17</v>
      </c>
      <c r="B94">
        <v>0.71905720709757637</v>
      </c>
      <c r="C94" s="16">
        <v>64</v>
      </c>
      <c r="D94" s="17">
        <v>10</v>
      </c>
      <c r="E94">
        <v>1.7736905995017508E-3</v>
      </c>
      <c r="F94">
        <v>1.4247071794867702E-3</v>
      </c>
      <c r="G94">
        <v>5.7962173812195492E-3</v>
      </c>
      <c r="H94">
        <v>4.8449612403100775E-4</v>
      </c>
      <c r="I94" s="66">
        <v>2819</v>
      </c>
      <c r="J94" s="66">
        <v>3510</v>
      </c>
      <c r="K94" s="66">
        <v>863</v>
      </c>
      <c r="L94" s="66">
        <v>10320</v>
      </c>
      <c r="M94" s="66" t="s">
        <v>481</v>
      </c>
      <c r="N94" s="66">
        <v>11584</v>
      </c>
    </row>
    <row r="95" spans="1:14" x14ac:dyDescent="0.45">
      <c r="A95">
        <f t="shared" ca="1" si="5"/>
        <v>17</v>
      </c>
      <c r="B95">
        <v>0.71905720709757637</v>
      </c>
      <c r="C95" s="16">
        <v>128</v>
      </c>
      <c r="D95" s="17">
        <v>10</v>
      </c>
      <c r="E95">
        <v>3.2252971631076084E-3</v>
      </c>
      <c r="F95">
        <v>3.003012364941827E-3</v>
      </c>
      <c r="G95">
        <v>8.3893637583847321E-3</v>
      </c>
      <c r="H95">
        <v>5.207248489897938E-4</v>
      </c>
      <c r="I95" s="66">
        <v>1551</v>
      </c>
      <c r="J95" s="66">
        <v>1666</v>
      </c>
      <c r="K95" s="66">
        <v>596</v>
      </c>
      <c r="L95" s="66">
        <v>9602</v>
      </c>
      <c r="M95" s="66" t="s">
        <v>482</v>
      </c>
      <c r="N95" s="66">
        <v>23168</v>
      </c>
    </row>
    <row r="96" spans="1:14" x14ac:dyDescent="0.45">
      <c r="A96">
        <f t="shared" ca="1" si="5"/>
        <v>17</v>
      </c>
      <c r="B96">
        <v>0.71905720709757637</v>
      </c>
      <c r="C96" s="16">
        <v>256</v>
      </c>
      <c r="D96" s="17">
        <v>10</v>
      </c>
      <c r="E96">
        <v>4.9217618110073604E-3</v>
      </c>
      <c r="F96">
        <v>5.5560855716017266E-3</v>
      </c>
      <c r="G96">
        <v>1.2264999509794755E-2</v>
      </c>
      <c r="H96">
        <v>7.9026394815868495E-4</v>
      </c>
      <c r="I96" s="66">
        <v>1016</v>
      </c>
      <c r="J96" s="66">
        <v>901</v>
      </c>
      <c r="K96" s="66">
        <v>408</v>
      </c>
      <c r="L96" s="66">
        <v>6327</v>
      </c>
      <c r="M96" s="66" t="s">
        <v>483</v>
      </c>
      <c r="N96" s="66">
        <v>46336</v>
      </c>
    </row>
    <row r="97" spans="1:14" x14ac:dyDescent="0.45">
      <c r="A97">
        <f t="shared" ca="1" si="5"/>
        <v>17</v>
      </c>
      <c r="B97">
        <v>0.71905720709757637</v>
      </c>
      <c r="C97" s="16">
        <v>512</v>
      </c>
      <c r="D97" s="17">
        <v>10</v>
      </c>
      <c r="E97">
        <v>1.0486406708561836E-2</v>
      </c>
      <c r="F97">
        <v>9.9496918488696587E-3</v>
      </c>
      <c r="G97">
        <v>2.1064453781533501E-2</v>
      </c>
      <c r="H97">
        <v>2.0056157240272766E-3</v>
      </c>
      <c r="I97" s="66">
        <v>477</v>
      </c>
      <c r="J97" s="66">
        <v>503</v>
      </c>
      <c r="K97" s="66">
        <v>238</v>
      </c>
      <c r="L97" s="66">
        <v>2493</v>
      </c>
      <c r="M97" s="66" t="s">
        <v>484</v>
      </c>
      <c r="N97" s="66">
        <v>92672</v>
      </c>
    </row>
    <row r="98" spans="1:14" x14ac:dyDescent="0.45">
      <c r="A98">
        <f t="shared" ca="1" si="5"/>
        <v>17</v>
      </c>
      <c r="B98">
        <v>0.71905720709757637</v>
      </c>
      <c r="C98" s="16">
        <v>1024</v>
      </c>
      <c r="D98" s="17">
        <v>10</v>
      </c>
      <c r="E98">
        <v>2.0981220502058574E-2</v>
      </c>
      <c r="F98">
        <v>2.0393005284533753E-2</v>
      </c>
      <c r="G98">
        <v>3.972531587281819E-2</v>
      </c>
      <c r="H98">
        <v>1.7023082501371944E-3</v>
      </c>
      <c r="I98" s="66">
        <v>239</v>
      </c>
      <c r="J98" s="66">
        <v>246</v>
      </c>
      <c r="K98" s="66">
        <v>126</v>
      </c>
      <c r="L98" s="66">
        <v>2946</v>
      </c>
      <c r="M98" s="66" t="s">
        <v>485</v>
      </c>
      <c r="N98" s="66">
        <v>185344</v>
      </c>
    </row>
    <row r="99" spans="1:14" x14ac:dyDescent="0.45">
      <c r="A99">
        <f t="shared" ca="1" si="5"/>
        <v>17</v>
      </c>
      <c r="B99">
        <v>0.71905720709757637</v>
      </c>
      <c r="C99" s="16">
        <v>2048</v>
      </c>
      <c r="D99" s="17">
        <v>10</v>
      </c>
      <c r="E99">
        <v>4.1445713223021645E-2</v>
      </c>
      <c r="F99">
        <v>4.2075689916035254E-2</v>
      </c>
      <c r="G99">
        <v>7.6993843077126742E-2</v>
      </c>
      <c r="H99">
        <v>2.277322479935943E-3</v>
      </c>
      <c r="I99" s="66">
        <v>121</v>
      </c>
      <c r="J99" s="66">
        <v>119</v>
      </c>
      <c r="K99" s="66">
        <v>65</v>
      </c>
      <c r="L99" s="66">
        <v>2196</v>
      </c>
      <c r="M99" s="66" t="s">
        <v>486</v>
      </c>
      <c r="N99" s="66">
        <v>370688</v>
      </c>
    </row>
    <row r="100" spans="1:14" x14ac:dyDescent="0.45">
      <c r="A100">
        <f t="shared" ca="1" si="5"/>
        <v>17</v>
      </c>
      <c r="B100">
        <v>0.71905720709757637</v>
      </c>
      <c r="C100" s="16">
        <v>4096</v>
      </c>
      <c r="D100" s="17">
        <v>10</v>
      </c>
      <c r="E100">
        <v>8.7629134482744245E-2</v>
      </c>
      <c r="F100">
        <v>8.3336409835954056E-2</v>
      </c>
      <c r="G100">
        <v>0.13729749459417764</v>
      </c>
      <c r="H100">
        <v>3.3944331296673455E-3</v>
      </c>
      <c r="I100" s="66">
        <v>58</v>
      </c>
      <c r="J100" s="66">
        <v>61</v>
      </c>
      <c r="K100" s="66">
        <v>37</v>
      </c>
      <c r="L100" s="66">
        <v>1473</v>
      </c>
      <c r="M100" s="66" t="s">
        <v>487</v>
      </c>
      <c r="N100" s="66">
        <v>741376</v>
      </c>
    </row>
    <row r="101" spans="1:14" x14ac:dyDescent="0.45">
      <c r="A101">
        <f t="shared" ca="1" si="5"/>
        <v>17</v>
      </c>
      <c r="B101">
        <v>0.71905720709757637</v>
      </c>
      <c r="C101" s="16">
        <v>8192</v>
      </c>
      <c r="D101" s="17">
        <v>10</v>
      </c>
      <c r="E101">
        <v>0.1776159241372029</v>
      </c>
      <c r="F101">
        <v>0.17279246551735358</v>
      </c>
      <c r="G101">
        <v>0.28740235000117942</v>
      </c>
      <c r="H101">
        <v>6.5688071369656102E-3</v>
      </c>
      <c r="I101" s="66">
        <v>29</v>
      </c>
      <c r="J101" s="66">
        <v>29</v>
      </c>
      <c r="K101" s="66">
        <v>18</v>
      </c>
      <c r="L101" s="66">
        <v>763</v>
      </c>
      <c r="M101" s="66" t="s">
        <v>488</v>
      </c>
      <c r="N101" s="66">
        <v>1482752</v>
      </c>
    </row>
    <row r="102" spans="1:14" x14ac:dyDescent="0.45">
      <c r="A102">
        <f t="shared" ca="1" si="5"/>
        <v>17</v>
      </c>
      <c r="B102">
        <v>0.71905720709757637</v>
      </c>
      <c r="C102" s="16">
        <v>16384</v>
      </c>
      <c r="D102" s="17">
        <v>10</v>
      </c>
      <c r="E102">
        <v>0.38469105384473762</v>
      </c>
      <c r="F102">
        <v>0.35402899999947596</v>
      </c>
      <c r="G102">
        <v>0.57525035555590875</v>
      </c>
      <c r="H102">
        <v>1.1565819623563912E-2</v>
      </c>
      <c r="I102" s="66">
        <v>13</v>
      </c>
      <c r="J102" s="66">
        <v>15</v>
      </c>
      <c r="K102" s="66">
        <v>9</v>
      </c>
      <c r="L102" s="66">
        <v>433</v>
      </c>
      <c r="M102" s="66" t="s">
        <v>489</v>
      </c>
      <c r="N102" s="66">
        <v>2965504</v>
      </c>
    </row>
    <row r="103" spans="1:14" x14ac:dyDescent="0.45">
      <c r="A103">
        <f t="shared" ca="1" si="5"/>
        <v>17</v>
      </c>
      <c r="B103">
        <v>0.71905720709757637</v>
      </c>
      <c r="C103" s="16">
        <v>32768</v>
      </c>
      <c r="D103" s="17">
        <v>10</v>
      </c>
      <c r="E103">
        <v>0.77306929999862661</v>
      </c>
      <c r="F103">
        <v>0.72846014285460114</v>
      </c>
      <c r="G103">
        <v>1.1963503599981777</v>
      </c>
      <c r="H103">
        <v>2.665957491448585E-2</v>
      </c>
      <c r="I103" s="66">
        <v>7</v>
      </c>
      <c r="J103" s="66">
        <v>7</v>
      </c>
      <c r="K103" s="66">
        <v>5</v>
      </c>
      <c r="L103" s="66">
        <v>188</v>
      </c>
      <c r="M103" s="66" t="s">
        <v>490</v>
      </c>
      <c r="N103" s="66">
        <v>5931008</v>
      </c>
    </row>
    <row r="104" spans="1:14" x14ac:dyDescent="0.45">
      <c r="A104">
        <f t="shared" ca="1" si="5"/>
        <v>17</v>
      </c>
      <c r="B104">
        <v>0.71905720709757637</v>
      </c>
      <c r="C104" s="16">
        <v>65536</v>
      </c>
      <c r="D104" s="17">
        <v>10</v>
      </c>
      <c r="E104">
        <v>1.7640177333378233</v>
      </c>
      <c r="F104">
        <v>1.4370183499995619</v>
      </c>
      <c r="G104">
        <v>2.4514935333378767</v>
      </c>
      <c r="H104">
        <v>4.3938597043355308E-2</v>
      </c>
      <c r="I104" s="66">
        <v>3</v>
      </c>
      <c r="J104" s="66">
        <v>4</v>
      </c>
      <c r="K104" s="66">
        <v>3</v>
      </c>
      <c r="L104" s="66">
        <v>114</v>
      </c>
      <c r="M104" s="66" t="s">
        <v>491</v>
      </c>
      <c r="N104" s="66">
        <v>11862016</v>
      </c>
    </row>
    <row r="105" spans="1:14" x14ac:dyDescent="0.45">
      <c r="A105">
        <f t="shared" ca="1" si="5"/>
        <v>17</v>
      </c>
      <c r="B105">
        <v>0.71905720709757637</v>
      </c>
      <c r="C105" s="16">
        <v>131072</v>
      </c>
      <c r="D105" s="17">
        <v>10</v>
      </c>
      <c r="E105">
        <v>3.0237499000068055</v>
      </c>
      <c r="F105">
        <v>2.9754357000056189</v>
      </c>
      <c r="G105">
        <v>4.419800599993323</v>
      </c>
      <c r="H105">
        <v>9.2944445433440034E-2</v>
      </c>
      <c r="I105" s="66">
        <v>2</v>
      </c>
      <c r="J105" s="66">
        <v>2</v>
      </c>
      <c r="K105" s="66">
        <v>2</v>
      </c>
      <c r="L105" s="66">
        <v>54</v>
      </c>
      <c r="M105" s="66" t="s">
        <v>492</v>
      </c>
      <c r="N105" s="66">
        <v>23724032</v>
      </c>
    </row>
    <row r="106" spans="1:14" x14ac:dyDescent="0.45">
      <c r="A106">
        <f t="shared" ca="1" si="5"/>
        <v>17</v>
      </c>
      <c r="B106">
        <v>0.71905720709757637</v>
      </c>
      <c r="C106" s="16">
        <v>262144</v>
      </c>
      <c r="D106" s="17">
        <v>10</v>
      </c>
      <c r="E106">
        <v>6.5890080999815837</v>
      </c>
      <c r="F106">
        <v>6.1787481000064872</v>
      </c>
      <c r="G106">
        <v>8.6377141000120901</v>
      </c>
      <c r="H106">
        <v>0.16703333059946696</v>
      </c>
      <c r="I106" s="66">
        <v>1</v>
      </c>
      <c r="J106" s="66">
        <v>1</v>
      </c>
      <c r="K106" s="66">
        <v>1</v>
      </c>
      <c r="L106" s="66">
        <v>30</v>
      </c>
      <c r="M106" s="66" t="s">
        <v>493</v>
      </c>
      <c r="N106" s="66">
        <v>47448064</v>
      </c>
    </row>
    <row r="107" spans="1:14" x14ac:dyDescent="0.45">
      <c r="C107" s="66"/>
      <c r="I107" s="66"/>
      <c r="J107" s="66"/>
      <c r="K107" s="66"/>
      <c r="L107" s="66"/>
      <c r="M107" s="66"/>
    </row>
    <row r="108" spans="1:14" x14ac:dyDescent="0.45">
      <c r="C108" s="66"/>
      <c r="I108" s="66"/>
      <c r="J108" s="66"/>
      <c r="K108" s="66"/>
      <c r="L108" s="66"/>
      <c r="M108" s="66"/>
      <c r="N108">
        <f ca="1">N106/1000000/E106</f>
        <v>7.2010935910266403</v>
      </c>
    </row>
    <row r="109" spans="1:14" x14ac:dyDescent="0.45">
      <c r="I109" s="66"/>
      <c r="J109" s="66"/>
      <c r="K109" s="66"/>
      <c r="L109" s="66"/>
      <c r="N109" s="66">
        <f ca="1">C106*D106/E106</f>
        <v>397850.47464235581</v>
      </c>
    </row>
    <row r="110" spans="1:14" x14ac:dyDescent="0.45">
      <c r="C110" s="16"/>
      <c r="D110" s="17"/>
      <c r="I110" s="66"/>
      <c r="J110" s="66"/>
      <c r="K110" s="66"/>
      <c r="L110" s="66"/>
      <c r="M110" s="66"/>
    </row>
    <row r="111" spans="1:14" x14ac:dyDescent="0.45">
      <c r="I111" s="66"/>
      <c r="J111" s="66"/>
      <c r="K111" s="66"/>
      <c r="L111" s="66"/>
    </row>
    <row r="112" spans="1:14" x14ac:dyDescent="0.45">
      <c r="I112" s="66"/>
      <c r="J112" s="66"/>
      <c r="K112" s="66"/>
      <c r="L112" s="66"/>
      <c r="M112" s="15" t="s">
        <v>590</v>
      </c>
    </row>
    <row r="113" spans="1:14" x14ac:dyDescent="0.45">
      <c r="I113" s="66"/>
      <c r="J113" s="66"/>
      <c r="K113" s="66"/>
      <c r="L113" s="66"/>
      <c r="M113" t="s">
        <v>596</v>
      </c>
    </row>
    <row r="114" spans="1:14" ht="42.75" x14ac:dyDescent="0.45">
      <c r="A114" s="13" t="s">
        <v>10</v>
      </c>
      <c r="B114" s="13" t="s">
        <v>11</v>
      </c>
      <c r="C114" s="13" t="s">
        <v>12</v>
      </c>
      <c r="D114" s="13" t="s">
        <v>13</v>
      </c>
      <c r="E114" s="14" t="s">
        <v>407</v>
      </c>
      <c r="F114" s="14" t="s">
        <v>408</v>
      </c>
      <c r="G114" s="14" t="s">
        <v>409</v>
      </c>
      <c r="H114" s="14" t="s">
        <v>410</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2.1446816505102834E-4</v>
      </c>
      <c r="F115">
        <v>1.4944251001205509E-4</v>
      </c>
      <c r="G115">
        <v>2.1041007151833681E-3</v>
      </c>
      <c r="H115">
        <v>2.5893595100434359E-4</v>
      </c>
      <c r="I115" s="66">
        <v>23314</v>
      </c>
      <c r="J115" s="66">
        <v>33458</v>
      </c>
      <c r="K115" s="66">
        <v>2377</v>
      </c>
      <c r="L115" s="66">
        <v>19360</v>
      </c>
      <c r="M115" s="66" t="s">
        <v>494</v>
      </c>
      <c r="N115" s="66">
        <v>144</v>
      </c>
    </row>
    <row r="116" spans="1:14" x14ac:dyDescent="0.45">
      <c r="A116">
        <f t="shared" ref="A116:A128" ca="1" si="6">LEN(B116)</f>
        <v>16</v>
      </c>
      <c r="B116" t="str">
        <f t="shared" ref="B116:B128" ca="1" si="7">REPT("x",16)</f>
        <v>xxxxxxxxxxxxxxxx</v>
      </c>
      <c r="C116" s="16">
        <v>8</v>
      </c>
      <c r="D116" s="16">
        <v>2</v>
      </c>
      <c r="E116">
        <v>2.2895874353244671E-4</v>
      </c>
      <c r="F116">
        <v>1.6586622657232866E-4</v>
      </c>
      <c r="G116">
        <v>2.0168039112890726E-3</v>
      </c>
      <c r="H116">
        <v>2.8167427187200721E-4</v>
      </c>
      <c r="I116" s="66">
        <v>21839</v>
      </c>
      <c r="J116" s="66">
        <v>30145</v>
      </c>
      <c r="K116" s="66">
        <v>2480</v>
      </c>
      <c r="L116" s="66">
        <v>17751</v>
      </c>
      <c r="M116" s="66" t="s">
        <v>495</v>
      </c>
      <c r="N116" s="66">
        <v>280</v>
      </c>
    </row>
    <row r="117" spans="1:14" x14ac:dyDescent="0.45">
      <c r="A117">
        <f t="shared" ca="1" si="6"/>
        <v>16</v>
      </c>
      <c r="B117" t="str">
        <f t="shared" ca="1" si="7"/>
        <v>xxxxxxxxxxxxxxxx</v>
      </c>
      <c r="C117" s="16">
        <v>8</v>
      </c>
      <c r="D117" s="16">
        <v>4</v>
      </c>
      <c r="E117">
        <v>2.6713968050430948E-4</v>
      </c>
      <c r="F117">
        <v>1.9037080525451455E-4</v>
      </c>
      <c r="G117">
        <v>2.0843845769040335E-3</v>
      </c>
      <c r="H117">
        <v>3.0484087306426044E-4</v>
      </c>
      <c r="I117" s="66">
        <v>18717</v>
      </c>
      <c r="J117" s="66">
        <v>26265</v>
      </c>
      <c r="K117" s="66">
        <v>2399</v>
      </c>
      <c r="L117" s="66">
        <v>16402</v>
      </c>
      <c r="M117" s="66" t="s">
        <v>496</v>
      </c>
      <c r="N117" s="66">
        <v>552</v>
      </c>
    </row>
    <row r="118" spans="1:14" x14ac:dyDescent="0.45">
      <c r="A118">
        <f t="shared" ca="1" si="6"/>
        <v>16</v>
      </c>
      <c r="B118" t="str">
        <f t="shared" ca="1" si="7"/>
        <v>xxxxxxxxxxxxxxxx</v>
      </c>
      <c r="C118" s="16">
        <v>8</v>
      </c>
      <c r="D118" s="16">
        <v>8</v>
      </c>
      <c r="E118">
        <v>3.2297551350010217E-4</v>
      </c>
      <c r="F118">
        <v>2.5663570805282304E-4</v>
      </c>
      <c r="G118">
        <v>2.5397405789743159E-3</v>
      </c>
      <c r="H118">
        <v>3.5080333964779346E-4</v>
      </c>
      <c r="I118" s="66">
        <v>15482</v>
      </c>
      <c r="J118" s="66">
        <v>19483</v>
      </c>
      <c r="K118" s="66">
        <v>1969</v>
      </c>
      <c r="L118" s="66">
        <v>14253</v>
      </c>
      <c r="M118" s="66" t="s">
        <v>497</v>
      </c>
      <c r="N118" s="66">
        <v>1096</v>
      </c>
    </row>
    <row r="119" spans="1:14" x14ac:dyDescent="0.45">
      <c r="A119">
        <f t="shared" ca="1" si="6"/>
        <v>16</v>
      </c>
      <c r="B119" t="str">
        <f t="shared" ca="1" si="7"/>
        <v>xxxxxxxxxxxxxxxx</v>
      </c>
      <c r="C119" s="16">
        <v>8</v>
      </c>
      <c r="D119" s="16">
        <v>16</v>
      </c>
      <c r="E119">
        <v>4.8706758230966879E-4</v>
      </c>
      <c r="F119">
        <v>4.3265677078843743E-4</v>
      </c>
      <c r="G119">
        <v>4.0297244158014351E-3</v>
      </c>
      <c r="H119">
        <v>4.3353854157634613E-4</v>
      </c>
      <c r="I119" s="66">
        <v>10266</v>
      </c>
      <c r="J119" s="66">
        <v>11557</v>
      </c>
      <c r="K119" s="66">
        <v>1241</v>
      </c>
      <c r="L119" s="66">
        <v>11533</v>
      </c>
      <c r="M119" s="66" t="s">
        <v>498</v>
      </c>
      <c r="N119" s="66">
        <v>2184</v>
      </c>
    </row>
    <row r="120" spans="1:14" x14ac:dyDescent="0.45">
      <c r="A120">
        <f t="shared" ca="1" si="6"/>
        <v>16</v>
      </c>
      <c r="B120" t="str">
        <f t="shared" ca="1" si="7"/>
        <v>xxxxxxxxxxxxxxxx</v>
      </c>
      <c r="C120" s="16">
        <v>8</v>
      </c>
      <c r="D120" s="16">
        <v>32</v>
      </c>
      <c r="E120">
        <v>7.0373184633107193E-4</v>
      </c>
      <c r="F120">
        <v>6.6746868660178254E-4</v>
      </c>
      <c r="G120">
        <v>3.6585201901804735E-3</v>
      </c>
      <c r="H120">
        <v>5.6465273856578201E-4</v>
      </c>
      <c r="I120" s="66">
        <v>7106</v>
      </c>
      <c r="J120" s="66">
        <v>7492</v>
      </c>
      <c r="K120" s="66">
        <v>1367</v>
      </c>
      <c r="L120" s="66">
        <v>8855</v>
      </c>
      <c r="M120" s="66" t="s">
        <v>499</v>
      </c>
      <c r="N120" s="66">
        <v>4360</v>
      </c>
    </row>
    <row r="121" spans="1:14" x14ac:dyDescent="0.45">
      <c r="A121">
        <f t="shared" ca="1" si="6"/>
        <v>16</v>
      </c>
      <c r="B121" t="str">
        <f t="shared" ca="1" si="7"/>
        <v>xxxxxxxxxxxxxxxx</v>
      </c>
      <c r="C121" s="16">
        <v>8</v>
      </c>
      <c r="D121" s="16">
        <v>64</v>
      </c>
      <c r="E121">
        <v>1.1688828891995066E-3</v>
      </c>
      <c r="F121">
        <v>1.1173058311028719E-3</v>
      </c>
      <c r="G121">
        <v>7.5770053030503205E-3</v>
      </c>
      <c r="H121">
        <v>9.1390970572107475E-4</v>
      </c>
      <c r="I121" s="66">
        <v>4278</v>
      </c>
      <c r="J121" s="66">
        <v>4476</v>
      </c>
      <c r="K121" s="66">
        <v>660</v>
      </c>
      <c r="L121" s="66">
        <v>5471</v>
      </c>
      <c r="M121" s="66" t="s">
        <v>500</v>
      </c>
      <c r="N121" s="66">
        <v>8712</v>
      </c>
    </row>
    <row r="122" spans="1:14" x14ac:dyDescent="0.45">
      <c r="A122">
        <f t="shared" ca="1" si="6"/>
        <v>16</v>
      </c>
      <c r="B122" t="str">
        <f t="shared" ca="1" si="7"/>
        <v>xxxxxxxxxxxxxxxx</v>
      </c>
      <c r="C122" s="16">
        <v>8</v>
      </c>
      <c r="D122" s="16">
        <v>128</v>
      </c>
      <c r="E122">
        <v>2.4675402565345582E-3</v>
      </c>
      <c r="F122">
        <v>3.9479124703932986E-3</v>
      </c>
      <c r="G122">
        <v>2.6662556383018184E-2</v>
      </c>
      <c r="H122">
        <v>1.4240956992309882E-3</v>
      </c>
      <c r="I122" s="66">
        <v>2027</v>
      </c>
      <c r="J122" s="66">
        <v>1267</v>
      </c>
      <c r="K122" s="66">
        <v>188</v>
      </c>
      <c r="L122" s="66">
        <v>3511</v>
      </c>
      <c r="M122" s="66" t="s">
        <v>501</v>
      </c>
      <c r="N122" s="66">
        <v>17416</v>
      </c>
    </row>
    <row r="123" spans="1:14" x14ac:dyDescent="0.45">
      <c r="A123">
        <f t="shared" ca="1" si="6"/>
        <v>16</v>
      </c>
      <c r="B123" t="str">
        <f t="shared" ca="1" si="7"/>
        <v>xxxxxxxxxxxxxxxx</v>
      </c>
      <c r="C123" s="16">
        <v>8</v>
      </c>
      <c r="D123" s="16">
        <v>256</v>
      </c>
      <c r="E123">
        <v>5.1676210743668086E-3</v>
      </c>
      <c r="F123">
        <v>4.3021158211588662E-3</v>
      </c>
      <c r="G123">
        <v>8.0990182257899571E-2</v>
      </c>
      <c r="H123">
        <v>2.6709334055582683E-3</v>
      </c>
      <c r="I123" s="66">
        <v>968</v>
      </c>
      <c r="J123" s="66">
        <v>1163</v>
      </c>
      <c r="K123" s="66">
        <v>62</v>
      </c>
      <c r="L123" s="66">
        <v>1875</v>
      </c>
      <c r="M123" s="66" t="s">
        <v>502</v>
      </c>
      <c r="N123" s="66">
        <v>34824</v>
      </c>
    </row>
    <row r="124" spans="1:14" x14ac:dyDescent="0.45">
      <c r="A124">
        <f t="shared" ca="1" si="6"/>
        <v>16</v>
      </c>
      <c r="B124" t="str">
        <f t="shared" ca="1" si="7"/>
        <v>xxxxxxxxxxxxxxxx</v>
      </c>
      <c r="C124" s="16">
        <v>8</v>
      </c>
      <c r="D124" s="16">
        <v>512</v>
      </c>
      <c r="E124">
        <v>9.8883300394914022E-3</v>
      </c>
      <c r="F124">
        <v>1.0810224190075253E-2</v>
      </c>
      <c r="G124">
        <v>0.29792842941071074</v>
      </c>
      <c r="H124">
        <v>4.8459303933520654E-3</v>
      </c>
      <c r="I124" s="66">
        <v>506</v>
      </c>
      <c r="J124" s="66">
        <v>463</v>
      </c>
      <c r="K124" s="66">
        <v>17</v>
      </c>
      <c r="L124" s="66">
        <v>1032</v>
      </c>
      <c r="M124" s="66" t="s">
        <v>503</v>
      </c>
      <c r="N124" s="66">
        <v>69640</v>
      </c>
    </row>
    <row r="125" spans="1:14" x14ac:dyDescent="0.45">
      <c r="A125">
        <f t="shared" ca="1" si="6"/>
        <v>16</v>
      </c>
      <c r="B125" t="str">
        <f t="shared" ca="1" si="7"/>
        <v>xxxxxxxxxxxxxxxx</v>
      </c>
      <c r="C125" s="16">
        <v>8</v>
      </c>
      <c r="D125" s="16">
        <v>1024</v>
      </c>
      <c r="E125">
        <v>1.7549229122743239E-2</v>
      </c>
      <c r="F125">
        <v>1.6932016553992808E-2</v>
      </c>
      <c r="G125">
        <v>1.1519225600000937</v>
      </c>
      <c r="H125">
        <v>1.0362318583897181E-2</v>
      </c>
      <c r="I125" s="66">
        <v>285</v>
      </c>
      <c r="J125" s="66">
        <v>296</v>
      </c>
      <c r="K125" s="66">
        <v>5</v>
      </c>
      <c r="L125" s="66">
        <v>483</v>
      </c>
      <c r="M125" s="66" t="s">
        <v>504</v>
      </c>
      <c r="N125" s="66">
        <v>139272</v>
      </c>
    </row>
    <row r="126" spans="1:14" x14ac:dyDescent="0.45">
      <c r="A126">
        <f t="shared" ca="1" si="6"/>
        <v>16</v>
      </c>
      <c r="B126" t="str">
        <f t="shared" ca="1" si="7"/>
        <v>xxxxxxxxxxxxxxxx</v>
      </c>
      <c r="C126" s="16">
        <v>8</v>
      </c>
      <c r="D126" s="16">
        <v>2048</v>
      </c>
      <c r="E126">
        <v>3.676718686126091E-2</v>
      </c>
      <c r="F126">
        <v>3.7138957037004053E-2</v>
      </c>
      <c r="G126">
        <v>4.2961179499980062</v>
      </c>
      <c r="H126">
        <v>2.0457142226550044E-2</v>
      </c>
      <c r="I126" s="66">
        <v>137</v>
      </c>
      <c r="J126" s="66">
        <v>135</v>
      </c>
      <c r="K126" s="66">
        <v>2</v>
      </c>
      <c r="L126" s="66">
        <v>245</v>
      </c>
      <c r="M126" s="66" t="s">
        <v>505</v>
      </c>
      <c r="N126" s="66">
        <v>278536</v>
      </c>
    </row>
    <row r="127" spans="1:14" x14ac:dyDescent="0.45">
      <c r="A127">
        <f t="shared" ca="1" si="6"/>
        <v>16</v>
      </c>
      <c r="B127" t="str">
        <f t="shared" ca="1" si="7"/>
        <v>xxxxxxxxxxxxxxxx</v>
      </c>
      <c r="C127" s="16">
        <v>8</v>
      </c>
      <c r="D127" s="16">
        <v>4096</v>
      </c>
      <c r="E127">
        <v>7.2909913043511784E-2</v>
      </c>
      <c r="F127">
        <v>6.8089724324070969E-2</v>
      </c>
      <c r="G127">
        <v>18.424067900021328</v>
      </c>
      <c r="H127">
        <v>4.3181035025366424E-2</v>
      </c>
      <c r="I127" s="66">
        <v>69</v>
      </c>
      <c r="J127" s="66">
        <v>74</v>
      </c>
      <c r="K127" s="66">
        <v>1</v>
      </c>
      <c r="L127" s="66">
        <v>116</v>
      </c>
      <c r="M127" s="66" t="s">
        <v>506</v>
      </c>
      <c r="N127" s="66">
        <v>557064</v>
      </c>
    </row>
    <row r="128" spans="1:14" x14ac:dyDescent="0.45">
      <c r="A128">
        <f t="shared" ca="1" si="6"/>
        <v>16</v>
      </c>
      <c r="B128" t="str">
        <f t="shared" ca="1" si="7"/>
        <v>xxxxxxxxxxxxxxxx</v>
      </c>
      <c r="C128" s="16">
        <v>8</v>
      </c>
      <c r="D128" s="16">
        <v>8192</v>
      </c>
      <c r="E128">
        <v>0.14606829142846567</v>
      </c>
      <c r="F128">
        <v>0.17954051379287006</v>
      </c>
      <c r="G128">
        <v>67.278493300022092</v>
      </c>
      <c r="H128">
        <v>8.1112903933371269E-2</v>
      </c>
      <c r="I128" s="66">
        <v>35</v>
      </c>
      <c r="J128" s="66">
        <v>29</v>
      </c>
      <c r="K128" s="66">
        <v>1</v>
      </c>
      <c r="L128" s="66">
        <v>62</v>
      </c>
      <c r="M128" s="66" t="s">
        <v>507</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591</v>
      </c>
    </row>
    <row r="140" spans="1:14" x14ac:dyDescent="0.45">
      <c r="I140" s="66"/>
      <c r="J140" s="66"/>
      <c r="K140" s="66"/>
      <c r="L140" s="66"/>
      <c r="M140" t="s">
        <v>597</v>
      </c>
    </row>
    <row r="141" spans="1:14" ht="42.75" x14ac:dyDescent="0.45">
      <c r="A141" s="13" t="s">
        <v>10</v>
      </c>
      <c r="B141" s="13" t="s">
        <v>11</v>
      </c>
      <c r="C141" s="13" t="s">
        <v>12</v>
      </c>
      <c r="D141" s="13" t="s">
        <v>13</v>
      </c>
      <c r="E141" s="14" t="s">
        <v>407</v>
      </c>
      <c r="F141" s="14" t="s">
        <v>408</v>
      </c>
      <c r="G141" s="14" t="s">
        <v>409</v>
      </c>
      <c r="H141" s="14" t="s">
        <v>410</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1.0685671153841501E-2</v>
      </c>
      <c r="F142">
        <v>1.1852932464448906E-2</v>
      </c>
      <c r="G142">
        <v>2.735838415295196E-2</v>
      </c>
      <c r="H142">
        <v>1.364256480218281E-3</v>
      </c>
      <c r="I142" s="66">
        <v>468</v>
      </c>
      <c r="J142" s="66">
        <v>422</v>
      </c>
      <c r="K142" s="66">
        <v>183</v>
      </c>
      <c r="L142" s="66">
        <v>3665</v>
      </c>
      <c r="M142" s="66" t="s">
        <v>508</v>
      </c>
      <c r="N142" s="66">
        <v>17408</v>
      </c>
    </row>
    <row r="143" spans="1:14" x14ac:dyDescent="0.45">
      <c r="A143" s="66">
        <f ca="1"/>
        <v>2</v>
      </c>
      <c r="B143" t="s">
        <v>17</v>
      </c>
      <c r="C143" s="66">
        <v>1024</v>
      </c>
      <c r="D143">
        <v>8</v>
      </c>
      <c r="E143">
        <v>1.0250721516356743E-2</v>
      </c>
      <c r="F143">
        <v>1.1047813244971959E-2</v>
      </c>
      <c r="G143">
        <v>3.1573169811265601E-2</v>
      </c>
      <c r="H143">
        <v>2.6033316845077204E-3</v>
      </c>
      <c r="I143" s="66">
        <v>488</v>
      </c>
      <c r="J143" s="66">
        <v>453</v>
      </c>
      <c r="K143" s="66">
        <v>159</v>
      </c>
      <c r="L143" s="66">
        <v>1921</v>
      </c>
      <c r="M143" s="66" t="s">
        <v>509</v>
      </c>
      <c r="N143" s="66">
        <v>25600</v>
      </c>
    </row>
    <row r="144" spans="1:14" x14ac:dyDescent="0.45">
      <c r="A144" s="66">
        <f ca="1"/>
        <v>4</v>
      </c>
      <c r="B144" t="s">
        <v>18</v>
      </c>
      <c r="C144" s="66">
        <v>1024</v>
      </c>
      <c r="D144">
        <v>8</v>
      </c>
      <c r="E144">
        <v>1.1365860681822101E-2</v>
      </c>
      <c r="F144">
        <v>1.1083745353971608E-2</v>
      </c>
      <c r="G144">
        <v>3.4753443750054833E-2</v>
      </c>
      <c r="H144">
        <v>2.742965371061713E-3</v>
      </c>
      <c r="I144" s="66">
        <v>440</v>
      </c>
      <c r="J144" s="66">
        <v>452</v>
      </c>
      <c r="K144" s="66">
        <v>144</v>
      </c>
      <c r="L144" s="66">
        <v>1848</v>
      </c>
      <c r="M144" s="66" t="s">
        <v>510</v>
      </c>
      <c r="N144" s="66">
        <v>41984</v>
      </c>
    </row>
    <row r="145" spans="1:14" x14ac:dyDescent="0.45">
      <c r="A145" s="66">
        <f ca="1"/>
        <v>8</v>
      </c>
      <c r="B145" t="s">
        <v>19</v>
      </c>
      <c r="C145" s="66">
        <v>1024</v>
      </c>
      <c r="D145">
        <v>8</v>
      </c>
      <c r="E145">
        <v>1.3180460789513553E-2</v>
      </c>
      <c r="F145">
        <v>1.3121156020962185E-2</v>
      </c>
      <c r="G145">
        <v>2.9693675147901295E-2</v>
      </c>
      <c r="H145">
        <v>1.7979144192736426E-3</v>
      </c>
      <c r="I145" s="66">
        <v>380</v>
      </c>
      <c r="J145" s="66">
        <v>382</v>
      </c>
      <c r="K145" s="66">
        <v>169</v>
      </c>
      <c r="L145" s="66">
        <v>2781</v>
      </c>
      <c r="M145" s="66" t="s">
        <v>511</v>
      </c>
      <c r="N145" s="66">
        <v>74752</v>
      </c>
    </row>
    <row r="146" spans="1:14" x14ac:dyDescent="0.45">
      <c r="A146" s="66">
        <f ca="1"/>
        <v>16</v>
      </c>
      <c r="B146" t="s">
        <v>20</v>
      </c>
      <c r="C146" s="66">
        <v>1024</v>
      </c>
      <c r="D146">
        <v>8</v>
      </c>
      <c r="E146">
        <v>1.6601433112561265E-2</v>
      </c>
      <c r="F146">
        <v>1.5979934824272075E-2</v>
      </c>
      <c r="G146">
        <v>3.1703376582391925E-2</v>
      </c>
      <c r="H146">
        <v>1.3818734256758089E-3</v>
      </c>
      <c r="I146" s="66">
        <v>302</v>
      </c>
      <c r="J146" s="66">
        <v>313</v>
      </c>
      <c r="K146" s="66">
        <v>158</v>
      </c>
      <c r="L146" s="66">
        <v>3619</v>
      </c>
      <c r="M146" s="66" t="s">
        <v>512</v>
      </c>
      <c r="N146" s="66">
        <v>140288</v>
      </c>
    </row>
    <row r="147" spans="1:14" x14ac:dyDescent="0.45">
      <c r="A147" s="66">
        <f ca="1"/>
        <v>32</v>
      </c>
      <c r="B147" t="s">
        <v>21</v>
      </c>
      <c r="C147" s="66">
        <v>1024</v>
      </c>
      <c r="D147">
        <v>8</v>
      </c>
      <c r="E147">
        <v>2.5011592999944696E-2</v>
      </c>
      <c r="F147">
        <v>2.3816361904859411E-2</v>
      </c>
      <c r="G147">
        <v>3.1009577160642229E-2</v>
      </c>
      <c r="H147">
        <v>1.85459940652819E-3</v>
      </c>
      <c r="I147" s="66">
        <v>200</v>
      </c>
      <c r="J147" s="66">
        <v>210</v>
      </c>
      <c r="K147" s="66">
        <v>162</v>
      </c>
      <c r="L147" s="66">
        <v>2696</v>
      </c>
      <c r="M147" s="66" t="s">
        <v>513</v>
      </c>
      <c r="N147" s="66">
        <v>271360</v>
      </c>
    </row>
    <row r="148" spans="1:14" x14ac:dyDescent="0.45">
      <c r="A148" s="66">
        <f ca="1"/>
        <v>64</v>
      </c>
      <c r="B148" t="s">
        <v>22</v>
      </c>
      <c r="C148" s="66">
        <v>1024</v>
      </c>
      <c r="D148">
        <v>8</v>
      </c>
      <c r="E148">
        <v>4.0899958536530487E-2</v>
      </c>
      <c r="F148">
        <v>3.9663674803239873E-2</v>
      </c>
      <c r="G148">
        <v>3.429708013702535E-2</v>
      </c>
      <c r="H148">
        <v>2.5863494596905399E-3</v>
      </c>
      <c r="I148" s="66">
        <v>123</v>
      </c>
      <c r="J148" s="66">
        <v>127</v>
      </c>
      <c r="K148" s="66">
        <v>146</v>
      </c>
      <c r="L148" s="66">
        <v>1934</v>
      </c>
      <c r="M148" s="66" t="s">
        <v>514</v>
      </c>
      <c r="N148" s="66">
        <v>533504</v>
      </c>
    </row>
    <row r="149" spans="1:14" x14ac:dyDescent="0.45">
      <c r="A149" s="66">
        <f ca="1"/>
        <v>128</v>
      </c>
      <c r="B149" t="s">
        <v>23</v>
      </c>
      <c r="C149" s="66">
        <v>1024</v>
      </c>
      <c r="D149">
        <v>8</v>
      </c>
      <c r="E149">
        <v>6.9490672222147831E-2</v>
      </c>
      <c r="F149">
        <v>7.1960539999833734E-2</v>
      </c>
      <c r="G149">
        <v>3.9280626562458565E-2</v>
      </c>
      <c r="H149">
        <v>2.4955089458686386E-3</v>
      </c>
      <c r="I149" s="66">
        <v>72</v>
      </c>
      <c r="J149" s="66">
        <v>70</v>
      </c>
      <c r="K149" s="66">
        <v>128</v>
      </c>
      <c r="L149" s="66">
        <v>2004</v>
      </c>
      <c r="M149" s="66" t="s">
        <v>515</v>
      </c>
      <c r="N149" s="66">
        <v>1057792</v>
      </c>
    </row>
    <row r="150" spans="1:14" x14ac:dyDescent="0.45">
      <c r="A150" s="66">
        <f ca="1"/>
        <v>256</v>
      </c>
      <c r="B150" t="s">
        <v>24</v>
      </c>
      <c r="C150" s="66">
        <v>1024</v>
      </c>
      <c r="D150">
        <v>8</v>
      </c>
      <c r="E150">
        <v>0.13281512631587439</v>
      </c>
      <c r="F150">
        <v>0.12685261500009801</v>
      </c>
      <c r="G150">
        <v>5.0336231999972371E-2</v>
      </c>
      <c r="H150">
        <v>4.0428455355867032E-3</v>
      </c>
      <c r="I150" s="66">
        <v>38</v>
      </c>
      <c r="J150" s="66">
        <v>40</v>
      </c>
      <c r="K150" s="66">
        <v>100</v>
      </c>
      <c r="L150" s="66">
        <v>1237</v>
      </c>
      <c r="M150" s="66" t="s">
        <v>516</v>
      </c>
      <c r="N150" s="66">
        <v>2106368</v>
      </c>
    </row>
    <row r="151" spans="1:14" x14ac:dyDescent="0.45">
      <c r="A151" s="66">
        <f ca="1"/>
        <v>512</v>
      </c>
      <c r="B151" t="s">
        <v>25</v>
      </c>
      <c r="C151" s="66">
        <v>1024</v>
      </c>
      <c r="D151">
        <v>8</v>
      </c>
      <c r="E151">
        <v>0.2502958250013762</v>
      </c>
      <c r="F151">
        <v>0.25656191000016404</v>
      </c>
      <c r="G151">
        <v>8.8256040351105888E-2</v>
      </c>
      <c r="H151">
        <v>1.0026052146254178E-2</v>
      </c>
      <c r="I151" s="66">
        <v>20</v>
      </c>
      <c r="J151" s="66">
        <v>20</v>
      </c>
      <c r="K151" s="66">
        <v>57</v>
      </c>
      <c r="L151" s="66">
        <v>499</v>
      </c>
      <c r="M151" s="66" t="s">
        <v>517</v>
      </c>
      <c r="N151" s="66">
        <v>4203520</v>
      </c>
    </row>
    <row r="152" spans="1:14" x14ac:dyDescent="0.45">
      <c r="A152" s="66">
        <f ca="1"/>
        <v>1024</v>
      </c>
      <c r="B152" t="s">
        <v>26</v>
      </c>
      <c r="C152" s="66">
        <v>1024</v>
      </c>
      <c r="D152">
        <v>8</v>
      </c>
      <c r="E152">
        <v>0.49565475454437546</v>
      </c>
      <c r="F152">
        <v>0.48512899090895767</v>
      </c>
      <c r="G152">
        <v>0.2017323200008832</v>
      </c>
      <c r="H152">
        <v>9.9365077321491545E-3</v>
      </c>
      <c r="I152" s="66">
        <v>11</v>
      </c>
      <c r="J152" s="66">
        <v>11</v>
      </c>
      <c r="K152" s="66">
        <v>25</v>
      </c>
      <c r="L152" s="66">
        <v>504</v>
      </c>
      <c r="M152" s="66" t="s">
        <v>518</v>
      </c>
      <c r="N152" s="66">
        <v>8397824</v>
      </c>
    </row>
    <row r="153" spans="1:14" x14ac:dyDescent="0.45">
      <c r="A153" s="66">
        <f ca="1"/>
        <v>2048</v>
      </c>
      <c r="B153" t="s">
        <v>27</v>
      </c>
      <c r="C153" s="66">
        <v>1024</v>
      </c>
      <c r="D153">
        <v>8</v>
      </c>
      <c r="E153">
        <v>1.0098774800018873</v>
      </c>
      <c r="F153">
        <v>1.2589052000039374</v>
      </c>
      <c r="G153">
        <v>0.92454548333383479</v>
      </c>
      <c r="H153">
        <v>2.1982456508435701E-2</v>
      </c>
      <c r="I153" s="66">
        <v>5</v>
      </c>
      <c r="J153" s="66">
        <v>4</v>
      </c>
      <c r="K153" s="66">
        <v>6</v>
      </c>
      <c r="L153" s="66">
        <v>228</v>
      </c>
      <c r="M153" s="66" t="s">
        <v>519</v>
      </c>
      <c r="N153" s="66">
        <v>16786432</v>
      </c>
    </row>
    <row r="154" spans="1:14" x14ac:dyDescent="0.45">
      <c r="A154" s="66">
        <f ca="1"/>
        <v>4096</v>
      </c>
      <c r="B154" t="s">
        <v>28</v>
      </c>
      <c r="C154" s="66">
        <v>1024</v>
      </c>
      <c r="D154">
        <v>8</v>
      </c>
      <c r="E154">
        <v>2.2600098333302108</v>
      </c>
      <c r="F154">
        <v>2.4592211000078046</v>
      </c>
      <c r="G154">
        <v>2.3726784666650929</v>
      </c>
      <c r="H154">
        <v>5.067999839782715E-2</v>
      </c>
      <c r="I154" s="66">
        <v>3</v>
      </c>
      <c r="J154" s="66">
        <v>3</v>
      </c>
      <c r="K154" s="66">
        <v>3</v>
      </c>
      <c r="L154" s="66">
        <v>100</v>
      </c>
      <c r="M154" s="66" t="s">
        <v>520</v>
      </c>
      <c r="N154" s="66">
        <v>33563648</v>
      </c>
    </row>
    <row r="155" spans="1:14" x14ac:dyDescent="0.45">
      <c r="A155" s="66">
        <f ca="1"/>
        <v>8192</v>
      </c>
      <c r="B155" t="s">
        <v>29</v>
      </c>
      <c r="C155" s="66">
        <v>1024</v>
      </c>
      <c r="D155">
        <v>8</v>
      </c>
      <c r="E155">
        <v>5.8219947000034153</v>
      </c>
      <c r="F155">
        <v>4.1848557000048459</v>
      </c>
      <c r="G155">
        <v>10.300931399979163</v>
      </c>
      <c r="H155">
        <v>9.8156863567875882E-2</v>
      </c>
      <c r="I155" s="66">
        <v>1</v>
      </c>
      <c r="J155" s="66">
        <v>2</v>
      </c>
      <c r="K155" s="66">
        <v>1</v>
      </c>
      <c r="L155" s="66">
        <v>51</v>
      </c>
      <c r="M155" s="66" t="s">
        <v>521</v>
      </c>
      <c r="N155" s="66">
        <v>67118080</v>
      </c>
    </row>
    <row r="156" spans="1:14" x14ac:dyDescent="0.45">
      <c r="A156" s="66">
        <f ca="1"/>
        <v>16384</v>
      </c>
      <c r="B156" t="s">
        <v>30</v>
      </c>
      <c r="C156" s="66">
        <v>1024</v>
      </c>
      <c r="D156">
        <v>8</v>
      </c>
      <c r="E156">
        <v>11.511365400016075</v>
      </c>
      <c r="F156">
        <v>8.5781165000225883</v>
      </c>
      <c r="G156">
        <v>58.412140700005693</v>
      </c>
      <c r="H156">
        <v>0.14027778307596842</v>
      </c>
      <c r="I156" s="66">
        <v>1</v>
      </c>
      <c r="J156" s="66">
        <v>1</v>
      </c>
      <c r="K156" s="66">
        <v>1</v>
      </c>
      <c r="L156" s="66">
        <v>36</v>
      </c>
      <c r="M156" s="66" t="s">
        <v>522</v>
      </c>
      <c r="N156" s="66">
        <v>134226944</v>
      </c>
    </row>
    <row r="157" spans="1:14" x14ac:dyDescent="0.45">
      <c r="I157" s="66"/>
      <c r="J157" s="66"/>
      <c r="K157" s="66"/>
      <c r="L157" s="66"/>
    </row>
    <row r="158" spans="1:14" x14ac:dyDescent="0.45">
      <c r="I158" s="66"/>
      <c r="J158" s="66"/>
      <c r="K158" s="66"/>
      <c r="L158" s="66"/>
      <c r="N158">
        <f ca="1">N156/1000000/E156</f>
        <v>11.660384266823167</v>
      </c>
    </row>
    <row r="159" spans="1:14" x14ac:dyDescent="0.45">
      <c r="I159" s="66"/>
      <c r="J159" s="66"/>
      <c r="K159" s="66"/>
      <c r="L159" s="66"/>
      <c r="N159" s="66">
        <f ca="1">C156*D156/E156</f>
        <v>711.644510909936</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592</v>
      </c>
    </row>
    <row r="167" spans="1:14" ht="57" x14ac:dyDescent="0.45">
      <c r="I167" s="66"/>
      <c r="J167" s="66"/>
      <c r="K167" s="66"/>
      <c r="L167" s="66"/>
      <c r="M167" s="75" t="s">
        <v>598</v>
      </c>
    </row>
    <row r="168" spans="1:14" ht="42.75" x14ac:dyDescent="0.45">
      <c r="A168" s="13" t="s">
        <v>10</v>
      </c>
      <c r="B168" s="13" t="s">
        <v>11</v>
      </c>
      <c r="C168" s="13" t="s">
        <v>12</v>
      </c>
      <c r="D168" s="13" t="s">
        <v>13</v>
      </c>
      <c r="E168" s="14" t="s">
        <v>407</v>
      </c>
      <c r="F168" s="14" t="s">
        <v>408</v>
      </c>
      <c r="G168" s="14" t="s">
        <v>409</v>
      </c>
      <c r="H168" s="14" t="s">
        <v>410</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4.0116679999977353E-2</v>
      </c>
      <c r="F169">
        <v>3.2209532051265109E-2</v>
      </c>
      <c r="G169">
        <v>7.0491409858911711E-2</v>
      </c>
      <c r="H169">
        <v>2.2690562284576913E-3</v>
      </c>
      <c r="I169" s="66">
        <v>125</v>
      </c>
      <c r="J169" s="66">
        <v>156</v>
      </c>
      <c r="K169" s="66">
        <v>71</v>
      </c>
      <c r="L169" s="66">
        <v>2204</v>
      </c>
      <c r="M169" s="72" t="s">
        <v>523</v>
      </c>
      <c r="N169" s="66">
        <v>66560</v>
      </c>
    </row>
    <row r="170" spans="1:14" x14ac:dyDescent="0.45">
      <c r="A170" s="66">
        <v>4</v>
      </c>
      <c r="B170" t="s">
        <v>32</v>
      </c>
      <c r="C170" s="66">
        <v>1024</v>
      </c>
      <c r="D170">
        <v>8</v>
      </c>
      <c r="E170">
        <v>3.3024280920998489E-2</v>
      </c>
      <c r="F170">
        <v>5.4147470967784044E-2</v>
      </c>
      <c r="G170">
        <v>5.7368631817966656E-2</v>
      </c>
      <c r="H170">
        <v>2.2025539821488695E-3</v>
      </c>
      <c r="I170" s="66">
        <v>152</v>
      </c>
      <c r="J170" s="66">
        <v>93</v>
      </c>
      <c r="K170" s="66">
        <v>88</v>
      </c>
      <c r="L170" s="66">
        <v>2271</v>
      </c>
      <c r="M170" s="66" t="s">
        <v>524</v>
      </c>
      <c r="N170" s="66">
        <v>74752</v>
      </c>
    </row>
    <row r="171" spans="1:14" x14ac:dyDescent="0.45">
      <c r="A171" s="66">
        <v>6</v>
      </c>
      <c r="B171" t="s">
        <v>33</v>
      </c>
      <c r="C171" s="66">
        <v>1024</v>
      </c>
      <c r="D171">
        <v>8</v>
      </c>
      <c r="E171">
        <v>3.1866174050690782E-2</v>
      </c>
      <c r="F171">
        <v>2.9582260588273023E-2</v>
      </c>
      <c r="G171">
        <v>5.2835925263168881E-2</v>
      </c>
      <c r="H171">
        <v>2.303546719263359E-3</v>
      </c>
      <c r="I171" s="66">
        <v>158</v>
      </c>
      <c r="J171" s="66">
        <v>170</v>
      </c>
      <c r="K171" s="66">
        <v>95</v>
      </c>
      <c r="L171" s="66">
        <v>2171</v>
      </c>
      <c r="M171" s="66" t="s">
        <v>525</v>
      </c>
      <c r="N171" s="66">
        <v>91136</v>
      </c>
    </row>
    <row r="172" spans="1:14" x14ac:dyDescent="0.45">
      <c r="A172" s="66">
        <v>10</v>
      </c>
      <c r="B172" t="s">
        <v>34</v>
      </c>
      <c r="C172" s="66">
        <v>1024</v>
      </c>
      <c r="D172">
        <v>8</v>
      </c>
      <c r="E172">
        <v>3.1897477848165011E-2</v>
      </c>
      <c r="F172">
        <v>3.402772040833358E-2</v>
      </c>
      <c r="G172">
        <v>5.7099562500132546E-2</v>
      </c>
      <c r="H172">
        <v>1.7024174327545114E-3</v>
      </c>
      <c r="I172" s="66">
        <v>158</v>
      </c>
      <c r="J172" s="66">
        <v>147</v>
      </c>
      <c r="K172" s="66">
        <v>88</v>
      </c>
      <c r="L172" s="66">
        <v>2937</v>
      </c>
      <c r="M172" s="66" t="s">
        <v>526</v>
      </c>
      <c r="N172" s="66">
        <v>123904</v>
      </c>
    </row>
    <row r="173" spans="1:14" x14ac:dyDescent="0.45">
      <c r="A173" s="66">
        <v>18</v>
      </c>
      <c r="B173" t="s">
        <v>35</v>
      </c>
      <c r="C173" s="66">
        <v>1024</v>
      </c>
      <c r="D173">
        <v>8</v>
      </c>
      <c r="E173">
        <v>3.716843897050507E-2</v>
      </c>
      <c r="F173">
        <v>4.0334889600053429E-2</v>
      </c>
      <c r="G173">
        <v>6.3634559493718226E-2</v>
      </c>
      <c r="H173">
        <v>1.8529084577698228E-3</v>
      </c>
      <c r="I173" s="66">
        <v>136</v>
      </c>
      <c r="J173" s="66">
        <v>125</v>
      </c>
      <c r="K173" s="66">
        <v>79</v>
      </c>
      <c r="L173" s="66">
        <v>2699</v>
      </c>
      <c r="M173" s="66" t="s">
        <v>527</v>
      </c>
      <c r="N173" s="66">
        <v>189440</v>
      </c>
    </row>
    <row r="174" spans="1:14" x14ac:dyDescent="0.45">
      <c r="A174" s="66">
        <v>34</v>
      </c>
      <c r="B174" t="s">
        <v>36</v>
      </c>
      <c r="C174" s="66">
        <v>1024</v>
      </c>
      <c r="D174">
        <v>8</v>
      </c>
      <c r="E174">
        <v>4.3709532174018573E-2</v>
      </c>
      <c r="F174">
        <v>4.6070568807425251E-2</v>
      </c>
      <c r="G174">
        <v>6.1777551851758483E-2</v>
      </c>
      <c r="H174">
        <v>2.866209132661814E-3</v>
      </c>
      <c r="I174" s="66">
        <v>115</v>
      </c>
      <c r="J174" s="66">
        <v>109</v>
      </c>
      <c r="K174" s="66">
        <v>81</v>
      </c>
      <c r="L174" s="66">
        <v>1749</v>
      </c>
      <c r="M174" s="66" t="s">
        <v>528</v>
      </c>
      <c r="N174" s="66">
        <v>320512</v>
      </c>
    </row>
    <row r="175" spans="1:14" x14ac:dyDescent="0.45">
      <c r="A175" s="66">
        <v>66</v>
      </c>
      <c r="B175" t="s">
        <v>37</v>
      </c>
      <c r="C175" s="66">
        <v>1024</v>
      </c>
      <c r="D175">
        <v>8</v>
      </c>
      <c r="E175">
        <v>5.8359217241235162E-2</v>
      </c>
      <c r="F175">
        <v>5.7725116092010517E-2</v>
      </c>
      <c r="G175">
        <v>5.8442130232727978E-2</v>
      </c>
      <c r="H175">
        <v>3.0562347188264061E-3</v>
      </c>
      <c r="I175" s="66">
        <v>87</v>
      </c>
      <c r="J175" s="66">
        <v>87</v>
      </c>
      <c r="K175" s="66">
        <v>86</v>
      </c>
      <c r="L175" s="66">
        <v>1636</v>
      </c>
      <c r="M175" s="66" t="s">
        <v>529</v>
      </c>
      <c r="N175" s="66">
        <v>582656</v>
      </c>
    </row>
    <row r="176" spans="1:14" x14ac:dyDescent="0.45">
      <c r="A176" s="66">
        <v>130</v>
      </c>
      <c r="B176" t="s">
        <v>38</v>
      </c>
      <c r="C176" s="66">
        <v>1024</v>
      </c>
      <c r="D176">
        <v>8</v>
      </c>
      <c r="E176">
        <v>0.10138135200017132</v>
      </c>
      <c r="F176">
        <v>9.9017990196087202E-2</v>
      </c>
      <c r="G176">
        <v>6.3417806328772391E-2</v>
      </c>
      <c r="H176">
        <v>3.271208171059969E-3</v>
      </c>
      <c r="I176" s="66">
        <v>50</v>
      </c>
      <c r="J176" s="66">
        <v>51</v>
      </c>
      <c r="K176" s="66">
        <v>79</v>
      </c>
      <c r="L176" s="66">
        <v>1556</v>
      </c>
      <c r="M176" s="66" t="s">
        <v>530</v>
      </c>
      <c r="N176" s="66">
        <v>1106944</v>
      </c>
    </row>
    <row r="177" spans="1:14" x14ac:dyDescent="0.45">
      <c r="A177" s="66">
        <v>258</v>
      </c>
      <c r="B177" t="s">
        <v>39</v>
      </c>
      <c r="C177" s="66">
        <v>1024</v>
      </c>
      <c r="D177">
        <v>8</v>
      </c>
      <c r="E177">
        <v>0.15785021562533075</v>
      </c>
      <c r="F177">
        <v>0.15666048124967347</v>
      </c>
      <c r="G177">
        <v>7.495712089559077E-2</v>
      </c>
      <c r="H177">
        <v>5.5465632161650052E-3</v>
      </c>
      <c r="I177" s="66">
        <v>32</v>
      </c>
      <c r="J177" s="66">
        <v>32</v>
      </c>
      <c r="K177" s="66">
        <v>67</v>
      </c>
      <c r="L177" s="66">
        <v>902</v>
      </c>
      <c r="M177" s="66" t="s">
        <v>531</v>
      </c>
      <c r="N177" s="66">
        <v>2155520</v>
      </c>
    </row>
    <row r="178" spans="1:14" x14ac:dyDescent="0.45">
      <c r="A178" s="66">
        <v>514</v>
      </c>
      <c r="B178" t="s">
        <v>40</v>
      </c>
      <c r="C178" s="66">
        <v>1024</v>
      </c>
      <c r="D178">
        <v>8</v>
      </c>
      <c r="E178">
        <v>0.27571386842081619</v>
      </c>
      <c r="F178">
        <v>0.26426800000052408</v>
      </c>
      <c r="G178">
        <v>8.7121741379037151E-2</v>
      </c>
      <c r="H178">
        <v>1.0118342950734396E-2</v>
      </c>
      <c r="I178" s="66">
        <v>19</v>
      </c>
      <c r="J178" s="66">
        <v>19</v>
      </c>
      <c r="K178" s="66">
        <v>58</v>
      </c>
      <c r="L178" s="66">
        <v>507</v>
      </c>
      <c r="M178" s="66" t="s">
        <v>532</v>
      </c>
      <c r="N178" s="66">
        <v>4252672</v>
      </c>
    </row>
    <row r="179" spans="1:14" x14ac:dyDescent="0.45">
      <c r="A179" s="66">
        <v>1026</v>
      </c>
      <c r="B179" t="s">
        <v>41</v>
      </c>
      <c r="C179" s="66">
        <v>1024</v>
      </c>
      <c r="D179">
        <v>8</v>
      </c>
      <c r="E179">
        <v>0.51226721818304877</v>
      </c>
      <c r="F179">
        <v>0.54514243000012352</v>
      </c>
      <c r="G179">
        <v>0.21410807916739336</v>
      </c>
      <c r="H179">
        <v>1.3891667127609253E-2</v>
      </c>
      <c r="I179" s="66">
        <v>11</v>
      </c>
      <c r="J179" s="66">
        <v>10</v>
      </c>
      <c r="K179" s="66">
        <v>24</v>
      </c>
      <c r="L179" s="66">
        <v>360</v>
      </c>
      <c r="M179" s="66" t="s">
        <v>533</v>
      </c>
      <c r="N179" s="66">
        <v>8446976</v>
      </c>
    </row>
    <row r="180" spans="1:14" x14ac:dyDescent="0.45">
      <c r="A180" s="66">
        <v>2050</v>
      </c>
      <c r="B180" t="s">
        <v>42</v>
      </c>
      <c r="C180" s="66">
        <v>1024</v>
      </c>
      <c r="D180">
        <v>8</v>
      </c>
      <c r="E180">
        <v>0.96312313333328348</v>
      </c>
      <c r="F180">
        <v>0.97915306666497293</v>
      </c>
      <c r="G180">
        <v>0.6493489624990616</v>
      </c>
      <c r="H180">
        <v>2.1743478982344917E-2</v>
      </c>
      <c r="I180" s="66">
        <v>6</v>
      </c>
      <c r="J180" s="66">
        <v>6</v>
      </c>
      <c r="K180" s="66">
        <v>8</v>
      </c>
      <c r="L180" s="66">
        <v>230</v>
      </c>
      <c r="M180" s="66" t="s">
        <v>534</v>
      </c>
      <c r="N180" s="66">
        <v>16835584</v>
      </c>
    </row>
    <row r="181" spans="1:14" x14ac:dyDescent="0.45">
      <c r="A181" s="66">
        <v>4098</v>
      </c>
      <c r="B181" t="s">
        <v>43</v>
      </c>
      <c r="C181" s="66">
        <v>1024</v>
      </c>
      <c r="D181">
        <v>8</v>
      </c>
      <c r="E181">
        <v>2.1272302999956687</v>
      </c>
      <c r="F181">
        <v>2.0197260333322142</v>
      </c>
      <c r="G181">
        <v>2.2256907666645325</v>
      </c>
      <c r="H181">
        <v>4.6444444744675246E-2</v>
      </c>
      <c r="I181" s="66">
        <v>3</v>
      </c>
      <c r="J181" s="66">
        <v>3</v>
      </c>
      <c r="K181" s="66">
        <v>3</v>
      </c>
      <c r="L181" s="66">
        <v>108</v>
      </c>
      <c r="M181" s="66" t="s">
        <v>535</v>
      </c>
      <c r="N181" s="66">
        <v>33612800</v>
      </c>
    </row>
    <row r="182" spans="1:14" x14ac:dyDescent="0.45">
      <c r="A182" s="66">
        <v>8194</v>
      </c>
      <c r="B182" t="s">
        <v>44</v>
      </c>
      <c r="C182" s="66">
        <v>1024</v>
      </c>
      <c r="D182">
        <v>8</v>
      </c>
      <c r="E182">
        <v>4.1366874000086682</v>
      </c>
      <c r="F182">
        <v>4.0722253999992972</v>
      </c>
      <c r="G182">
        <v>11.082353799982229</v>
      </c>
      <c r="H182">
        <v>9.0999999216624675E-2</v>
      </c>
      <c r="I182" s="66">
        <v>2</v>
      </c>
      <c r="J182" s="66">
        <v>2</v>
      </c>
      <c r="K182" s="66">
        <v>1</v>
      </c>
      <c r="L182" s="66">
        <v>56</v>
      </c>
      <c r="M182" s="66" t="s">
        <v>536</v>
      </c>
      <c r="N182" s="66">
        <v>67167232</v>
      </c>
    </row>
    <row r="183" spans="1:14" x14ac:dyDescent="0.45">
      <c r="A183" s="66">
        <v>16386</v>
      </c>
      <c r="B183" t="s">
        <v>45</v>
      </c>
      <c r="C183" s="66">
        <v>1024</v>
      </c>
      <c r="D183">
        <v>8</v>
      </c>
      <c r="E183">
        <v>8.8224731000082102</v>
      </c>
      <c r="F183">
        <v>8.489560399990296</v>
      </c>
      <c r="G183">
        <v>57.087035000004107</v>
      </c>
      <c r="H183">
        <v>0.74888888994852698</v>
      </c>
      <c r="I183" s="66">
        <v>1</v>
      </c>
      <c r="J183" s="66">
        <v>1</v>
      </c>
      <c r="K183" s="66">
        <v>1</v>
      </c>
      <c r="L183" s="66">
        <v>9</v>
      </c>
      <c r="M183" s="66" t="s">
        <v>537</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247</v>
      </c>
    </row>
    <row r="2" spans="1:14" x14ac:dyDescent="0.45">
      <c r="N2" s="66"/>
    </row>
    <row r="4" spans="1:14" x14ac:dyDescent="0.45">
      <c r="A4" s="15" t="s">
        <v>645</v>
      </c>
      <c r="M4" s="15" t="s">
        <v>588</v>
      </c>
    </row>
    <row r="5" spans="1:14" x14ac:dyDescent="0.45">
      <c r="M5" t="s">
        <v>538</v>
      </c>
    </row>
    <row r="6" spans="1:14" ht="42.75" x14ac:dyDescent="0.45">
      <c r="A6" s="13" t="s">
        <v>10</v>
      </c>
      <c r="B6" s="13" t="s">
        <v>11</v>
      </c>
      <c r="C6" s="13" t="s">
        <v>12</v>
      </c>
      <c r="D6" s="13" t="s">
        <v>13</v>
      </c>
      <c r="E6" s="14" t="s">
        <v>407</v>
      </c>
      <c r="F6" s="14" t="s">
        <v>408</v>
      </c>
      <c r="G6" s="14" t="s">
        <v>409</v>
      </c>
      <c r="H6" s="14" t="s">
        <v>410</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411</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412</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413</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414</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415</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416</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417</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418</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419</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420</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421</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422</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423</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424</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425</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426</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427</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428</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429</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430</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431</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432</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587</v>
      </c>
      <c r="N31" s="66">
        <f ca="1">C28*D28/E28</f>
        <v>710425.92367464525</v>
      </c>
    </row>
    <row r="32" spans="1:14" x14ac:dyDescent="0.45">
      <c r="I32" s="66"/>
      <c r="J32" s="66"/>
      <c r="K32" s="66"/>
      <c r="L32" s="66"/>
      <c r="M32" t="s">
        <v>593</v>
      </c>
    </row>
    <row r="33" spans="1:14" ht="42.75" x14ac:dyDescent="0.45">
      <c r="A33" s="13" t="s">
        <v>10</v>
      </c>
      <c r="B33" s="13" t="s">
        <v>11</v>
      </c>
      <c r="C33" s="13" t="s">
        <v>12</v>
      </c>
      <c r="D33" s="13" t="s">
        <v>13</v>
      </c>
      <c r="E33" s="14" t="s">
        <v>407</v>
      </c>
      <c r="F33" s="14" t="s">
        <v>408</v>
      </c>
      <c r="G33" s="14" t="s">
        <v>409</v>
      </c>
      <c r="H33" s="14" t="s">
        <v>410</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433</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434</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435</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436</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437</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438</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439</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440</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441</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442</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443</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444</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445</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446</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447</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448</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449</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450</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451</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452</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453</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586</v>
      </c>
    </row>
    <row r="59" spans="1:14" x14ac:dyDescent="0.45">
      <c r="I59" s="66"/>
      <c r="J59" s="66"/>
      <c r="K59" s="66"/>
      <c r="L59" s="66"/>
      <c r="M59" t="s">
        <v>594</v>
      </c>
    </row>
    <row r="60" spans="1:14" ht="42.75" x14ac:dyDescent="0.45">
      <c r="A60" s="13" t="s">
        <v>10</v>
      </c>
      <c r="B60" s="13" t="s">
        <v>11</v>
      </c>
      <c r="C60" s="13" t="s">
        <v>12</v>
      </c>
      <c r="D60" s="13" t="s">
        <v>13</v>
      </c>
      <c r="E60" s="14" t="s">
        <v>407</v>
      </c>
      <c r="F60" s="14" t="s">
        <v>408</v>
      </c>
      <c r="G60" s="14" t="s">
        <v>409</v>
      </c>
      <c r="H60" s="14" t="s">
        <v>410</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454</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455</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456</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457</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458</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459</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460</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461</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462</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463</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464</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465</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466</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467</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468</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469</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470</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471</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472</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473</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474</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589</v>
      </c>
    </row>
    <row r="86" spans="1:28" x14ac:dyDescent="0.45">
      <c r="I86" s="66"/>
      <c r="J86" s="66"/>
      <c r="K86" s="66"/>
      <c r="L86" s="66"/>
      <c r="M86" t="s">
        <v>595</v>
      </c>
    </row>
    <row r="87" spans="1:28" ht="42.75" x14ac:dyDescent="0.45">
      <c r="A87" s="13" t="s">
        <v>10</v>
      </c>
      <c r="B87" s="13" t="s">
        <v>11</v>
      </c>
      <c r="C87" s="13" t="s">
        <v>12</v>
      </c>
      <c r="D87" s="13" t="s">
        <v>13</v>
      </c>
      <c r="E87" s="14" t="s">
        <v>407</v>
      </c>
      <c r="F87" s="14" t="s">
        <v>408</v>
      </c>
      <c r="G87" s="14" t="s">
        <v>409</v>
      </c>
      <c r="H87" s="14" t="s">
        <v>410</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475</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476</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477</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478</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479</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480</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481</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482</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483</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484</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485</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486</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487</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488</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489</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490</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491</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492</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493</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590</v>
      </c>
    </row>
    <row r="113" spans="1:14" x14ac:dyDescent="0.45">
      <c r="I113" s="66"/>
      <c r="J113" s="66"/>
      <c r="K113" s="66"/>
      <c r="L113" s="66"/>
      <c r="M113" t="s">
        <v>596</v>
      </c>
    </row>
    <row r="114" spans="1:14" ht="42.75" x14ac:dyDescent="0.45">
      <c r="A114" s="13" t="s">
        <v>10</v>
      </c>
      <c r="B114" s="13" t="s">
        <v>11</v>
      </c>
      <c r="C114" s="13" t="s">
        <v>12</v>
      </c>
      <c r="D114" s="13" t="s">
        <v>13</v>
      </c>
      <c r="E114" s="14" t="s">
        <v>407</v>
      </c>
      <c r="F114" s="14" t="s">
        <v>408</v>
      </c>
      <c r="G114" s="14" t="s">
        <v>409</v>
      </c>
      <c r="H114" s="14" t="s">
        <v>410</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494</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495</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496</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497</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498</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499</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500</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501</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502</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503</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504</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505</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506</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507</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591</v>
      </c>
    </row>
    <row r="140" spans="1:14" x14ac:dyDescent="0.45">
      <c r="I140" s="66"/>
      <c r="J140" s="66"/>
      <c r="K140" s="66"/>
      <c r="L140" s="66"/>
      <c r="M140" t="s">
        <v>597</v>
      </c>
    </row>
    <row r="141" spans="1:14" ht="42.75" x14ac:dyDescent="0.45">
      <c r="A141" s="13" t="s">
        <v>10</v>
      </c>
      <c r="B141" s="13" t="s">
        <v>11</v>
      </c>
      <c r="C141" s="13" t="s">
        <v>12</v>
      </c>
      <c r="D141" s="13" t="s">
        <v>13</v>
      </c>
      <c r="E141" s="14" t="s">
        <v>407</v>
      </c>
      <c r="F141" s="14" t="s">
        <v>408</v>
      </c>
      <c r="G141" s="14" t="s">
        <v>409</v>
      </c>
      <c r="H141" s="14" t="s">
        <v>410</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508</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509</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510</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511</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512</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513</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514</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515</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516</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517</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518</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519</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520</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521</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522</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592</v>
      </c>
    </row>
    <row r="167" spans="1:14" ht="57" x14ac:dyDescent="0.45">
      <c r="I167" s="66"/>
      <c r="J167" s="66"/>
      <c r="K167" s="66"/>
      <c r="L167" s="66"/>
      <c r="M167" s="75" t="s">
        <v>598</v>
      </c>
    </row>
    <row r="168" spans="1:14" ht="42.75" x14ac:dyDescent="0.45">
      <c r="A168" s="13" t="s">
        <v>10</v>
      </c>
      <c r="B168" s="13" t="s">
        <v>11</v>
      </c>
      <c r="C168" s="13" t="s">
        <v>12</v>
      </c>
      <c r="D168" s="13" t="s">
        <v>13</v>
      </c>
      <c r="E168" s="14" t="s">
        <v>407</v>
      </c>
      <c r="F168" s="14" t="s">
        <v>408</v>
      </c>
      <c r="G168" s="14" t="s">
        <v>409</v>
      </c>
      <c r="H168" s="14" t="s">
        <v>410</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523</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524</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525</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526</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527</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528</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529</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530</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531</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532</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533</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534</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535</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536</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537</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346</v>
      </c>
    </row>
    <row r="2" spans="2:13" x14ac:dyDescent="0.45">
      <c r="K2" s="37" t="s">
        <v>315</v>
      </c>
      <c r="L2" s="15" t="s">
        <v>317</v>
      </c>
    </row>
    <row r="3" spans="2:13" x14ac:dyDescent="0.45">
      <c r="B3" s="15" t="s">
        <v>345</v>
      </c>
      <c r="K3" s="37" t="s">
        <v>318</v>
      </c>
      <c r="L3" s="15" t="s">
        <v>330</v>
      </c>
    </row>
    <row r="4" spans="2:13" x14ac:dyDescent="0.45">
      <c r="B4" s="58" t="s">
        <v>606</v>
      </c>
      <c r="F4" s="15"/>
      <c r="G4" s="15"/>
      <c r="H4" s="15"/>
      <c r="I4" s="15"/>
      <c r="K4" s="60" t="s">
        <v>316</v>
      </c>
      <c r="L4" s="15" t="s">
        <v>331</v>
      </c>
    </row>
    <row r="5" spans="2:13" x14ac:dyDescent="0.45">
      <c r="B5" s="59" t="s">
        <v>344</v>
      </c>
      <c r="F5" s="15"/>
      <c r="G5" s="15"/>
      <c r="H5" s="15"/>
      <c r="I5" s="15"/>
      <c r="K5" s="60" t="s">
        <v>329</v>
      </c>
      <c r="L5" s="15" t="s">
        <v>321</v>
      </c>
    </row>
    <row r="6" spans="2:13" x14ac:dyDescent="0.45">
      <c r="F6" s="15"/>
      <c r="G6" s="15"/>
      <c r="H6" s="15"/>
      <c r="I6" s="15"/>
      <c r="K6" s="60" t="s">
        <v>328</v>
      </c>
      <c r="L6" t="str">
        <f ca="1">L4&amp;"("&amp;L5&amp;")?"</f>
        <v>T[0-2][0-9]:[0-5][0-9]:[0-5][0-9](\.[0-9]+)?</v>
      </c>
    </row>
    <row r="7" spans="2:13" x14ac:dyDescent="0.45">
      <c r="K7" s="37" t="s">
        <v>342</v>
      </c>
      <c r="L7" s="15" t="s">
        <v>339</v>
      </c>
    </row>
    <row r="8" spans="2:13" x14ac:dyDescent="0.45">
      <c r="F8" s="15"/>
      <c r="G8" s="15"/>
      <c r="H8" s="15"/>
      <c r="I8" s="15"/>
      <c r="K8" s="60" t="s">
        <v>347</v>
      </c>
      <c r="L8" t="str">
        <f ca="1">L6&amp;"("&amp;L7&amp;")?"</f>
        <v>T[0-2][0-9]:[0-5][0-9]:[0-5][0-9](\.[0-9]+)?((Z|((\+|\-)[0-2][0-9]:[0-5][0-9])))?</v>
      </c>
    </row>
    <row r="9" spans="2:13" x14ac:dyDescent="0.45">
      <c r="B9" s="47"/>
      <c r="F9" s="57"/>
      <c r="G9" s="57"/>
      <c r="H9" s="57"/>
      <c r="I9" s="57"/>
      <c r="K9" s="60" t="s">
        <v>343</v>
      </c>
      <c r="L9" t="str">
        <f ca="1">L6&amp;L7</f>
        <v>T[0-2][0-9]:[0-5][0-9]:[0-5][0-9](\.[0-9]+)?(Z|((\+|\-)[0-2][0-9]:[0-5][0-9]))</v>
      </c>
    </row>
    <row r="10" spans="2:13" x14ac:dyDescent="0.45">
      <c r="F10" s="15"/>
      <c r="G10" s="15"/>
      <c r="H10" s="15"/>
      <c r="I10" s="15"/>
      <c r="K10" s="37" t="s">
        <v>319</v>
      </c>
      <c r="L10" t="s">
        <v>320</v>
      </c>
    </row>
    <row r="11" spans="2:13" x14ac:dyDescent="0.45">
      <c r="B11" t="s">
        <v>323</v>
      </c>
      <c r="F11" s="15"/>
      <c r="G11" s="15"/>
      <c r="H11" s="15"/>
      <c r="I11" s="15"/>
      <c r="K11" s="60" t="s">
        <v>348</v>
      </c>
      <c r="L11" s="63" t="str">
        <f ca="1">L2&amp;L3&amp;L10</f>
        <v>^[0-9][0-9][0-9][0-9]\-[[0-1][0-9]\-[0-3][0-9]$</v>
      </c>
    </row>
    <row r="12" spans="2:13" x14ac:dyDescent="0.45">
      <c r="B12" s="82" t="str" cm="1">
        <f t="array" aca="1" ref="B12" ca="1">TestFolder()&amp;"\test_good_ISO8601.csv"</f>
        <v>C:\Projects\VBA-CSV\testfiles\\test_good_ISO8601.csv</v>
      </c>
      <c r="K12" s="60" t="s">
        <v>349</v>
      </c>
      <c r="L12" s="63" t="str">
        <f ca="1">L2&amp;L3&amp;"("&amp;L6&amp;")?"&amp;L10</f>
        <v>^[0-9][0-9][0-9][0-9]\-[[0-1][0-9]\-[0-3][0-9](T[0-2][0-9]:[0-5][0-9]:[0-5][0-9](\.[0-9]+)?)?$</v>
      </c>
    </row>
    <row r="13" spans="2:13" x14ac:dyDescent="0.45">
      <c r="B13" t="s">
        <v>324</v>
      </c>
      <c r="K13" s="60" t="s">
        <v>350</v>
      </c>
      <c r="L13" s="63" t="str">
        <f ca="1">L2&amp;L3&amp;"("&amp;L9&amp;")?"&amp;L10</f>
        <v>^[0-9][0-9][0-9][0-9]\-[[0-1][0-9]\-[0-3][0-9](T[0-2][0-9]:[0-5][0-9]:[0-5][0-9](\.[0-9]+)?(Z|((\+|\-)[0-2][0-9]:[0-5][0-9])))?$</v>
      </c>
    </row>
    <row r="14" spans="2:13" x14ac:dyDescent="0.45">
      <c r="B14" s="82" t="str" cm="1">
        <f t="array" aca="1" ref="B14" ca="1">TestFolder()&amp;"\test_bad_ISO8601.csv"</f>
        <v>C:\Projects\VBA-CSV\testfiles\\test_bad_ISO8601.csv</v>
      </c>
      <c r="K14" s="60" t="s">
        <v>351</v>
      </c>
      <c r="L14" s="63" t="str">
        <f ca="1">L2&amp;L3&amp;"("&amp;L8&amp;")?"&amp;L10</f>
        <v>^[0-9][0-9][0-9][0-9]\-[[0-1][0-9]\-[0-3][0-9](T[0-2][0-9]:[0-5][0-9]:[0-5][0-9](\.[0-9]+)?((Z|((\+|\-)[0-2][0-9]:[0-5][0-9])))?)?$</v>
      </c>
    </row>
    <row r="15" spans="2:13" x14ac:dyDescent="0.45">
      <c r="E15" s="57"/>
    </row>
    <row r="16" spans="2:13" x14ac:dyDescent="0.45">
      <c r="B16" t="s">
        <v>325</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326</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92"/>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I3" s="18" t="s">
        <v>47</v>
      </c>
      <c r="U3" s="18" t="s">
        <v>48</v>
      </c>
    </row>
    <row r="4" spans="2:21" x14ac:dyDescent="0.45">
      <c r="U4" s="19" t="s">
        <v>49</v>
      </c>
    </row>
    <row r="5" spans="2:21" x14ac:dyDescent="0.45">
      <c r="B5" s="20" t="s">
        <v>50</v>
      </c>
      <c r="C5" s="21" t="s">
        <v>51</v>
      </c>
      <c r="D5" s="88" t="s">
        <v>52</v>
      </c>
      <c r="E5" s="22" t="s">
        <v>53</v>
      </c>
      <c r="F5" s="23" t="s">
        <v>54</v>
      </c>
      <c r="I5" s="18" t="s">
        <v>292</v>
      </c>
      <c r="U5" s="49" t="s">
        <v>55</v>
      </c>
    </row>
    <row r="6" spans="2:21" x14ac:dyDescent="0.45">
      <c r="B6" s="87">
        <v>87</v>
      </c>
      <c r="C6" s="24">
        <v>44459</v>
      </c>
      <c r="D6" s="89">
        <v>0.40533564814541023</v>
      </c>
      <c r="E6" s="25" t="s">
        <v>56</v>
      </c>
      <c r="F6" s="27" t="s">
        <v>651</v>
      </c>
      <c r="I6" t="s">
        <v>293</v>
      </c>
    </row>
    <row r="7" spans="2:21" x14ac:dyDescent="0.45">
      <c r="B7" s="85">
        <v>86</v>
      </c>
      <c r="C7" s="24">
        <v>44458</v>
      </c>
      <c r="D7" s="89">
        <v>0.80187499999738066</v>
      </c>
      <c r="E7" s="25" t="s">
        <v>56</v>
      </c>
      <c r="F7" s="27" t="s">
        <v>641</v>
      </c>
      <c r="I7" t="s">
        <v>294</v>
      </c>
    </row>
    <row r="8" spans="2:21" x14ac:dyDescent="0.45">
      <c r="B8" s="85">
        <v>85</v>
      </c>
      <c r="C8" s="24">
        <v>44458</v>
      </c>
      <c r="D8" s="89">
        <v>0.77153935185197042</v>
      </c>
      <c r="E8" s="25" t="s">
        <v>56</v>
      </c>
      <c r="F8" s="26" t="s">
        <v>640</v>
      </c>
      <c r="I8" t="s">
        <v>295</v>
      </c>
    </row>
    <row r="9" spans="2:21" x14ac:dyDescent="0.45">
      <c r="B9" s="85">
        <v>84</v>
      </c>
      <c r="C9" s="24">
        <v>44458</v>
      </c>
      <c r="D9" s="89">
        <v>0.690150462964084</v>
      </c>
      <c r="E9" s="25" t="s">
        <v>56</v>
      </c>
      <c r="F9" s="27" t="s">
        <v>638</v>
      </c>
      <c r="I9" t="s">
        <v>302</v>
      </c>
    </row>
    <row r="10" spans="2:21" x14ac:dyDescent="0.45">
      <c r="B10" s="85">
        <v>83</v>
      </c>
      <c r="C10" s="24">
        <v>44458</v>
      </c>
      <c r="D10" s="89">
        <v>0.46993055555503815</v>
      </c>
      <c r="E10" s="25" t="s">
        <v>56</v>
      </c>
      <c r="F10" s="26" t="s">
        <v>637</v>
      </c>
      <c r="I10" s="15" t="s">
        <v>300</v>
      </c>
    </row>
    <row r="11" spans="2:21" x14ac:dyDescent="0.45">
      <c r="B11" s="85">
        <v>82</v>
      </c>
      <c r="C11" s="24">
        <v>44458</v>
      </c>
      <c r="D11" s="89">
        <v>0.42821759259095415</v>
      </c>
      <c r="E11" s="25" t="s">
        <v>56</v>
      </c>
      <c r="F11" s="26" t="s">
        <v>636</v>
      </c>
      <c r="I11" t="s">
        <v>301</v>
      </c>
    </row>
    <row r="12" spans="2:21" x14ac:dyDescent="0.45">
      <c r="B12" s="85">
        <v>81</v>
      </c>
      <c r="C12" s="24">
        <v>44450</v>
      </c>
      <c r="D12" s="89">
        <v>0.47984953703416977</v>
      </c>
      <c r="E12" s="25" t="s">
        <v>56</v>
      </c>
      <c r="F12" s="26" t="s">
        <v>633</v>
      </c>
      <c r="I12" s="15" t="s">
        <v>296</v>
      </c>
      <c r="U12" s="18" t="s">
        <v>273</v>
      </c>
    </row>
    <row r="13" spans="2:21" x14ac:dyDescent="0.45">
      <c r="B13" s="85">
        <v>80</v>
      </c>
      <c r="C13" s="24">
        <v>44450</v>
      </c>
      <c r="D13" s="89">
        <v>0.40421296295971842</v>
      </c>
      <c r="E13" s="25" t="s">
        <v>56</v>
      </c>
      <c r="F13" s="26" t="s">
        <v>635</v>
      </c>
      <c r="I13" t="s">
        <v>297</v>
      </c>
      <c r="U13" t="s">
        <v>274</v>
      </c>
    </row>
    <row r="14" spans="2:21" x14ac:dyDescent="0.45">
      <c r="B14" s="85">
        <v>79</v>
      </c>
      <c r="C14" s="24">
        <v>44450</v>
      </c>
      <c r="D14" s="89">
        <v>0.39056712963065365</v>
      </c>
      <c r="E14" s="25" t="s">
        <v>56</v>
      </c>
      <c r="F14" s="26" t="s">
        <v>633</v>
      </c>
      <c r="I14" s="15" t="s">
        <v>644</v>
      </c>
      <c r="U14" s="19" t="s">
        <v>275</v>
      </c>
    </row>
    <row r="15" spans="2:21" x14ac:dyDescent="0.45">
      <c r="B15" s="85">
        <v>78</v>
      </c>
      <c r="C15" s="24">
        <v>44448</v>
      </c>
      <c r="D15" s="89">
        <v>0.52339120370015735</v>
      </c>
      <c r="E15" s="25" t="s">
        <v>56</v>
      </c>
      <c r="F15" s="26" t="s">
        <v>632</v>
      </c>
      <c r="U15" t="s">
        <v>276</v>
      </c>
    </row>
    <row r="16" spans="2:21" x14ac:dyDescent="0.45">
      <c r="B16" s="85">
        <v>77</v>
      </c>
      <c r="C16" s="24">
        <v>44448</v>
      </c>
      <c r="D16" s="89">
        <v>0.43658564814541023</v>
      </c>
      <c r="E16" s="25" t="s">
        <v>56</v>
      </c>
      <c r="F16" s="26" t="s">
        <v>631</v>
      </c>
      <c r="I16" s="18" t="s">
        <v>377</v>
      </c>
      <c r="U16" s="19" t="s">
        <v>277</v>
      </c>
    </row>
    <row r="17" spans="2:21" x14ac:dyDescent="0.45">
      <c r="B17" s="85">
        <v>76</v>
      </c>
      <c r="C17" s="24">
        <v>44448</v>
      </c>
      <c r="D17" s="89">
        <v>0.37820601851854008</v>
      </c>
      <c r="E17" s="25" t="s">
        <v>56</v>
      </c>
      <c r="F17" s="26" t="s">
        <v>630</v>
      </c>
      <c r="I17" t="s">
        <v>378</v>
      </c>
      <c r="U17" t="s">
        <v>240</v>
      </c>
    </row>
    <row r="18" spans="2:21" x14ac:dyDescent="0.45">
      <c r="B18" s="85">
        <v>75</v>
      </c>
      <c r="C18" s="24">
        <v>44447</v>
      </c>
      <c r="D18" s="89">
        <v>0.79199074074131204</v>
      </c>
      <c r="E18" s="25" t="s">
        <v>56</v>
      </c>
      <c r="F18" s="27" t="s">
        <v>629</v>
      </c>
      <c r="I18" t="s">
        <v>379</v>
      </c>
      <c r="U18" s="19" t="s">
        <v>278</v>
      </c>
    </row>
    <row r="19" spans="2:21" x14ac:dyDescent="0.45">
      <c r="B19" s="85">
        <v>74</v>
      </c>
      <c r="C19" s="24">
        <v>44447</v>
      </c>
      <c r="D19" s="89">
        <v>0.38273148148437031</v>
      </c>
      <c r="E19" s="25" t="s">
        <v>56</v>
      </c>
      <c r="F19" s="26" t="s">
        <v>628</v>
      </c>
    </row>
    <row r="20" spans="2:21" x14ac:dyDescent="0.45">
      <c r="B20" s="85">
        <v>73</v>
      </c>
      <c r="C20" s="24">
        <v>44446</v>
      </c>
      <c r="D20" s="89">
        <v>0.57453703703504289</v>
      </c>
      <c r="E20" s="25" t="s">
        <v>56</v>
      </c>
      <c r="F20" s="26" t="s">
        <v>626</v>
      </c>
      <c r="I20" t="s">
        <v>652</v>
      </c>
      <c r="U20" s="49" t="s">
        <v>280</v>
      </c>
    </row>
    <row r="21" spans="2:21" x14ac:dyDescent="0.45">
      <c r="B21" s="85">
        <v>72</v>
      </c>
      <c r="C21" s="24">
        <v>44446</v>
      </c>
      <c r="D21" s="89">
        <v>0.474016203705105</v>
      </c>
      <c r="E21" s="25" t="s">
        <v>56</v>
      </c>
      <c r="F21" s="27" t="s">
        <v>625</v>
      </c>
      <c r="I21" s="15" t="s">
        <v>653</v>
      </c>
    </row>
    <row r="22" spans="2:21" x14ac:dyDescent="0.45">
      <c r="B22" s="85">
        <v>71</v>
      </c>
      <c r="C22" s="24">
        <v>44445</v>
      </c>
      <c r="D22" s="89">
        <v>0.599050925928168</v>
      </c>
      <c r="E22" s="25" t="s">
        <v>56</v>
      </c>
      <c r="F22" s="26" t="s">
        <v>624</v>
      </c>
      <c r="I22" s="66"/>
    </row>
    <row r="23" spans="2:21" x14ac:dyDescent="0.45">
      <c r="B23" s="85">
        <v>70</v>
      </c>
      <c r="C23" s="24">
        <v>44444</v>
      </c>
      <c r="D23" s="89">
        <v>0.35259259259328246</v>
      </c>
      <c r="E23" s="25" t="s">
        <v>56</v>
      </c>
      <c r="F23" s="26" t="s">
        <v>623</v>
      </c>
    </row>
    <row r="24" spans="2:21" x14ac:dyDescent="0.45">
      <c r="B24" s="85">
        <v>69</v>
      </c>
      <c r="C24" s="24">
        <v>44442</v>
      </c>
      <c r="D24" s="89">
        <v>0.38805555555882165</v>
      </c>
      <c r="E24" s="25" t="s">
        <v>56</v>
      </c>
      <c r="F24" s="26" t="s">
        <v>622</v>
      </c>
    </row>
    <row r="25" spans="2:21" x14ac:dyDescent="0.45">
      <c r="B25" s="85">
        <v>68</v>
      </c>
      <c r="C25" s="24">
        <v>44441</v>
      </c>
      <c r="D25" s="89">
        <v>0.77039351851999527</v>
      </c>
      <c r="E25" s="25" t="s">
        <v>56</v>
      </c>
      <c r="F25" s="26" t="s">
        <v>619</v>
      </c>
      <c r="T25" s="37" t="str">
        <f t="array" aca="1" ref="T25:T40" ca="1">"*"</f>
        <v>*</v>
      </c>
      <c r="U25" s="18" t="s">
        <v>540</v>
      </c>
    </row>
    <row r="26" spans="2:21" x14ac:dyDescent="0.45">
      <c r="B26" s="85">
        <v>67</v>
      </c>
      <c r="C26" s="24">
        <v>44441</v>
      </c>
      <c r="D26" s="89">
        <v>0.73449074073869269</v>
      </c>
      <c r="E26" s="25" t="s">
        <v>56</v>
      </c>
      <c r="F26" s="26" t="s">
        <v>618</v>
      </c>
      <c r="T26" s="37" t="str">
        <f ca="1"/>
        <v>*</v>
      </c>
      <c r="U26" t="s">
        <v>555</v>
      </c>
    </row>
    <row r="27" spans="2:21" x14ac:dyDescent="0.45">
      <c r="B27" s="85">
        <v>66</v>
      </c>
      <c r="C27" s="24">
        <v>44441</v>
      </c>
      <c r="D27" s="89">
        <v>0.40944444444176042</v>
      </c>
      <c r="E27" s="25" t="s">
        <v>56</v>
      </c>
      <c r="F27" s="26" t="s">
        <v>617</v>
      </c>
      <c r="T27" s="37" t="str">
        <f ca="1"/>
        <v>*</v>
      </c>
      <c r="U27" t="s">
        <v>541</v>
      </c>
    </row>
    <row r="28" spans="2:21" x14ac:dyDescent="0.45">
      <c r="B28" s="85">
        <v>65</v>
      </c>
      <c r="C28" s="24">
        <v>44441</v>
      </c>
      <c r="D28" s="89">
        <v>0.39550925925868796</v>
      </c>
      <c r="E28" s="25" t="s">
        <v>56</v>
      </c>
      <c r="F28" s="26" t="s">
        <v>616</v>
      </c>
      <c r="T28" s="37" t="str">
        <f ca="1"/>
        <v>*</v>
      </c>
      <c r="U28" t="s">
        <v>542</v>
      </c>
    </row>
    <row r="29" spans="2:21" x14ac:dyDescent="0.45">
      <c r="B29" s="85">
        <v>64</v>
      </c>
      <c r="C29" s="24">
        <v>44440</v>
      </c>
      <c r="D29" s="89">
        <v>0.75807870370044839</v>
      </c>
      <c r="E29" s="25" t="s">
        <v>56</v>
      </c>
      <c r="F29" s="26" t="s">
        <v>615</v>
      </c>
      <c r="T29" s="37" t="str">
        <f ca="1"/>
        <v>*</v>
      </c>
      <c r="U29" t="s">
        <v>543</v>
      </c>
    </row>
    <row r="30" spans="2:21" x14ac:dyDescent="0.45">
      <c r="B30" s="85">
        <v>63</v>
      </c>
      <c r="C30" s="24">
        <v>44440</v>
      </c>
      <c r="D30" s="89">
        <v>0.69891203703446081</v>
      </c>
      <c r="E30" s="25" t="s">
        <v>56</v>
      </c>
      <c r="F30" s="26" t="s">
        <v>613</v>
      </c>
      <c r="T30" s="37" t="str">
        <f ca="1"/>
        <v>*</v>
      </c>
      <c r="U30" t="s">
        <v>544</v>
      </c>
    </row>
    <row r="31" spans="2:21" x14ac:dyDescent="0.45">
      <c r="B31" s="85">
        <v>62</v>
      </c>
      <c r="C31" s="24">
        <v>44440</v>
      </c>
      <c r="D31" s="89">
        <v>0.67539351851883112</v>
      </c>
      <c r="E31" s="25" t="s">
        <v>56</v>
      </c>
      <c r="F31" s="26" t="s">
        <v>612</v>
      </c>
      <c r="T31" s="37" t="str">
        <f ca="1"/>
        <v>*</v>
      </c>
      <c r="U31" t="s">
        <v>545</v>
      </c>
    </row>
    <row r="32" spans="2:21" x14ac:dyDescent="0.45">
      <c r="B32" s="85">
        <v>61</v>
      </c>
      <c r="C32" s="24">
        <v>44440</v>
      </c>
      <c r="D32" s="89">
        <v>0.64565972222044365</v>
      </c>
      <c r="E32" s="25" t="s">
        <v>56</v>
      </c>
      <c r="F32" s="26" t="s">
        <v>611</v>
      </c>
      <c r="T32" s="37" t="str">
        <f ca="1"/>
        <v>*</v>
      </c>
      <c r="U32" t="s">
        <v>546</v>
      </c>
    </row>
    <row r="33" spans="2:21" x14ac:dyDescent="0.45">
      <c r="B33" s="85">
        <v>60</v>
      </c>
      <c r="C33" s="24">
        <v>44440</v>
      </c>
      <c r="D33" s="89">
        <v>0.64527777778130258</v>
      </c>
      <c r="E33" s="25" t="s">
        <v>56</v>
      </c>
      <c r="F33" s="26" t="s">
        <v>610</v>
      </c>
      <c r="T33" s="37" t="str">
        <f ca="1"/>
        <v>*</v>
      </c>
      <c r="U33" t="s">
        <v>547</v>
      </c>
    </row>
    <row r="34" spans="2:21" x14ac:dyDescent="0.45">
      <c r="B34" s="85">
        <v>59</v>
      </c>
      <c r="C34" s="24">
        <v>44440</v>
      </c>
      <c r="D34" s="89">
        <v>0.44094907407270512</v>
      </c>
      <c r="E34" s="25" t="s">
        <v>56</v>
      </c>
      <c r="F34" s="26" t="s">
        <v>608</v>
      </c>
      <c r="T34" s="37" t="str">
        <f ca="1"/>
        <v>*</v>
      </c>
      <c r="U34" t="s">
        <v>548</v>
      </c>
    </row>
    <row r="35" spans="2:21" x14ac:dyDescent="0.45">
      <c r="B35" s="85">
        <v>58</v>
      </c>
      <c r="C35" s="24">
        <v>44439</v>
      </c>
      <c r="D35" s="89">
        <v>0.41174768518249039</v>
      </c>
      <c r="E35" s="25" t="s">
        <v>56</v>
      </c>
      <c r="F35" s="26" t="s">
        <v>599</v>
      </c>
      <c r="T35" s="37" t="str">
        <f ca="1"/>
        <v>*</v>
      </c>
      <c r="U35" t="s">
        <v>549</v>
      </c>
    </row>
    <row r="36" spans="2:21" x14ac:dyDescent="0.45">
      <c r="B36" s="85">
        <v>57</v>
      </c>
      <c r="C36" s="24">
        <v>44438</v>
      </c>
      <c r="D36" s="89">
        <v>0.81614583333430346</v>
      </c>
      <c r="E36" s="25" t="s">
        <v>56</v>
      </c>
      <c r="F36" s="26" t="s">
        <v>59</v>
      </c>
      <c r="T36" s="37" t="str">
        <f ca="1"/>
        <v>*</v>
      </c>
      <c r="U36" t="s">
        <v>550</v>
      </c>
    </row>
    <row r="37" spans="2:21" x14ac:dyDescent="0.45">
      <c r="B37" s="85">
        <v>56</v>
      </c>
      <c r="C37" s="24">
        <v>44438</v>
      </c>
      <c r="D37" s="89">
        <v>0.77097222222073469</v>
      </c>
      <c r="E37" s="25" t="s">
        <v>56</v>
      </c>
      <c r="F37" s="26" t="s">
        <v>583</v>
      </c>
      <c r="T37" s="37" t="str">
        <f ca="1"/>
        <v>*</v>
      </c>
      <c r="U37" t="s">
        <v>551</v>
      </c>
    </row>
    <row r="38" spans="2:21" x14ac:dyDescent="0.45">
      <c r="B38" s="85">
        <v>55</v>
      </c>
      <c r="C38" s="24">
        <v>44438</v>
      </c>
      <c r="D38" s="89">
        <v>0.5741319444423425</v>
      </c>
      <c r="E38" s="25" t="s">
        <v>56</v>
      </c>
      <c r="F38" s="26" t="s">
        <v>579</v>
      </c>
      <c r="T38" s="37" t="str">
        <f ca="1"/>
        <v>*</v>
      </c>
      <c r="U38" t="s">
        <v>552</v>
      </c>
    </row>
    <row r="39" spans="2:21" x14ac:dyDescent="0.45">
      <c r="B39" s="85">
        <v>54</v>
      </c>
      <c r="C39" s="24">
        <v>44438</v>
      </c>
      <c r="D39" s="89">
        <v>0.32952546296291985</v>
      </c>
      <c r="E39" s="25" t="s">
        <v>56</v>
      </c>
      <c r="F39" s="26" t="s">
        <v>539</v>
      </c>
      <c r="T39" s="37" t="str">
        <f ca="1"/>
        <v>*</v>
      </c>
      <c r="U39" t="s">
        <v>553</v>
      </c>
    </row>
    <row r="40" spans="2:21" x14ac:dyDescent="0.45">
      <c r="B40" s="85">
        <v>53</v>
      </c>
      <c r="C40" s="24">
        <v>44436</v>
      </c>
      <c r="D40" s="89">
        <v>0.65918981481809169</v>
      </c>
      <c r="E40" s="25" t="s">
        <v>56</v>
      </c>
      <c r="F40" s="26" t="s">
        <v>406</v>
      </c>
      <c r="T40" s="37" t="str">
        <f ca="1"/>
        <v>*</v>
      </c>
      <c r="U40" t="s">
        <v>554</v>
      </c>
    </row>
    <row r="41" spans="2:21" x14ac:dyDescent="0.45">
      <c r="B41" s="85">
        <v>52</v>
      </c>
      <c r="C41" s="24">
        <v>44435</v>
      </c>
      <c r="D41" s="89">
        <v>0.85357638888672227</v>
      </c>
      <c r="E41" s="25" t="s">
        <v>56</v>
      </c>
      <c r="F41" s="27" t="s">
        <v>384</v>
      </c>
    </row>
    <row r="42" spans="2:21" x14ac:dyDescent="0.45">
      <c r="B42" s="85">
        <v>51</v>
      </c>
      <c r="C42" s="24">
        <v>44434</v>
      </c>
      <c r="D42" s="89">
        <v>0.80643518518627388</v>
      </c>
      <c r="E42" s="25" t="s">
        <v>56</v>
      </c>
      <c r="F42" s="26" t="s">
        <v>376</v>
      </c>
    </row>
    <row r="43" spans="2:21" x14ac:dyDescent="0.45">
      <c r="B43" s="85">
        <v>50</v>
      </c>
      <c r="C43" s="24">
        <v>44434</v>
      </c>
      <c r="D43" s="89">
        <v>0.80153935185080627</v>
      </c>
      <c r="E43" s="25" t="s">
        <v>56</v>
      </c>
      <c r="F43" s="26" t="s">
        <v>375</v>
      </c>
    </row>
    <row r="44" spans="2:21" x14ac:dyDescent="0.45">
      <c r="B44" s="85">
        <v>49</v>
      </c>
      <c r="C44" s="24">
        <v>44434</v>
      </c>
      <c r="D44" s="89">
        <v>0.77059027777431766</v>
      </c>
      <c r="E44" s="25" t="s">
        <v>56</v>
      </c>
      <c r="F44" s="26" t="s">
        <v>374</v>
      </c>
    </row>
    <row r="45" spans="2:21" x14ac:dyDescent="0.45">
      <c r="B45" s="85">
        <v>48</v>
      </c>
      <c r="C45" s="24">
        <v>44434</v>
      </c>
      <c r="D45" s="89">
        <v>0.57442129629635019</v>
      </c>
      <c r="E45" s="25" t="s">
        <v>56</v>
      </c>
      <c r="F45" s="27" t="s">
        <v>373</v>
      </c>
    </row>
    <row r="46" spans="2:21" x14ac:dyDescent="0.45">
      <c r="B46" s="85">
        <v>47</v>
      </c>
      <c r="C46" s="24">
        <v>44434</v>
      </c>
      <c r="D46" s="89">
        <v>0.57239583333284827</v>
      </c>
      <c r="E46" s="25" t="s">
        <v>56</v>
      </c>
      <c r="F46" s="26" t="s">
        <v>355</v>
      </c>
    </row>
    <row r="47" spans="2:21" x14ac:dyDescent="0.45">
      <c r="B47" s="85">
        <v>46</v>
      </c>
      <c r="C47" s="24">
        <v>44433</v>
      </c>
      <c r="D47" s="89">
        <v>1.0671296295186039E-2</v>
      </c>
      <c r="E47" s="25" t="s">
        <v>56</v>
      </c>
      <c r="F47" s="26" t="s">
        <v>336</v>
      </c>
    </row>
    <row r="48" spans="2:21" x14ac:dyDescent="0.45">
      <c r="B48" s="85">
        <v>45</v>
      </c>
      <c r="C48" s="24">
        <v>44432</v>
      </c>
      <c r="D48" s="89">
        <v>0.82049768518481869</v>
      </c>
      <c r="E48" s="25" t="s">
        <v>56</v>
      </c>
      <c r="F48" s="26" t="s">
        <v>327</v>
      </c>
    </row>
    <row r="49" spans="2:6" x14ac:dyDescent="0.45">
      <c r="B49" s="85">
        <v>44</v>
      </c>
      <c r="C49" s="24">
        <v>44432</v>
      </c>
      <c r="D49" s="89">
        <v>0.799525462964084</v>
      </c>
      <c r="E49" s="25" t="s">
        <v>56</v>
      </c>
      <c r="F49" s="27" t="s">
        <v>322</v>
      </c>
    </row>
    <row r="50" spans="2:6" x14ac:dyDescent="0.45">
      <c r="B50" s="85">
        <v>43</v>
      </c>
      <c r="C50" s="24">
        <v>44432</v>
      </c>
      <c r="D50" s="89">
        <v>0.43258101851824904</v>
      </c>
      <c r="E50" s="25" t="s">
        <v>56</v>
      </c>
      <c r="F50" s="26" t="s">
        <v>313</v>
      </c>
    </row>
    <row r="51" spans="2:6" x14ac:dyDescent="0.45">
      <c r="B51" s="85">
        <v>42</v>
      </c>
      <c r="C51" s="24">
        <v>44432</v>
      </c>
      <c r="D51" s="89">
        <v>0.40347222222044365</v>
      </c>
      <c r="E51" s="25" t="s">
        <v>56</v>
      </c>
      <c r="F51" s="26" t="s">
        <v>312</v>
      </c>
    </row>
    <row r="52" spans="2:6" x14ac:dyDescent="0.45">
      <c r="B52" s="85">
        <v>41</v>
      </c>
      <c r="C52" s="24">
        <v>44429</v>
      </c>
      <c r="D52" s="89">
        <v>0.79307870370394085</v>
      </c>
      <c r="E52" s="25" t="s">
        <v>56</v>
      </c>
      <c r="F52" s="26" t="s">
        <v>299</v>
      </c>
    </row>
    <row r="53" spans="2:6" x14ac:dyDescent="0.45">
      <c r="B53" s="85">
        <v>40</v>
      </c>
      <c r="C53" s="24">
        <v>44429</v>
      </c>
      <c r="D53" s="89">
        <v>0.49694444444321562</v>
      </c>
      <c r="E53" s="25" t="s">
        <v>56</v>
      </c>
      <c r="F53" s="26" t="s">
        <v>298</v>
      </c>
    </row>
    <row r="54" spans="2:6" x14ac:dyDescent="0.45">
      <c r="B54" s="85">
        <v>39</v>
      </c>
      <c r="C54" s="24">
        <v>44428</v>
      </c>
      <c r="D54" s="89">
        <v>0.52388888888526708</v>
      </c>
      <c r="E54" s="25" t="s">
        <v>56</v>
      </c>
      <c r="F54" s="26" t="s">
        <v>281</v>
      </c>
    </row>
    <row r="55" spans="2:6" x14ac:dyDescent="0.45">
      <c r="B55" s="85">
        <v>38</v>
      </c>
      <c r="C55" s="24">
        <v>44428</v>
      </c>
      <c r="D55" s="89">
        <v>0.37546296296204673</v>
      </c>
      <c r="E55" s="25" t="s">
        <v>56</v>
      </c>
      <c r="F55" s="26" t="s">
        <v>279</v>
      </c>
    </row>
    <row r="56" spans="2:6" x14ac:dyDescent="0.45">
      <c r="B56" s="85">
        <v>37</v>
      </c>
      <c r="C56" s="24">
        <v>44427</v>
      </c>
      <c r="D56" s="89">
        <v>0.80869212962716119</v>
      </c>
      <c r="E56" s="25" t="s">
        <v>56</v>
      </c>
      <c r="F56" s="26" t="s">
        <v>271</v>
      </c>
    </row>
    <row r="57" spans="2:6" x14ac:dyDescent="0.45">
      <c r="B57" s="85">
        <v>36</v>
      </c>
      <c r="C57" s="24">
        <v>44427</v>
      </c>
      <c r="D57" s="89">
        <v>0.74518518518743804</v>
      </c>
      <c r="E57" s="25" t="s">
        <v>56</v>
      </c>
      <c r="F57" s="26" t="s">
        <v>270</v>
      </c>
    </row>
    <row r="58" spans="2:6" x14ac:dyDescent="0.45">
      <c r="B58" s="85">
        <v>35</v>
      </c>
      <c r="C58" s="24">
        <v>44427</v>
      </c>
      <c r="D58" s="89">
        <v>0.51920138888817746</v>
      </c>
      <c r="E58" s="25" t="s">
        <v>56</v>
      </c>
      <c r="F58" s="26" t="s">
        <v>264</v>
      </c>
    </row>
    <row r="59" spans="2:6" x14ac:dyDescent="0.45">
      <c r="B59" s="85">
        <v>34</v>
      </c>
      <c r="C59" s="24">
        <v>44426</v>
      </c>
      <c r="D59" s="89">
        <v>0.84697916666482342</v>
      </c>
      <c r="E59" s="25" t="s">
        <v>56</v>
      </c>
      <c r="F59" s="26" t="s">
        <v>256</v>
      </c>
    </row>
    <row r="60" spans="2:6" x14ac:dyDescent="0.45">
      <c r="B60" s="85">
        <v>33</v>
      </c>
      <c r="C60" s="24">
        <v>44426</v>
      </c>
      <c r="D60" s="89">
        <v>0.84443287036992842</v>
      </c>
      <c r="E60" s="25" t="s">
        <v>56</v>
      </c>
      <c r="F60" s="26" t="s">
        <v>255</v>
      </c>
    </row>
    <row r="61" spans="2:6" x14ac:dyDescent="0.45">
      <c r="B61" s="85">
        <v>32</v>
      </c>
      <c r="C61" s="24">
        <v>44424</v>
      </c>
      <c r="D61" s="89">
        <v>0.93637731481430819</v>
      </c>
      <c r="E61" s="25" t="s">
        <v>56</v>
      </c>
      <c r="F61" s="27" t="s">
        <v>249</v>
      </c>
    </row>
    <row r="62" spans="2:6" x14ac:dyDescent="0.45">
      <c r="B62" s="85">
        <v>31</v>
      </c>
      <c r="C62" s="24">
        <v>44424</v>
      </c>
      <c r="D62" s="89">
        <v>0.49105324073752854</v>
      </c>
      <c r="E62" s="25" t="s">
        <v>56</v>
      </c>
      <c r="F62" s="26" t="s">
        <v>248</v>
      </c>
    </row>
    <row r="63" spans="2:6" x14ac:dyDescent="0.45">
      <c r="B63" s="85">
        <v>30</v>
      </c>
      <c r="C63" s="24">
        <v>44423</v>
      </c>
      <c r="D63" s="89">
        <v>0.49593750000349246</v>
      </c>
      <c r="E63" s="25" t="s">
        <v>56</v>
      </c>
      <c r="F63" s="26" t="s">
        <v>113</v>
      </c>
    </row>
    <row r="64" spans="2:6" x14ac:dyDescent="0.45">
      <c r="B64" s="85">
        <v>29</v>
      </c>
      <c r="C64" s="24">
        <v>44423</v>
      </c>
      <c r="D64" s="89">
        <v>0.437638888892252</v>
      </c>
      <c r="E64" s="25" t="s">
        <v>56</v>
      </c>
      <c r="F64" s="26" t="s">
        <v>57</v>
      </c>
    </row>
    <row r="65" spans="2:6" x14ac:dyDescent="0.45">
      <c r="B65" s="85">
        <v>28</v>
      </c>
      <c r="C65" s="24">
        <v>44423</v>
      </c>
      <c r="D65" s="89">
        <v>0.33465277777577285</v>
      </c>
      <c r="E65" s="25" t="s">
        <v>56</v>
      </c>
      <c r="F65" s="26" t="s">
        <v>58</v>
      </c>
    </row>
    <row r="66" spans="2:6" x14ac:dyDescent="0.45">
      <c r="B66" s="85">
        <v>27</v>
      </c>
      <c r="C66" s="24">
        <v>44421</v>
      </c>
      <c r="D66" s="89">
        <v>0.84150462962861639</v>
      </c>
      <c r="E66" s="25" t="s">
        <v>56</v>
      </c>
      <c r="F66" s="26" t="s">
        <v>59</v>
      </c>
    </row>
    <row r="67" spans="2:6" x14ac:dyDescent="0.45">
      <c r="B67" s="85">
        <v>26</v>
      </c>
      <c r="C67" s="24">
        <v>44421</v>
      </c>
      <c r="D67" s="89">
        <v>0.83098379629518604</v>
      </c>
      <c r="E67" s="25" t="s">
        <v>56</v>
      </c>
      <c r="F67" s="26" t="s">
        <v>60</v>
      </c>
    </row>
    <row r="68" spans="2:6" x14ac:dyDescent="0.45">
      <c r="B68" s="85">
        <v>25</v>
      </c>
      <c r="C68" s="24">
        <v>44421</v>
      </c>
      <c r="D68" s="89">
        <v>0.73097222221986158</v>
      </c>
      <c r="E68" s="25" t="s">
        <v>56</v>
      </c>
      <c r="F68" s="26" t="s">
        <v>61</v>
      </c>
    </row>
    <row r="69" spans="2:6" x14ac:dyDescent="0.45">
      <c r="B69" s="85">
        <v>24</v>
      </c>
      <c r="C69" s="24">
        <v>44421</v>
      </c>
      <c r="D69" s="89">
        <v>0.71106481481547235</v>
      </c>
      <c r="E69" s="25" t="s">
        <v>56</v>
      </c>
      <c r="F69" s="26" t="s">
        <v>62</v>
      </c>
    </row>
    <row r="70" spans="2:6" x14ac:dyDescent="0.45">
      <c r="B70" s="85">
        <v>23</v>
      </c>
      <c r="C70" s="24">
        <v>44420</v>
      </c>
      <c r="D70" s="89">
        <v>0.80428240740729962</v>
      </c>
      <c r="E70" s="25" t="s">
        <v>56</v>
      </c>
      <c r="F70" s="26" t="s">
        <v>63</v>
      </c>
    </row>
    <row r="71" spans="2:6" x14ac:dyDescent="0.45">
      <c r="B71" s="85">
        <v>22</v>
      </c>
      <c r="C71" s="24">
        <v>44420</v>
      </c>
      <c r="D71" s="89">
        <v>0.74781249999796273</v>
      </c>
      <c r="E71" s="25" t="s">
        <v>56</v>
      </c>
      <c r="F71" s="27" t="s">
        <v>64</v>
      </c>
    </row>
    <row r="72" spans="2:6" x14ac:dyDescent="0.45">
      <c r="B72" s="85">
        <v>21</v>
      </c>
      <c r="C72" s="24">
        <v>44419</v>
      </c>
      <c r="D72" s="89">
        <v>0.98854166666569654</v>
      </c>
      <c r="E72" s="25" t="s">
        <v>56</v>
      </c>
      <c r="F72" s="26" t="s">
        <v>65</v>
      </c>
    </row>
    <row r="73" spans="2:6" x14ac:dyDescent="0.45">
      <c r="B73" s="85">
        <v>20</v>
      </c>
      <c r="C73" s="24">
        <v>44419</v>
      </c>
      <c r="D73" s="89">
        <v>0.98135416666627862</v>
      </c>
      <c r="E73" s="25" t="s">
        <v>56</v>
      </c>
      <c r="F73" s="26" t="s">
        <v>66</v>
      </c>
    </row>
    <row r="74" spans="2:6" x14ac:dyDescent="0.45">
      <c r="B74" s="85">
        <v>19</v>
      </c>
      <c r="C74" s="24">
        <v>44419</v>
      </c>
      <c r="D74" s="89">
        <v>0.82271990740991896</v>
      </c>
      <c r="E74" s="25" t="s">
        <v>56</v>
      </c>
      <c r="F74" s="26" t="s">
        <v>67</v>
      </c>
    </row>
    <row r="75" spans="2:6" x14ac:dyDescent="0.45">
      <c r="B75" s="85">
        <v>18</v>
      </c>
      <c r="C75" s="24">
        <v>44419</v>
      </c>
      <c r="D75" s="89">
        <v>0.73975694444379769</v>
      </c>
      <c r="E75" s="25" t="s">
        <v>56</v>
      </c>
      <c r="F75" s="26" t="s">
        <v>68</v>
      </c>
    </row>
    <row r="76" spans="2:6" x14ac:dyDescent="0.45">
      <c r="B76" s="85">
        <v>17</v>
      </c>
      <c r="C76" s="24">
        <v>44419</v>
      </c>
      <c r="D76" s="89">
        <v>0.708356481482042</v>
      </c>
      <c r="E76" s="25" t="s">
        <v>56</v>
      </c>
      <c r="F76" s="26" t="s">
        <v>69</v>
      </c>
    </row>
    <row r="77" spans="2:6" x14ac:dyDescent="0.45">
      <c r="B77" s="85">
        <v>16</v>
      </c>
      <c r="C77" s="24">
        <v>44419</v>
      </c>
      <c r="D77" s="89">
        <v>0.51960648148087785</v>
      </c>
      <c r="E77" s="25" t="s">
        <v>56</v>
      </c>
      <c r="F77" s="26" t="s">
        <v>70</v>
      </c>
    </row>
    <row r="78" spans="2:6" x14ac:dyDescent="0.45">
      <c r="B78" s="85">
        <v>15</v>
      </c>
      <c r="C78" s="24">
        <v>44419</v>
      </c>
      <c r="D78" s="89">
        <v>0.49577546296495711</v>
      </c>
      <c r="E78" s="25" t="s">
        <v>56</v>
      </c>
      <c r="F78" s="27" t="s">
        <v>71</v>
      </c>
    </row>
    <row r="79" spans="2:6" x14ac:dyDescent="0.45">
      <c r="B79" s="85">
        <v>14</v>
      </c>
      <c r="C79" s="24">
        <v>44419</v>
      </c>
      <c r="D79" s="89">
        <v>0.49174768518423662</v>
      </c>
      <c r="E79" s="25" t="s">
        <v>56</v>
      </c>
      <c r="F79" s="26" t="s">
        <v>72</v>
      </c>
    </row>
    <row r="80" spans="2:6" x14ac:dyDescent="0.45">
      <c r="B80" s="85">
        <v>13</v>
      </c>
      <c r="C80" s="24">
        <v>44419</v>
      </c>
      <c r="D80" s="89">
        <v>0.49034722222131677</v>
      </c>
      <c r="E80" s="25" t="s">
        <v>56</v>
      </c>
      <c r="F80" s="26" t="s">
        <v>73</v>
      </c>
    </row>
    <row r="81" spans="2:6" x14ac:dyDescent="0.45">
      <c r="B81" s="85">
        <v>12</v>
      </c>
      <c r="C81" s="24">
        <v>44419</v>
      </c>
      <c r="D81" s="89">
        <v>0.48190972222073469</v>
      </c>
      <c r="E81" s="25" t="s">
        <v>56</v>
      </c>
      <c r="F81" s="26" t="s">
        <v>74</v>
      </c>
    </row>
    <row r="82" spans="2:6" x14ac:dyDescent="0.45">
      <c r="B82" s="85">
        <v>11</v>
      </c>
      <c r="C82" s="24">
        <v>44418</v>
      </c>
      <c r="D82" s="89">
        <v>0.95467592592467554</v>
      </c>
      <c r="E82" s="25" t="s">
        <v>56</v>
      </c>
      <c r="F82" s="27" t="s">
        <v>75</v>
      </c>
    </row>
    <row r="83" spans="2:6" x14ac:dyDescent="0.45">
      <c r="B83" s="85">
        <v>10</v>
      </c>
      <c r="C83" s="24">
        <v>44418</v>
      </c>
      <c r="D83" s="89">
        <v>0.73436342592322035</v>
      </c>
      <c r="E83" s="25" t="s">
        <v>56</v>
      </c>
      <c r="F83" s="27" t="s">
        <v>76</v>
      </c>
    </row>
    <row r="84" spans="2:6" x14ac:dyDescent="0.45">
      <c r="B84" s="85">
        <v>9</v>
      </c>
      <c r="C84" s="24">
        <v>44417</v>
      </c>
      <c r="D84" s="89">
        <v>0.54605324073781958</v>
      </c>
      <c r="E84" s="25" t="s">
        <v>56</v>
      </c>
      <c r="F84" s="26" t="s">
        <v>77</v>
      </c>
    </row>
    <row r="85" spans="2:6" x14ac:dyDescent="0.45">
      <c r="B85" s="85">
        <v>8</v>
      </c>
      <c r="C85" s="24">
        <v>44416</v>
      </c>
      <c r="D85" s="89">
        <v>0.54939814814861165</v>
      </c>
      <c r="E85" s="25" t="s">
        <v>56</v>
      </c>
      <c r="F85" s="26" t="s">
        <v>78</v>
      </c>
    </row>
    <row r="86" spans="2:6" x14ac:dyDescent="0.45">
      <c r="B86" s="85">
        <v>7</v>
      </c>
      <c r="C86" s="24">
        <v>44415</v>
      </c>
      <c r="D86" s="89">
        <v>0.96137731481576338</v>
      </c>
      <c r="E86" s="25" t="s">
        <v>56</v>
      </c>
      <c r="F86" s="26" t="s">
        <v>79</v>
      </c>
    </row>
    <row r="87" spans="2:6" x14ac:dyDescent="0.45">
      <c r="B87" s="85">
        <v>6</v>
      </c>
      <c r="C87" s="24">
        <v>44414</v>
      </c>
      <c r="D87" s="89">
        <v>0.66607638888672227</v>
      </c>
      <c r="E87" s="25" t="s">
        <v>56</v>
      </c>
      <c r="F87" s="27" t="s">
        <v>80</v>
      </c>
    </row>
    <row r="88" spans="2:6" x14ac:dyDescent="0.45">
      <c r="B88" s="85">
        <v>5</v>
      </c>
      <c r="C88" s="24">
        <v>44412</v>
      </c>
      <c r="D88" s="89">
        <v>0.34912037036701804</v>
      </c>
      <c r="E88" s="25" t="s">
        <v>56</v>
      </c>
      <c r="F88" s="27" t="s">
        <v>81</v>
      </c>
    </row>
    <row r="89" spans="2:6" x14ac:dyDescent="0.45">
      <c r="B89" s="85">
        <v>4</v>
      </c>
      <c r="C89" s="24">
        <v>44411</v>
      </c>
      <c r="D89" s="89">
        <v>0.37682870370190358</v>
      </c>
      <c r="E89" s="25" t="s">
        <v>56</v>
      </c>
      <c r="F89" s="26" t="s">
        <v>82</v>
      </c>
    </row>
    <row r="90" spans="2:6" x14ac:dyDescent="0.45">
      <c r="B90" s="85">
        <v>3</v>
      </c>
      <c r="C90" s="24">
        <v>44406</v>
      </c>
      <c r="D90" s="89">
        <v>0.59842592592758592</v>
      </c>
      <c r="E90" s="25" t="s">
        <v>56</v>
      </c>
      <c r="F90" s="26" t="s">
        <v>83</v>
      </c>
    </row>
    <row r="91" spans="2:6" x14ac:dyDescent="0.45">
      <c r="B91" s="85">
        <v>2</v>
      </c>
      <c r="C91" s="24">
        <v>44406</v>
      </c>
      <c r="D91" s="89">
        <v>0.57677083333692281</v>
      </c>
      <c r="E91" s="25" t="s">
        <v>56</v>
      </c>
      <c r="F91" s="27" t="s">
        <v>84</v>
      </c>
    </row>
    <row r="92" spans="2:6" x14ac:dyDescent="0.45">
      <c r="B92" s="28">
        <v>1</v>
      </c>
      <c r="C92" s="29">
        <v>44400</v>
      </c>
      <c r="D92" s="90">
        <v>0.58872685184906004</v>
      </c>
      <c r="E92" s="30" t="s">
        <v>56</v>
      </c>
      <c r="F92" s="31"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68</vt:i4>
      </vt:variant>
    </vt:vector>
  </HeadingPairs>
  <TitlesOfParts>
    <vt:vector size="77" baseType="lpstr">
      <vt:lpstr>Demo</vt:lpstr>
      <vt:lpstr>Col-by-col</vt:lpstr>
      <vt:lpstr>Test</vt:lpstr>
      <vt:lpstr>TestResults</vt:lpstr>
      <vt:lpstr>Performance</vt:lpstr>
      <vt:lpstr>Performance (2)</vt:lpstr>
      <vt:lpstr>Performance (3)</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Test!NumFailed</vt:lpstr>
      <vt:lpstr>Test!NumPassed</vt:lpstr>
      <vt:lpstr>Test!NumSkipped</vt:lpstr>
      <vt:lpstr>Performance!PasteResultsHere1</vt:lpstr>
      <vt:lpstr>'Performance (2)'!PasteResultsHere1</vt:lpstr>
      <vt:lpstr>'Performance (3)'!PasteResultsHere1</vt:lpstr>
      <vt:lpstr>Performance!PasteResultsHere2</vt:lpstr>
      <vt:lpstr>'Performance (2)'!PasteResultsHere2</vt:lpstr>
      <vt:lpstr>'Performance (3)'!PasteResultsHere2</vt:lpstr>
      <vt:lpstr>Performance!PasteResultsHere3</vt:lpstr>
      <vt:lpstr>'Performance (2)'!PasteResultsHere3</vt:lpstr>
      <vt:lpstr>'Performance (3)'!PasteResultsHere3</vt:lpstr>
      <vt:lpstr>Performance!PasteResultsHere4</vt:lpstr>
      <vt:lpstr>'Performance (2)'!PasteResultsHere4</vt:lpstr>
      <vt:lpstr>'Performance (3)'!PasteResultsHere4</vt:lpstr>
      <vt:lpstr>Performance!PasteResultsHere5</vt:lpstr>
      <vt:lpstr>'Performance (2)'!PasteResultsHere5</vt:lpstr>
      <vt:lpstr>'Performance (3)'!PasteResultsHere5</vt:lpstr>
      <vt:lpstr>Performance!PasteResultsHere6</vt:lpstr>
      <vt:lpstr>'Performance (2)'!PasteResultsHere6</vt:lpstr>
      <vt:lpstr>'Performance (3)'!PasteResultsHere6</vt:lpstr>
      <vt:lpstr>Performance!PasteResultsHere7</vt:lpstr>
      <vt:lpstr>'Performance (2)'!PasteResultsHere7</vt:lpstr>
      <vt:lpstr>'Performance (3)'!PasteResultsHere7</vt:lpstr>
      <vt:lpstr>Demo!QuoteAllStrings</vt:lpstr>
      <vt:lpstr>Test!RowNo</vt:lpstr>
      <vt:lpstr>Performance!rxNoNo</vt:lpstr>
      <vt:lpstr>'Performance (2)'!rxNoNo</vt:lpstr>
      <vt:lpstr>'Performance (3)'!rxNoNo</vt:lpstr>
      <vt:lpstr>rxNoNo</vt:lpstr>
      <vt:lpstr>Performance!rxNoYes</vt:lpstr>
      <vt:lpstr>'Performance (2)'!rxNoYes</vt:lpstr>
      <vt:lpstr>'Performance (3)'!rxNoYes</vt:lpstr>
      <vt:lpstr>rxNoYes</vt:lpstr>
      <vt:lpstr>Performance!rxYesNo</vt:lpstr>
      <vt:lpstr>'Performance (2)'!rxYesNo</vt:lpstr>
      <vt:lpstr>'Performance (3)'!rxYesNo</vt:lpstr>
      <vt:lpstr>rxYesNo</vt:lpstr>
      <vt:lpstr>Performance!rxYesYes</vt:lpstr>
      <vt:lpstr>'Performance (2)'!rxYesYes</vt:lpstr>
      <vt:lpstr>'Performance (3)'!rxYesYes</vt:lpstr>
      <vt:lpstr>rxYesYes</vt:lpstr>
      <vt:lpstr>Test!TestNo</vt:lpstr>
      <vt:lpstr>Test!TheVBACode</vt:lpstr>
      <vt:lpstr>Performance!TimeStamp</vt:lpstr>
      <vt:lpstr>'Performance (2)'!TimeStamp</vt:lpstr>
      <vt:lpstr>'Performance (3)'!TimeStamp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2021-09-20T08:57:37Z</dcterms:modified>
</cp:coreProperties>
</file>