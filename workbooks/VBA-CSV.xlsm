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9AF05FF-F4BE-45DB-986D-6B53013A9B00}" xr6:coauthVersionLast="47" xr6:coauthVersionMax="47" xr10:uidLastSave="{00000000-0000-0000-0000-000000000000}"/>
  <bookViews>
    <workbookView xWindow="-120" yWindow="-120" windowWidth="29040" windowHeight="15840"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BERT"/>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Test!$B$15:$U$214</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RegExp!$L$11</definedName>
    <definedName name="rxNoNo">RegExp!$L$11</definedName>
    <definedName name="rxNoYes" localSheetId="4">RegExp!$L$13</definedName>
    <definedName name="rxNoYes">RegExp!$L$13</definedName>
    <definedName name="rxYesNo" localSheetId="4">RegExp!$L$12</definedName>
    <definedName name="rxYesNo">RegExp!$L$12</definedName>
    <definedName name="rxYesYes" localSheetId="4">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23" l="1"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09"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4" i="14" a="1"/>
  <c r="V8" i="4" a="1"/>
  <c r="C2" i="4" a="1"/>
  <c r="B17" i="11" a="1"/>
  <c r="H17" i="11"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N6" i="14" a="1"/>
  <c r="B131" i="4" a="1"/>
  <c r="AA15" i="4" a="1"/>
  <c r="Y15" i="4" a="1"/>
  <c r="B122" i="4" a="1"/>
  <c r="B161" i="4" a="1"/>
  <c r="B128" i="4" a="1"/>
  <c r="B77" i="4" a="1"/>
  <c r="B168" i="4" a="1"/>
  <c r="B40" i="4" a="1"/>
  <c r="B212" i="4" a="1"/>
  <c r="B88" i="4" a="1"/>
  <c r="B149" i="4" a="1"/>
  <c r="B175" i="4" a="1"/>
  <c r="B138" i="4" a="1"/>
  <c r="B44" i="4" a="1"/>
  <c r="B115" i="4" a="1"/>
  <c r="B169" i="4" a="1"/>
  <c r="B154" i="4" a="1"/>
  <c r="B74" i="4" a="1"/>
  <c r="F17" i="11" a="1"/>
  <c r="E17" i="11" a="1"/>
  <c r="C17" i="11" a="1"/>
  <c r="J17" i="11" a="1"/>
  <c r="D17" i="11" a="1"/>
  <c r="K17" i="11" a="1"/>
  <c r="L17" i="11" a="1"/>
  <c r="I17" i="11" a="1"/>
  <c r="E13" i="1" a="1"/>
  <c r="K17" i="11" l="1"/>
  <c r="B44" i="4"/>
  <c r="B74" i="4"/>
  <c r="L17" i="11"/>
  <c r="B168" i="4"/>
  <c r="B77" i="4"/>
  <c r="E17" i="11"/>
  <c r="B122" i="4"/>
  <c r="B154" i="4"/>
  <c r="B149" i="4"/>
  <c r="E13" i="1"/>
  <c r="AA15" i="4"/>
  <c r="F17" i="11"/>
  <c r="B115" i="4"/>
  <c r="B88" i="4"/>
  <c r="B212" i="4"/>
  <c r="Y15" i="4"/>
  <c r="C17" i="11"/>
  <c r="B161" i="4"/>
  <c r="B175" i="4"/>
  <c r="AA13" i="4"/>
  <c r="D17" i="11"/>
  <c r="B40" i="4"/>
  <c r="N6" i="14"/>
  <c r="I17" i="11"/>
  <c r="B131" i="4"/>
  <c r="J17" i="11"/>
  <c r="B128" i="4"/>
  <c r="B169" i="4"/>
  <c r="B138" i="4"/>
  <c r="AA14" i="4"/>
  <c r="B55" i="4" a="1"/>
  <c r="B160" i="4" a="1"/>
  <c r="B76" i="4" a="1"/>
  <c r="B25" i="4" a="1"/>
  <c r="B145" i="4" a="1"/>
  <c r="B47" i="4" a="1"/>
  <c r="B104" i="4" a="1"/>
  <c r="B56" i="4" a="1"/>
  <c r="B52" i="4" a="1"/>
  <c r="B51" i="4" a="1"/>
  <c r="B155" i="4" a="1"/>
  <c r="B43" i="4" a="1"/>
  <c r="B132" i="4" a="1"/>
  <c r="B49" i="4" a="1"/>
  <c r="B133" i="4" a="1"/>
  <c r="B63" i="4" a="1"/>
  <c r="B174" i="4" a="1"/>
  <c r="B202" i="4" a="1"/>
  <c r="B118" i="4" a="1"/>
  <c r="B111" i="4" a="1"/>
  <c r="B210" i="4" a="1"/>
  <c r="B185" i="4" a="1"/>
  <c r="B78" i="4" a="1"/>
  <c r="B21" i="4" a="1"/>
  <c r="B30" i="4" a="1"/>
  <c r="B140" i="4" a="1"/>
  <c r="B95" i="4" a="1"/>
  <c r="B79" i="4" a="1"/>
  <c r="B67" i="4" a="1"/>
  <c r="B117" i="4" a="1"/>
  <c r="B125" i="4" a="1"/>
  <c r="B84" i="4" a="1"/>
  <c r="B26" i="4" a="1"/>
  <c r="B178" i="4" a="1"/>
  <c r="B34" i="4" a="1"/>
  <c r="B80" i="4" a="1"/>
  <c r="B163" i="4" a="1"/>
  <c r="B20" i="4" a="1"/>
  <c r="B59" i="4" a="1"/>
  <c r="B150" i="4" a="1"/>
  <c r="B137" i="4" a="1"/>
  <c r="B123" i="4" a="1"/>
  <c r="B81" i="4" a="1"/>
  <c r="B70" i="4" a="1"/>
  <c r="B183" i="4" a="1"/>
  <c r="B17" i="4" a="1"/>
  <c r="B204" i="4" a="1"/>
  <c r="B196" i="4" a="1"/>
  <c r="B170" i="4" a="1"/>
  <c r="B45" i="4" a="1"/>
  <c r="B64" i="4" a="1"/>
  <c r="B180" i="4" a="1"/>
  <c r="B173" i="4" a="1"/>
  <c r="B205" i="4" a="1"/>
  <c r="B58" i="4" a="1"/>
  <c r="B107" i="4" a="1"/>
  <c r="B120" i="4" a="1"/>
  <c r="B148" i="4" a="1"/>
  <c r="B61" i="4" a="1"/>
  <c r="B82" i="4" a="1"/>
  <c r="B105" i="4" a="1"/>
  <c r="B135" i="4" a="1"/>
  <c r="B101" i="4" a="1"/>
  <c r="B201" i="4" a="1"/>
  <c r="B90" i="4" a="1"/>
  <c r="B181" i="4" a="1"/>
  <c r="B162" i="4" a="1"/>
  <c r="B32" i="4" a="1"/>
  <c r="B114" i="4" a="1"/>
  <c r="B156" i="4" a="1"/>
  <c r="B24" i="4" a="1"/>
  <c r="B46" i="4" a="1"/>
  <c r="B19" i="4" a="1"/>
  <c r="B187" i="4" a="1"/>
  <c r="B75" i="4" a="1"/>
  <c r="B18" i="4" a="1"/>
  <c r="B177" i="4" a="1"/>
  <c r="B211" i="4" a="1"/>
  <c r="B85" i="4" a="1"/>
  <c r="B157" i="4" a="1"/>
  <c r="B65" i="4" a="1"/>
  <c r="B171" i="4" a="1"/>
  <c r="B36" i="4" a="1"/>
  <c r="B96" i="4" a="1"/>
  <c r="B16" i="4" a="1"/>
  <c r="B119" i="4" a="1"/>
  <c r="B15" i="4" a="1"/>
  <c r="B209" i="4" a="1"/>
  <c r="B190" i="4" a="1"/>
  <c r="W15" i="4" a="1"/>
  <c r="B172" i="4" a="1"/>
  <c r="B53" i="4" a="1"/>
  <c r="B38" i="4" a="1"/>
  <c r="B208" i="4" a="1"/>
  <c r="B203" i="4" a="1"/>
  <c r="B167" i="4" a="1"/>
  <c r="B199" i="4" a="1"/>
  <c r="B158" i="4" a="1"/>
  <c r="B69" i="4" a="1"/>
  <c r="B136" i="4" a="1"/>
  <c r="B37" i="4" a="1"/>
  <c r="B28" i="4" a="1"/>
  <c r="B72" i="4" a="1"/>
  <c r="B141" i="4" a="1"/>
  <c r="B213" i="4" a="1"/>
  <c r="B92" i="4" a="1"/>
  <c r="B42" i="4" a="1"/>
  <c r="B165" i="4" a="1"/>
  <c r="B97" i="4" a="1"/>
  <c r="B147" i="4" a="1"/>
  <c r="B31" i="4" a="1"/>
  <c r="B110" i="4" a="1"/>
  <c r="B50" i="4" a="1"/>
  <c r="B188" i="4" a="1"/>
  <c r="B94" i="4" a="1"/>
  <c r="B103" i="4" a="1"/>
  <c r="B23" i="4" a="1"/>
  <c r="B126" i="4" a="1"/>
  <c r="B182" i="4" a="1"/>
  <c r="B200" i="4" a="1"/>
  <c r="B121" i="4" a="1"/>
  <c r="B71" i="4" a="1"/>
  <c r="B29" i="4" a="1"/>
  <c r="B127" i="4" a="1"/>
  <c r="B143" i="4" a="1"/>
  <c r="B176" i="4" a="1"/>
  <c r="B189" i="4" a="1"/>
  <c r="B142" i="4" a="1"/>
  <c r="B152" i="4" a="1"/>
  <c r="B87" i="4" a="1"/>
  <c r="B22" i="4" a="1"/>
  <c r="B48" i="4" a="1"/>
  <c r="B41" i="4" a="1"/>
  <c r="B164" i="4" a="1"/>
  <c r="B39" i="4" a="1"/>
  <c r="B73" i="4" a="1"/>
  <c r="B191" i="4" a="1"/>
  <c r="B99" i="4" a="1"/>
  <c r="B179" i="4" a="1"/>
  <c r="B62" i="4" a="1"/>
  <c r="B146" i="4" a="1"/>
  <c r="B68" i="4" a="1"/>
  <c r="B113" i="4" a="1"/>
  <c r="B112" i="4" a="1"/>
  <c r="B83" i="4" a="1"/>
  <c r="B197" i="4" a="1"/>
  <c r="B108" i="4" a="1"/>
  <c r="B186" i="4" a="1"/>
  <c r="B109" i="4" a="1"/>
  <c r="B91" i="4" a="1"/>
  <c r="B166" i="4" a="1"/>
  <c r="B151" i="4" a="1"/>
  <c r="B57" i="4" a="1"/>
  <c r="B86" i="4" a="1"/>
  <c r="B66" i="4" a="1"/>
  <c r="B207" i="4" a="1"/>
  <c r="B159" i="4" a="1"/>
  <c r="B98" i="4" a="1"/>
  <c r="B89" i="4" a="1"/>
  <c r="B134" i="4" a="1"/>
  <c r="B116" i="4" a="1"/>
  <c r="B54" i="4" a="1"/>
  <c r="B129" i="4" a="1"/>
  <c r="B153" i="4" a="1"/>
  <c r="B27" i="4" a="1"/>
  <c r="B206" i="4" a="1"/>
  <c r="B60" i="4" a="1"/>
  <c r="B124" i="4" a="1"/>
  <c r="B106" i="4" a="1"/>
  <c r="Z15" i="4" a="1"/>
  <c r="B93" i="4" a="1"/>
  <c r="B33" i="4" a="1"/>
  <c r="B130" i="4" a="1"/>
  <c r="B198" i="4" a="1"/>
  <c r="B144" i="4" a="1"/>
  <c r="B139" i="4" a="1"/>
  <c r="B100" i="4" a="1"/>
  <c r="B35" i="4" a="1"/>
  <c r="B102" i="4" a="1"/>
  <c r="J13" i="1" a="1"/>
  <c r="G13" i="1" a="1"/>
  <c r="W15" i="4" l="1"/>
  <c r="B190" i="4"/>
  <c r="B209" i="4"/>
  <c r="B15" i="4"/>
  <c r="B119" i="4"/>
  <c r="B16" i="4"/>
  <c r="B96" i="4"/>
  <c r="B36" i="4"/>
  <c r="B171" i="4"/>
  <c r="B52" i="4"/>
  <c r="B56" i="4"/>
  <c r="B104" i="4"/>
  <c r="B47" i="4"/>
  <c r="B145" i="4"/>
  <c r="B25" i="4"/>
  <c r="B76" i="4"/>
  <c r="B160" i="4"/>
  <c r="B55" i="4"/>
  <c r="B93" i="4"/>
  <c r="B102" i="4"/>
  <c r="B65" i="4"/>
  <c r="B106" i="4"/>
  <c r="B35" i="4"/>
  <c r="B124" i="4"/>
  <c r="B157" i="4"/>
  <c r="B60" i="4"/>
  <c r="B100" i="4"/>
  <c r="B206" i="4"/>
  <c r="B85" i="4"/>
  <c r="B27" i="4"/>
  <c r="B139" i="4"/>
  <c r="B153" i="4"/>
  <c r="B211" i="4"/>
  <c r="B129" i="4"/>
  <c r="B144" i="4"/>
  <c r="B54" i="4"/>
  <c r="B177" i="4"/>
  <c r="B116" i="4"/>
  <c r="B198" i="4"/>
  <c r="B134" i="4"/>
  <c r="B18" i="4"/>
  <c r="B89" i="4"/>
  <c r="B130" i="4"/>
  <c r="B98" i="4"/>
  <c r="B75" i="4"/>
  <c r="B159" i="4"/>
  <c r="B33" i="4"/>
  <c r="B207" i="4"/>
  <c r="B187" i="4"/>
  <c r="B66" i="4"/>
  <c r="B19" i="4"/>
  <c r="B86" i="4"/>
  <c r="B46" i="4"/>
  <c r="B57" i="4"/>
  <c r="B24" i="4"/>
  <c r="B151" i="4"/>
  <c r="B156" i="4"/>
  <c r="B166" i="4"/>
  <c r="B114" i="4"/>
  <c r="B91" i="4"/>
  <c r="B32" i="4"/>
  <c r="B109" i="4"/>
  <c r="B162" i="4"/>
  <c r="B186" i="4"/>
  <c r="B181" i="4"/>
  <c r="B108" i="4"/>
  <c r="B90" i="4"/>
  <c r="B197" i="4"/>
  <c r="B201" i="4"/>
  <c r="B83" i="4"/>
  <c r="B101" i="4"/>
  <c r="B112" i="4"/>
  <c r="B135" i="4"/>
  <c r="B113" i="4"/>
  <c r="B105" i="4"/>
  <c r="B68" i="4"/>
  <c r="B82" i="4"/>
  <c r="B146" i="4"/>
  <c r="B61" i="4"/>
  <c r="B62" i="4"/>
  <c r="B148" i="4"/>
  <c r="B179" i="4"/>
  <c r="B120" i="4"/>
  <c r="B99" i="4"/>
  <c r="B107" i="4"/>
  <c r="B191" i="4"/>
  <c r="B58" i="4"/>
  <c r="B73" i="4"/>
  <c r="B205" i="4"/>
  <c r="B39" i="4"/>
  <c r="B173" i="4"/>
  <c r="B164" i="4"/>
  <c r="B180" i="4"/>
  <c r="B41" i="4"/>
  <c r="B64" i="4"/>
  <c r="B48" i="4"/>
  <c r="B45" i="4"/>
  <c r="B22" i="4"/>
  <c r="B170" i="4"/>
  <c r="B87" i="4"/>
  <c r="B196" i="4"/>
  <c r="B152" i="4"/>
  <c r="B204" i="4"/>
  <c r="B142" i="4"/>
  <c r="B17" i="4"/>
  <c r="B189" i="4"/>
  <c r="B183" i="4"/>
  <c r="B176" i="4"/>
  <c r="B70" i="4"/>
  <c r="B143" i="4"/>
  <c r="B81" i="4"/>
  <c r="B127" i="4"/>
  <c r="B123" i="4"/>
  <c r="B29" i="4"/>
  <c r="B137" i="4"/>
  <c r="B150" i="4"/>
  <c r="B121" i="4"/>
  <c r="B59" i="4"/>
  <c r="B200"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3" i="4"/>
  <c r="B78" i="4"/>
  <c r="B141" i="4"/>
  <c r="B185" i="4"/>
  <c r="B72" i="4"/>
  <c r="B210" i="4"/>
  <c r="B28" i="4"/>
  <c r="B111" i="4"/>
  <c r="B37" i="4"/>
  <c r="B118" i="4"/>
  <c r="B136" i="4"/>
  <c r="B202" i="4"/>
  <c r="B69" i="4"/>
  <c r="B174" i="4"/>
  <c r="B158" i="4"/>
  <c r="B63" i="4"/>
  <c r="B199" i="4"/>
  <c r="B133" i="4"/>
  <c r="B167" i="4"/>
  <c r="B49" i="4"/>
  <c r="B203" i="4"/>
  <c r="B132" i="4"/>
  <c r="B208"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<sst xmlns="http://schemas.openxmlformats.org/spreadsheetml/2006/main" count="1507" uniqueCount="637">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</sst>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dataDxfId="112" tableBorderDxfId="111">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5" x14ac:dyDescent="0.25"/>
  <cols>
    <col min="1" max="1" width="3.5703125" customWidth="1"/>
    <col min="2" max="3" width="23.5703125" customWidth="1"/>
    <col min="4" max="4" width="2.5703125" customWidth="1"/>
    <col min="5" max="5" width="17.71093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600</v>
      </c>
    </row>
    <row r="3" spans="1:14" x14ac:dyDescent="0.25">
      <c r="B3" s="3" t="s">
        <v>0</v>
      </c>
    </row>
    <row r="4" spans="1:14" x14ac:dyDescent="0.25">
      <c r="B4" s="4" t="s">
        <v>2</v>
      </c>
      <c r="C4" s="4"/>
    </row>
    <row r="5" spans="1:14" x14ac:dyDescent="0.25">
      <c r="B5" s="8" t="s">
        <v>246</v>
      </c>
      <c r="C5" s="8"/>
    </row>
    <row r="6" spans="1:14" x14ac:dyDescent="0.25">
      <c r="B6" s="7" t="s">
        <v>5</v>
      </c>
      <c r="C6" s="7"/>
    </row>
    <row r="7" spans="1:14" x14ac:dyDescent="0.25">
      <c r="B7" s="6" t="s">
        <v>3</v>
      </c>
      <c r="C7" s="6"/>
    </row>
    <row r="8" spans="1:14" x14ac:dyDescent="0.25">
      <c r="B8" s="62" t="s">
        <v>245</v>
      </c>
      <c r="C8" s="62"/>
    </row>
    <row r="9" spans="1:14" x14ac:dyDescent="0.25">
      <c r="B9" s="61" t="s">
        <v>357</v>
      </c>
      <c r="C9" s="61"/>
    </row>
    <row r="10" spans="1:14" x14ac:dyDescent="0.25">
      <c r="C10" s="5"/>
      <c r="M10" s="3" t="s">
        <v>6</v>
      </c>
    </row>
    <row r="11" spans="1:14" x14ac:dyDescent="0.25">
      <c r="B11" s="2" t="s">
        <v>7</v>
      </c>
      <c r="E11" s="3" t="s">
        <v>8</v>
      </c>
      <c r="G11" s="2" t="s">
        <v>603</v>
      </c>
      <c r="M11" s="10" t="b">
        <f ca="1">AND(ROWS(B13:C52)=ROWS(_xlfn.ANCHORARRAY(G13)),COLUMNS(B13:C52)=COLUMNS(_xlfn.ANCHORARRAY(G13)),AND(_xlfn.ANCHORARRAY(M13)))</f>
        <v>1</v>
      </c>
    </row>
    <row r="12" spans="1:14" x14ac:dyDescent="0.25">
      <c r="G12" s="2" t="s">
        <v>602</v>
      </c>
      <c r="J12" s="2" t="s">
        <v>601</v>
      </c>
      <c r="M12" t="s">
        <v>9</v>
      </c>
    </row>
    <row r="13" spans="1:14" x14ac:dyDescent="0.2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25">
      <c r="B14" s="78" t="str">
        <f ca="1"/>
        <v>2054-Jun-14</v>
      </c>
      <c r="C14" s="78" t="str">
        <f ca="1"/>
        <v/>
      </c>
      <c r="G14" s="78" t="str">
        <f ca="1"/>
        <v>2054-Jun-14</v>
      </c>
      <c r="H14" s="78" t="str">
        <f ca="1"/>
        <v/>
      </c>
      <c r="J14" s="78" t="str">
        <f ca="1"/>
        <v>2054-Jun-14</v>
      </c>
      <c r="K14" s="78" t="str">
        <f ca="1"/>
        <v/>
      </c>
      <c r="M14" s="11" t="b">
        <f ca="1"/>
        <v>1</v>
      </c>
      <c r="N14" s="11" t="b">
        <f ca="1"/>
        <v>1</v>
      </c>
    </row>
    <row r="15" spans="1:14" x14ac:dyDescent="0.25">
      <c r="B15" s="78" t="str">
        <f ca="1"/>
        <v>FALSE</v>
      </c>
      <c r="C15" s="78" t="str">
        <f ca="1"/>
        <v/>
      </c>
      <c r="G15" s="78" t="str">
        <f ca="1"/>
        <v>FALSE</v>
      </c>
      <c r="H15" s="78" t="str">
        <f ca="1"/>
        <v/>
      </c>
      <c r="J15" s="78" t="str">
        <f ca="1"/>
        <v>FALSE</v>
      </c>
      <c r="K15" s="78" t="str">
        <f ca="1"/>
        <v/>
      </c>
      <c r="M15" s="11" t="b">
        <f ca="1"/>
        <v>1</v>
      </c>
      <c r="N15" s="11" t="b">
        <f ca="1"/>
        <v>1</v>
      </c>
    </row>
    <row r="16" spans="1:14" x14ac:dyDescent="0.25">
      <c r="B16" s="78" t="b">
        <f ca="1"/>
        <v>0</v>
      </c>
      <c r="C16" s="78" t="str">
        <f ca="1"/>
        <v>^ED4o/E</v>
      </c>
      <c r="G16" s="78" t="str">
        <f ca="1"/>
        <v>False</v>
      </c>
      <c r="H16" s="78" t="str">
        <f ca="1"/>
        <v>^ED4o/E</v>
      </c>
      <c r="J16" s="78" t="b">
        <f ca="1"/>
        <v>0</v>
      </c>
      <c r="K16" s="78" t="str">
        <f ca="1"/>
        <v>^ED4o/E</v>
      </c>
      <c r="M16" s="11" t="b">
        <f ca="1"/>
        <v>1</v>
      </c>
      <c r="N16" s="11" t="b">
        <f ca="1"/>
        <v>1</v>
      </c>
    </row>
    <row r="17" spans="2:14" x14ac:dyDescent="0.2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25">
      <c r="B18" s="78" t="e">
        <f ca="1"/>
      </c>
      <c r="C18" s="78">
        <f ca="1"/>
        <v>-718136063.36943996</v>
      </c>
      <c r="G18" s="78" t="str">
        <f ca="1"/>
        <v>#FIELD!</v>
      </c>
      <c r="H18" s="78" t="str">
        <f ca="1"/>
        <v>-718136063.36944</v>
      </c>
      <c r="J18" s="78" t="e">
        <f ca="1"/>
      </c>
      <c r="K18" s="78">
        <f ca="1"/>
        <v>-718136063.36943996</v>
      </c>
      <c r="M18" s="11" t="b">
        <f ca="1"/>
        <v>1</v>
      </c>
      <c r="N18" s="11" t="b">
        <f ca="1"/>
        <v>1</v>
      </c>
    </row>
    <row r="19" spans="2:14" x14ac:dyDescent="0.2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2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25">
      <c r="B21" s="78" t="str">
        <f ca="1"/>
        <v/>
      </c>
      <c r="C21" s="78" t="e">
        <f ca="1"/>
        <v>#NAME?</v>
      </c>
      <c r="G21" s="78" t="str">
        <f ca="1"/>
        <v/>
      </c>
      <c r="H21" s="78" t="str">
        <f ca="1"/>
        <v>#NAME?</v>
      </c>
      <c r="J21" s="78" t="str">
        <f ca="1"/>
        <v/>
      </c>
      <c r="K21" s="78" t="e">
        <f ca="1"/>
        <v>#NAME?</v>
      </c>
      <c r="M21" s="11" t="b">
        <f ca="1"/>
        <v>1</v>
      </c>
      <c r="N21" s="11" t="b">
        <f ca="1"/>
        <v>1</v>
      </c>
    </row>
    <row r="22" spans="2:14" x14ac:dyDescent="0.25">
      <c r="B22" s="78" t="e">
        <f ca="1"/>
        <v>#REF!</v>
      </c>
      <c r="C22" s="78">
        <f ca="1"/>
        <v>53185</v>
      </c>
      <c r="G22" s="78" t="str">
        <f ca="1"/>
        <v>#REF!</v>
      </c>
      <c r="H22" s="78" t="str">
        <f ca="1"/>
        <v>53185</v>
      </c>
      <c r="J22" s="78" t="e">
        <f ca="1"/>
        <v>#REF!</v>
      </c>
      <c r="K22" s="78">
        <f ca="1"/>
        <v>53185</v>
      </c>
      <c r="M22" s="11" t="b">
        <f ca="1"/>
        <v>1</v>
      </c>
      <c r="N22" s="11" t="b">
        <f ca="1"/>
        <v>1</v>
      </c>
    </row>
    <row r="23" spans="2:14" x14ac:dyDescent="0.2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2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25">
      <c r="B25" s="78">
        <f ca="1"/>
        <v>941178</v>
      </c>
      <c r="C25" s="78" t="str">
        <f ca="1"/>
        <v>i`</v>
      </c>
      <c r="G25" s="78" t="str">
        <f ca="1"/>
        <v>941178</v>
      </c>
      <c r="H25" s="78" t="str">
        <f ca="1"/>
        <v>i`</v>
      </c>
      <c r="J25" s="78">
        <f ca="1"/>
        <v>941178</v>
      </c>
      <c r="K25" s="78" t="str">
        <f ca="1"/>
        <v>i`</v>
      </c>
      <c r="M25" s="11" t="b">
        <f ca="1"/>
        <v>1</v>
      </c>
      <c r="N25" s="11" t="b">
        <f ca="1"/>
        <v>1</v>
      </c>
    </row>
    <row r="26" spans="2:14" x14ac:dyDescent="0.2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25">
      <c r="B27" s="78" t="str">
        <f ca="1"/>
        <v/>
      </c>
      <c r="C27" s="78" t="e">
        <f ca="1"/>
      </c>
      <c r="G27" s="78" t="str">
        <f ca="1"/>
        <v/>
      </c>
      <c r="H27" s="78" t="str">
        <f ca="1"/>
        <v>#UNKNOWN!</v>
      </c>
      <c r="J27" s="78" t="str">
        <f ca="1"/>
        <v/>
      </c>
      <c r="K27" s="78" t="e">
        <f ca="1"/>
      </c>
      <c r="M27" s="11" t="b">
        <f ca="1"/>
        <v>1</v>
      </c>
      <c r="N27" s="11" t="b">
        <f ca="1"/>
        <v>1</v>
      </c>
    </row>
    <row r="28" spans="2:14" x14ac:dyDescent="0.25">
      <c r="B28" s="78" t="str">
        <f ca="1"/>
        <v/>
      </c>
      <c r="C28" s="78">
        <f ca="1"/>
        <v>0</v>
      </c>
      <c r="G28" s="78" t="str">
        <f ca="1"/>
        <v/>
      </c>
      <c r="H28" s="78" t="str">
        <f ca="1"/>
        <v>0</v>
      </c>
      <c r="J28" s="78" t="str">
        <f ca="1"/>
        <v/>
      </c>
      <c r="K28" s="78">
        <f ca="1"/>
        <v>0</v>
      </c>
      <c r="M28" s="11" t="b">
        <f ca="1"/>
        <v>1</v>
      </c>
      <c r="N28" s="11" t="b">
        <f ca="1"/>
        <v>1</v>
      </c>
    </row>
    <row r="29" spans="2:14" x14ac:dyDescent="0.2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2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25">
      <c r="B31" s="78">
        <f ca="1"/>
        <v>0</v>
      </c>
      <c r="C31" s="78" t="str">
        <f ca="1"/>
        <v>FALSE</v>
      </c>
      <c r="G31" s="78" t="str">
        <f ca="1"/>
        <v>0</v>
      </c>
      <c r="H31" s="78" t="str">
        <f ca="1"/>
        <v>FALSE</v>
      </c>
      <c r="J31" s="78">
        <f ca="1"/>
        <v>0</v>
      </c>
      <c r="K31" s="78" t="str">
        <f ca="1"/>
        <v>FALSE</v>
      </c>
      <c r="M31" s="11" t="b">
        <f ca="1"/>
        <v>1</v>
      </c>
      <c r="N31" s="11" t="b">
        <f ca="1"/>
        <v>1</v>
      </c>
    </row>
    <row r="32" spans="2:14" x14ac:dyDescent="0.25">
      <c r="B32" s="78" t="str">
        <f ca="1"/>
        <v/>
      </c>
      <c r="C32" s="78" t="str">
        <f ca="1"/>
        <v>FALSE</v>
      </c>
      <c r="G32" s="78" t="str">
        <f ca="1"/>
        <v/>
      </c>
      <c r="H32" s="78" t="str">
        <f ca="1"/>
        <v>FALSE</v>
      </c>
      <c r="J32" s="78" t="str">
        <f ca="1"/>
        <v/>
      </c>
      <c r="K32" s="78" t="str">
        <f ca="1"/>
        <v>FALSE</v>
      </c>
      <c r="M32" s="11" t="b">
        <f ca="1"/>
        <v>1</v>
      </c>
      <c r="N32" s="11" t="b">
        <f ca="1"/>
        <v>1</v>
      </c>
    </row>
    <row r="33" spans="2:14" x14ac:dyDescent="0.25">
      <c r="B33" s="78">
        <f ca="1"/>
        <v>-376983</v>
      </c>
      <c r="C33" s="78" t="str">
        <f ca="1"/>
        <v/>
      </c>
      <c r="G33" s="78" t="str">
        <f ca="1"/>
        <v>-376983</v>
      </c>
      <c r="H33" s="78" t="str">
        <f ca="1"/>
        <v/>
      </c>
      <c r="J33" s="78">
        <f ca="1"/>
        <v>-376983</v>
      </c>
      <c r="K33" s="78" t="str">
        <f ca="1"/>
        <v/>
      </c>
      <c r="M33" s="11" t="b">
        <f ca="1"/>
        <v>1</v>
      </c>
      <c r="N33" s="11" t="b">
        <f ca="1"/>
        <v>1</v>
      </c>
    </row>
    <row r="34" spans="2:14" x14ac:dyDescent="0.25">
      <c r="B34" s="78">
        <f ca="1"/>
        <v>0</v>
      </c>
      <c r="C34" s="78">
        <f ca="1"/>
        <v>0</v>
      </c>
      <c r="G34" s="78" t="str">
        <f ca="1"/>
        <v>0</v>
      </c>
      <c r="H34" s="78" t="str">
        <f ca="1"/>
        <v>0</v>
      </c>
      <c r="J34" s="78">
        <f ca="1"/>
        <v>0</v>
      </c>
      <c r="K34" s="78">
        <f ca="1"/>
        <v>0</v>
      </c>
      <c r="M34" s="11" t="b">
        <f ca="1"/>
        <v>1</v>
      </c>
      <c r="N34" s="11" t="b">
        <f ca="1"/>
        <v>1</v>
      </c>
    </row>
    <row r="35" spans="2:14" x14ac:dyDescent="0.25">
      <c r="B35" s="78">
        <f ca="1"/>
        <v>60834</v>
      </c>
      <c r="C35" s="78" t="str">
        <f ca="1"/>
        <v/>
      </c>
      <c r="G35" s="78" t="str">
        <f ca="1"/>
        <v>60834</v>
      </c>
      <c r="H35" s="78" t="str">
        <f ca="1"/>
        <v/>
      </c>
      <c r="J35" s="78">
        <f ca="1"/>
        <v>60834</v>
      </c>
      <c r="K35" s="78" t="str">
        <f ca="1"/>
        <v/>
      </c>
      <c r="M35" s="11" t="b">
        <f ca="1"/>
        <v>1</v>
      </c>
      <c r="N35" s="11" t="b">
        <f ca="1"/>
        <v>1</v>
      </c>
    </row>
    <row r="36" spans="2:14" x14ac:dyDescent="0.25">
      <c r="B36" s="78" t="e">
        <f ca="1"/>
        <v>#N/A</v>
      </c>
      <c r="C36" s="78" t="str">
        <f ca="1"/>
        <v>TRUE</v>
      </c>
      <c r="G36" s="78" t="str">
        <f ca="1"/>
        <v>#N/A</v>
      </c>
      <c r="H36" s="78" t="str">
        <f ca="1"/>
        <v>TRUE</v>
      </c>
      <c r="J36" s="78" t="e">
        <f ca="1"/>
        <v>#N/A</v>
      </c>
      <c r="K36" s="78" t="str">
        <f ca="1"/>
        <v>TRUE</v>
      </c>
      <c r="M36" s="11" t="b">
        <f ca="1"/>
        <v>1</v>
      </c>
      <c r="N36" s="11" t="b">
        <f ca="1"/>
        <v>1</v>
      </c>
    </row>
    <row r="37" spans="2:14" x14ac:dyDescent="0.2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2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2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25">
      <c r="B40" s="78" t="e">
        <f ca="1"/>
        <v>#DIV/0!</v>
      </c>
      <c r="C40" s="78" t="str">
        <f ca="1"/>
        <v/>
      </c>
      <c r="G40" s="78" t="str">
        <f ca="1"/>
        <v>#DIV/0!</v>
      </c>
      <c r="H40" s="78" t="str">
        <f ca="1"/>
        <v/>
      </c>
      <c r="J40" s="78" t="e">
        <f ca="1"/>
        <v>#DIV/0!</v>
      </c>
      <c r="K40" s="78" t="str">
        <f ca="1"/>
        <v/>
      </c>
      <c r="M40" s="11" t="b">
        <f ca="1"/>
        <v>1</v>
      </c>
      <c r="N40" s="11" t="b">
        <f ca="1"/>
        <v>1</v>
      </c>
    </row>
    <row r="41" spans="2:14" x14ac:dyDescent="0.25">
      <c r="B41" s="78" t="str">
        <f ca="1"/>
        <v>4-WVm</v>
      </c>
      <c r="C41" s="78" t="b">
        <f ca="1"/>
        <v>1</v>
      </c>
      <c r="G41" s="78" t="str">
        <f ca="1"/>
        <v>4-WVm</v>
      </c>
      <c r="H41" s="78" t="str">
        <f ca="1"/>
        <v>True</v>
      </c>
      <c r="J41" s="78" t="str">
        <f ca="1"/>
        <v>4-WVm</v>
      </c>
      <c r="K41" s="78" t="b">
        <f ca="1"/>
        <v>1</v>
      </c>
      <c r="M41" s="11" t="b">
        <f ca="1"/>
        <v>1</v>
      </c>
      <c r="N41" s="11" t="b">
        <f ca="1"/>
        <v>1</v>
      </c>
    </row>
    <row r="42" spans="2:14" x14ac:dyDescent="0.2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2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25">
      <c r="B44" s="78" t="str">
        <f ca="1"/>
        <v>1996-Apr-17</v>
      </c>
      <c r="C44" s="78">
        <f ca="1"/>
        <v>0</v>
      </c>
      <c r="G44" s="78" t="str">
        <f ca="1"/>
        <v>1996-Apr-17</v>
      </c>
      <c r="H44" s="78" t="str">
        <f ca="1"/>
        <v>0</v>
      </c>
      <c r="J44" s="78" t="str">
        <f ca="1"/>
        <v>1996-Apr-17</v>
      </c>
      <c r="K44" s="78">
        <f ca="1"/>
        <v>0</v>
      </c>
      <c r="M44" s="11" t="b">
        <f ca="1"/>
        <v>1</v>
      </c>
      <c r="N44" s="11" t="b">
        <f ca="1"/>
        <v>1</v>
      </c>
    </row>
    <row r="45" spans="2:14" x14ac:dyDescent="0.2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25">
      <c r="B46" s="78" t="e">
        <f ca="1"/>
        <v>#N/A</v>
      </c>
      <c r="C46" s="78" t="str">
        <f ca="1"/>
        <v>pM</v>
      </c>
      <c r="G46" s="78" t="str">
        <f ca="1"/>
        <v>#GETTING_DATA!</v>
      </c>
      <c r="H46" s="78" t="str">
        <f ca="1"/>
        <v>pM</v>
      </c>
      <c r="J46" s="78" t="e">
        <f ca="1"/>
        <v>#N/A</v>
      </c>
      <c r="K46" s="78" t="str">
        <f ca="1"/>
        <v>pM</v>
      </c>
      <c r="M46" s="11" t="b">
        <f ca="1"/>
        <v>1</v>
      </c>
      <c r="N46" s="11" t="b">
        <f ca="1"/>
        <v>1</v>
      </c>
    </row>
    <row r="47" spans="2:14" x14ac:dyDescent="0.2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2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2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25">
      <c r="B50" s="78" t="str">
        <f ca="1"/>
        <v>TRUE</v>
      </c>
      <c r="C50" s="78">
        <f ca="1"/>
        <v>55687</v>
      </c>
      <c r="G50" s="78" t="str">
        <f ca="1"/>
        <v>TRUE</v>
      </c>
      <c r="H50" s="78" t="str">
        <f ca="1"/>
        <v>55687</v>
      </c>
      <c r="J50" s="78" t="str">
        <f ca="1"/>
        <v>TRUE</v>
      </c>
      <c r="K50" s="78">
        <f ca="1"/>
        <v>55687</v>
      </c>
      <c r="M50" s="11" t="b">
        <f ca="1"/>
        <v>1</v>
      </c>
      <c r="N50" s="11" t="b">
        <f ca="1"/>
        <v>1</v>
      </c>
    </row>
    <row r="51" spans="2:14" x14ac:dyDescent="0.2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2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28515625" bestFit="1" customWidth="1"/>
    <col min="13" max="13" width="4.5703125" customWidth="1"/>
    <col min="14" max="14" width="7.42578125" bestFit="1" customWidth="1"/>
    <col min="15" max="21" width="18" bestFit="1" customWidth="1"/>
  </cols>
  <sheetData>
    <row r="1" spans="2:21" ht="28.5" x14ac:dyDescent="0.45">
      <c r="B1" s="1" t="s">
        <v>605</v>
      </c>
    </row>
    <row r="3" spans="2:21" x14ac:dyDescent="0.25">
      <c r="B3" s="3" t="s">
        <v>604</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86</v>
      </c>
    </row>
    <row r="6" spans="2:21" x14ac:dyDescent="0.25">
      <c r="B6" s="77" t="s">
        <v>392</v>
      </c>
      <c r="C6" s="77" t="s">
        <v>393</v>
      </c>
      <c r="D6" s="77" t="s">
        <v>394</v>
      </c>
      <c r="E6" s="77" t="s">
        <v>395</v>
      </c>
      <c r="F6" s="77" t="s">
        <v>396</v>
      </c>
      <c r="G6" s="77" t="s">
        <v>397</v>
      </c>
      <c r="H6" s="77" t="s">
        <v>398</v>
      </c>
      <c r="I6" s="77" t="s">
        <v>399</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ht="30" x14ac:dyDescent="0.25">
      <c r="B7" s="77" t="str" cm="1">
        <f t="array" ref="B7">_xlfn.IFS(ISNUMBER(C7),"Number",ISTEXT(C7),"String",ISLOGICAL(C7),"Boolean",ISERROR(C7),"Error")</f>
        <v>Number</v>
      </c>
      <c r="C7" s="77">
        <v>44424</v>
      </c>
      <c r="D7" s="77">
        <v>44424</v>
      </c>
      <c r="E7" s="77">
        <v>44424</v>
      </c>
      <c r="F7" s="77">
        <v>44424</v>
      </c>
      <c r="G7" s="77">
        <v>44424</v>
      </c>
      <c r="H7" s="77">
        <v>44424</v>
      </c>
      <c r="I7" s="77">
        <v>44424</v>
      </c>
      <c r="K7" s="9" t="s">
        <v>394</v>
      </c>
      <c r="L7" s="9" t="s">
        <v>228</v>
      </c>
      <c r="N7" s="77" t="str">
        <f ca="1"/>
        <v>Number</v>
      </c>
      <c r="O7" s="77" t="str">
        <f ca="1"/>
        <v>44424</v>
      </c>
      <c r="P7" s="77">
        <f ca="1"/>
        <v>44424</v>
      </c>
      <c r="Q7" s="77" t="str">
        <f ca="1"/>
        <v>44424</v>
      </c>
      <c r="R7" s="77" t="str">
        <f ca="1"/>
        <v>44424</v>
      </c>
      <c r="S7" s="77">
        <f ca="1"/>
        <v>44424</v>
      </c>
      <c r="T7" s="77" t="str">
        <f ca="1"/>
        <v>44424</v>
      </c>
      <c r="U7" s="77" t="str">
        <f ca="1"/>
        <v>44424</v>
      </c>
    </row>
    <row r="8" spans="2:21" x14ac:dyDescent="0.25">
      <c r="B8" s="77" t="s">
        <v>51</v>
      </c>
      <c r="C8" s="77">
        <v>44432.534178240741</v>
      </c>
      <c r="D8" s="77">
        <v>44432.534178240741</v>
      </c>
      <c r="E8" s="77">
        <v>44432.534178240741</v>
      </c>
      <c r="F8" s="77">
        <v>44432.534178240741</v>
      </c>
      <c r="G8" s="77">
        <v>44432.534178240741</v>
      </c>
      <c r="H8" s="77">
        <v>44432.534178240741</v>
      </c>
      <c r="I8" s="77">
        <v>44432.534178240741</v>
      </c>
      <c r="K8" s="9" t="s">
        <v>395</v>
      </c>
      <c r="L8" s="9" t="s">
        <v>237</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ht="30" x14ac:dyDescent="0.25">
      <c r="B9" s="77" t="str" cm="1">
        <f t="array" ref="B9">_xlfn.IFS(ISNUMBER(C9),"Number",ISTEXT(C9),"String",ISLOGICAL(C9),"Boolean",ISERROR(C9),"Error")</f>
        <v>Boolean</v>
      </c>
      <c r="C9" s="77" t="b">
        <v>1</v>
      </c>
      <c r="D9" s="77" t="b">
        <v>1</v>
      </c>
      <c r="E9" s="77" t="b">
        <v>1</v>
      </c>
      <c r="F9" s="77" t="b">
        <v>1</v>
      </c>
      <c r="G9" s="77" t="b">
        <v>1</v>
      </c>
      <c r="H9" s="77" t="b">
        <v>1</v>
      </c>
      <c r="I9" s="77" t="b">
        <v>1</v>
      </c>
      <c r="K9" s="9" t="s">
        <v>396</v>
      </c>
      <c r="L9" s="76" t="s">
        <v>400</v>
      </c>
      <c r="N9" s="77" t="str">
        <f ca="1"/>
        <v>Boolean</v>
      </c>
      <c r="O9" s="77" t="str">
        <f ca="1"/>
        <v>True</v>
      </c>
      <c r="P9" s="77" t="str">
        <f ca="1"/>
        <v>True</v>
      </c>
      <c r="Q9" s="77" t="str">
        <f ca="1"/>
        <v>True</v>
      </c>
      <c r="R9" s="77" t="b">
        <f ca="1"/>
        <v>1</v>
      </c>
      <c r="S9" s="77" t="str">
        <f ca="1"/>
        <v>True</v>
      </c>
      <c r="T9" s="77" t="str">
        <f ca="1"/>
        <v>True</v>
      </c>
      <c r="U9" s="77" t="b">
        <f ca="1"/>
        <v>1</v>
      </c>
    </row>
    <row r="10" spans="2:21" x14ac:dyDescent="0.2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397</v>
      </c>
      <c r="L10" s="9" t="s">
        <v>241</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25">
      <c r="B11" s="77" t="str" cm="1">
        <f t="array" ref="B11">_xlfn.IFS(ISNUMBER(C11),"Number",ISTEXT(C11),"String",ISLOGICAL(C11),"Boolean",ISERROR(C11),"Error")</f>
        <v>String</v>
      </c>
      <c r="C11" s="77" t="s">
        <v>230</v>
      </c>
      <c r="D11" s="77" t="s">
        <v>230</v>
      </c>
      <c r="E11" s="77" t="s">
        <v>230</v>
      </c>
      <c r="F11" s="77" t="s">
        <v>230</v>
      </c>
      <c r="G11" s="77" t="s">
        <v>230</v>
      </c>
      <c r="H11" s="77" t="s">
        <v>230</v>
      </c>
      <c r="I11" s="77" t="s">
        <v>230</v>
      </c>
      <c r="K11" s="9" t="s">
        <v>398</v>
      </c>
      <c r="L11" s="9" t="s">
        <v>242</v>
      </c>
      <c r="N11" s="77" t="str">
        <f ca="1"/>
        <v>String</v>
      </c>
      <c r="O11" s="77" t="str">
        <f ca="1"/>
        <v>1</v>
      </c>
      <c r="P11" s="77" t="str">
        <f ca="1"/>
        <v>1</v>
      </c>
      <c r="Q11" s="77" t="str">
        <f ca="1"/>
        <v>1</v>
      </c>
      <c r="R11" s="77" t="str">
        <f ca="1"/>
        <v>1</v>
      </c>
      <c r="S11" s="77">
        <f ca="1"/>
        <v>1</v>
      </c>
      <c r="T11" s="77" t="str">
        <f ca="1"/>
        <v>1</v>
      </c>
      <c r="U11" s="77" t="str">
        <f ca="1"/>
        <v>1</v>
      </c>
    </row>
    <row r="12" spans="2:21" ht="30" x14ac:dyDescent="0.25">
      <c r="B12" s="77" t="s">
        <v>3</v>
      </c>
      <c r="C12" s="77" t="s">
        <v>314</v>
      </c>
      <c r="D12" s="77" t="s">
        <v>314</v>
      </c>
      <c r="E12" s="77" t="s">
        <v>314</v>
      </c>
      <c r="F12" s="77" t="s">
        <v>314</v>
      </c>
      <c r="G12" s="77" t="s">
        <v>314</v>
      </c>
      <c r="H12" s="77" t="s">
        <v>314</v>
      </c>
      <c r="I12" s="77" t="s">
        <v>314</v>
      </c>
      <c r="K12" s="9" t="s">
        <v>399</v>
      </c>
      <c r="L12" s="76" t="s">
        <v>401</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25">
      <c r="B13" s="77" t="str" cm="1">
        <f t="array" ref="B13">_xlfn.IFS(ISNUMBER(C13),"Number",ISTEXT(C13),"String",ISLOGICAL(C13),"Boolean",ISERROR(C13),"Error")</f>
        <v>String</v>
      </c>
      <c r="C13" s="77" t="s">
        <v>231</v>
      </c>
      <c r="D13" s="77" t="s">
        <v>231</v>
      </c>
      <c r="E13" s="77" t="s">
        <v>231</v>
      </c>
      <c r="F13" s="77" t="s">
        <v>231</v>
      </c>
      <c r="G13" s="77" t="s">
        <v>231</v>
      </c>
      <c r="H13" s="77" t="s">
        <v>231</v>
      </c>
      <c r="I13" s="77" t="s">
        <v>231</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25">
      <c r="B14" s="77" t="str" cm="1">
        <f t="array" ref="B14">_xlfn.IFS(ISNUMBER(C14),"Number",ISTEXT(C14),"String",ISLOGICAL(C14),"Boolean",ISERROR(C14),"Error")</f>
        <v>String</v>
      </c>
      <c r="C14" s="77" t="s">
        <v>233</v>
      </c>
      <c r="D14" s="77" t="s">
        <v>233</v>
      </c>
      <c r="E14" s="77" t="s">
        <v>233</v>
      </c>
      <c r="F14" s="77" t="s">
        <v>233</v>
      </c>
      <c r="G14" s="77" t="s">
        <v>233</v>
      </c>
      <c r="H14" s="77" t="s">
        <v>233</v>
      </c>
      <c r="I14" s="77" t="s">
        <v>233</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25">
      <c r="B15" s="77" t="str" cm="1">
        <f t="array" ref="B15">_xlfn.IFS(ISNUMBER(C15),"Number",ISTEXT(C15),"String",ISLOGICAL(C15),"Boolean",ISERROR(C15),"Error")</f>
        <v>String</v>
      </c>
      <c r="C15" s="77" t="s">
        <v>232</v>
      </c>
      <c r="D15" s="77" t="s">
        <v>232</v>
      </c>
      <c r="E15" s="77" t="s">
        <v>232</v>
      </c>
      <c r="F15" s="77" t="s">
        <v>232</v>
      </c>
      <c r="G15" s="77" t="s">
        <v>232</v>
      </c>
      <c r="H15" s="77" t="s">
        <v>232</v>
      </c>
      <c r="I15" s="77" t="s">
        <v>232</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25">
      <c r="B16" s="77" t="s">
        <v>3</v>
      </c>
      <c r="C16" s="77" t="s">
        <v>236</v>
      </c>
      <c r="D16" s="77" t="s">
        <v>236</v>
      </c>
      <c r="E16" s="77" t="s">
        <v>236</v>
      </c>
      <c r="F16" s="77" t="s">
        <v>236</v>
      </c>
      <c r="G16" s="77" t="s">
        <v>236</v>
      </c>
      <c r="H16" s="77" t="s">
        <v>236</v>
      </c>
      <c r="I16" s="77" t="s">
        <v>236</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30" x14ac:dyDescent="0.25">
      <c r="B17" s="77" t="str" cm="1">
        <f t="array" ref="B17">_xlfn.IFS(ISNUMBER(C17),"Number",ISTEXT(C17),"String",ISLOGICAL(C17),"Boolean",ISERROR(C17),"Error")</f>
        <v>String</v>
      </c>
      <c r="C17" s="77" t="s">
        <v>356</v>
      </c>
      <c r="D17" s="77" t="s">
        <v>356</v>
      </c>
      <c r="E17" s="77" t="s">
        <v>356</v>
      </c>
      <c r="F17" s="77" t="s">
        <v>356</v>
      </c>
      <c r="G17" s="77" t="s">
        <v>356</v>
      </c>
      <c r="H17" s="77" t="s">
        <v>356</v>
      </c>
      <c r="I17" s="77" t="s">
        <v>356</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2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4"/>
  <sheetViews>
    <sheetView showGridLines="0" showRowColHeaders="0" zoomScaleNormal="100" workbookViewId="0">
      <pane ySplit="14" topLeftCell="A15" activePane="bottomLeft" state="frozen"/>
      <selection pane="bottomLeft"/>
    </sheetView>
  </sheetViews>
  <sheetFormatPr defaultRowHeight="15" x14ac:dyDescent="0.25"/>
  <cols>
    <col min="1" max="1" width="3.5703125" customWidth="1"/>
    <col min="2" max="2" width="10.28515625" bestFit="1" customWidth="1"/>
    <col min="3" max="3" width="8.42578125" bestFit="1" customWidth="1"/>
    <col min="4" max="4" width="27.42578125" bestFit="1" customWidth="1"/>
    <col min="5" max="6" width="6.5703125" bestFit="1" customWidth="1"/>
    <col min="7" max="7" width="6.140625" bestFit="1" customWidth="1"/>
    <col min="8" max="9" width="6" bestFit="1" customWidth="1"/>
    <col min="10" max="11" width="6" customWidth="1"/>
    <col min="12" max="14" width="4.5703125" customWidth="1"/>
    <col min="15" max="15" width="5.28515625" bestFit="1" customWidth="1"/>
    <col min="16" max="18" width="6" customWidth="1"/>
    <col min="19" max="19" width="8.5703125" customWidth="1"/>
    <col min="20" max="20" width="6" bestFit="1" customWidth="1"/>
    <col min="21" max="21" width="29.85546875" bestFit="1" customWidth="1"/>
    <col min="22" max="22" width="2.5703125" customWidth="1"/>
    <col min="23" max="23" width="78" bestFit="1" customWidth="1"/>
    <col min="24" max="24" width="2.5703125" customWidth="1"/>
    <col min="25" max="25" width="5.140625" bestFit="1" customWidth="1"/>
    <col min="26" max="26" width="9.85546875" bestFit="1" customWidth="1"/>
    <col min="27" max="29" width="4.7109375" customWidth="1"/>
    <col min="30" max="32" width="18" bestFit="1" customWidth="1"/>
    <col min="33" max="33" width="11.7109375" bestFit="1" customWidth="1"/>
    <col min="34" max="34" width="18" bestFit="1" customWidth="1"/>
    <col min="35" max="36" width="4.7109375" customWidth="1"/>
    <col min="37" max="38" width="10" bestFit="1" customWidth="1"/>
    <col min="39" max="39" width="10.28515625" bestFit="1" customWidth="1"/>
    <col min="40" max="40" width="10" bestFit="1" customWidth="1"/>
    <col min="41" max="41" width="20.5703125" customWidth="1"/>
  </cols>
  <sheetData>
    <row r="1" spans="2:41" ht="28.5" x14ac:dyDescent="0.45">
      <c r="B1" s="1" t="s">
        <v>585</v>
      </c>
      <c r="C1" s="12"/>
    </row>
    <row r="2" spans="2:41" x14ac:dyDescent="0.25">
      <c r="B2" s="37" t="s">
        <v>115</v>
      </c>
      <c r="C2" t="str" cm="1">
        <f t="array" aca="1" ref="C2" ca="1">TestFolder()</f>
        <v>C:\Projects\VBA-CSV\testfiles\</v>
      </c>
    </row>
    <row r="3" spans="2:41" x14ac:dyDescent="0.25">
      <c r="B3" s="37" t="s">
        <v>1</v>
      </c>
      <c r="C3" t="str" cm="1">
        <f t="array" aca="1" ref="C3" ca="1">IF(OR(LEFT(INDEX(Tests[FileName],RowNo),4)="http",ISNUMBER(SEARCH(",",INDEX(Tests[FileName],RowNo)))),INDEX(Tests[FileName],RowNo),Folder&amp;INDEX(Tests[FileName],RowNo))</f>
        <v>C:\Projects\VBA-CSV\testfiles\test_one_row_of_data.cscv</v>
      </c>
      <c r="I3" s="60" t="s">
        <v>353</v>
      </c>
      <c r="J3" s="54" t="b">
        <v>0</v>
      </c>
    </row>
    <row r="4" spans="2:41" x14ac:dyDescent="0.25">
      <c r="B4" s="37" t="s">
        <v>620</v>
      </c>
      <c r="C4" s="54">
        <v>1</v>
      </c>
      <c r="I4" s="37" t="s">
        <v>265</v>
      </c>
      <c r="J4">
        <v>179</v>
      </c>
      <c r="AF4" s="36"/>
      <c r="AG4" s="36"/>
      <c r="AH4" s="36"/>
    </row>
    <row r="5" spans="2:41" x14ac:dyDescent="0.25">
      <c r="B5" s="37" t="s">
        <v>263</v>
      </c>
      <c r="C5">
        <f ca="1">MATCH(TestNo,Tests[TestNo],0)</f>
        <v>1</v>
      </c>
      <c r="I5" s="37" t="s">
        <v>266</v>
      </c>
      <c r="J5">
        <v>0</v>
      </c>
      <c r="K5" s="3" t="s">
        <v>607</v>
      </c>
      <c r="AF5" s="36"/>
      <c r="AG5" s="36"/>
      <c r="AH5" s="36"/>
    </row>
    <row r="6" spans="2:41" x14ac:dyDescent="0.25">
      <c r="I6" s="37" t="s">
        <v>354</v>
      </c>
      <c r="J6">
        <v>3</v>
      </c>
    </row>
    <row r="7" spans="2:41" x14ac:dyDescent="0.25">
      <c r="N7" s="37"/>
      <c r="AB7" s="67"/>
    </row>
    <row r="8" spans="2:41" x14ac:dyDescent="0.25">
      <c r="B8" s="83" t="str">
        <f ca="1">B14</f>
        <v>File Size</v>
      </c>
      <c r="C8" s="83" t="s">
        <v>620</v>
      </c>
      <c r="D8" s="83" t="str">
        <f t="shared" ref="D8:U8" ca="1" si="0">D14</f>
        <v>FileName</v>
      </c>
      <c r="E8" s="83" t="str">
        <f t="shared" ca="1" si="0"/>
        <v>ConvertTypes</v>
      </c>
      <c r="F8" s="83" t="str">
        <f t="shared" ca="1" si="0"/>
        <v>Delimiter</v>
      </c>
      <c r="G8" s="83" t="str">
        <f t="shared" ca="1" si="0"/>
        <v>IgnoreRepeated</v>
      </c>
      <c r="H8" s="83" t="str">
        <f t="shared" ca="1" si="0"/>
        <v>DateFormat</v>
      </c>
      <c r="I8" s="83" t="str">
        <f t="shared" ca="1" si="0"/>
        <v>Comment</v>
      </c>
      <c r="J8" s="83" t="str">
        <f t="shared" ca="1" si="0"/>
        <v>IgnoreEmptyLines</v>
      </c>
      <c r="K8" s="83" t="str">
        <f t="shared" ca="1" si="0"/>
        <v>HeaderRowNum</v>
      </c>
      <c r="L8" s="83" t="str">
        <f t="shared" ca="1" si="0"/>
        <v>SkipToRow</v>
      </c>
      <c r="M8" s="83" t="str">
        <f t="shared" ca="1" si="0"/>
        <v>SkipToCol</v>
      </c>
      <c r="N8" s="83" t="str">
        <f t="shared" ca="1" si="0"/>
        <v>NumRows</v>
      </c>
      <c r="O8" s="83" t="str">
        <f t="shared" ca="1" si="0"/>
        <v>NumCols</v>
      </c>
      <c r="P8" s="83" t="str">
        <f t="shared" ca="1" si="0"/>
        <v>TrueStrings</v>
      </c>
      <c r="Q8" s="83" t="str">
        <f t="shared" ca="1" si="0"/>
        <v>FalseStrings</v>
      </c>
      <c r="R8" s="83" t="str">
        <f t="shared" ca="1" si="0"/>
        <v>MissingStrings</v>
      </c>
      <c r="S8" s="83" t="str">
        <f t="shared" ca="1" si="0"/>
        <v>Encoding</v>
      </c>
      <c r="T8" s="83" t="str">
        <f t="shared" ca="1" si="0"/>
        <v>DecimalSeparator</v>
      </c>
      <c r="U8" s="83" t="str">
        <f t="shared" ca="1" si="0"/>
        <v>Notes</v>
      </c>
      <c r="V8" s="74" t="str" cm="1">
        <f t="array" aca="1" ref="V8:V213" ca="1">fill(" ",ROWS(Tests[TestNo])+6,1)</f>
        <v xml:space="preserve"> </v>
      </c>
      <c r="AB8" s="67"/>
    </row>
    <row r="9" spans="2:41" ht="14.25" customHeight="1" x14ac:dyDescent="0.25">
      <c r="B9" s="83"/>
      <c r="C9" s="83"/>
      <c r="D9" s="83"/>
      <c r="E9" s="83"/>
      <c r="F9" s="83"/>
      <c r="G9" s="83"/>
      <c r="H9" s="83"/>
      <c r="I9" s="83"/>
      <c r="J9" s="83"/>
      <c r="K9" s="83"/>
      <c r="L9" s="83"/>
      <c r="M9" s="83"/>
      <c r="N9" s="83"/>
      <c r="O9" s="83"/>
      <c r="P9" s="83"/>
      <c r="Q9" s="83"/>
      <c r="R9" s="83"/>
      <c r="S9" s="83"/>
      <c r="T9" s="83"/>
      <c r="U9" s="83"/>
      <c r="V9" s="74" t="str">
        <f ca="1"/>
        <v xml:space="preserve"> </v>
      </c>
      <c r="AA9" s="66"/>
      <c r="AB9" s="67"/>
    </row>
    <row r="10" spans="2:41" ht="14.25" customHeight="1" x14ac:dyDescent="0.25">
      <c r="B10" s="83"/>
      <c r="C10" s="83"/>
      <c r="D10" s="83"/>
      <c r="E10" s="83"/>
      <c r="F10" s="83"/>
      <c r="G10" s="83"/>
      <c r="H10" s="83"/>
      <c r="I10" s="83"/>
      <c r="J10" s="83"/>
      <c r="K10" s="83"/>
      <c r="L10" s="83"/>
      <c r="M10" s="83"/>
      <c r="N10" s="83"/>
      <c r="O10" s="83"/>
      <c r="P10" s="83"/>
      <c r="Q10" s="83"/>
      <c r="R10" s="83"/>
      <c r="S10" s="83"/>
      <c r="T10" s="83"/>
      <c r="U10" s="83"/>
      <c r="V10" s="74" t="str">
        <f ca="1"/>
        <v xml:space="preserve"> </v>
      </c>
      <c r="AA10" s="66"/>
      <c r="AB10" s="67"/>
    </row>
    <row r="11" spans="2:41" x14ac:dyDescent="0.25">
      <c r="B11" s="83"/>
      <c r="C11" s="83"/>
      <c r="D11" s="83"/>
      <c r="E11" s="83"/>
      <c r="F11" s="83"/>
      <c r="G11" s="83"/>
      <c r="H11" s="83"/>
      <c r="I11" s="83"/>
      <c r="J11" s="83"/>
      <c r="K11" s="83"/>
      <c r="L11" s="83"/>
      <c r="M11" s="83"/>
      <c r="N11" s="83"/>
      <c r="O11" s="83"/>
      <c r="P11" s="83"/>
      <c r="Q11" s="83"/>
      <c r="R11" s="83"/>
      <c r="S11" s="83"/>
      <c r="T11" s="83"/>
      <c r="U11" s="83"/>
      <c r="V11" s="74" t="str">
        <f ca="1"/>
        <v xml:space="preserve"> </v>
      </c>
      <c r="AB11" s="67"/>
    </row>
    <row r="12" spans="2:41" x14ac:dyDescent="0.25">
      <c r="B12" s="83"/>
      <c r="C12" s="83"/>
      <c r="D12" s="83"/>
      <c r="E12" s="83"/>
      <c r="F12" s="83"/>
      <c r="G12" s="83"/>
      <c r="H12" s="83"/>
      <c r="I12" s="83"/>
      <c r="J12" s="83"/>
      <c r="K12" s="83"/>
      <c r="L12" s="83"/>
      <c r="M12" s="83"/>
      <c r="N12" s="83"/>
      <c r="O12" s="83"/>
      <c r="P12" s="83"/>
      <c r="Q12" s="83"/>
      <c r="R12" s="83"/>
      <c r="S12" s="83"/>
      <c r="T12" s="83"/>
      <c r="U12" s="83"/>
      <c r="V12" s="74" t="str">
        <f ca="1"/>
        <v xml:space="preserve"> </v>
      </c>
      <c r="AB12" s="67"/>
    </row>
    <row r="13" spans="2:41" x14ac:dyDescent="0.25">
      <c r="B13" s="83"/>
      <c r="C13" s="83"/>
      <c r="D13" s="83"/>
      <c r="E13" s="83"/>
      <c r="F13" s="83"/>
      <c r="G13" s="83"/>
      <c r="H13" s="83"/>
      <c r="I13" s="83"/>
      <c r="J13" s="83"/>
      <c r="K13" s="83"/>
      <c r="L13" s="83"/>
      <c r="M13" s="83"/>
      <c r="N13" s="83"/>
      <c r="O13" s="83"/>
      <c r="P13" s="83"/>
      <c r="Q13" s="83"/>
      <c r="R13" s="83"/>
      <c r="S13" s="83"/>
      <c r="T13" s="83"/>
      <c r="U13" s="83"/>
      <c r="V13" s="74" t="str">
        <f ca="1"/>
        <v xml:space="preserve"> </v>
      </c>
      <c r="Z13" s="60" t="s">
        <v>381</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25">
      <c r="B14" t="s">
        <v>267</v>
      </c>
      <c r="C14" t="s">
        <v>620</v>
      </c>
      <c r="D14" t="s">
        <v>1</v>
      </c>
      <c r="E14" t="s">
        <v>86</v>
      </c>
      <c r="F14" t="s">
        <v>87</v>
      </c>
      <c r="G14" t="s">
        <v>88</v>
      </c>
      <c r="H14" t="s">
        <v>4</v>
      </c>
      <c r="I14" t="s">
        <v>54</v>
      </c>
      <c r="J14" t="s">
        <v>338</v>
      </c>
      <c r="K14" t="s">
        <v>380</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7"/>
      <c r="Y14" s="3" t="s">
        <v>405</v>
      </c>
      <c r="Z14" t="s">
        <v>404</v>
      </c>
      <c r="AA14" t="str">
        <f ca="1">ROWS(_xlfn.ANCHORARRAY(CallToCSVRead))&amp;" x "&amp;COLUMNS(_xlfn.ANCHORARRAY(CallToCSVRead))</f>
        <v>1 x 3</v>
      </c>
    </row>
    <row r="15" spans="2:41" x14ac:dyDescent="0.25">
      <c r="B15" s="55" cm="1">
        <f t="array" aca="1" ref="B15" ca="1">FileSize(Folder&amp;Tests[[#This Row],[FileName]])</f>
        <v>5</v>
      </c>
      <c r="C15" s="51">
        <v>1</v>
      </c>
      <c r="D15" s="33" t="s">
        <v>118</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3" t="str" cm="1">
        <f t="array" aca="1" ref="Y15" ca="1">CSVRead(FileName,FALSE,FALSE)</f>
        <v>1,2,3</v>
      </c>
      <c r="Z15" t="str" cm="1">
        <f t="array" aca="1" ref="Z15" ca="1">fill(" ",ROWS(_xlfn.ANCHORARRAY(Y15)),1)</f>
        <v xml:space="preserve"> </v>
      </c>
      <c r="AA15" s="6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4">
        <f ca="1"/>
        <v>2</v>
      </c>
      <c r="AC15" s="64">
        <f ca="1"/>
        <v>3</v>
      </c>
      <c r="AD15" s="64"/>
      <c r="AE15" s="64"/>
      <c r="AF15" s="64"/>
      <c r="AG15" s="64"/>
      <c r="AH15" s="64"/>
      <c r="AI15" s="64"/>
      <c r="AJ15" s="64"/>
      <c r="AK15" s="64"/>
      <c r="AL15" s="64"/>
      <c r="AM15" s="64"/>
      <c r="AN15" s="64"/>
      <c r="AO15" s="64"/>
    </row>
    <row r="16" spans="2:41" x14ac:dyDescent="0.25">
      <c r="B16" s="55" cm="1">
        <f t="array" aca="1" ref="B16" ca="1">FileSize(Folder&amp;Tests[[#This Row],[FileName]])</f>
        <v>20</v>
      </c>
      <c r="C16" s="51">
        <v>2</v>
      </c>
      <c r="D16" s="33" t="s">
        <v>121</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c r="AA16" s="64"/>
      <c r="AB16" s="64"/>
      <c r="AC16" s="64"/>
      <c r="AD16" s="64"/>
      <c r="AE16" s="64"/>
      <c r="AF16" s="64"/>
      <c r="AG16" s="64"/>
      <c r="AH16" s="64"/>
      <c r="AI16" s="64"/>
      <c r="AJ16" s="64"/>
      <c r="AK16" s="64"/>
      <c r="AL16" s="64"/>
      <c r="AM16" s="64"/>
      <c r="AN16" s="64"/>
      <c r="AO16" s="64"/>
    </row>
    <row r="17" spans="2:41" x14ac:dyDescent="0.25">
      <c r="B17" s="55" cm="1">
        <f t="array" aca="1" ref="B17" ca="1">FileSize(Folder&amp;Tests[[#This Row],[FileName]])</f>
        <v>13</v>
      </c>
      <c r="C17" s="51">
        <v>3</v>
      </c>
      <c r="D17" s="33" t="s">
        <v>122</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c r="AA17" s="64"/>
      <c r="AB17" s="64"/>
      <c r="AC17" s="64"/>
      <c r="AD17" s="64"/>
      <c r="AE17" s="64"/>
      <c r="AF17" s="64"/>
      <c r="AG17" s="64"/>
      <c r="AH17" s="64"/>
      <c r="AI17" s="64"/>
      <c r="AJ17" s="64"/>
      <c r="AK17" s="64"/>
      <c r="AL17" s="64"/>
      <c r="AM17" s="64"/>
      <c r="AN17" s="64"/>
      <c r="AO17" s="64"/>
    </row>
    <row r="18" spans="2:41" x14ac:dyDescent="0.25">
      <c r="B18" s="55" cm="1">
        <f t="array" aca="1" ref="B18" ca="1">FileSize(Folder&amp;Tests[[#This Row],[FileName]])</f>
        <v>18</v>
      </c>
      <c r="C18" s="51">
        <v>4</v>
      </c>
      <c r="D18" s="33" t="s">
        <v>126</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c r="AA18" s="64"/>
      <c r="AB18" s="64"/>
      <c r="AC18" s="64"/>
      <c r="AD18" s="64"/>
      <c r="AE18" s="64"/>
      <c r="AF18" s="64"/>
      <c r="AG18" s="64"/>
      <c r="AH18" s="64"/>
      <c r="AI18" s="64"/>
      <c r="AJ18" s="64"/>
      <c r="AK18" s="73"/>
      <c r="AL18" s="73"/>
      <c r="AM18" s="73"/>
      <c r="AN18" s="73"/>
      <c r="AO18" s="73"/>
    </row>
    <row r="19" spans="2:41" x14ac:dyDescent="0.25">
      <c r="B19" s="55" cm="1">
        <f t="array" aca="1" ref="B19" ca="1">FileSize(Folder&amp;Tests[[#This Row],[FileName]])</f>
        <v>21</v>
      </c>
      <c r="C19" s="51">
        <v>5</v>
      </c>
      <c r="D19" s="33" t="s">
        <v>128</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73"/>
      <c r="AL19" s="73"/>
      <c r="AM19" s="73"/>
      <c r="AN19" s="73"/>
      <c r="AO19" s="73"/>
    </row>
    <row r="20" spans="2:41" x14ac:dyDescent="0.25">
      <c r="B20" s="55" cm="1">
        <f t="array" aca="1" ref="B20" ca="1">FileSize(Folder&amp;Tests[[#This Row],[FileName]])</f>
        <v>23</v>
      </c>
      <c r="C20" s="51">
        <v>6</v>
      </c>
      <c r="D20" s="33" t="s">
        <v>129</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73"/>
      <c r="AL20" s="73"/>
      <c r="AM20" s="73"/>
      <c r="AN20" s="73"/>
      <c r="AO20" s="73"/>
    </row>
    <row r="21" spans="2:41" x14ac:dyDescent="0.25">
      <c r="B21" s="55" cm="1">
        <f t="array" aca="1" ref="B21" ca="1">FileSize(Folder&amp;Tests[[#This Row],[FileName]])</f>
        <v>23</v>
      </c>
      <c r="C21" s="51">
        <v>7</v>
      </c>
      <c r="D21" s="33" t="s">
        <v>130</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73"/>
      <c r="AL21" s="73"/>
      <c r="AM21" s="73"/>
      <c r="AN21" s="73"/>
      <c r="AO21" s="73"/>
    </row>
    <row r="22" spans="2:41" x14ac:dyDescent="0.25">
      <c r="B22" s="55" cm="1">
        <f t="array" aca="1" ref="B22" ca="1">FileSize(Folder&amp;Tests[[#This Row],[FileName]])</f>
        <v>27</v>
      </c>
      <c r="C22" s="51">
        <v>8</v>
      </c>
      <c r="D22" s="33" t="s">
        <v>131</v>
      </c>
      <c r="E22" s="32" t="b">
        <v>1</v>
      </c>
      <c r="F22" s="34" t="s">
        <v>95</v>
      </c>
      <c r="G22" s="34" t="b">
        <v>0</v>
      </c>
      <c r="H22" s="34" t="s">
        <v>95</v>
      </c>
      <c r="I22" s="34" t="s">
        <v>250</v>
      </c>
      <c r="J22" s="34" t="b">
        <v>1</v>
      </c>
      <c r="K22" s="34"/>
      <c r="L22" s="32">
        <v>1</v>
      </c>
      <c r="M22" s="32">
        <v>1</v>
      </c>
      <c r="N22" s="32">
        <v>0</v>
      </c>
      <c r="O22" s="32">
        <v>0</v>
      </c>
      <c r="P22" s="32"/>
      <c r="Q22" s="32"/>
      <c r="R22" s="32"/>
      <c r="S22" s="32"/>
      <c r="T22" s="32" t="s">
        <v>96</v>
      </c>
      <c r="U22" s="44"/>
      <c r="V22" s="68" t="str">
        <f ca="1"/>
        <v xml:space="preserve"> </v>
      </c>
      <c r="W22" t="str">
        <f ca="1"/>
        <v/>
      </c>
      <c r="X22" t="str">
        <f ca="1"/>
        <v/>
      </c>
      <c r="Y22" s="73"/>
      <c r="AA22" s="64"/>
      <c r="AB22" s="64"/>
      <c r="AC22" s="64"/>
      <c r="AD22" s="64"/>
      <c r="AE22" s="64"/>
      <c r="AF22" s="64"/>
      <c r="AG22" s="64"/>
      <c r="AH22" s="64"/>
      <c r="AI22" s="64"/>
      <c r="AJ22" s="64"/>
      <c r="AK22" s="73"/>
      <c r="AL22" s="73"/>
      <c r="AM22" s="73"/>
      <c r="AN22" s="73"/>
      <c r="AO22" s="73"/>
    </row>
    <row r="23" spans="2:41" x14ac:dyDescent="0.25">
      <c r="B23" s="55" cm="1">
        <f t="array" aca="1" ref="B23" ca="1">FileSize(Folder&amp;Tests[[#This Row],[FileName]])</f>
        <v>28</v>
      </c>
      <c r="C23" s="51">
        <v>9</v>
      </c>
      <c r="D23" s="33" t="s">
        <v>132</v>
      </c>
      <c r="E23" s="32" t="b">
        <v>1</v>
      </c>
      <c r="F23" s="34" t="s">
        <v>95</v>
      </c>
      <c r="G23" s="34" t="b">
        <v>0</v>
      </c>
      <c r="H23" s="34" t="s">
        <v>95</v>
      </c>
      <c r="I23" s="34" t="s">
        <v>251</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73"/>
      <c r="AL23" s="73"/>
      <c r="AM23" s="73"/>
      <c r="AN23" s="73"/>
      <c r="AO23" s="73"/>
    </row>
    <row r="24" spans="2:41" x14ac:dyDescent="0.25">
      <c r="B24" s="55" cm="1">
        <f t="array" aca="1" ref="B24" ca="1">FileSize(Folder&amp;Tests[[#This Row],[FileName]])</f>
        <v>27</v>
      </c>
      <c r="C24" s="51">
        <v>10</v>
      </c>
      <c r="D24" s="33" t="s">
        <v>133</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"test one row of data.cscv"</v>
      </c>
      <c r="X24" t="str">
        <f ca="1"/>
        <v/>
      </c>
      <c r="Y24" s="73"/>
      <c r="AA24" s="64"/>
      <c r="AB24" s="64"/>
      <c r="AC24" s="64"/>
      <c r="AD24" s="64"/>
      <c r="AE24" s="64"/>
      <c r="AF24" s="64"/>
      <c r="AG24" s="64"/>
      <c r="AH24" s="64"/>
      <c r="AI24" s="64"/>
      <c r="AJ24" s="64"/>
      <c r="AK24" s="73"/>
      <c r="AL24" s="73"/>
      <c r="AM24" s="73"/>
      <c r="AN24" s="73"/>
      <c r="AO24" s="73"/>
    </row>
    <row r="25" spans="2:41" x14ac:dyDescent="0.25">
      <c r="B25" s="55" cm="1">
        <f t="array" aca="1" ref="B25" ca="1">FileSize(Folder&amp;Tests[[#This Row],[FileName]])</f>
        <v>27</v>
      </c>
      <c r="C25" s="51">
        <v>11</v>
      </c>
      <c r="D25" s="33" t="s">
        <v>134</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HStack(1#,2#,3#)</v>
      </c>
      <c r="X25" t="str">
        <f ca="1"/>
        <v/>
      </c>
      <c r="Y25" s="73"/>
      <c r="AA25" s="64"/>
      <c r="AB25" s="64"/>
      <c r="AC25" s="64"/>
      <c r="AD25" s="64"/>
      <c r="AE25" s="64"/>
      <c r="AF25" s="64"/>
      <c r="AG25" s="64"/>
      <c r="AH25" s="64"/>
      <c r="AI25" s="64"/>
      <c r="AJ25" s="64"/>
      <c r="AK25" s="73"/>
      <c r="AL25" s="73"/>
      <c r="AM25" s="73"/>
      <c r="AN25" s="73"/>
      <c r="AO25" s="73"/>
    </row>
    <row r="26" spans="2:41" x14ac:dyDescent="0.25">
      <c r="B26" s="55" cm="1">
        <f t="array" aca="1" ref="B26" ca="1">FileSize(Folder&amp;Tests[[#This Row],[FileName]])</f>
        <v>33</v>
      </c>
      <c r="C26" s="51">
        <v>12</v>
      </c>
      <c r="D26" s="33" t="s">
        <v>136</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 xml:space="preserve">    FileName = "test_one_row_of_data.cscv"</v>
      </c>
      <c r="X26" t="str">
        <f ca="1"/>
        <v/>
      </c>
      <c r="Y26" s="73"/>
      <c r="AA26" s="64"/>
      <c r="AB26" s="64"/>
      <c r="AC26" s="64"/>
      <c r="AD26" s="64"/>
      <c r="AE26" s="64"/>
      <c r="AF26" s="64"/>
      <c r="AG26" s="64"/>
      <c r="AH26" s="64"/>
      <c r="AI26" s="73"/>
      <c r="AJ26" s="73"/>
      <c r="AK26" s="73"/>
      <c r="AL26" s="73"/>
      <c r="AM26" s="73"/>
      <c r="AN26" s="73"/>
      <c r="AO26" s="73"/>
    </row>
    <row r="27" spans="2:41" x14ac:dyDescent="0.25">
      <c r="B27" s="55" cm="1">
        <f t="array" aca="1" ref="B27" ca="1">FileSize(Folder&amp;Tests[[#This Row],[FileName]])</f>
        <v>35</v>
      </c>
      <c r="C27" s="51">
        <v>13</v>
      </c>
      <c r="D27" s="33" t="s">
        <v>137</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 xml:space="preserve">    TestRes = TestCSVRead(1, TestDescription, Expected, Folder + FileName, Observed, WhatDiffers, _</v>
      </c>
      <c r="X27" t="str">
        <f ca="1"/>
        <v/>
      </c>
      <c r="Y27" s="73"/>
      <c r="AA27" s="64"/>
      <c r="AB27" s="64"/>
      <c r="AC27" s="64"/>
      <c r="AD27" s="64"/>
      <c r="AE27" s="64"/>
      <c r="AF27" s="73"/>
      <c r="AG27" s="73"/>
      <c r="AH27" s="73"/>
      <c r="AI27" s="73"/>
      <c r="AJ27" s="73"/>
      <c r="AK27" s="73"/>
      <c r="AL27" s="73"/>
      <c r="AM27" s="73"/>
      <c r="AN27" s="73"/>
      <c r="AO27" s="73"/>
    </row>
    <row r="28" spans="2:41" x14ac:dyDescent="0.25">
      <c r="B28" s="55" cm="1">
        <f t="array" aca="1" ref="B28" ca="1">FileSize(Folder&amp;Tests[[#This Row],[FileName]])</f>
        <v>35</v>
      </c>
      <c r="C28" s="51">
        <v>14</v>
      </c>
      <c r="D28" s="33" t="s">
        <v>138</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ConvertTypes := True, _</v>
      </c>
      <c r="X28" t="str">
        <f ca="1"/>
        <v/>
      </c>
      <c r="Y28" s="73"/>
      <c r="AA28" s="64"/>
      <c r="AB28" s="64"/>
      <c r="AC28" s="64"/>
      <c r="AD28" s="64"/>
      <c r="AE28" s="64"/>
      <c r="AF28" s="73"/>
      <c r="AG28" s="73"/>
      <c r="AH28" s="73"/>
      <c r="AI28" s="73"/>
      <c r="AJ28" s="73"/>
      <c r="AK28" s="73"/>
      <c r="AL28" s="73"/>
      <c r="AM28" s="73"/>
      <c r="AN28" s="73"/>
      <c r="AO28" s="73"/>
    </row>
    <row r="29" spans="2:41" x14ac:dyDescent="0.25">
      <c r="B29" s="55" cm="1">
        <f t="array" aca="1" ref="B29" ca="1">FileSize(Folder&amp;Tests[[#This Row],[FileName]])</f>
        <v>32</v>
      </c>
      <c r="C29" s="51">
        <v>15</v>
      </c>
      <c r="D29" s="33" t="s">
        <v>139</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ShowMissingsAs := Empty)</v>
      </c>
      <c r="X29" t="str">
        <f ca="1"/>
        <v/>
      </c>
      <c r="Y29" s="73"/>
      <c r="AA29" s="64"/>
      <c r="AB29" s="64"/>
      <c r="AC29" s="64"/>
      <c r="AD29" s="64"/>
      <c r="AE29" s="64"/>
      <c r="AF29" s="73"/>
      <c r="AG29" s="73"/>
      <c r="AH29" s="73"/>
      <c r="AI29" s="73"/>
      <c r="AJ29" s="73"/>
      <c r="AK29" s="73"/>
      <c r="AL29" s="73"/>
      <c r="AM29" s="73"/>
      <c r="AN29" s="73"/>
      <c r="AO29" s="73"/>
    </row>
    <row r="30" spans="2:41" x14ac:dyDescent="0.25">
      <c r="B30" s="55" cm="1">
        <f t="array" aca="1" ref="B30" ca="1">FileSize(Folder&amp;Tests[[#This Row],[FileName]])</f>
        <v>35</v>
      </c>
      <c r="C30" s="51">
        <v>16</v>
      </c>
      <c r="D30" s="33" t="s">
        <v>140</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AccumulateResults TestRes, NumPassed, NumFailed, WhatDiffers, Failures</v>
      </c>
      <c r="X30" t="str">
        <f ca="1"/>
        <v/>
      </c>
      <c r="Y30" s="73"/>
      <c r="AA30" s="64"/>
      <c r="AB30" s="64"/>
      <c r="AC30" s="64"/>
      <c r="AD30" s="64"/>
      <c r="AE30" s="64"/>
      <c r="AF30" s="73"/>
      <c r="AG30" s="73"/>
      <c r="AH30" s="73"/>
      <c r="AI30" s="73"/>
      <c r="AJ30" s="73"/>
      <c r="AK30" s="73"/>
      <c r="AL30" s="73"/>
      <c r="AM30" s="73"/>
      <c r="AN30" s="73"/>
      <c r="AO30" s="73"/>
    </row>
    <row r="31" spans="2:41" x14ac:dyDescent="0.25">
      <c r="B31" s="55" cm="1">
        <f t="array" aca="1" ref="B31" ca="1">FileSize(Folder&amp;Tests[[#This Row],[FileName]])</f>
        <v>37</v>
      </c>
      <c r="C31" s="51">
        <v>17</v>
      </c>
      <c r="D31" s="33" t="s">
        <v>144</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c>
      <c r="X31" t="str">
        <f ca="1"/>
        <v/>
      </c>
      <c r="Y31" s="73"/>
      <c r="AA31" s="64"/>
      <c r="AB31" s="64"/>
      <c r="AC31" s="64"/>
      <c r="AD31" s="64"/>
      <c r="AE31" s="64"/>
      <c r="AF31" s="73"/>
      <c r="AG31" s="73"/>
      <c r="AH31" s="73"/>
      <c r="AI31" s="73"/>
      <c r="AJ31" s="73"/>
      <c r="AK31" s="73"/>
      <c r="AL31" s="73"/>
      <c r="AM31" s="73"/>
      <c r="AN31" s="73"/>
      <c r="AO31" s="73"/>
    </row>
    <row r="32" spans="2:41" x14ac:dyDescent="0.25">
      <c r="B32" s="55" cm="1">
        <f t="array" aca="1" ref="B32" ca="1">FileSize(Folder&amp;Tests[[#This Row],[FileName]])</f>
        <v>37</v>
      </c>
      <c r="C32" s="51">
        <v>18</v>
      </c>
      <c r="D32" s="33" t="s">
        <v>145</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Exit Sub</v>
      </c>
      <c r="X32" t="str">
        <f ca="1"/>
        <v/>
      </c>
      <c r="Y32" s="73"/>
      <c r="AA32" s="64"/>
      <c r="AB32" s="64"/>
      <c r="AC32" s="64"/>
      <c r="AD32" s="64"/>
      <c r="AE32" s="64"/>
      <c r="AF32" s="73"/>
      <c r="AG32" s="73"/>
      <c r="AH32" s="73"/>
      <c r="AI32" s="73"/>
      <c r="AJ32" s="73"/>
      <c r="AK32" s="73"/>
      <c r="AL32" s="73"/>
      <c r="AM32" s="73"/>
      <c r="AN32" s="73"/>
      <c r="AO32" s="73"/>
    </row>
    <row r="33" spans="2:41" x14ac:dyDescent="0.25">
      <c r="B33" s="79" cm="1">
        <f t="array" aca="1" ref="B33" ca="1">FileSize(Folder&amp;Tests[[#This Row],[FileName]])</f>
        <v>37</v>
      </c>
      <c r="C33" s="80">
        <v>19</v>
      </c>
      <c r="D33" s="33" t="s">
        <v>149</v>
      </c>
      <c r="E33" s="32" t="b">
        <v>1</v>
      </c>
      <c r="F33" s="34" t="s">
        <v>95</v>
      </c>
      <c r="G33" s="34" t="b">
        <v>0</v>
      </c>
      <c r="H33" s="34" t="s">
        <v>95</v>
      </c>
      <c r="I33" s="34" t="s">
        <v>95</v>
      </c>
      <c r="J33" s="34" t="b">
        <v>1</v>
      </c>
      <c r="K33" s="34"/>
      <c r="L33" s="32">
        <v>1</v>
      </c>
      <c r="M33" s="32">
        <v>1</v>
      </c>
      <c r="N33" s="32">
        <v>0</v>
      </c>
      <c r="O33" s="32">
        <v>0</v>
      </c>
      <c r="P33" s="32"/>
      <c r="Q33" s="32"/>
      <c r="R33" s="34" t="s">
        <v>303</v>
      </c>
      <c r="S33" s="32"/>
      <c r="T33" s="32" t="s">
        <v>96</v>
      </c>
      <c r="U33" s="44"/>
      <c r="V33" s="68" t="str">
        <f ca="1"/>
        <v xml:space="preserve"> </v>
      </c>
      <c r="W33" t="str">
        <f ca="1"/>
        <v>ErrHandler:</v>
      </c>
      <c r="X33" t="str">
        <f ca="1"/>
        <v/>
      </c>
      <c r="Y33" s="73"/>
      <c r="AA33" s="64"/>
      <c r="AB33" s="64"/>
      <c r="AC33" s="64"/>
      <c r="AD33" s="64"/>
      <c r="AE33" s="64"/>
      <c r="AF33" s="73"/>
      <c r="AG33" s="73"/>
      <c r="AH33" s="73"/>
      <c r="AI33" s="73"/>
      <c r="AJ33" s="73"/>
      <c r="AK33" s="73"/>
      <c r="AL33" s="73"/>
      <c r="AM33" s="73"/>
      <c r="AN33" s="73"/>
      <c r="AO33" s="73"/>
    </row>
    <row r="34" spans="2:41" x14ac:dyDescent="0.25">
      <c r="B34" s="56" cm="1">
        <f t="array" aca="1" ref="B34" ca="1">FileSize(Folder&amp;Tests[[#This Row],[FileName]])</f>
        <v>35</v>
      </c>
      <c r="C34" s="52">
        <v>20</v>
      </c>
      <c r="D34" s="33" t="s">
        <v>150</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xml:space="preserve">    Throw "#Test1 (line " &amp; CStr(Erl) + "): " &amp; Err.Description &amp; "!"</v>
      </c>
      <c r="X34" t="str">
        <f ca="1"/>
        <v/>
      </c>
      <c r="Y34" s="73"/>
      <c r="AA34" s="64"/>
      <c r="AB34" s="64"/>
      <c r="AC34" s="64"/>
      <c r="AD34" s="64"/>
      <c r="AE34" s="64"/>
      <c r="AF34" s="73"/>
      <c r="AG34" s="73"/>
      <c r="AH34" s="73"/>
      <c r="AI34" s="73"/>
      <c r="AJ34" s="73"/>
      <c r="AK34" s="73"/>
      <c r="AL34" s="73"/>
      <c r="AM34" s="73"/>
      <c r="AN34" s="73"/>
      <c r="AO34" s="73"/>
    </row>
    <row r="35" spans="2:41" x14ac:dyDescent="0.25">
      <c r="B35" s="56" cm="1">
        <f t="array" aca="1" ref="B35" ca="1">FileSize(Folder&amp;Tests[[#This Row],[FileName]])</f>
        <v>41</v>
      </c>
      <c r="C35" s="52">
        <v>21</v>
      </c>
      <c r="D35" s="33" t="s">
        <v>151</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End Sub</v>
      </c>
      <c r="X35" t="str">
        <f ca="1"/>
        <v/>
      </c>
      <c r="Y35" s="73"/>
      <c r="AA35" s="64"/>
      <c r="AB35" s="64"/>
      <c r="AC35" s="64"/>
      <c r="AD35" s="64"/>
      <c r="AE35" s="64"/>
      <c r="AF35" s="73"/>
      <c r="AG35" s="73"/>
      <c r="AH35" s="73"/>
      <c r="AI35" s="73"/>
      <c r="AJ35" s="73"/>
      <c r="AK35" s="73"/>
      <c r="AL35" s="73"/>
      <c r="AM35" s="73"/>
      <c r="AN35" s="73"/>
      <c r="AO35" s="73"/>
    </row>
    <row r="36" spans="2:41" x14ac:dyDescent="0.25">
      <c r="B36" s="56" cm="1">
        <f t="array" aca="1" ref="B36" ca="1">FileSize(Folder&amp;Tests[[#This Row],[FileName]])</f>
        <v>37</v>
      </c>
      <c r="C36" s="52">
        <v>22</v>
      </c>
      <c r="D36" s="33" t="s">
        <v>152</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X36" t="str">
        <f ca="1"/>
        <v/>
      </c>
      <c r="Y36" s="73"/>
      <c r="AA36" s="64"/>
      <c r="AB36" s="64"/>
      <c r="AC36" s="64"/>
      <c r="AD36" s="64"/>
      <c r="AE36" s="64"/>
      <c r="AF36" s="73"/>
      <c r="AG36" s="73"/>
      <c r="AH36" s="73"/>
      <c r="AI36" s="73"/>
      <c r="AJ36" s="73"/>
      <c r="AK36" s="73"/>
      <c r="AL36" s="73"/>
      <c r="AM36" s="73"/>
      <c r="AN36" s="73"/>
      <c r="AO36" s="73"/>
    </row>
    <row r="37" spans="2:41" x14ac:dyDescent="0.25">
      <c r="B37" s="56" cm="1">
        <f t="array" aca="1" ref="B37" ca="1">FileSize(Folder&amp;Tests[[#This Row],[FileName]])</f>
        <v>37</v>
      </c>
      <c r="C37" s="52">
        <v>23</v>
      </c>
      <c r="D37" s="33" t="s">
        <v>153</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X37" t="str">
        <f ca="1"/>
        <v/>
      </c>
      <c r="Y37" s="73"/>
      <c r="AA37" s="64"/>
      <c r="AB37" s="64"/>
      <c r="AC37" s="64"/>
      <c r="AD37" s="64"/>
      <c r="AE37" s="64"/>
      <c r="AF37" s="73"/>
      <c r="AG37" s="73"/>
      <c r="AH37" s="73"/>
      <c r="AI37" s="73"/>
      <c r="AJ37" s="73"/>
      <c r="AK37" s="73"/>
      <c r="AL37" s="73"/>
      <c r="AM37" s="73"/>
      <c r="AN37" s="73"/>
      <c r="AO37" s="73"/>
    </row>
    <row r="38" spans="2:41" x14ac:dyDescent="0.25">
      <c r="B38" s="56" cm="1">
        <f t="array" aca="1" ref="B38" ca="1">FileSize(Folder&amp;Tests[[#This Row],[FileName]])</f>
        <v>40</v>
      </c>
      <c r="C38" s="52">
        <v>24</v>
      </c>
      <c r="D38" s="33" t="s">
        <v>154</v>
      </c>
      <c r="E38" s="32" t="b">
        <v>1</v>
      </c>
      <c r="F38" s="34" t="s">
        <v>95</v>
      </c>
      <c r="G38" s="34" t="b">
        <v>0</v>
      </c>
      <c r="H38" s="34" t="s">
        <v>291</v>
      </c>
      <c r="I38" s="34" t="s">
        <v>95</v>
      </c>
      <c r="J38" s="34" t="b">
        <v>1</v>
      </c>
      <c r="K38" s="34"/>
      <c r="L38" s="32">
        <v>1</v>
      </c>
      <c r="M38" s="32">
        <v>1</v>
      </c>
      <c r="N38" s="32">
        <v>0</v>
      </c>
      <c r="O38" s="32">
        <v>0</v>
      </c>
      <c r="P38" s="32"/>
      <c r="Q38" s="32"/>
      <c r="R38" s="32"/>
      <c r="S38" s="32"/>
      <c r="T38" s="32" t="s">
        <v>96</v>
      </c>
      <c r="U38" s="44"/>
      <c r="V38" s="68" t="str">
        <f ca="1"/>
        <v xml:space="preserve"> </v>
      </c>
      <c r="X38" t="str">
        <f ca="1"/>
        <v/>
      </c>
      <c r="Y38" s="73"/>
      <c r="AA38" s="64"/>
      <c r="AB38" s="64"/>
      <c r="AC38" s="64"/>
      <c r="AD38" s="64"/>
      <c r="AE38" s="64"/>
      <c r="AF38" s="73"/>
      <c r="AG38" s="73"/>
      <c r="AH38" s="73"/>
      <c r="AI38" s="73"/>
      <c r="AJ38" s="73"/>
      <c r="AK38" s="73"/>
      <c r="AL38" s="73"/>
      <c r="AM38" s="73"/>
      <c r="AN38" s="73"/>
      <c r="AO38" s="73"/>
    </row>
    <row r="39" spans="2:41" x14ac:dyDescent="0.25">
      <c r="B39" s="56" cm="1">
        <f t="array" aca="1" ref="B39" ca="1">FileSize(Folder&amp;Tests[[#This Row],[FileName]])</f>
        <v>40</v>
      </c>
      <c r="C39" s="52">
        <v>25</v>
      </c>
      <c r="D39" s="33" t="s">
        <v>155</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c r="AA39" s="64"/>
      <c r="AB39" s="64"/>
      <c r="AC39" s="64"/>
      <c r="AD39" s="64"/>
      <c r="AE39" s="64"/>
      <c r="AF39" s="73"/>
      <c r="AG39" s="73"/>
      <c r="AH39" s="73"/>
      <c r="AI39" s="73"/>
      <c r="AJ39" s="73"/>
      <c r="AK39" s="73"/>
      <c r="AL39" s="73"/>
      <c r="AM39" s="73"/>
      <c r="AN39" s="73"/>
      <c r="AO39" s="73"/>
    </row>
    <row r="40" spans="2:41" x14ac:dyDescent="0.25">
      <c r="B40" s="56" cm="1">
        <f t="array" aca="1" ref="B40" ca="1">FileSize(Folder&amp;Tests[[#This Row],[FileName]])</f>
        <v>46</v>
      </c>
      <c r="C40" s="80">
        <v>26</v>
      </c>
      <c r="D40" s="33" t="s">
        <v>156</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c r="AA40" s="64"/>
      <c r="AB40" s="64"/>
      <c r="AC40" s="64"/>
      <c r="AD40" s="64"/>
      <c r="AE40" s="64"/>
      <c r="AF40" s="73"/>
      <c r="AG40" s="73"/>
      <c r="AH40" s="73"/>
      <c r="AI40" s="73"/>
      <c r="AJ40" s="73"/>
      <c r="AK40" s="73"/>
      <c r="AL40" s="73"/>
      <c r="AM40" s="73"/>
      <c r="AN40" s="73"/>
      <c r="AO40" s="73"/>
    </row>
    <row r="41" spans="2:41" x14ac:dyDescent="0.25">
      <c r="B41" s="56" cm="1">
        <f t="array" aca="1" ref="B41" ca="1">FileSize(Folder&amp;Tests[[#This Row],[FileName]])</f>
        <v>44</v>
      </c>
      <c r="C41" s="80">
        <v>27</v>
      </c>
      <c r="D41" s="33" t="s">
        <v>157</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c r="AA41" s="64"/>
      <c r="AB41" s="64"/>
      <c r="AC41" s="64"/>
      <c r="AD41" s="64"/>
      <c r="AE41" s="64"/>
      <c r="AF41" s="73"/>
      <c r="AG41" s="73"/>
      <c r="AH41" s="73"/>
      <c r="AI41" s="73"/>
      <c r="AJ41" s="73"/>
      <c r="AK41" s="73"/>
      <c r="AL41" s="73"/>
      <c r="AM41" s="73"/>
      <c r="AN41" s="73"/>
      <c r="AO41" s="73"/>
    </row>
    <row r="42" spans="2:41" x14ac:dyDescent="0.25">
      <c r="B42" s="56" cm="1">
        <f t="array" aca="1" ref="B42" ca="1">FileSize(Folder&amp;Tests[[#This Row],[FileName]])</f>
        <v>51</v>
      </c>
      <c r="C42" s="52">
        <v>28</v>
      </c>
      <c r="D42" s="33" t="s">
        <v>158</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c r="AA42" s="64"/>
      <c r="AB42" s="64"/>
      <c r="AC42" s="64"/>
      <c r="AD42" s="64"/>
      <c r="AE42" s="64"/>
      <c r="AF42" s="73"/>
      <c r="AG42" s="73"/>
      <c r="AH42" s="73"/>
      <c r="AI42" s="73"/>
      <c r="AJ42" s="73"/>
      <c r="AK42" s="73"/>
      <c r="AL42" s="73"/>
      <c r="AM42" s="73"/>
      <c r="AN42" s="73"/>
      <c r="AO42" s="73"/>
    </row>
    <row r="43" spans="2:41" x14ac:dyDescent="0.25">
      <c r="B43" s="56" cm="1">
        <f t="array" aca="1" ref="B43" ca="1">FileSize(Folder&amp;Tests[[#This Row],[FileName]])</f>
        <v>47</v>
      </c>
      <c r="C43" s="52">
        <v>29</v>
      </c>
      <c r="D43" s="33" t="s">
        <v>159</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c r="AA43" s="64"/>
      <c r="AB43" s="64"/>
      <c r="AC43" s="64"/>
      <c r="AD43" s="64"/>
      <c r="AE43" s="64"/>
      <c r="AF43" s="73"/>
      <c r="AG43" s="73"/>
      <c r="AH43" s="73"/>
      <c r="AI43" s="73"/>
      <c r="AJ43" s="73"/>
      <c r="AK43" s="73"/>
      <c r="AL43" s="73"/>
      <c r="AM43" s="73"/>
      <c r="AN43" s="73"/>
      <c r="AO43" s="73"/>
    </row>
    <row r="44" spans="2:41" x14ac:dyDescent="0.25">
      <c r="B44" s="56" cm="1">
        <f t="array" aca="1" ref="B44" ca="1">FileSize(Folder&amp;Tests[[#This Row],[FileName]])</f>
        <v>50</v>
      </c>
      <c r="C44" s="80">
        <v>30</v>
      </c>
      <c r="D44" s="33" t="s">
        <v>160</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c r="AA44" s="64"/>
      <c r="AB44" s="64"/>
      <c r="AC44" s="64"/>
      <c r="AD44" s="64"/>
      <c r="AE44" s="64"/>
      <c r="AF44" s="73"/>
      <c r="AG44" s="73"/>
      <c r="AH44" s="73"/>
      <c r="AI44" s="73"/>
      <c r="AJ44" s="73"/>
      <c r="AK44" s="73"/>
      <c r="AL44" s="73"/>
      <c r="AM44" s="73"/>
      <c r="AN44" s="73"/>
      <c r="AO44" s="73"/>
    </row>
    <row r="45" spans="2:41" x14ac:dyDescent="0.25">
      <c r="B45" s="56" cm="1">
        <f t="array" aca="1" ref="B45" ca="1">FileSize(Folder&amp;Tests[[#This Row],[FileName]])</f>
        <v>53</v>
      </c>
      <c r="C45" s="80">
        <v>31</v>
      </c>
      <c r="D45" s="33" t="s">
        <v>161</v>
      </c>
      <c r="E45" s="32" t="b">
        <v>1</v>
      </c>
      <c r="F45" s="34" t="s">
        <v>95</v>
      </c>
      <c r="G45" s="34" t="b">
        <v>0</v>
      </c>
      <c r="H45" s="34" t="s">
        <v>95</v>
      </c>
      <c r="I45" s="34" t="s">
        <v>95</v>
      </c>
      <c r="J45" s="34" t="b">
        <v>1</v>
      </c>
      <c r="K45" s="34"/>
      <c r="L45" s="32">
        <v>1</v>
      </c>
      <c r="M45" s="32">
        <v>1</v>
      </c>
      <c r="N45" s="32">
        <v>0</v>
      </c>
      <c r="O45" s="32">
        <v>0</v>
      </c>
      <c r="P45" s="32" t="s">
        <v>304</v>
      </c>
      <c r="Q45" s="32" t="s">
        <v>305</v>
      </c>
      <c r="R45" s="32"/>
      <c r="S45" s="32"/>
      <c r="T45" s="32" t="s">
        <v>96</v>
      </c>
      <c r="U45" s="44"/>
      <c r="V45" s="68" t="str">
        <f ca="1"/>
        <v xml:space="preserve"> </v>
      </c>
      <c r="X45" t="str">
        <f ca="1"/>
        <v/>
      </c>
      <c r="Y45" s="73"/>
      <c r="AA45" s="64"/>
      <c r="AB45" s="64"/>
      <c r="AC45" s="64"/>
      <c r="AD45" s="64"/>
      <c r="AE45" s="64"/>
      <c r="AF45" s="73"/>
      <c r="AG45" s="73"/>
      <c r="AH45" s="73"/>
      <c r="AI45" s="73"/>
      <c r="AJ45" s="73"/>
      <c r="AK45" s="73"/>
      <c r="AL45" s="73"/>
      <c r="AM45" s="73"/>
      <c r="AN45" s="73"/>
      <c r="AO45" s="73"/>
    </row>
    <row r="46" spans="2:41" x14ac:dyDescent="0.25">
      <c r="B46" s="56" cm="1">
        <f t="array" aca="1" ref="B46" ca="1">FileSize(Folder&amp;Tests[[#This Row],[FileName]])</f>
        <v>53</v>
      </c>
      <c r="C46" s="80">
        <v>32</v>
      </c>
      <c r="D46" s="33" t="s">
        <v>162</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c r="AA46" s="64"/>
      <c r="AB46" s="64"/>
      <c r="AC46" s="64"/>
      <c r="AD46" s="64"/>
      <c r="AE46" s="64"/>
      <c r="AF46" s="73"/>
      <c r="AG46" s="73"/>
      <c r="AH46" s="73"/>
      <c r="AI46" s="73"/>
      <c r="AJ46" s="73"/>
      <c r="AK46" s="73"/>
      <c r="AL46" s="73"/>
      <c r="AM46" s="73"/>
      <c r="AN46" s="73"/>
      <c r="AO46" s="73"/>
    </row>
    <row r="47" spans="2:41" x14ac:dyDescent="0.25">
      <c r="B47" s="56" cm="1">
        <f t="array" aca="1" ref="B47" ca="1">FileSize(Folder&amp;Tests[[#This Row],[FileName]])</f>
        <v>53</v>
      </c>
      <c r="C47" s="80">
        <v>33</v>
      </c>
      <c r="D47" s="33" t="s">
        <v>163</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c r="AA47" s="64"/>
      <c r="AB47" s="64"/>
      <c r="AC47" s="64"/>
      <c r="AD47" s="64"/>
      <c r="AE47" s="64"/>
      <c r="AF47" s="73"/>
      <c r="AG47" s="73"/>
      <c r="AH47" s="73"/>
      <c r="AI47" s="73"/>
      <c r="AJ47" s="73"/>
      <c r="AK47" s="73"/>
      <c r="AL47" s="73"/>
      <c r="AM47" s="73"/>
      <c r="AN47" s="73"/>
      <c r="AO47" s="73"/>
    </row>
    <row r="48" spans="2:41" x14ac:dyDescent="0.25">
      <c r="B48" s="56" cm="1">
        <f t="array" aca="1" ref="B48" ca="1">FileSize(Folder&amp;Tests[[#This Row],[FileName]])</f>
        <v>53</v>
      </c>
      <c r="C48" s="80">
        <v>34</v>
      </c>
      <c r="D48" s="33" t="s">
        <v>164</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573</v>
      </c>
      <c r="V48" s="68" t="str">
        <f ca="1"/>
        <v xml:space="preserve"> </v>
      </c>
      <c r="X48" t="str">
        <f ca="1"/>
        <v/>
      </c>
      <c r="Y48" s="73"/>
      <c r="AA48" s="64"/>
      <c r="AB48" s="64"/>
      <c r="AC48" s="64"/>
      <c r="AD48" s="64"/>
      <c r="AE48" s="64"/>
      <c r="AF48" s="73"/>
      <c r="AG48" s="73"/>
      <c r="AH48" s="73"/>
      <c r="AI48" s="73"/>
      <c r="AJ48" s="73"/>
      <c r="AK48" s="73"/>
      <c r="AL48" s="73"/>
      <c r="AM48" s="73"/>
      <c r="AN48" s="73"/>
      <c r="AO48" s="73"/>
    </row>
    <row r="49" spans="2:41" x14ac:dyDescent="0.25">
      <c r="B49" s="56" cm="1">
        <f t="array" aca="1" ref="B49" ca="1">FileSize(Folder&amp;Tests[[#This Row],[FileName]])</f>
        <v>54</v>
      </c>
      <c r="C49" s="80">
        <v>35</v>
      </c>
      <c r="D49" s="33" t="s">
        <v>165</v>
      </c>
      <c r="E49" s="32" t="b">
        <v>1</v>
      </c>
      <c r="F49" s="34" t="s">
        <v>95</v>
      </c>
      <c r="G49" s="34" t="b">
        <v>0</v>
      </c>
      <c r="H49" s="34" t="s">
        <v>95</v>
      </c>
      <c r="I49" s="34" t="s">
        <v>95</v>
      </c>
      <c r="J49" s="34" t="b">
        <v>1</v>
      </c>
      <c r="K49" s="34"/>
      <c r="L49" s="32">
        <v>1</v>
      </c>
      <c r="M49" s="32">
        <v>1</v>
      </c>
      <c r="N49" s="32">
        <v>0</v>
      </c>
      <c r="O49" s="32">
        <v>0</v>
      </c>
      <c r="P49" s="32"/>
      <c r="Q49" s="32"/>
      <c r="R49" s="32" t="s">
        <v>303</v>
      </c>
      <c r="S49" s="32"/>
      <c r="T49" s="32" t="s">
        <v>96</v>
      </c>
      <c r="U49" s="44"/>
      <c r="V49" s="68" t="str">
        <f ca="1"/>
        <v xml:space="preserve"> </v>
      </c>
      <c r="X49" t="str">
        <f ca="1"/>
        <v/>
      </c>
      <c r="Y49" s="73"/>
      <c r="AA49" s="64"/>
      <c r="AB49" s="64"/>
      <c r="AC49" s="64"/>
      <c r="AD49" s="64"/>
      <c r="AE49" s="64"/>
      <c r="AF49" s="73"/>
      <c r="AG49" s="73"/>
      <c r="AH49" s="73"/>
      <c r="AI49" s="73"/>
      <c r="AJ49" s="73"/>
      <c r="AK49" s="73"/>
      <c r="AL49" s="73"/>
      <c r="AM49" s="73"/>
      <c r="AN49" s="73"/>
      <c r="AO49" s="73"/>
    </row>
    <row r="50" spans="2:41" x14ac:dyDescent="0.25">
      <c r="B50" s="56" cm="1">
        <f t="array" aca="1" ref="B50" ca="1">FileSize(Folder&amp;Tests[[#This Row],[FileName]])</f>
        <v>56</v>
      </c>
      <c r="C50" s="80">
        <v>36</v>
      </c>
      <c r="D50" s="33" t="s">
        <v>166</v>
      </c>
      <c r="E50" s="32" t="s">
        <v>241</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c r="AA50" s="64"/>
      <c r="AB50" s="64"/>
      <c r="AC50" s="64"/>
      <c r="AD50" s="64"/>
      <c r="AE50" s="64"/>
      <c r="AF50" s="73"/>
      <c r="AG50" s="73"/>
      <c r="AH50" s="73"/>
      <c r="AI50" s="73"/>
      <c r="AJ50" s="73"/>
      <c r="AK50" s="73"/>
      <c r="AL50" s="73"/>
      <c r="AM50" s="73"/>
      <c r="AN50" s="73"/>
      <c r="AO50" s="73"/>
    </row>
    <row r="51" spans="2:41" x14ac:dyDescent="0.25">
      <c r="B51" s="56" cm="1">
        <f t="array" aca="1" ref="B51" ca="1">FileSize(Folder&amp;Tests[[#This Row],[FileName]])</f>
        <v>61</v>
      </c>
      <c r="C51" s="80">
        <v>37</v>
      </c>
      <c r="D51" s="33" t="s">
        <v>167</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229</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25">
      <c r="B52" s="56" cm="1">
        <f t="array" aca="1" ref="B52" ca="1">FileSize(Folder&amp;Tests[[#This Row],[FileName]])</f>
        <v>56</v>
      </c>
      <c r="C52" s="80">
        <v>38</v>
      </c>
      <c r="D52" s="33" t="s">
        <v>168</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25">
      <c r="B53" s="56" cm="1">
        <f t="array" aca="1" ref="B53" ca="1">FileSize(Folder&amp;Tests[[#This Row],[FileName]])</f>
        <v>60</v>
      </c>
      <c r="C53" s="80">
        <v>39</v>
      </c>
      <c r="D53" s="33" t="s">
        <v>169</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25">
      <c r="B54" s="56" cm="1">
        <f t="array" aca="1" ref="B54" ca="1">FileSize(Folder&amp;Tests[[#This Row],[FileName]])</f>
        <v>63</v>
      </c>
      <c r="C54" s="80">
        <v>40</v>
      </c>
      <c r="D54" s="33" t="s">
        <v>171</v>
      </c>
      <c r="E54" s="32" t="b">
        <v>1</v>
      </c>
      <c r="F54" s="34" t="s">
        <v>95</v>
      </c>
      <c r="G54" s="34" t="b">
        <v>0</v>
      </c>
      <c r="H54" s="34" t="s">
        <v>95</v>
      </c>
      <c r="I54" s="34" t="s">
        <v>95</v>
      </c>
      <c r="J54" s="34" t="b">
        <v>1</v>
      </c>
      <c r="K54" s="34"/>
      <c r="L54" s="32">
        <v>1</v>
      </c>
      <c r="M54" s="32">
        <v>1</v>
      </c>
      <c r="N54" s="32">
        <v>0</v>
      </c>
      <c r="O54" s="32">
        <v>0</v>
      </c>
      <c r="P54" s="32"/>
      <c r="Q54" s="32"/>
      <c r="R54" s="50" t="s">
        <v>306</v>
      </c>
      <c r="S54" s="32"/>
      <c r="T54" s="32" t="s">
        <v>97</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25">
      <c r="B55" s="56" cm="1">
        <f t="array" aca="1" ref="B55" ca="1">FileSize(Folder&amp;Tests[[#This Row],[FileName]])</f>
        <v>64</v>
      </c>
      <c r="C55" s="51">
        <v>41</v>
      </c>
      <c r="D55" s="33" t="s">
        <v>172</v>
      </c>
      <c r="E55" s="32" t="b">
        <v>1</v>
      </c>
      <c r="F55" s="34" t="s">
        <v>95</v>
      </c>
      <c r="G55" s="34" t="b">
        <v>0</v>
      </c>
      <c r="H55" s="34" t="s">
        <v>291</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25">
      <c r="B56" s="56" cm="1">
        <f t="array" aca="1" ref="B56" ca="1">FileSize(Folder&amp;Tests[[#This Row],[FileName]])</f>
        <v>65</v>
      </c>
      <c r="C56" s="80">
        <v>42</v>
      </c>
      <c r="D56" s="33" t="s">
        <v>173</v>
      </c>
      <c r="E56" s="32" t="b">
        <v>1</v>
      </c>
      <c r="F56" s="34" t="s">
        <v>95</v>
      </c>
      <c r="G56" s="34" t="b">
        <v>0</v>
      </c>
      <c r="H56" s="34" t="s">
        <v>95</v>
      </c>
      <c r="I56" s="34" t="s">
        <v>95</v>
      </c>
      <c r="J56" s="34" t="b">
        <v>1</v>
      </c>
      <c r="K56" s="34"/>
      <c r="L56" s="32">
        <v>1</v>
      </c>
      <c r="M56" s="32">
        <v>1</v>
      </c>
      <c r="N56" s="32">
        <v>0</v>
      </c>
      <c r="O56" s="32">
        <v>0</v>
      </c>
      <c r="P56" s="32"/>
      <c r="Q56" s="32"/>
      <c r="R56" s="32" t="s">
        <v>307</v>
      </c>
      <c r="S56" s="32"/>
      <c r="T56" s="32" t="s">
        <v>96</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25">
      <c r="B57" s="56" cm="1">
        <f t="array" aca="1" ref="B57" ca="1">FileSize(Folder&amp;Tests[[#This Row],[FileName]])</f>
        <v>67</v>
      </c>
      <c r="C57" s="80">
        <v>43</v>
      </c>
      <c r="D57" s="33" t="s">
        <v>177</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25">
      <c r="B58" s="56" cm="1">
        <f t="array" aca="1" ref="B58" ca="1">FileSize(Folder&amp;Tests[[#This Row],[FileName]])</f>
        <v>70</v>
      </c>
      <c r="C58" s="80">
        <v>44</v>
      </c>
      <c r="D58" s="33" t="s">
        <v>178</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25">
      <c r="B59" s="56" cm="1">
        <f t="array" aca="1" ref="B59" ca="1">FileSize(Folder&amp;Tests[[#This Row],[FileName]])</f>
        <v>72</v>
      </c>
      <c r="C59" s="80">
        <v>45</v>
      </c>
      <c r="D59" s="33" t="s">
        <v>179</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25">
      <c r="B60" s="56" cm="1">
        <f t="array" aca="1" ref="B60" ca="1">FileSize(Folder&amp;Tests[[#This Row],[FileName]])</f>
        <v>90</v>
      </c>
      <c r="C60" s="52">
        <v>46</v>
      </c>
      <c r="D60" s="33" t="s">
        <v>182</v>
      </c>
      <c r="E60" s="32" t="b">
        <v>1</v>
      </c>
      <c r="F60" s="34" t="s">
        <v>95</v>
      </c>
      <c r="G60" s="34" t="b">
        <v>0</v>
      </c>
      <c r="H60" s="34" t="s">
        <v>95</v>
      </c>
      <c r="I60" s="34" t="s">
        <v>250</v>
      </c>
      <c r="J60" s="34" t="b">
        <v>1</v>
      </c>
      <c r="K60" s="34"/>
      <c r="L60" s="32">
        <v>1</v>
      </c>
      <c r="M60" s="32">
        <v>1</v>
      </c>
      <c r="N60" s="32">
        <v>0</v>
      </c>
      <c r="O60" s="32">
        <v>0</v>
      </c>
      <c r="P60" s="32"/>
      <c r="Q60" s="32"/>
      <c r="R60" s="32"/>
      <c r="S60" s="32"/>
      <c r="T60" s="32" t="s">
        <v>96</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25">
      <c r="B61" s="56" cm="1">
        <f t="array" aca="1" ref="B61" ca="1">FileSize(Folder&amp;Tests[[#This Row],[FileName]])</f>
        <v>93</v>
      </c>
      <c r="C61" s="52">
        <v>47</v>
      </c>
      <c r="D61" s="33" t="s">
        <v>183</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AA61" s="48"/>
      <c r="AB61" s="48"/>
      <c r="AC61" s="48"/>
      <c r="AD61" s="48"/>
      <c r="AE61" s="48"/>
      <c r="AF61" s="48"/>
      <c r="AG61" s="48"/>
      <c r="AH61" s="48"/>
      <c r="AI61" s="48"/>
      <c r="AJ61" s="48"/>
      <c r="AK61" s="48"/>
      <c r="AL61" s="48"/>
      <c r="AM61" s="48"/>
      <c r="AN61" s="48"/>
      <c r="AO61" s="48"/>
    </row>
    <row r="62" spans="2:41" x14ac:dyDescent="0.25">
      <c r="B62" s="56" cm="1">
        <f t="array" aca="1" ref="B62" ca="1">FileSize(Folder&amp;Tests[[#This Row],[FileName]])</f>
        <v>105</v>
      </c>
      <c r="C62" s="52">
        <v>48</v>
      </c>
      <c r="D62" s="33" t="s">
        <v>184</v>
      </c>
      <c r="E62" s="32" t="b">
        <v>1</v>
      </c>
      <c r="F62" s="34" t="s">
        <v>95</v>
      </c>
      <c r="G62" s="34" t="b">
        <v>0</v>
      </c>
      <c r="H62" s="34" t="s">
        <v>95</v>
      </c>
      <c r="I62" s="34" t="s">
        <v>250</v>
      </c>
      <c r="J62" s="34" t="b">
        <v>1</v>
      </c>
      <c r="K62" s="34"/>
      <c r="L62" s="32">
        <v>1</v>
      </c>
      <c r="M62" s="32">
        <v>1</v>
      </c>
      <c r="N62" s="32">
        <v>0</v>
      </c>
      <c r="O62" s="32">
        <v>0</v>
      </c>
      <c r="P62" s="32"/>
      <c r="Q62" s="32"/>
      <c r="R62" s="32"/>
      <c r="S62" s="32"/>
      <c r="T62" s="32" t="s">
        <v>96</v>
      </c>
      <c r="U62" s="41"/>
      <c r="V62" s="68" t="str">
        <f ca="1"/>
        <v xml:space="preserve"> </v>
      </c>
      <c r="AA62" s="48"/>
      <c r="AB62" s="48"/>
      <c r="AC62" s="48"/>
      <c r="AD62" s="48"/>
      <c r="AE62" s="48"/>
      <c r="AF62" s="48"/>
      <c r="AG62" s="48"/>
      <c r="AH62" s="48"/>
      <c r="AI62" s="48"/>
      <c r="AJ62" s="48"/>
      <c r="AK62" s="48"/>
      <c r="AL62" s="48"/>
      <c r="AM62" s="48"/>
      <c r="AN62" s="48"/>
      <c r="AO62" s="48"/>
    </row>
    <row r="63" spans="2:41" x14ac:dyDescent="0.25">
      <c r="B63" s="56" cm="1">
        <f t="array" aca="1" ref="B63" ca="1">FileSize(Folder&amp;Tests[[#This Row],[FileName]])</f>
        <v>100</v>
      </c>
      <c r="C63" s="52">
        <v>49</v>
      </c>
      <c r="D63" s="33" t="s">
        <v>185</v>
      </c>
      <c r="E63" s="32" t="b">
        <v>1</v>
      </c>
      <c r="F63" s="34" t="s">
        <v>95</v>
      </c>
      <c r="G63" s="34" t="b">
        <v>0</v>
      </c>
      <c r="H63" s="34" t="s">
        <v>95</v>
      </c>
      <c r="I63" s="34" t="s">
        <v>95</v>
      </c>
      <c r="J63" s="34" t="b">
        <v>1</v>
      </c>
      <c r="K63" s="34"/>
      <c r="L63" s="32">
        <v>1</v>
      </c>
      <c r="M63" s="32">
        <v>1</v>
      </c>
      <c r="N63" s="32">
        <v>0</v>
      </c>
      <c r="O63" s="32">
        <v>0</v>
      </c>
      <c r="P63" s="32"/>
      <c r="Q63" s="32"/>
      <c r="R63" s="32"/>
      <c r="S63" s="35" t="s">
        <v>282</v>
      </c>
      <c r="T63" s="32" t="s">
        <v>96</v>
      </c>
      <c r="U63" s="41" t="s">
        <v>107</v>
      </c>
      <c r="V63" s="68" t="str">
        <f ca="1"/>
        <v xml:space="preserve"> </v>
      </c>
      <c r="AA63" s="48"/>
      <c r="AB63" s="48"/>
      <c r="AC63" s="48"/>
      <c r="AD63" s="48"/>
      <c r="AE63" s="48"/>
      <c r="AF63" s="48"/>
      <c r="AG63" s="48"/>
      <c r="AH63" s="48"/>
      <c r="AI63" s="48"/>
      <c r="AJ63" s="48"/>
      <c r="AK63" s="48"/>
      <c r="AL63" s="48"/>
      <c r="AM63" s="48"/>
      <c r="AN63" s="48"/>
      <c r="AO63" s="48"/>
    </row>
    <row r="64" spans="2:41" x14ac:dyDescent="0.25">
      <c r="B64" s="56" cm="1">
        <f t="array" aca="1" ref="B64" ca="1">FileSize(Folder&amp;Tests[[#This Row],[FileName]])</f>
        <v>100</v>
      </c>
      <c r="C64" s="52">
        <v>50</v>
      </c>
      <c r="D64" s="33" t="s">
        <v>187</v>
      </c>
      <c r="E64" s="32" t="b">
        <v>1</v>
      </c>
      <c r="F64" s="34" t="s">
        <v>95</v>
      </c>
      <c r="G64" s="34" t="b">
        <v>0</v>
      </c>
      <c r="H64" s="34" t="s">
        <v>95</v>
      </c>
      <c r="I64" s="34" t="s">
        <v>95</v>
      </c>
      <c r="J64" s="34" t="b">
        <v>1</v>
      </c>
      <c r="K64" s="34"/>
      <c r="L64" s="32">
        <v>1</v>
      </c>
      <c r="M64" s="32">
        <v>1</v>
      </c>
      <c r="N64" s="32">
        <v>0</v>
      </c>
      <c r="O64" s="32">
        <v>0</v>
      </c>
      <c r="P64" s="32"/>
      <c r="Q64" s="32"/>
      <c r="R64" s="32"/>
      <c r="S64" s="35" t="s">
        <v>282</v>
      </c>
      <c r="T64" s="32" t="s">
        <v>96</v>
      </c>
      <c r="U64" s="41" t="s">
        <v>107</v>
      </c>
      <c r="V64" s="68" t="str">
        <f ca="1"/>
        <v xml:space="preserve"> </v>
      </c>
      <c r="AA64" s="48"/>
      <c r="AB64" s="48"/>
      <c r="AC64" s="48"/>
      <c r="AD64" s="48"/>
      <c r="AE64" s="48"/>
      <c r="AF64" s="48"/>
      <c r="AG64" s="48"/>
      <c r="AH64" s="48"/>
      <c r="AI64" s="48"/>
      <c r="AJ64" s="48"/>
      <c r="AK64" s="48"/>
      <c r="AL64" s="48"/>
      <c r="AM64" s="48"/>
      <c r="AN64" s="48"/>
      <c r="AO64" s="48"/>
    </row>
    <row r="65" spans="2:41" x14ac:dyDescent="0.25">
      <c r="B65" s="56" cm="1">
        <f t="array" aca="1" ref="B65" ca="1">FileSize(Folder&amp;Tests[[#This Row],[FileName]])</f>
        <v>111</v>
      </c>
      <c r="C65" s="52">
        <v>51</v>
      </c>
      <c r="D65" s="33" t="s">
        <v>189</v>
      </c>
      <c r="E65" s="32" t="b">
        <v>1</v>
      </c>
      <c r="F65" s="34" t="s">
        <v>95</v>
      </c>
      <c r="G65" s="34" t="b">
        <v>0</v>
      </c>
      <c r="H65" s="34" t="s">
        <v>311</v>
      </c>
      <c r="I65" s="34" t="s">
        <v>95</v>
      </c>
      <c r="J65" s="34" t="b">
        <v>1</v>
      </c>
      <c r="K65" s="34"/>
      <c r="L65" s="32">
        <v>1</v>
      </c>
      <c r="M65" s="32">
        <v>1</v>
      </c>
      <c r="N65" s="32">
        <v>0</v>
      </c>
      <c r="O65" s="32">
        <v>0</v>
      </c>
      <c r="P65" s="32"/>
      <c r="Q65" s="32"/>
      <c r="R65" s="32"/>
      <c r="S65" s="32"/>
      <c r="T65" s="32" t="s">
        <v>96</v>
      </c>
      <c r="U65" s="44"/>
      <c r="V65" s="68" t="str">
        <f ca="1"/>
        <v xml:space="preserve"> </v>
      </c>
      <c r="AA65" s="48"/>
      <c r="AB65" s="48"/>
      <c r="AC65" s="48"/>
      <c r="AD65" s="48"/>
      <c r="AE65" s="48"/>
      <c r="AF65" s="48"/>
      <c r="AG65" s="48"/>
      <c r="AH65" s="48"/>
      <c r="AI65" s="48"/>
      <c r="AJ65" s="48"/>
      <c r="AK65" s="48"/>
      <c r="AL65" s="48"/>
      <c r="AM65" s="48"/>
      <c r="AN65" s="48"/>
      <c r="AO65" s="48"/>
    </row>
    <row r="66" spans="2:41" x14ac:dyDescent="0.25">
      <c r="B66" s="56" cm="1">
        <f t="array" aca="1" ref="B66" ca="1">FileSize(Folder&amp;Tests[[#This Row],[FileName]])</f>
        <v>122</v>
      </c>
      <c r="C66" s="52">
        <v>52</v>
      </c>
      <c r="D66" s="33" t="s">
        <v>190</v>
      </c>
      <c r="E66" s="32" t="b">
        <v>1</v>
      </c>
      <c r="F66" s="34" t="s">
        <v>95</v>
      </c>
      <c r="G66" s="34" t="b">
        <v>0</v>
      </c>
      <c r="H66" s="34" t="s">
        <v>95</v>
      </c>
      <c r="I66" s="34" t="s">
        <v>250</v>
      </c>
      <c r="J66" s="34" t="b">
        <v>1</v>
      </c>
      <c r="K66" s="34"/>
      <c r="L66" s="32">
        <v>1</v>
      </c>
      <c r="M66" s="32">
        <v>1</v>
      </c>
      <c r="N66" s="32">
        <v>0</v>
      </c>
      <c r="O66" s="32">
        <v>0</v>
      </c>
      <c r="P66" s="32"/>
      <c r="Q66" s="32"/>
      <c r="R66" s="32"/>
      <c r="S66" s="32"/>
      <c r="T66" s="32" t="s">
        <v>96</v>
      </c>
      <c r="U66" s="44"/>
      <c r="V66" s="68" t="str">
        <f ca="1"/>
        <v xml:space="preserve"> </v>
      </c>
      <c r="AA66" s="48"/>
      <c r="AB66" s="48"/>
      <c r="AC66" s="48"/>
      <c r="AD66" s="48"/>
      <c r="AE66" s="48"/>
      <c r="AF66" s="48"/>
      <c r="AG66" s="48"/>
      <c r="AH66" s="48"/>
      <c r="AI66" s="48"/>
      <c r="AJ66" s="48"/>
      <c r="AK66" s="48"/>
      <c r="AL66" s="48"/>
      <c r="AM66" s="48"/>
      <c r="AN66" s="48"/>
      <c r="AO66" s="48"/>
    </row>
    <row r="67" spans="2:41" x14ac:dyDescent="0.25">
      <c r="B67" s="56" cm="1">
        <f t="array" aca="1" ref="B67" ca="1">FileSize(Folder&amp;Tests[[#This Row],[FileName]])</f>
        <v>388</v>
      </c>
      <c r="C67" s="52">
        <v>53</v>
      </c>
      <c r="D67" s="33" t="s">
        <v>192</v>
      </c>
      <c r="E67" s="32" t="b">
        <v>1</v>
      </c>
      <c r="F67" s="34" t="s">
        <v>95</v>
      </c>
      <c r="G67" s="34" t="b">
        <v>0</v>
      </c>
      <c r="H67" s="34" t="s">
        <v>101</v>
      </c>
      <c r="I67" s="34" t="s">
        <v>95</v>
      </c>
      <c r="J67" s="34" t="b">
        <v>1</v>
      </c>
      <c r="K67" s="34"/>
      <c r="L67" s="32">
        <v>1</v>
      </c>
      <c r="M67" s="32">
        <v>1</v>
      </c>
      <c r="N67" s="32">
        <v>0</v>
      </c>
      <c r="O67" s="32">
        <v>0</v>
      </c>
      <c r="P67" s="32"/>
      <c r="Q67" s="32"/>
      <c r="R67" s="50" t="s">
        <v>308</v>
      </c>
      <c r="S67" s="32"/>
      <c r="T67" s="32" t="s">
        <v>97</v>
      </c>
      <c r="U67" s="41" t="s">
        <v>358</v>
      </c>
      <c r="V67" s="68" t="str">
        <f ca="1"/>
        <v xml:space="preserve"> </v>
      </c>
      <c r="AA67" s="48"/>
      <c r="AB67" s="48"/>
      <c r="AC67" s="48"/>
      <c r="AD67" s="48"/>
      <c r="AE67" s="48"/>
      <c r="AF67" s="48"/>
      <c r="AG67" s="48"/>
      <c r="AH67" s="48"/>
      <c r="AI67" s="48"/>
      <c r="AJ67" s="48"/>
      <c r="AK67" s="48"/>
      <c r="AL67" s="48"/>
      <c r="AM67" s="48"/>
      <c r="AN67" s="48"/>
      <c r="AO67" s="48"/>
    </row>
    <row r="68" spans="2:41" x14ac:dyDescent="0.25">
      <c r="B68" s="56" cm="1">
        <f t="array" aca="1" ref="B68" ca="1">FileSize(Folder&amp;Tests[[#This Row],[FileName]])</f>
        <v>400</v>
      </c>
      <c r="C68" s="80">
        <v>54</v>
      </c>
      <c r="D68" s="33" t="s">
        <v>193</v>
      </c>
      <c r="E68" s="32" t="s">
        <v>228</v>
      </c>
      <c r="F68" s="34" t="s">
        <v>95</v>
      </c>
      <c r="G68" s="34" t="b">
        <v>0</v>
      </c>
      <c r="H68" s="34" t="s">
        <v>95</v>
      </c>
      <c r="I68" s="34" t="s">
        <v>250</v>
      </c>
      <c r="J68" s="34" t="b">
        <v>1</v>
      </c>
      <c r="K68" s="34"/>
      <c r="L68" s="32">
        <v>1</v>
      </c>
      <c r="M68" s="32">
        <v>1</v>
      </c>
      <c r="N68" s="32">
        <v>0</v>
      </c>
      <c r="O68" s="32">
        <v>0</v>
      </c>
      <c r="P68" s="32"/>
      <c r="Q68" s="32"/>
      <c r="R68" s="32"/>
      <c r="S68" s="32"/>
      <c r="T68" s="32" t="s">
        <v>96</v>
      </c>
      <c r="U68" s="44"/>
      <c r="V68" s="68" t="str">
        <f ca="1"/>
        <v xml:space="preserve"> </v>
      </c>
      <c r="AA68" s="48"/>
      <c r="AB68" s="48"/>
      <c r="AC68" s="48"/>
      <c r="AD68" s="48"/>
      <c r="AE68" s="48"/>
      <c r="AF68" s="48"/>
      <c r="AG68" s="48"/>
      <c r="AH68" s="48"/>
      <c r="AI68" s="48"/>
      <c r="AJ68" s="48"/>
      <c r="AK68" s="48"/>
      <c r="AL68" s="48"/>
      <c r="AM68" s="48"/>
      <c r="AN68" s="48"/>
      <c r="AO68" s="48"/>
    </row>
    <row r="69" spans="2:41" x14ac:dyDescent="0.25">
      <c r="B69" s="56" cm="1">
        <f t="array" aca="1" ref="B69" ca="1">FileSize(Folder&amp;Tests[[#This Row],[FileName]])</f>
        <v>450</v>
      </c>
      <c r="C69" s="52">
        <v>55</v>
      </c>
      <c r="D69" s="33" t="s">
        <v>194</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AA69" s="48"/>
      <c r="AB69" s="48"/>
      <c r="AC69" s="48"/>
      <c r="AD69" s="48"/>
      <c r="AE69" s="48"/>
      <c r="AF69" s="48"/>
      <c r="AG69" s="48"/>
      <c r="AH69" s="48"/>
      <c r="AI69" s="48"/>
      <c r="AJ69" s="48"/>
      <c r="AK69" s="48"/>
      <c r="AL69" s="48"/>
      <c r="AM69" s="48"/>
      <c r="AN69" s="48"/>
      <c r="AO69" s="48"/>
    </row>
    <row r="70" spans="2:41" x14ac:dyDescent="0.25">
      <c r="B70" s="56" cm="1">
        <f t="array" aca="1" ref="B70" ca="1">FileSize(Folder&amp;Tests[[#This Row],[FileName]])</f>
        <v>596</v>
      </c>
      <c r="C70" s="80">
        <v>56</v>
      </c>
      <c r="D70" s="33" t="s">
        <v>196</v>
      </c>
      <c r="E70" s="32" t="b">
        <v>1</v>
      </c>
      <c r="F70" s="34" t="s">
        <v>95</v>
      </c>
      <c r="G70" s="34" t="b">
        <v>0</v>
      </c>
      <c r="H70" s="34" t="s">
        <v>311</v>
      </c>
      <c r="I70" s="34" t="s">
        <v>95</v>
      </c>
      <c r="J70" s="34" t="b">
        <v>1</v>
      </c>
      <c r="K70" s="34"/>
      <c r="L70" s="32">
        <v>1</v>
      </c>
      <c r="M70" s="32">
        <v>1</v>
      </c>
      <c r="N70" s="32">
        <v>0</v>
      </c>
      <c r="O70" s="32">
        <v>0</v>
      </c>
      <c r="P70" s="32"/>
      <c r="Q70" s="32"/>
      <c r="R70" s="32"/>
      <c r="S70" s="32"/>
      <c r="T70" s="32" t="s">
        <v>96</v>
      </c>
      <c r="U70" s="41"/>
      <c r="V70" s="68" t="str">
        <f ca="1"/>
        <v xml:space="preserve"> </v>
      </c>
      <c r="AA70" s="48"/>
      <c r="AB70" s="48"/>
      <c r="AC70" s="48"/>
      <c r="AD70" s="48"/>
      <c r="AE70" s="48"/>
      <c r="AF70" s="48"/>
      <c r="AG70" s="48"/>
      <c r="AH70" s="48"/>
      <c r="AI70" s="48"/>
      <c r="AJ70" s="48"/>
      <c r="AK70" s="48"/>
      <c r="AL70" s="48"/>
      <c r="AM70" s="48"/>
      <c r="AN70" s="48"/>
      <c r="AO70" s="48"/>
    </row>
    <row r="71" spans="2:41" x14ac:dyDescent="0.25">
      <c r="B71" s="56" cm="1">
        <f t="array" aca="1" ref="B71" ca="1">FileSize(Folder&amp;Tests[[#This Row],[FileName]])</f>
        <v>694</v>
      </c>
      <c r="C71" s="80">
        <v>57</v>
      </c>
      <c r="D71" s="33" t="s">
        <v>197</v>
      </c>
      <c r="E71" s="32" t="s">
        <v>269</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AA71" s="48"/>
      <c r="AB71" s="48"/>
      <c r="AC71" s="48"/>
      <c r="AD71" s="48"/>
      <c r="AE71" s="48"/>
      <c r="AF71" s="48"/>
      <c r="AG71" s="48"/>
      <c r="AH71" s="48"/>
      <c r="AI71" s="48"/>
      <c r="AJ71" s="48"/>
      <c r="AK71" s="48"/>
      <c r="AL71" s="48"/>
      <c r="AM71" s="48"/>
      <c r="AN71" s="48"/>
      <c r="AO71" s="48"/>
    </row>
    <row r="72" spans="2:41" x14ac:dyDescent="0.25">
      <c r="B72" s="56" cm="1">
        <f t="array" aca="1" ref="B72" ca="1">FileSize(Folder&amp;Tests[[#This Row],[FileName]])</f>
        <v>732</v>
      </c>
      <c r="C72" s="51">
        <v>58</v>
      </c>
      <c r="D72" s="33" t="s">
        <v>198</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359</v>
      </c>
      <c r="V72" s="68" t="str">
        <f ca="1"/>
        <v xml:space="preserve"> </v>
      </c>
      <c r="AA72" s="48"/>
      <c r="AB72" s="48"/>
      <c r="AC72" s="48"/>
      <c r="AD72" s="48"/>
      <c r="AE72" s="48"/>
      <c r="AF72" s="48"/>
      <c r="AG72" s="48"/>
      <c r="AH72" s="48"/>
      <c r="AI72" s="48"/>
      <c r="AJ72" s="48"/>
      <c r="AK72" s="48"/>
      <c r="AL72" s="48"/>
      <c r="AM72" s="48"/>
      <c r="AN72" s="48"/>
      <c r="AO72" s="48"/>
    </row>
    <row r="73" spans="2:41" x14ac:dyDescent="0.25">
      <c r="B73" s="56" cm="1">
        <f t="array" aca="1" ref="B73" ca="1">FileSize(Folder&amp;Tests[[#This Row],[FileName]])</f>
        <v>93536</v>
      </c>
      <c r="C73" s="51">
        <v>59</v>
      </c>
      <c r="D73" s="33" t="s">
        <v>207</v>
      </c>
      <c r="E73" s="32" t="s">
        <v>112</v>
      </c>
      <c r="F73" s="34" t="s">
        <v>95</v>
      </c>
      <c r="G73" s="34" t="b">
        <v>0</v>
      </c>
      <c r="H73" s="34" t="s">
        <v>286</v>
      </c>
      <c r="I73" s="34" t="s">
        <v>95</v>
      </c>
      <c r="J73" s="34" t="b">
        <v>1</v>
      </c>
      <c r="K73" s="34"/>
      <c r="L73" s="32">
        <v>1</v>
      </c>
      <c r="M73" s="32">
        <v>1</v>
      </c>
      <c r="N73" s="32">
        <v>3</v>
      </c>
      <c r="O73" s="32">
        <v>0</v>
      </c>
      <c r="P73" s="32"/>
      <c r="Q73" s="32"/>
      <c r="R73" s="32"/>
      <c r="S73" s="32"/>
      <c r="T73" s="32" t="s">
        <v>96</v>
      </c>
      <c r="U73" s="44" t="s">
        <v>360</v>
      </c>
      <c r="V73" s="68" t="str">
        <f ca="1"/>
        <v xml:space="preserve"> </v>
      </c>
      <c r="AA73" s="48"/>
      <c r="AB73" s="48"/>
      <c r="AC73" s="48"/>
      <c r="AD73" s="48"/>
      <c r="AE73" s="48"/>
      <c r="AF73" s="48"/>
      <c r="AG73" s="48"/>
      <c r="AH73" s="48"/>
      <c r="AI73" s="48"/>
      <c r="AJ73" s="48"/>
      <c r="AK73" s="48"/>
      <c r="AL73" s="48"/>
      <c r="AM73" s="48"/>
      <c r="AN73" s="48"/>
      <c r="AO73" s="48"/>
    </row>
    <row r="74" spans="2:41" x14ac:dyDescent="0.25">
      <c r="B74" s="56" cm="1">
        <f t="array" aca="1" ref="B74" ca="1">FileSize(Folder&amp;Tests[[#This Row],[FileName]])</f>
        <v>768</v>
      </c>
      <c r="C74" s="51">
        <v>60</v>
      </c>
      <c r="D74" s="33" t="s">
        <v>199</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114</v>
      </c>
      <c r="V74" s="68" t="str">
        <f ca="1"/>
        <v xml:space="preserve"> </v>
      </c>
      <c r="AA74" s="48"/>
      <c r="AB74" s="48"/>
      <c r="AC74" s="48"/>
      <c r="AD74" s="48"/>
      <c r="AE74" s="48"/>
      <c r="AF74" s="48"/>
      <c r="AG74" s="48"/>
      <c r="AH74" s="48"/>
      <c r="AI74" s="48"/>
      <c r="AJ74" s="48"/>
      <c r="AK74" s="48"/>
      <c r="AL74" s="48"/>
      <c r="AM74" s="48"/>
      <c r="AN74" s="48"/>
      <c r="AO74" s="48"/>
    </row>
    <row r="75" spans="2:41" x14ac:dyDescent="0.25">
      <c r="B75" s="56" cm="1">
        <f t="array" aca="1" ref="B75" ca="1">FileSize(Folder&amp;Tests[[#This Row],[FileName]])</f>
        <v>796</v>
      </c>
      <c r="C75" s="80">
        <v>61</v>
      </c>
      <c r="D75" s="33" t="s">
        <v>200</v>
      </c>
      <c r="E75" s="32" t="s">
        <v>268</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110</v>
      </c>
      <c r="V75" s="68" t="str">
        <f ca="1"/>
        <v xml:space="preserve"> </v>
      </c>
      <c r="AA75" s="48"/>
      <c r="AB75" s="48"/>
      <c r="AC75" s="48"/>
      <c r="AD75" s="48"/>
      <c r="AE75" s="48"/>
      <c r="AF75" s="48"/>
      <c r="AG75" s="48"/>
      <c r="AH75" s="48"/>
      <c r="AI75" s="48"/>
      <c r="AJ75" s="48"/>
      <c r="AK75" s="48"/>
      <c r="AL75" s="48"/>
      <c r="AM75" s="48"/>
      <c r="AN75" s="48"/>
      <c r="AO75" s="48"/>
    </row>
    <row r="76" spans="2:41" x14ac:dyDescent="0.25">
      <c r="B76" s="55" cm="1">
        <f t="array" aca="1" ref="B76" ca="1">FileSize(Folder&amp;Tests[[#This Row],[FileName]])</f>
        <v>1770</v>
      </c>
      <c r="C76" s="51">
        <v>62</v>
      </c>
      <c r="D76" s="33" t="s">
        <v>201</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AA76" s="48"/>
      <c r="AB76" s="48"/>
      <c r="AC76" s="48"/>
      <c r="AD76" s="48"/>
      <c r="AE76" s="48"/>
      <c r="AF76" s="48"/>
      <c r="AG76" s="48"/>
      <c r="AH76" s="48"/>
      <c r="AI76" s="48"/>
      <c r="AJ76" s="48"/>
      <c r="AK76" s="48"/>
      <c r="AL76" s="48"/>
      <c r="AM76" s="48"/>
      <c r="AN76" s="48"/>
      <c r="AO76" s="48"/>
    </row>
    <row r="77" spans="2:41" x14ac:dyDescent="0.25">
      <c r="B77" s="55" cm="1">
        <f t="array" aca="1" ref="B77" ca="1">FileSize(Folder&amp;Tests[[#This Row],[FileName]])</f>
        <v>2127</v>
      </c>
      <c r="C77" s="51">
        <v>63</v>
      </c>
      <c r="D77" s="38" t="s">
        <v>202</v>
      </c>
      <c r="E77" s="32" t="s">
        <v>228</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AA77" s="48"/>
      <c r="AB77" s="48"/>
      <c r="AC77" s="48"/>
      <c r="AD77" s="48"/>
      <c r="AE77" s="48"/>
      <c r="AF77" s="48"/>
      <c r="AG77" s="48"/>
      <c r="AH77" s="48"/>
      <c r="AI77" s="48"/>
      <c r="AJ77" s="48"/>
      <c r="AK77" s="48"/>
      <c r="AL77" s="48"/>
      <c r="AM77" s="48"/>
      <c r="AN77" s="48"/>
      <c r="AO77" s="48"/>
    </row>
    <row r="78" spans="2:41" x14ac:dyDescent="0.25">
      <c r="B78" s="55" cm="1">
        <f t="array" aca="1" ref="B78" ca="1">FileSize(Folder&amp;Tests[[#This Row],[FileName]])</f>
        <v>180</v>
      </c>
      <c r="C78" s="51">
        <v>64</v>
      </c>
      <c r="D78" s="33" t="s">
        <v>252</v>
      </c>
      <c r="E78" s="32" t="b" cm="1">
        <v>1</v>
      </c>
      <c r="F78" s="34" t="s">
        <v>95</v>
      </c>
      <c r="G78" s="34" t="b">
        <v>0</v>
      </c>
      <c r="H78" s="34" t="s">
        <v>291</v>
      </c>
      <c r="I78" s="34" t="s">
        <v>95</v>
      </c>
      <c r="J78" s="34" t="b">
        <v>1</v>
      </c>
      <c r="K78" s="34"/>
      <c r="L78" s="32">
        <v>1</v>
      </c>
      <c r="M78" s="32">
        <v>1</v>
      </c>
      <c r="N78" s="32">
        <v>0</v>
      </c>
      <c r="O78" s="32">
        <v>0</v>
      </c>
      <c r="P78" s="32"/>
      <c r="Q78" s="32"/>
      <c r="R78" s="32"/>
      <c r="S78" s="32"/>
      <c r="T78" s="32" t="s">
        <v>96</v>
      </c>
      <c r="U78" s="44"/>
      <c r="V78" s="68" t="str">
        <f ca="1"/>
        <v xml:space="preserve"> </v>
      </c>
      <c r="AA78" s="48"/>
      <c r="AB78" s="48"/>
      <c r="AC78" s="48"/>
      <c r="AD78" s="48"/>
      <c r="AE78" s="48"/>
      <c r="AF78" s="48"/>
      <c r="AG78" s="48"/>
      <c r="AH78" s="48"/>
      <c r="AI78" s="48"/>
      <c r="AJ78" s="48"/>
      <c r="AK78" s="48"/>
      <c r="AL78" s="48"/>
      <c r="AM78" s="48"/>
      <c r="AN78" s="48"/>
      <c r="AO78" s="48"/>
    </row>
    <row r="79" spans="2:41" x14ac:dyDescent="0.25">
      <c r="B79" s="55" cm="1">
        <f t="array" aca="1" ref="B79" ca="1">FileSize(Folder&amp;Tests[[#This Row],[FileName]])</f>
        <v>180</v>
      </c>
      <c r="C79" s="51">
        <v>65</v>
      </c>
      <c r="D79" s="33" t="s">
        <v>252</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AA79" s="48"/>
      <c r="AB79" s="48"/>
      <c r="AC79" s="48"/>
      <c r="AD79" s="48"/>
      <c r="AE79" s="48"/>
      <c r="AF79" s="48"/>
      <c r="AG79" s="48"/>
      <c r="AH79" s="48"/>
      <c r="AI79" s="48"/>
      <c r="AJ79" s="48"/>
      <c r="AK79" s="48"/>
      <c r="AL79" s="48"/>
      <c r="AM79" s="48"/>
      <c r="AN79" s="48"/>
      <c r="AO79" s="48"/>
    </row>
    <row r="80" spans="2:41" x14ac:dyDescent="0.25">
      <c r="B80" s="55" cm="1">
        <f t="array" aca="1" ref="B80" ca="1">FileSize(Folder&amp;Tests[[#This Row],[FileName]])</f>
        <v>180</v>
      </c>
      <c r="C80" s="51">
        <v>66</v>
      </c>
      <c r="D80" s="33" t="s">
        <v>252</v>
      </c>
      <c r="E80" s="32" t="s">
        <v>228</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AA80" s="48"/>
      <c r="AB80" s="48"/>
      <c r="AC80" s="48"/>
      <c r="AD80" s="48"/>
      <c r="AE80" s="48"/>
      <c r="AF80" s="48"/>
      <c r="AG80" s="48"/>
      <c r="AH80" s="48"/>
      <c r="AI80" s="48"/>
      <c r="AJ80" s="48"/>
      <c r="AK80" s="48"/>
      <c r="AL80" s="48"/>
      <c r="AM80" s="48"/>
      <c r="AN80" s="48"/>
      <c r="AO80" s="48"/>
    </row>
    <row r="81" spans="2:41" x14ac:dyDescent="0.25">
      <c r="B81" s="55" cm="1">
        <f t="array" aca="1" ref="B81" ca="1">FileSize(Folder&amp;Tests[[#This Row],[FileName]])</f>
        <v>180</v>
      </c>
      <c r="C81" s="51">
        <v>67</v>
      </c>
      <c r="D81" s="33" t="s">
        <v>252</v>
      </c>
      <c r="E81" s="32" t="s">
        <v>237</v>
      </c>
      <c r="F81" s="34" t="s">
        <v>95</v>
      </c>
      <c r="G81" s="34" t="b">
        <v>0</v>
      </c>
      <c r="H81" s="34" t="s">
        <v>291</v>
      </c>
      <c r="I81" s="34" t="s">
        <v>95</v>
      </c>
      <c r="J81" s="34" t="b">
        <v>1</v>
      </c>
      <c r="K81" s="34"/>
      <c r="L81" s="32">
        <v>1</v>
      </c>
      <c r="M81" s="32">
        <v>1</v>
      </c>
      <c r="N81" s="32">
        <v>0</v>
      </c>
      <c r="O81" s="32">
        <v>0</v>
      </c>
      <c r="P81" s="32"/>
      <c r="Q81" s="32"/>
      <c r="R81" s="32"/>
      <c r="S81" s="32"/>
      <c r="T81" s="32" t="s">
        <v>96</v>
      </c>
      <c r="U81" s="44"/>
      <c r="V81" s="68" t="str">
        <f ca="1"/>
        <v xml:space="preserve"> </v>
      </c>
      <c r="AA81" s="48"/>
      <c r="AB81" s="48"/>
      <c r="AC81" s="48"/>
      <c r="AD81" s="48"/>
      <c r="AE81" s="48"/>
      <c r="AF81" s="48"/>
      <c r="AG81" s="48"/>
      <c r="AH81" s="48"/>
      <c r="AI81" s="48"/>
      <c r="AJ81" s="48"/>
      <c r="AK81" s="48"/>
      <c r="AL81" s="48"/>
      <c r="AM81" s="48"/>
      <c r="AN81" s="48"/>
      <c r="AO81" s="48"/>
    </row>
    <row r="82" spans="2:41" x14ac:dyDescent="0.25">
      <c r="B82" s="55" cm="1">
        <f t="array" aca="1" ref="B82" ca="1">FileSize(Folder&amp;Tests[[#This Row],[FileName]])</f>
        <v>180</v>
      </c>
      <c r="C82" s="80">
        <v>68</v>
      </c>
      <c r="D82" s="33" t="s">
        <v>252</v>
      </c>
      <c r="E82" s="32" t="s">
        <v>238</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AA82" s="48"/>
      <c r="AB82" s="48"/>
      <c r="AC82" s="48"/>
      <c r="AD82" s="48"/>
      <c r="AE82" s="48"/>
      <c r="AF82" s="48"/>
      <c r="AG82" s="48"/>
      <c r="AH82" s="48"/>
      <c r="AI82" s="48"/>
      <c r="AJ82" s="48"/>
      <c r="AK82" s="48"/>
      <c r="AL82" s="48"/>
      <c r="AM82" s="48"/>
      <c r="AN82" s="48"/>
      <c r="AO82" s="48"/>
    </row>
    <row r="83" spans="2:41" x14ac:dyDescent="0.25">
      <c r="B83" s="55" cm="1">
        <f t="array" aca="1" ref="B83" ca="1">FileSize(Folder&amp;Tests[[#This Row],[FileName]])</f>
        <v>180</v>
      </c>
      <c r="C83" s="51">
        <v>69</v>
      </c>
      <c r="D83" s="33" t="s">
        <v>252</v>
      </c>
      <c r="E83" s="32" t="s">
        <v>239</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AA83" s="48"/>
      <c r="AB83" s="48"/>
      <c r="AC83" s="48"/>
      <c r="AD83" s="48"/>
      <c r="AE83" s="48"/>
      <c r="AF83" s="48"/>
      <c r="AG83" s="48"/>
      <c r="AH83" s="48"/>
      <c r="AI83" s="48"/>
      <c r="AJ83" s="48"/>
      <c r="AK83" s="48"/>
      <c r="AL83" s="48"/>
      <c r="AM83" s="48"/>
      <c r="AN83" s="48"/>
      <c r="AO83" s="48"/>
    </row>
    <row r="84" spans="2:41" x14ac:dyDescent="0.25">
      <c r="B84" s="55" cm="1">
        <f t="array" aca="1" ref="B84" ca="1">FileSize(Folder&amp;Tests[[#This Row],[FileName]])</f>
        <v>180</v>
      </c>
      <c r="C84" s="51">
        <v>70</v>
      </c>
      <c r="D84" s="33" t="s">
        <v>252</v>
      </c>
      <c r="E84" s="32" t="s">
        <v>241</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AA84" s="48"/>
      <c r="AB84" s="48"/>
      <c r="AC84" s="48"/>
      <c r="AD84" s="48"/>
      <c r="AE84" s="48"/>
      <c r="AF84" s="48"/>
      <c r="AG84" s="48"/>
      <c r="AH84" s="48"/>
      <c r="AI84" s="48"/>
      <c r="AJ84" s="48"/>
      <c r="AK84" s="48"/>
      <c r="AL84" s="48"/>
      <c r="AM84" s="48"/>
      <c r="AN84" s="48"/>
      <c r="AO84" s="48"/>
    </row>
    <row r="85" spans="2:41" x14ac:dyDescent="0.25">
      <c r="B85" s="55" cm="1">
        <f t="array" aca="1" ref="B85" ca="1">FileSize(Folder&amp;Tests[[#This Row],[FileName]])</f>
        <v>180</v>
      </c>
      <c r="C85" s="51">
        <v>71</v>
      </c>
      <c r="D85" s="33" t="s">
        <v>252</v>
      </c>
      <c r="E85" s="32" t="s">
        <v>242</v>
      </c>
      <c r="F85" s="34" t="s">
        <v>95</v>
      </c>
      <c r="G85" s="34" t="b">
        <v>0</v>
      </c>
      <c r="H85" s="34" t="s">
        <v>291</v>
      </c>
      <c r="I85" s="34" t="s">
        <v>95</v>
      </c>
      <c r="J85" s="34" t="b">
        <v>1</v>
      </c>
      <c r="K85" s="34"/>
      <c r="L85" s="32">
        <v>1</v>
      </c>
      <c r="M85" s="32">
        <v>1</v>
      </c>
      <c r="N85" s="32">
        <v>0</v>
      </c>
      <c r="O85" s="32">
        <v>0</v>
      </c>
      <c r="P85" s="32"/>
      <c r="Q85" s="32"/>
      <c r="R85" s="32"/>
      <c r="S85" s="32"/>
      <c r="T85" s="32" t="s">
        <v>96</v>
      </c>
      <c r="U85" s="44"/>
      <c r="V85" s="68" t="str">
        <f ca="1"/>
        <v xml:space="preserve"> </v>
      </c>
      <c r="AA85" s="48"/>
      <c r="AB85" s="48"/>
      <c r="AC85" s="48"/>
      <c r="AD85" s="48"/>
      <c r="AE85" s="48"/>
      <c r="AF85" s="48"/>
      <c r="AG85" s="48"/>
      <c r="AH85" s="48"/>
      <c r="AI85" s="48"/>
      <c r="AJ85" s="48"/>
      <c r="AK85" s="48"/>
      <c r="AL85" s="48"/>
      <c r="AM85" s="48"/>
      <c r="AN85" s="48"/>
      <c r="AO85" s="48"/>
    </row>
    <row r="86" spans="2:41" x14ac:dyDescent="0.25">
      <c r="B86" s="55" cm="1">
        <f t="array" aca="1" ref="B86" ca="1">FileSize(Folder&amp;Tests[[#This Row],[FileName]])</f>
        <v>180</v>
      </c>
      <c r="C86" s="51">
        <v>72</v>
      </c>
      <c r="D86" s="33" t="s">
        <v>252</v>
      </c>
      <c r="E86" s="32" t="s">
        <v>243</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AA86" s="48"/>
      <c r="AB86" s="48"/>
      <c r="AC86" s="48"/>
      <c r="AD86" s="48"/>
      <c r="AE86" s="48"/>
      <c r="AF86" s="48"/>
      <c r="AG86" s="48"/>
      <c r="AH86" s="48"/>
      <c r="AI86" s="48"/>
      <c r="AJ86" s="48"/>
      <c r="AK86" s="48"/>
      <c r="AL86" s="48"/>
      <c r="AM86" s="48"/>
      <c r="AN86" s="48"/>
      <c r="AO86" s="48"/>
    </row>
    <row r="87" spans="2:41" x14ac:dyDescent="0.25">
      <c r="B87" s="55" cm="1">
        <f t="array" aca="1" ref="B87" ca="1">FileSize(Folder&amp;Tests[[#This Row],[FileName]])</f>
        <v>180</v>
      </c>
      <c r="C87" s="42">
        <v>73</v>
      </c>
      <c r="D87" s="33" t="s">
        <v>252</v>
      </c>
      <c r="E87" s="32" t="s">
        <v>244</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AA87" s="48"/>
      <c r="AB87" s="48"/>
      <c r="AC87" s="48"/>
      <c r="AD87" s="48"/>
      <c r="AE87" s="48"/>
      <c r="AF87" s="48"/>
      <c r="AG87" s="48"/>
      <c r="AH87" s="48"/>
      <c r="AI87" s="48"/>
      <c r="AJ87" s="48"/>
      <c r="AK87" s="48"/>
      <c r="AL87" s="48"/>
      <c r="AM87" s="48"/>
      <c r="AN87" s="48"/>
      <c r="AO87" s="48"/>
    </row>
    <row r="88" spans="2:41" x14ac:dyDescent="0.25">
      <c r="B88" s="55" cm="1">
        <f t="array" aca="1" ref="B88" ca="1">FileSize(Folder&amp;Tests[[#This Row],[FileName]])</f>
        <v>180</v>
      </c>
      <c r="C88" s="51">
        <v>74</v>
      </c>
      <c r="D88" s="33" t="s">
        <v>252</v>
      </c>
      <c r="E88" s="32" t="s">
        <v>234</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AA88" s="48"/>
      <c r="AB88" s="48"/>
      <c r="AC88" s="48"/>
      <c r="AD88" s="48"/>
      <c r="AE88" s="48"/>
      <c r="AF88" s="48"/>
      <c r="AG88" s="48"/>
      <c r="AH88" s="48"/>
      <c r="AI88" s="48"/>
      <c r="AJ88" s="48"/>
      <c r="AK88" s="48"/>
      <c r="AL88" s="48"/>
      <c r="AM88" s="48"/>
      <c r="AN88" s="48"/>
      <c r="AO88" s="48"/>
    </row>
    <row r="89" spans="2:41" x14ac:dyDescent="0.25">
      <c r="B89" s="55" cm="1">
        <f t="array" aca="1" ref="B89" ca="1">FileSize(Folder&amp;Tests[[#This Row],[FileName]])</f>
        <v>180</v>
      </c>
      <c r="C89" s="42">
        <v>75</v>
      </c>
      <c r="D89" s="33" t="s">
        <v>252</v>
      </c>
      <c r="E89" s="32" t="s">
        <v>235</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AA89" s="48"/>
      <c r="AB89" s="48"/>
      <c r="AC89" s="48"/>
      <c r="AD89" s="48"/>
      <c r="AE89" s="48"/>
      <c r="AF89" s="48"/>
      <c r="AG89" s="48"/>
      <c r="AH89" s="48"/>
      <c r="AI89" s="48"/>
      <c r="AJ89" s="48"/>
      <c r="AK89" s="48"/>
      <c r="AL89" s="48"/>
      <c r="AM89" s="48"/>
      <c r="AN89" s="48"/>
      <c r="AO89" s="48"/>
    </row>
    <row r="90" spans="2:41" x14ac:dyDescent="0.25">
      <c r="B90" s="55" cm="1">
        <f t="array" aca="1" ref="B90" ca="1">FileSize(Folder&amp;Tests[[#This Row],[FileName]])</f>
        <v>197770</v>
      </c>
      <c r="C90" s="51">
        <v>76</v>
      </c>
      <c r="D90" s="33" t="s">
        <v>212</v>
      </c>
      <c r="E90" s="32" t="s">
        <v>112</v>
      </c>
      <c r="F90" s="34"/>
      <c r="G90" s="34"/>
      <c r="H90" s="34" t="s">
        <v>311</v>
      </c>
      <c r="I90" s="34"/>
      <c r="J90" s="34" t="b">
        <v>1</v>
      </c>
      <c r="K90" s="34"/>
      <c r="L90" s="32">
        <v>1</v>
      </c>
      <c r="M90" s="32">
        <v>1</v>
      </c>
      <c r="N90" s="32">
        <v>0</v>
      </c>
      <c r="O90" s="32">
        <v>0</v>
      </c>
      <c r="P90" s="32"/>
      <c r="Q90" s="32"/>
      <c r="R90" s="50" t="s">
        <v>368</v>
      </c>
      <c r="S90" s="32"/>
      <c r="T90" s="32"/>
      <c r="U90" s="44" t="s">
        <v>369</v>
      </c>
      <c r="V90" s="68" t="str">
        <f ca="1"/>
        <v xml:space="preserve"> </v>
      </c>
      <c r="AA90" s="48"/>
      <c r="AB90" s="48"/>
      <c r="AC90" s="48"/>
      <c r="AD90" s="48"/>
      <c r="AE90" s="48"/>
      <c r="AF90" s="48"/>
      <c r="AG90" s="48"/>
      <c r="AH90" s="48"/>
      <c r="AI90" s="48"/>
      <c r="AJ90" s="48"/>
      <c r="AK90" s="48"/>
      <c r="AL90" s="48"/>
      <c r="AM90" s="48"/>
      <c r="AN90" s="48"/>
      <c r="AO90" s="48"/>
    </row>
    <row r="91" spans="2:41" x14ac:dyDescent="0.25">
      <c r="B91" s="55" cm="1">
        <f t="array" aca="1" ref="B91" ca="1">FileSize(Folder&amp;Tests[[#This Row],[FileName]])</f>
        <v>34</v>
      </c>
      <c r="C91" s="51">
        <v>77</v>
      </c>
      <c r="D91" s="33" t="s">
        <v>135</v>
      </c>
      <c r="E91" s="32" t="b">
        <v>1</v>
      </c>
      <c r="F91" s="34" t="s">
        <v>95</v>
      </c>
      <c r="G91" s="34" t="b">
        <v>0</v>
      </c>
      <c r="H91" s="34" t="s">
        <v>95</v>
      </c>
      <c r="I91" s="34" t="s">
        <v>95</v>
      </c>
      <c r="J91" s="34" t="b">
        <v>1</v>
      </c>
      <c r="K91" s="34"/>
      <c r="L91" s="32">
        <v>1</v>
      </c>
      <c r="M91" s="32">
        <v>1</v>
      </c>
      <c r="N91" s="32">
        <v>0</v>
      </c>
      <c r="O91" s="32">
        <v>0</v>
      </c>
      <c r="P91" s="32"/>
      <c r="Q91" s="32"/>
      <c r="R91" s="32"/>
      <c r="S91" s="32"/>
      <c r="T91" s="32"/>
      <c r="U91" s="44" t="s">
        <v>370</v>
      </c>
      <c r="V91" s="68" t="str">
        <f ca="1"/>
        <v xml:space="preserve"> </v>
      </c>
      <c r="AA91" s="48"/>
      <c r="AB91" s="48"/>
      <c r="AC91" s="48"/>
      <c r="AD91" s="48"/>
      <c r="AE91" s="48"/>
      <c r="AF91" s="48"/>
      <c r="AG91" s="48"/>
      <c r="AH91" s="48"/>
      <c r="AI91" s="48"/>
      <c r="AJ91" s="48"/>
      <c r="AK91" s="48"/>
      <c r="AL91" s="48"/>
      <c r="AM91" s="48"/>
      <c r="AN91" s="48"/>
      <c r="AO91" s="48"/>
    </row>
    <row r="92" spans="2:41" x14ac:dyDescent="0.25">
      <c r="B92" s="56" cm="1">
        <f t="array" aca="1" ref="B92" ca="1">FileSize(Folder&amp;Tests[[#This Row],[FileName]])</f>
        <v>4160286</v>
      </c>
      <c r="C92" s="51">
        <v>78</v>
      </c>
      <c r="D92" s="33" t="s">
        <v>223</v>
      </c>
      <c r="E92" s="32" t="s">
        <v>228</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AA92" s="48"/>
      <c r="AB92" s="48"/>
      <c r="AC92" s="48"/>
      <c r="AD92" s="48"/>
      <c r="AE92" s="48"/>
      <c r="AF92" s="48"/>
      <c r="AG92" s="48"/>
      <c r="AH92" s="48"/>
      <c r="AI92" s="48"/>
      <c r="AJ92" s="48"/>
      <c r="AK92" s="48"/>
      <c r="AL92" s="48"/>
      <c r="AM92" s="48"/>
      <c r="AN92" s="48"/>
      <c r="AO92" s="48"/>
    </row>
    <row r="93" spans="2:41" x14ac:dyDescent="0.25">
      <c r="B93" s="55" cm="1">
        <f t="array" aca="1" ref="B93" ca="1">FileSize(Folder&amp;Tests[[#This Row],[FileName]])</f>
        <v>4160286</v>
      </c>
      <c r="C93" s="51">
        <v>79</v>
      </c>
      <c r="D93" s="33" t="s">
        <v>223</v>
      </c>
      <c r="E93" s="32" t="s">
        <v>228</v>
      </c>
      <c r="F93" s="34"/>
      <c r="G93" s="34" t="b">
        <v>0</v>
      </c>
      <c r="H93" s="34"/>
      <c r="I93" s="34"/>
      <c r="J93" s="34" t="b">
        <v>1</v>
      </c>
      <c r="K93" s="34"/>
      <c r="L93" s="32">
        <v>1</v>
      </c>
      <c r="M93" s="32">
        <v>1</v>
      </c>
      <c r="N93" s="32">
        <v>0</v>
      </c>
      <c r="O93" s="32">
        <v>0</v>
      </c>
      <c r="P93" s="32"/>
      <c r="Q93" s="32"/>
      <c r="R93" s="32"/>
      <c r="S93" s="32"/>
      <c r="T93" s="32"/>
      <c r="U93" s="44" t="s">
        <v>371</v>
      </c>
      <c r="V93" s="68" t="str">
        <f ca="1"/>
        <v xml:space="preserve"> </v>
      </c>
      <c r="AA93" s="48"/>
      <c r="AB93" s="48"/>
      <c r="AC93" s="48"/>
      <c r="AD93" s="48"/>
      <c r="AE93" s="48"/>
      <c r="AF93" s="48"/>
      <c r="AG93" s="48"/>
      <c r="AH93" s="48"/>
      <c r="AI93" s="48"/>
      <c r="AJ93" s="48"/>
      <c r="AK93" s="48"/>
      <c r="AL93" s="48"/>
      <c r="AM93" s="48"/>
      <c r="AN93" s="48"/>
      <c r="AO93" s="48"/>
    </row>
    <row r="94" spans="2:41" x14ac:dyDescent="0.25">
      <c r="B94" s="55" cm="1">
        <f t="array" aca="1" ref="B94" ca="1">FileSize(Folder&amp;Tests[[#This Row],[FileName]])</f>
        <v>37</v>
      </c>
      <c r="C94" s="51">
        <v>80</v>
      </c>
      <c r="D94" s="33" t="s">
        <v>147</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AA94" s="48"/>
      <c r="AB94" s="48"/>
      <c r="AC94" s="48"/>
      <c r="AD94" s="48"/>
      <c r="AE94" s="48"/>
      <c r="AF94" s="48"/>
      <c r="AG94" s="48"/>
      <c r="AH94" s="48"/>
      <c r="AI94" s="48"/>
      <c r="AJ94" s="48"/>
      <c r="AK94" s="48"/>
      <c r="AL94" s="48"/>
      <c r="AM94" s="48"/>
      <c r="AN94" s="48"/>
      <c r="AO94" s="48"/>
    </row>
    <row r="95" spans="2:41" x14ac:dyDescent="0.25">
      <c r="B95" s="55" cm="1">
        <f t="array" aca="1" ref="B95" ca="1">FileSize(Folder&amp;Tests[[#This Row],[FileName]])</f>
        <v>630</v>
      </c>
      <c r="C95" s="42">
        <v>81</v>
      </c>
      <c r="D95" s="43" t="s">
        <v>253</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AA95" s="48"/>
      <c r="AB95" s="48"/>
      <c r="AC95" s="48"/>
      <c r="AD95" s="48"/>
      <c r="AE95" s="48"/>
      <c r="AF95" s="48"/>
      <c r="AG95" s="48"/>
      <c r="AH95" s="48"/>
      <c r="AI95" s="48"/>
      <c r="AJ95" s="48"/>
      <c r="AK95" s="48"/>
      <c r="AL95" s="48"/>
      <c r="AM95" s="48"/>
      <c r="AN95" s="48"/>
      <c r="AO95" s="48"/>
    </row>
    <row r="96" spans="2:41" x14ac:dyDescent="0.25">
      <c r="B96" s="55" cm="1">
        <f t="array" aca="1" ref="B96" ca="1">FileSize(Folder&amp;Tests[[#This Row],[FileName]])</f>
        <v>630</v>
      </c>
      <c r="C96" s="42">
        <v>82</v>
      </c>
      <c r="D96" s="43" t="s">
        <v>253</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AA96" s="48"/>
      <c r="AB96" s="48"/>
      <c r="AC96" s="48"/>
      <c r="AD96" s="48"/>
      <c r="AE96" s="48"/>
      <c r="AF96" s="48"/>
      <c r="AG96" s="48"/>
      <c r="AH96" s="48"/>
      <c r="AI96" s="48"/>
      <c r="AJ96" s="48"/>
      <c r="AK96" s="48"/>
      <c r="AL96" s="48"/>
      <c r="AM96" s="48"/>
      <c r="AN96" s="48"/>
      <c r="AO96" s="48"/>
    </row>
    <row r="97" spans="2:41" x14ac:dyDescent="0.25">
      <c r="B97" s="55" cm="1">
        <f t="array" aca="1" ref="B97" ca="1">FileSize(Folder&amp;Tests[[#This Row],[FileName]])</f>
        <v>630</v>
      </c>
      <c r="C97" s="42">
        <v>83</v>
      </c>
      <c r="D97" s="43" t="s">
        <v>253</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AA97" s="48"/>
      <c r="AB97" s="48"/>
      <c r="AC97" s="48"/>
      <c r="AD97" s="48"/>
      <c r="AE97" s="48"/>
      <c r="AF97" s="48"/>
      <c r="AG97" s="48"/>
      <c r="AH97" s="48"/>
      <c r="AI97" s="48"/>
      <c r="AJ97" s="48"/>
      <c r="AK97" s="48"/>
      <c r="AL97" s="48"/>
      <c r="AM97" s="48"/>
      <c r="AN97" s="48"/>
      <c r="AO97" s="48"/>
    </row>
    <row r="98" spans="2:41" x14ac:dyDescent="0.25">
      <c r="B98" s="55" cm="1">
        <f t="array" aca="1" ref="B98" ca="1">FileSize(Folder&amp;Tests[[#This Row],[FileName]])</f>
        <v>849</v>
      </c>
      <c r="C98" s="42">
        <v>84</v>
      </c>
      <c r="D98" s="43" t="s">
        <v>254</v>
      </c>
      <c r="E98" s="32" t="b">
        <v>0</v>
      </c>
      <c r="F98" s="34" t="s">
        <v>95</v>
      </c>
      <c r="G98" s="34" t="b">
        <v>0</v>
      </c>
      <c r="H98" s="34" t="s">
        <v>95</v>
      </c>
      <c r="I98" s="34" t="s">
        <v>250</v>
      </c>
      <c r="J98" s="34" t="b">
        <v>1</v>
      </c>
      <c r="K98" s="34"/>
      <c r="L98" s="32">
        <v>3</v>
      </c>
      <c r="M98" s="32">
        <v>3</v>
      </c>
      <c r="N98" s="32">
        <v>10</v>
      </c>
      <c r="O98" s="32">
        <v>1</v>
      </c>
      <c r="P98" s="32"/>
      <c r="Q98" s="32"/>
      <c r="R98" s="32"/>
      <c r="S98" s="32"/>
      <c r="T98" s="32" t="s">
        <v>96</v>
      </c>
      <c r="U98" s="44"/>
      <c r="V98" s="68" t="str">
        <f ca="1"/>
        <v xml:space="preserve"> </v>
      </c>
      <c r="AA98" s="48"/>
      <c r="AB98" s="48"/>
      <c r="AC98" s="48"/>
      <c r="AD98" s="48"/>
      <c r="AE98" s="48"/>
      <c r="AF98" s="48"/>
      <c r="AG98" s="48"/>
      <c r="AH98" s="48"/>
      <c r="AI98" s="48"/>
      <c r="AJ98" s="48"/>
      <c r="AK98" s="48"/>
      <c r="AL98" s="48"/>
      <c r="AM98" s="48"/>
      <c r="AN98" s="48"/>
      <c r="AO98" s="48"/>
    </row>
    <row r="99" spans="2:41" x14ac:dyDescent="0.25">
      <c r="B99" s="55" cm="1">
        <f t="array" aca="1" ref="B99" ca="1">FileSize(Folder&amp;Tests[[#This Row],[FileName]])</f>
        <v>849</v>
      </c>
      <c r="C99" s="42">
        <v>85</v>
      </c>
      <c r="D99" s="43" t="s">
        <v>254</v>
      </c>
      <c r="E99" s="32" t="b">
        <v>0</v>
      </c>
      <c r="F99" s="34" t="s">
        <v>95</v>
      </c>
      <c r="G99" s="34" t="b">
        <v>0</v>
      </c>
      <c r="H99" s="34" t="s">
        <v>95</v>
      </c>
      <c r="I99" s="34" t="s">
        <v>250</v>
      </c>
      <c r="J99" s="34" t="b">
        <v>1</v>
      </c>
      <c r="K99" s="34"/>
      <c r="L99" s="32">
        <v>6</v>
      </c>
      <c r="M99" s="32">
        <v>5</v>
      </c>
      <c r="N99" s="32">
        <v>1</v>
      </c>
      <c r="O99" s="32">
        <v>8</v>
      </c>
      <c r="P99" s="32"/>
      <c r="Q99" s="32"/>
      <c r="R99" s="32"/>
      <c r="S99" s="32"/>
      <c r="T99" s="32" t="s">
        <v>96</v>
      </c>
      <c r="U99" s="44"/>
      <c r="V99" s="68" t="str">
        <f ca="1"/>
        <v xml:space="preserve"> </v>
      </c>
      <c r="AA99" s="48"/>
      <c r="AB99" s="48"/>
      <c r="AC99" s="48"/>
      <c r="AD99" s="48"/>
      <c r="AE99" s="48"/>
      <c r="AF99" s="48"/>
      <c r="AG99" s="48"/>
      <c r="AH99" s="48"/>
      <c r="AI99" s="48"/>
      <c r="AJ99" s="48"/>
      <c r="AK99" s="48"/>
      <c r="AL99" s="48"/>
      <c r="AM99" s="48"/>
      <c r="AN99" s="48"/>
      <c r="AO99" s="48"/>
    </row>
    <row r="100" spans="2:41" x14ac:dyDescent="0.25">
      <c r="B100" s="55" cm="1">
        <f t="array" aca="1" ref="B100" ca="1">FileSize(Folder&amp;Tests[[#This Row],[FileName]])</f>
        <v>849</v>
      </c>
      <c r="C100" s="51">
        <v>86</v>
      </c>
      <c r="D100" s="43" t="s">
        <v>254</v>
      </c>
      <c r="E100" s="32" t="b">
        <v>0</v>
      </c>
      <c r="F100" s="34" t="s">
        <v>95</v>
      </c>
      <c r="G100" s="34" t="b">
        <v>0</v>
      </c>
      <c r="H100" s="34" t="s">
        <v>95</v>
      </c>
      <c r="I100" s="34" t="s">
        <v>250</v>
      </c>
      <c r="J100" s="34" t="b">
        <v>1</v>
      </c>
      <c r="K100" s="34"/>
      <c r="L100" s="32">
        <v>8</v>
      </c>
      <c r="M100" s="32">
        <v>8</v>
      </c>
      <c r="N100" s="32">
        <v>4</v>
      </c>
      <c r="O100" s="32">
        <v>4</v>
      </c>
      <c r="P100" s="32"/>
      <c r="Q100" s="32"/>
      <c r="R100" s="32"/>
      <c r="S100" s="32"/>
      <c r="T100" s="32" t="s">
        <v>96</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25">
      <c r="B101" s="55" cm="1">
        <f t="array" aca="1" ref="B101" ca="1">FileSize(Folder&amp;Tests[[#This Row],[FileName]])</f>
        <v>118</v>
      </c>
      <c r="C101" s="51">
        <v>87</v>
      </c>
      <c r="D101" s="43" t="s">
        <v>257</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25">
      <c r="B102" s="55" cm="1">
        <f t="array" aca="1" ref="B102" ca="1">FileSize(Folder&amp;Tests[[#This Row],[FileName]])</f>
        <v>231</v>
      </c>
      <c r="C102" s="51">
        <v>88</v>
      </c>
      <c r="D102" s="33" t="s">
        <v>260</v>
      </c>
      <c r="E102" s="32" t="b">
        <v>1</v>
      </c>
      <c r="F102" s="34" t="s">
        <v>259</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25">
      <c r="B103" s="55" cm="1">
        <f t="array" aca="1" ref="B103" ca="1">FileSize(Folder&amp;Tests[[#This Row],[FileName]])</f>
        <v>511</v>
      </c>
      <c r="C103" s="51">
        <v>89</v>
      </c>
      <c r="D103" s="33" t="s">
        <v>261</v>
      </c>
      <c r="E103" s="32" t="b">
        <v>1</v>
      </c>
      <c r="F103" s="34" t="s">
        <v>262</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25">
      <c r="B104" s="55" cm="1">
        <f t="array" aca="1" ref="B104" ca="1">FileSize(Folder&amp;Tests[[#This Row],[FileName]])</f>
        <v>0</v>
      </c>
      <c r="C104" s="51">
        <v>90</v>
      </c>
      <c r="D104" s="33" t="s">
        <v>116</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25">
      <c r="B105" s="55" cm="1">
        <f t="array" aca="1" ref="B105" ca="1">FileSize(Folder&amp;Tests[[#This Row],[FileName]])</f>
        <v>745618</v>
      </c>
      <c r="C105" s="51">
        <v>91</v>
      </c>
      <c r="D105" s="33" t="s">
        <v>220</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25">
      <c r="B106" s="55" cm="1">
        <f t="array" aca="1" ref="B106" ca="1">FileSize(Folder&amp;Tests[[#This Row],[FileName]])</f>
        <v>10100141</v>
      </c>
      <c r="C106" s="51">
        <v>92</v>
      </c>
      <c r="D106" s="33" t="s">
        <v>225</v>
      </c>
      <c r="E106" s="32" t="s">
        <v>228</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361</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25">
      <c r="B107" s="55" cm="1">
        <f t="array" aca="1" ref="B107" ca="1">FileSize(Folder&amp;Tests[[#This Row],[FileName]])</f>
        <v>473413</v>
      </c>
      <c r="C107" s="51">
        <v>93</v>
      </c>
      <c r="D107" s="33" t="s">
        <v>218</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25">
      <c r="B108" s="55" cm="1">
        <f t="array" aca="1" ref="B108" ca="1">FileSize(Folder&amp;Tests[[#This Row],[FileName]])</f>
        <v>202781</v>
      </c>
      <c r="C108" s="42">
        <v>94</v>
      </c>
      <c r="D108" s="33" t="s">
        <v>213</v>
      </c>
      <c r="E108" s="32" t="b">
        <v>1</v>
      </c>
      <c r="F108" s="34" t="s">
        <v>95</v>
      </c>
      <c r="G108" s="34" t="b">
        <v>0</v>
      </c>
      <c r="H108" s="34" t="s">
        <v>291</v>
      </c>
      <c r="I108" s="34" t="s">
        <v>95</v>
      </c>
      <c r="J108" s="34" t="b">
        <v>1</v>
      </c>
      <c r="K108" s="34"/>
      <c r="L108" s="32">
        <v>1</v>
      </c>
      <c r="M108" s="32">
        <v>1</v>
      </c>
      <c r="N108" s="32">
        <v>2</v>
      </c>
      <c r="O108" s="32">
        <v>0</v>
      </c>
      <c r="P108" s="32"/>
      <c r="Q108" s="32"/>
      <c r="R108" s="32"/>
      <c r="S108" s="32"/>
      <c r="T108" s="32" t="s">
        <v>96</v>
      </c>
      <c r="U108" s="44" t="s">
        <v>362</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25">
      <c r="B109" s="55" cm="1">
        <f t="array" aca="1" ref="B109" ca="1">FileSize(Folder&amp;Tests[[#This Row],[FileName]])</f>
        <v>237</v>
      </c>
      <c r="C109" s="51">
        <v>95</v>
      </c>
      <c r="D109" s="50" t="s">
        <v>287</v>
      </c>
      <c r="E109" s="32" t="s">
        <v>237</v>
      </c>
      <c r="F109" s="34" t="s">
        <v>97</v>
      </c>
      <c r="G109" s="34" t="b">
        <v>0</v>
      </c>
      <c r="H109" s="34" t="s">
        <v>286</v>
      </c>
      <c r="I109" s="34"/>
      <c r="J109" s="34" t="b">
        <v>1</v>
      </c>
      <c r="K109" s="34"/>
      <c r="L109" s="32">
        <v>1</v>
      </c>
      <c r="M109" s="32">
        <v>1</v>
      </c>
      <c r="N109" s="32">
        <v>0</v>
      </c>
      <c r="O109" s="32">
        <v>0</v>
      </c>
      <c r="P109" s="32"/>
      <c r="Q109" s="32"/>
      <c r="R109" s="32"/>
      <c r="S109" s="32"/>
      <c r="T109" s="32" t="s">
        <v>96</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25">
      <c r="B110" s="55" cm="1">
        <f t="array" aca="1" ref="B110" ca="1">FileSize(Folder&amp;Tests[[#This Row],[FileName]])</f>
        <v>237</v>
      </c>
      <c r="C110" s="51">
        <v>96</v>
      </c>
      <c r="D110" s="50" t="s">
        <v>288</v>
      </c>
      <c r="E110" s="32" t="s">
        <v>237</v>
      </c>
      <c r="F110" s="34" t="s">
        <v>97</v>
      </c>
      <c r="G110" s="34" t="b">
        <v>0</v>
      </c>
      <c r="H110" s="34" t="s">
        <v>289</v>
      </c>
      <c r="I110" s="34" t="s">
        <v>95</v>
      </c>
      <c r="J110" s="34" t="b">
        <v>1</v>
      </c>
      <c r="K110" s="34"/>
      <c r="L110" s="32">
        <v>1</v>
      </c>
      <c r="M110" s="32">
        <v>1</v>
      </c>
      <c r="N110" s="32">
        <v>0</v>
      </c>
      <c r="O110" s="32">
        <v>0</v>
      </c>
      <c r="P110" s="32"/>
      <c r="Q110" s="32"/>
      <c r="R110" s="32"/>
      <c r="S110" s="32"/>
      <c r="T110" s="32" t="s">
        <v>96</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25">
      <c r="B111" s="55" cm="1">
        <f t="array" aca="1" ref="B111" ca="1">FileSize(Folder&amp;Tests[[#This Row],[FileName]])</f>
        <v>237</v>
      </c>
      <c r="C111" s="51">
        <v>97</v>
      </c>
      <c r="D111" s="50" t="s">
        <v>290</v>
      </c>
      <c r="E111" s="32" t="s">
        <v>237</v>
      </c>
      <c r="F111" s="34" t="s">
        <v>97</v>
      </c>
      <c r="G111" s="34" t="b">
        <v>0</v>
      </c>
      <c r="H111" s="34" t="s">
        <v>291</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25">
      <c r="B112" s="55" cm="1">
        <f t="array" aca="1" ref="B112" ca="1">FileSize(Folder&amp;Tests[[#This Row],[FileName]])</f>
        <v>4523</v>
      </c>
      <c r="C112" s="51">
        <v>98</v>
      </c>
      <c r="D112" s="33" t="s">
        <v>203</v>
      </c>
      <c r="E112" s="32" t="s">
        <v>228</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25">
      <c r="B113" s="55" cm="1">
        <f t="array" aca="1" ref="B113" ca="1">FileSize(Folder&amp;Tests[[#This Row],[FileName]])</f>
        <v>10726</v>
      </c>
      <c r="C113" s="51">
        <v>99</v>
      </c>
      <c r="D113" s="33" t="s">
        <v>310</v>
      </c>
      <c r="E113" s="32" t="s">
        <v>237</v>
      </c>
      <c r="F113" s="34"/>
      <c r="G113" s="34" t="b">
        <v>0</v>
      </c>
      <c r="H113" s="34" t="s">
        <v>311</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25">
      <c r="B114" s="55" cm="1">
        <f t="array" aca="1" ref="B114" ca="1">FileSize(Folder&amp;Tests[[#This Row],[FileName]])</f>
        <v>10726</v>
      </c>
      <c r="C114" s="51">
        <v>100</v>
      </c>
      <c r="D114" s="33" t="s">
        <v>310</v>
      </c>
      <c r="E114" s="32" t="s">
        <v>237</v>
      </c>
      <c r="F114" s="34" t="s">
        <v>97</v>
      </c>
      <c r="G114" s="34" t="b">
        <v>0</v>
      </c>
      <c r="H114" s="34" t="s">
        <v>352</v>
      </c>
      <c r="I114" s="34"/>
      <c r="J114" s="34" t="b">
        <v>1</v>
      </c>
      <c r="K114" s="34"/>
      <c r="L114" s="32">
        <v>2</v>
      </c>
      <c r="M114" s="32">
        <v>1</v>
      </c>
      <c r="N114" s="32">
        <v>0</v>
      </c>
      <c r="O114" s="32">
        <v>1</v>
      </c>
      <c r="P114" s="32"/>
      <c r="Q114" s="32"/>
      <c r="R114" s="32"/>
      <c r="S114" s="32"/>
      <c r="T114" s="32" t="s">
        <v>96</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25">
      <c r="B115" s="55" cm="1">
        <f t="array" aca="1" ref="B115" ca="1">FileSize(Folder&amp;Tests[[#This Row],[FileName]])</f>
        <v>8187</v>
      </c>
      <c r="C115" s="51">
        <v>101</v>
      </c>
      <c r="D115" s="33" t="s">
        <v>309</v>
      </c>
      <c r="E115" s="32" t="s">
        <v>237</v>
      </c>
      <c r="F115" s="34" t="s">
        <v>97</v>
      </c>
      <c r="G115" s="34" t="b">
        <v>0</v>
      </c>
      <c r="H115" s="34" t="s">
        <v>311</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25">
      <c r="B116" s="55" cm="1">
        <f t="array" aca="1" ref="B116" ca="1">FileSize(Folder&amp;Tests[[#This Row],[FileName]])</f>
        <v>1487</v>
      </c>
      <c r="C116" s="51">
        <v>102</v>
      </c>
      <c r="D116" s="33" t="str">
        <f ca="1">SUBSTITUTE(D114,"ISO8601",Tests[[#This Row],[DateFormat]])</f>
        <v>test_good_Y-M-D.csv</v>
      </c>
      <c r="E116" s="32" t="s">
        <v>237</v>
      </c>
      <c r="F116" s="34" t="s">
        <v>97</v>
      </c>
      <c r="G116" s="34" t="b">
        <v>0</v>
      </c>
      <c r="H116" s="34" t="s">
        <v>291</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25">
      <c r="B117" s="55" cm="1">
        <f t="array" aca="1" ref="B117" ca="1">FileSize(Folder&amp;Tests[[#This Row],[FileName]])</f>
        <v>36198</v>
      </c>
      <c r="C117" s="51">
        <v>103</v>
      </c>
      <c r="D117" s="33" t="str">
        <f ca="1">SUBSTITUTE(D115,"ISO8601",Tests[[#This Row],[DateFormat]])</f>
        <v>test_bad_Y-M-D.csv</v>
      </c>
      <c r="E117" s="32" t="s">
        <v>237</v>
      </c>
      <c r="F117" s="34" t="s">
        <v>97</v>
      </c>
      <c r="G117" s="34" t="b">
        <v>0</v>
      </c>
      <c r="H117" s="34" t="s">
        <v>291</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25">
      <c r="B118" s="55" cm="1">
        <f t="array" aca="1" ref="B118" ca="1">FileSize(Folder&amp;Tests[[#This Row],[FileName]])</f>
        <v>1487</v>
      </c>
      <c r="C118" s="51">
        <v>104</v>
      </c>
      <c r="D118" s="33" t="str">
        <f ca="1">SUBSTITUTE(D114,"ISO8601",Tests[[#This Row],[DateFormat]])</f>
        <v>test_good_D-M-Y.csv</v>
      </c>
      <c r="E118" s="32" t="s">
        <v>237</v>
      </c>
      <c r="F118" s="34" t="s">
        <v>97</v>
      </c>
      <c r="G118" s="34" t="b">
        <v>0</v>
      </c>
      <c r="H118" s="34" t="s">
        <v>286</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25">
      <c r="B119" s="55" cm="1">
        <f t="array" aca="1" ref="B119" ca="1">FileSize(Folder&amp;Tests[[#This Row],[FileName]])</f>
        <v>36191</v>
      </c>
      <c r="C119" s="51">
        <v>105</v>
      </c>
      <c r="D119" s="33" t="str">
        <f ca="1">SUBSTITUTE(D115,"ISO8601",Tests[[#This Row],[DateFormat]])</f>
        <v>test_bad_D-M-Y.csv</v>
      </c>
      <c r="E119" s="32" t="s">
        <v>237</v>
      </c>
      <c r="F119" s="34" t="s">
        <v>97</v>
      </c>
      <c r="G119" s="34" t="b">
        <v>0</v>
      </c>
      <c r="H119" s="34" t="s">
        <v>286</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25">
      <c r="B120" s="55" cm="1">
        <f t="array" aca="1" ref="B120" ca="1">FileSize(Folder&amp;Tests[[#This Row],[FileName]])</f>
        <v>1487</v>
      </c>
      <c r="C120" s="51">
        <v>106</v>
      </c>
      <c r="D120" s="33" t="str">
        <f ca="1">SUBSTITUTE(D114,"ISO8601",Tests[[#This Row],[DateFormat]])</f>
        <v>test_good_M-D-Y.csv</v>
      </c>
      <c r="E120" s="32" t="s">
        <v>237</v>
      </c>
      <c r="F120" s="34" t="s">
        <v>97</v>
      </c>
      <c r="G120" s="34" t="b">
        <v>0</v>
      </c>
      <c r="H120" s="34" t="s">
        <v>289</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25">
      <c r="B121" s="55" cm="1">
        <f t="array" aca="1" ref="B121" ca="1">FileSize(Folder&amp;Tests[[#This Row],[FileName]])</f>
        <v>36188</v>
      </c>
      <c r="C121" s="51">
        <v>107</v>
      </c>
      <c r="D121" s="33" t="str">
        <f ca="1">SUBSTITUTE(D115,"ISO8601",Tests[[#This Row],[DateFormat]])</f>
        <v>test_bad_M-D-Y.csv</v>
      </c>
      <c r="E121" s="32" t="s">
        <v>237</v>
      </c>
      <c r="F121" s="34" t="s">
        <v>97</v>
      </c>
      <c r="G121" s="34" t="b">
        <v>0</v>
      </c>
      <c r="H121" s="34" t="s">
        <v>289</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25">
      <c r="B122" s="55" cm="1">
        <f t="array" aca="1" ref="B122" ca="1">FileSize(Folder&amp;Tests[[#This Row],[FileName]])</f>
        <v>508</v>
      </c>
      <c r="C122" s="51">
        <v>108</v>
      </c>
      <c r="D122" s="33" t="s">
        <v>195</v>
      </c>
      <c r="E122" s="32" t="b">
        <v>1</v>
      </c>
      <c r="F122" s="34" t="s">
        <v>95</v>
      </c>
      <c r="G122" s="34" t="b">
        <v>0</v>
      </c>
      <c r="H122" s="34" t="s">
        <v>332</v>
      </c>
      <c r="I122" s="34" t="s">
        <v>95</v>
      </c>
      <c r="J122" s="34" t="b">
        <v>1</v>
      </c>
      <c r="K122" s="34"/>
      <c r="L122" s="32">
        <v>1</v>
      </c>
      <c r="M122" s="32">
        <v>1</v>
      </c>
      <c r="N122" s="32">
        <v>0</v>
      </c>
      <c r="O122" s="32">
        <v>0</v>
      </c>
      <c r="P122" s="32"/>
      <c r="Q122" s="32"/>
      <c r="R122" s="32"/>
      <c r="S122" s="32"/>
      <c r="T122" s="32" t="s">
        <v>96</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25">
      <c r="B123" s="55" cm="1">
        <f t="array" aca="1" ref="B123" ca="1">FileSize(Folder&amp;Tests[[#This Row],[FileName]])</f>
        <v>34</v>
      </c>
      <c r="C123" s="51">
        <v>109</v>
      </c>
      <c r="D123" s="33" t="s">
        <v>141</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25">
      <c r="B124" s="55" cm="1">
        <f t="array" aca="1" ref="B124" ca="1">FileSize(Folder&amp;Tests[[#This Row],[FileName]])</f>
        <v>71</v>
      </c>
      <c r="C124" s="51">
        <v>110</v>
      </c>
      <c r="D124" s="33" t="s">
        <v>181</v>
      </c>
      <c r="E124" s="32" t="b">
        <v>1</v>
      </c>
      <c r="F124" s="34" t="s">
        <v>97</v>
      </c>
      <c r="G124" s="34" t="b">
        <v>0</v>
      </c>
      <c r="H124" s="34" t="s">
        <v>291</v>
      </c>
      <c r="I124" s="34" t="s">
        <v>95</v>
      </c>
      <c r="J124" s="34" t="b">
        <v>1</v>
      </c>
      <c r="K124" s="34"/>
      <c r="L124" s="32">
        <v>1</v>
      </c>
      <c r="M124" s="32">
        <v>1</v>
      </c>
      <c r="N124" s="32">
        <v>0</v>
      </c>
      <c r="O124" s="32">
        <v>0</v>
      </c>
      <c r="P124" s="32"/>
      <c r="Q124" s="32"/>
      <c r="R124" s="32"/>
      <c r="S124" s="32"/>
      <c r="T124" s="32" t="s">
        <v>96</v>
      </c>
      <c r="U124" s="44" t="s">
        <v>363</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25">
      <c r="B125" s="55" cm="1">
        <f t="array" aca="1" ref="B125" ca="1">FileSize(Folder&amp;Tests[[#This Row],[FileName]])</f>
        <v>13</v>
      </c>
      <c r="C125" s="51">
        <v>111</v>
      </c>
      <c r="D125" s="33" t="s">
        <v>123</v>
      </c>
      <c r="E125" s="32" t="b">
        <v>1</v>
      </c>
      <c r="F125" s="34" t="s">
        <v>95</v>
      </c>
      <c r="G125" s="34" t="b">
        <v>0</v>
      </c>
      <c r="H125" s="34" t="s">
        <v>95</v>
      </c>
      <c r="I125" s="34" t="s">
        <v>95</v>
      </c>
      <c r="J125" s="34" t="b">
        <v>1</v>
      </c>
      <c r="K125" s="34"/>
      <c r="L125" s="32">
        <v>1</v>
      </c>
      <c r="M125" s="32">
        <v>1</v>
      </c>
      <c r="N125" s="32">
        <v>0</v>
      </c>
      <c r="O125" s="32">
        <v>0</v>
      </c>
      <c r="P125" s="32"/>
      <c r="Q125" s="32"/>
      <c r="R125" s="32" t="s">
        <v>308</v>
      </c>
      <c r="S125" s="32"/>
      <c r="T125" s="32" t="s">
        <v>96</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25">
      <c r="B126" s="55" cm="1">
        <f t="array" aca="1" ref="B126" ca="1">FileSize(Folder&amp;Tests[[#This Row],[FileName]])</f>
        <v>38</v>
      </c>
      <c r="C126" s="51">
        <v>112</v>
      </c>
      <c r="D126" s="33" t="s">
        <v>148</v>
      </c>
      <c r="E126" s="32" t="b">
        <v>1</v>
      </c>
      <c r="F126" s="34" t="s">
        <v>95</v>
      </c>
      <c r="G126" s="34" t="b">
        <v>0</v>
      </c>
      <c r="H126" s="34" t="s">
        <v>95</v>
      </c>
      <c r="I126" s="34" t="s">
        <v>95</v>
      </c>
      <c r="J126" s="34" t="b">
        <v>1</v>
      </c>
      <c r="K126" s="34"/>
      <c r="L126" s="32">
        <v>1</v>
      </c>
      <c r="M126" s="32">
        <v>1</v>
      </c>
      <c r="N126" s="32">
        <v>0</v>
      </c>
      <c r="O126" s="32">
        <v>0</v>
      </c>
      <c r="P126" s="32"/>
      <c r="Q126" s="32"/>
      <c r="R126" s="32" t="s">
        <v>333</v>
      </c>
      <c r="S126" s="32"/>
      <c r="T126" s="32" t="s">
        <v>96</v>
      </c>
      <c r="U126" s="44" t="s">
        <v>100</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25">
      <c r="B127" s="55" cm="1">
        <f t="array" aca="1" ref="B127" ca="1">FileSize(Folder&amp;Tests[[#This Row],[FileName]])</f>
        <v>5</v>
      </c>
      <c r="C127" s="51">
        <v>113</v>
      </c>
      <c r="D127" s="33" t="s">
        <v>119</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25">
      <c r="B128" s="55" cm="1">
        <f t="array" aca="1" ref="B128" ca="1">FileSize(Folder&amp;Tests[[#This Row],[FileName]])</f>
        <v>13</v>
      </c>
      <c r="C128" s="51">
        <v>114</v>
      </c>
      <c r="D128" s="33" t="s">
        <v>124</v>
      </c>
      <c r="E128" s="32" t="b">
        <v>1</v>
      </c>
      <c r="F128" s="34" t="s">
        <v>95</v>
      </c>
      <c r="G128" s="34" t="b">
        <v>0</v>
      </c>
      <c r="H128" s="34" t="s">
        <v>95</v>
      </c>
      <c r="I128" s="34" t="s">
        <v>95</v>
      </c>
      <c r="J128" s="34" t="b">
        <v>1</v>
      </c>
      <c r="K128" s="34"/>
      <c r="L128" s="32">
        <v>1</v>
      </c>
      <c r="M128" s="32">
        <v>1</v>
      </c>
      <c r="N128" s="32">
        <v>0</v>
      </c>
      <c r="O128" s="32">
        <v>0</v>
      </c>
      <c r="P128" s="32"/>
      <c r="Q128" s="32"/>
      <c r="R128" s="32" t="s">
        <v>334</v>
      </c>
      <c r="S128" s="32"/>
      <c r="T128" s="32" t="s">
        <v>96</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25">
      <c r="B129" s="55" cm="1">
        <f t="array" aca="1" ref="B129" ca="1">FileSize(Folder&amp;Tests[[#This Row],[FileName]])</f>
        <v>48</v>
      </c>
      <c r="C129" s="51">
        <v>115</v>
      </c>
      <c r="D129" s="33" t="s">
        <v>143</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25">
      <c r="B130" s="55" cm="1">
        <f t="array" aca="1" ref="B130" ca="1">FileSize(Folder&amp;Tests[[#This Row],[FileName]])</f>
        <v>37</v>
      </c>
      <c r="C130" s="51">
        <v>116</v>
      </c>
      <c r="D130" s="33" t="s">
        <v>146</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25">
      <c r="B131" s="55" cm="1">
        <f t="array" aca="1" ref="B131" ca="1">FileSize(Folder&amp;Tests[[#This Row],[FileName]])</f>
        <v>6223</v>
      </c>
      <c r="C131" s="51">
        <v>117</v>
      </c>
      <c r="D131" s="33" t="s">
        <v>204</v>
      </c>
      <c r="E131" s="32" t="b">
        <v>1</v>
      </c>
      <c r="F131" s="34" t="s">
        <v>95</v>
      </c>
      <c r="G131" s="34" t="b">
        <v>0</v>
      </c>
      <c r="H131" s="34" t="s">
        <v>311</v>
      </c>
      <c r="I131" s="34" t="s">
        <v>95</v>
      </c>
      <c r="J131" s="34" t="b">
        <v>1</v>
      </c>
      <c r="K131" s="34"/>
      <c r="L131" s="32">
        <v>1</v>
      </c>
      <c r="M131" s="32">
        <v>1</v>
      </c>
      <c r="N131" s="32">
        <v>20</v>
      </c>
      <c r="O131" s="32">
        <v>0</v>
      </c>
      <c r="P131" s="32"/>
      <c r="Q131" s="32"/>
      <c r="R131" s="32"/>
      <c r="S131" s="32"/>
      <c r="T131" s="32" t="s">
        <v>96</v>
      </c>
      <c r="U131" s="41" t="s">
        <v>364</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25">
      <c r="B132" s="55" cm="1">
        <f t="array" aca="1" ref="B132" ca="1">FileSize(Folder&amp;Tests[[#This Row],[FileName]])</f>
        <v>107847</v>
      </c>
      <c r="C132" s="51">
        <v>118</v>
      </c>
      <c r="D132" s="33" t="s">
        <v>208</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365</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25">
      <c r="B133" s="56" cm="1">
        <f t="array" aca="1" ref="B133" ca="1">FileSize(Folder&amp;Tests[[#This Row],[FileName]])</f>
        <v>113183</v>
      </c>
      <c r="C133" s="51">
        <v>119</v>
      </c>
      <c r="D133" s="33" t="s">
        <v>209</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25">
      <c r="B134" s="56" cm="1">
        <f t="array" aca="1" ref="B134" ca="1">FileSize(Folder&amp;Tests[[#This Row],[FileName]])</f>
        <v>20802</v>
      </c>
      <c r="C134" s="80">
        <v>120</v>
      </c>
      <c r="D134" s="33" t="s">
        <v>205</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366</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25">
      <c r="B135" s="56" cm="1">
        <f t="array" aca="1" ref="B135" ca="1">FileSize(Folder&amp;Tests[[#This Row],[FileName]])</f>
        <v>123637</v>
      </c>
      <c r="C135" s="80">
        <v>121</v>
      </c>
      <c r="D135" s="33" t="s">
        <v>210</v>
      </c>
      <c r="E135" s="32" t="b">
        <v>1</v>
      </c>
      <c r="F135" s="34" t="s">
        <v>95</v>
      </c>
      <c r="G135" s="34" t="b">
        <v>0</v>
      </c>
      <c r="H135" s="34" t="s">
        <v>332</v>
      </c>
      <c r="I135" s="34" t="s">
        <v>95</v>
      </c>
      <c r="J135" s="34" t="b">
        <v>1</v>
      </c>
      <c r="K135" s="34"/>
      <c r="L135" s="32">
        <v>1</v>
      </c>
      <c r="M135" s="32">
        <v>1</v>
      </c>
      <c r="N135" s="32">
        <v>20</v>
      </c>
      <c r="O135" s="32">
        <v>0</v>
      </c>
      <c r="P135" s="32"/>
      <c r="Q135" s="32"/>
      <c r="R135" s="32"/>
      <c r="S135" s="32"/>
      <c r="T135" s="32" t="s">
        <v>96</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25">
      <c r="B136" s="55" cm="1">
        <f t="array" aca="1" ref="B136" ca="1">FileSize(Folder&amp;Tests[[#This Row],[FileName]])</f>
        <v>253987</v>
      </c>
      <c r="C136" s="51">
        <v>122</v>
      </c>
      <c r="D136" s="33" t="s">
        <v>215</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226</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25">
      <c r="B137" s="55" cm="1">
        <f t="array" aca="1" ref="B137" ca="1">FileSize(Folder&amp;Tests[[#This Row],[FileName]])</f>
        <v>793574</v>
      </c>
      <c r="C137" s="51">
        <v>123</v>
      </c>
      <c r="D137" s="33" t="s">
        <v>221</v>
      </c>
      <c r="E137" s="32" t="b">
        <v>1</v>
      </c>
      <c r="F137" s="34" t="s">
        <v>95</v>
      </c>
      <c r="G137" s="34" t="b">
        <v>0</v>
      </c>
      <c r="H137" s="34" t="s">
        <v>332</v>
      </c>
      <c r="I137" s="34" t="s">
        <v>95</v>
      </c>
      <c r="J137" s="34" t="b">
        <v>1</v>
      </c>
      <c r="K137" s="34"/>
      <c r="L137" s="32">
        <v>7580</v>
      </c>
      <c r="M137" s="32">
        <v>1</v>
      </c>
      <c r="N137" s="32">
        <v>0</v>
      </c>
      <c r="O137" s="32">
        <v>0</v>
      </c>
      <c r="P137" s="32"/>
      <c r="Q137" s="32"/>
      <c r="R137" s="32"/>
      <c r="S137" s="32"/>
      <c r="T137" s="32" t="s">
        <v>96</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25">
      <c r="B138" s="55" cm="1">
        <f t="array" aca="1" ref="B138" ca="1">FileSize(Folder&amp;Tests[[#This Row],[FileName]])</f>
        <v>32</v>
      </c>
      <c r="C138" s="51">
        <v>124</v>
      </c>
      <c r="D138" s="33" t="s">
        <v>337</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25">
      <c r="B139" s="55" cm="1">
        <f t="array" aca="1" ref="B139" ca="1">FileSize(Folder&amp;Tests[[#This Row],[FileName]])</f>
        <v>37</v>
      </c>
      <c r="C139" s="51">
        <v>125</v>
      </c>
      <c r="D139" s="33" t="s">
        <v>340</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25">
      <c r="B140" s="55" cm="1">
        <f t="array" aca="1" ref="B140" ca="1">FileSize(Folder&amp;Tests[[#This Row],[FileName]])</f>
        <v>37</v>
      </c>
      <c r="C140" s="51">
        <v>126</v>
      </c>
      <c r="D140" s="33" t="s">
        <v>341</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25">
      <c r="B141" s="55" cm="1">
        <f t="array" aca="1" ref="B141" ca="1">FileSize(Folder&amp;Tests[[#This Row],[FileName]])</f>
        <v>37</v>
      </c>
      <c r="C141" s="51">
        <v>127</v>
      </c>
      <c r="D141" s="33" t="s">
        <v>341</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25">
      <c r="B142" s="55" cm="1">
        <f t="array" aca="1" ref="B142" ca="1">FileSize(Folder&amp;Tests[[#This Row],[FileName]])</f>
        <v>8215444</v>
      </c>
      <c r="C142" s="51">
        <v>128</v>
      </c>
      <c r="D142" s="33" t="s">
        <v>224</v>
      </c>
      <c r="E142" s="32" t="s">
        <v>228</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25">
      <c r="B143" s="55" cm="1">
        <f t="array" aca="1" ref="B143" ca="1">FileSize(Folder&amp;Tests[[#This Row],[FileName]])</f>
        <v>300056</v>
      </c>
      <c r="C143" s="51">
        <v>129</v>
      </c>
      <c r="D143" s="33" t="s">
        <v>217</v>
      </c>
      <c r="E143" s="32" t="b">
        <v>1</v>
      </c>
      <c r="F143" s="34" t="s">
        <v>95</v>
      </c>
      <c r="G143" s="34" t="b">
        <v>0</v>
      </c>
      <c r="H143" s="34" t="s">
        <v>311</v>
      </c>
      <c r="I143" s="34" t="s">
        <v>95</v>
      </c>
      <c r="J143" s="34" t="b">
        <v>1</v>
      </c>
      <c r="K143" s="34"/>
      <c r="L143" s="32">
        <v>1</v>
      </c>
      <c r="M143" s="32">
        <v>1</v>
      </c>
      <c r="N143" s="32">
        <v>2</v>
      </c>
      <c r="O143" s="32">
        <v>0</v>
      </c>
      <c r="P143" s="32"/>
      <c r="Q143" s="32"/>
      <c r="R143" s="32"/>
      <c r="S143" s="32"/>
      <c r="T143" s="32" t="s">
        <v>96</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25">
      <c r="B144" s="55" cm="1">
        <f t="array" aca="1" ref="B144" ca="1">FileSize(Folder&amp;Tests[[#This Row],[FileName]])</f>
        <v>300056</v>
      </c>
      <c r="C144" s="51">
        <v>130</v>
      </c>
      <c r="D144" s="33" t="s">
        <v>217</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25">
      <c r="B145" s="55" cm="1">
        <f t="array" aca="1" ref="B145" ca="1">FileSize(Folder&amp;Tests[[#This Row],[FileName]])</f>
        <v>220027</v>
      </c>
      <c r="C145" s="51">
        <v>131</v>
      </c>
      <c r="D145" s="33" t="s">
        <v>214</v>
      </c>
      <c r="E145" s="32" t="b">
        <v>1</v>
      </c>
      <c r="F145" s="34" t="s">
        <v>95</v>
      </c>
      <c r="G145" s="34" t="b">
        <v>0</v>
      </c>
      <c r="H145" s="34" t="s">
        <v>311</v>
      </c>
      <c r="I145" s="34" t="s">
        <v>95</v>
      </c>
      <c r="J145" s="34" t="b">
        <v>1</v>
      </c>
      <c r="K145" s="34"/>
      <c r="L145" s="32">
        <v>1</v>
      </c>
      <c r="M145" s="32">
        <v>1</v>
      </c>
      <c r="N145" s="32">
        <v>3</v>
      </c>
      <c r="O145" s="32">
        <v>0</v>
      </c>
      <c r="P145" s="32"/>
      <c r="Q145" s="32"/>
      <c r="R145" s="32"/>
      <c r="S145" s="32"/>
      <c r="T145" s="32" t="s">
        <v>96</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25">
      <c r="B146" s="55" cm="1">
        <f t="array" aca="1" ref="B146" ca="1">FileSize(Folder&amp;Tests[[#This Row],[FileName]])</f>
        <v>354</v>
      </c>
      <c r="C146" s="51">
        <v>132</v>
      </c>
      <c r="D146" s="33" t="s">
        <v>382</v>
      </c>
      <c r="E146" s="32" t="b">
        <v>1</v>
      </c>
      <c r="F146" s="34"/>
      <c r="G146" s="34" t="b">
        <v>0</v>
      </c>
      <c r="H146" s="34" t="s">
        <v>311</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25">
      <c r="B147" s="56" cm="1">
        <f t="array" aca="1" ref="B147" ca="1">FileSize(Folder&amp;Tests[[#This Row],[FileName]])</f>
        <v>216</v>
      </c>
      <c r="C147" s="51">
        <v>133</v>
      </c>
      <c r="D147" s="33" t="s">
        <v>383</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25">
      <c r="B148" s="55" cm="1">
        <f t="array" aca="1" ref="B148" ca="1">FileSize(Folder&amp;Tests[[#This Row],[FileName]])</f>
        <v>41</v>
      </c>
      <c r="C148" s="51">
        <v>134</v>
      </c>
      <c r="D148" s="33" t="s">
        <v>151</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25">
      <c r="B149" s="55" cm="1">
        <f t="array" aca="1" ref="B149" ca="1">FileSize(Folder&amp;Tests[[#This Row],[FileName]])</f>
        <v>37</v>
      </c>
      <c r="C149" s="51">
        <v>135</v>
      </c>
      <c r="D149" s="33" t="s">
        <v>385</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25">
      <c r="B150" s="55" cm="1">
        <f t="array" aca="1" ref="B150" ca="1">FileSize(Folder&amp;Tests[[#This Row],[FileName]])</f>
        <v>37</v>
      </c>
      <c r="C150" s="51">
        <v>136</v>
      </c>
      <c r="D150" s="33" t="s">
        <v>385</v>
      </c>
      <c r="E150" s="32"/>
      <c r="F150" s="50" t="s">
        <v>386</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25">
      <c r="B151" s="56" cm="1">
        <f t="array" aca="1" ref="B151" ca="1">FileSize(Folder&amp;Tests[[#This Row],[FileName]])</f>
        <v>37</v>
      </c>
      <c r="C151" s="51">
        <v>137</v>
      </c>
      <c r="D151" s="33" t="s">
        <v>385</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25">
      <c r="B152" s="56" cm="1">
        <f t="array" aca="1" ref="B152" ca="1">FileSize(Folder&amp;Tests[[#This Row],[FileName]])</f>
        <v>37</v>
      </c>
      <c r="C152" s="51">
        <v>138</v>
      </c>
      <c r="D152" s="33" t="s">
        <v>385</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25">
      <c r="B153" s="56" cm="1">
        <f t="array" aca="1" ref="B153" ca="1">FileSize(Folder&amp;Tests[[#This Row],[FileName]])</f>
        <v>37</v>
      </c>
      <c r="C153" s="51">
        <v>139</v>
      </c>
      <c r="D153" s="33" t="s">
        <v>385</v>
      </c>
      <c r="E153" s="32"/>
      <c r="F153" s="34"/>
      <c r="G153" s="34"/>
      <c r="H153" s="34"/>
      <c r="I153" s="34"/>
      <c r="J153" s="34"/>
      <c r="K153" s="34"/>
      <c r="L153" s="32"/>
      <c r="M153" s="32"/>
      <c r="N153" s="32"/>
      <c r="O153" s="32"/>
      <c r="P153" s="32"/>
      <c r="Q153" s="32"/>
      <c r="R153" s="32"/>
      <c r="S153" s="32"/>
      <c r="T153" s="32" t="s">
        <v>387</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25">
      <c r="B154" s="56" cm="1">
        <f t="array" aca="1" ref="B154" ca="1">FileSize(Folder&amp;Tests[[#This Row],[FileName]])</f>
        <v>37</v>
      </c>
      <c r="C154" s="51">
        <v>140</v>
      </c>
      <c r="D154" s="33" t="s">
        <v>385</v>
      </c>
      <c r="E154" s="32" t="s">
        <v>228</v>
      </c>
      <c r="F154" s="34" t="s">
        <v>97</v>
      </c>
      <c r="G154" s="34"/>
      <c r="H154" s="34"/>
      <c r="I154" s="34"/>
      <c r="J154" s="34"/>
      <c r="K154" s="34"/>
      <c r="L154" s="32"/>
      <c r="M154" s="32"/>
      <c r="N154" s="32"/>
      <c r="O154" s="32"/>
      <c r="P154" s="32"/>
      <c r="Q154" s="32"/>
      <c r="R154" s="32"/>
      <c r="S154" s="32"/>
      <c r="T154" s="32" t="s">
        <v>97</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25">
      <c r="B155" s="56" cm="1">
        <f t="array" aca="1" ref="B155" ca="1">FileSize(Folder&amp;Tests[[#This Row],[FileName]])</f>
        <v>37</v>
      </c>
      <c r="C155" s="51">
        <v>141</v>
      </c>
      <c r="D155" s="33" t="s">
        <v>385</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25">
      <c r="B156" s="56" cm="1">
        <f t="array" aca="1" ref="B156" ca="1">FileSize(Folder&amp;Tests[[#This Row],[FileName]])</f>
        <v>37</v>
      </c>
      <c r="C156" s="51">
        <v>142</v>
      </c>
      <c r="D156" s="33" t="s">
        <v>385</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25">
      <c r="B157" s="56" cm="1">
        <f t="array" aca="1" ref="B157" ca="1">FileSize(Folder&amp;Tests[[#This Row],[FileName]])</f>
        <v>37</v>
      </c>
      <c r="C157" s="51">
        <v>143</v>
      </c>
      <c r="D157" s="33" t="s">
        <v>385</v>
      </c>
      <c r="E157" s="32"/>
      <c r="F157" s="34"/>
      <c r="G157" s="34"/>
      <c r="H157" s="34"/>
      <c r="I157" s="34" t="s">
        <v>388</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25">
      <c r="B158" s="56" cm="1">
        <f t="array" aca="1" ref="B158" ca="1">FileSize(Folder&amp;Tests[[#This Row],[FileName]])</f>
        <v>37</v>
      </c>
      <c r="C158" s="51">
        <v>144</v>
      </c>
      <c r="D158" s="33" t="s">
        <v>385</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25">
      <c r="B159" s="56" cm="1">
        <f t="array" aca="1" ref="B159" ca="1">FileSize(Folder&amp;Tests[[#This Row],[FileName]])</f>
        <v>37</v>
      </c>
      <c r="C159" s="52">
        <v>145</v>
      </c>
      <c r="D159" s="33" t="s">
        <v>385</v>
      </c>
      <c r="E159" s="32"/>
      <c r="F159" s="34"/>
      <c r="G159" s="34"/>
      <c r="H159" s="34"/>
      <c r="I159" s="34"/>
      <c r="J159" s="34"/>
      <c r="K159" s="34"/>
      <c r="L159" s="32"/>
      <c r="M159" s="32"/>
      <c r="N159" s="32"/>
      <c r="O159" s="32"/>
      <c r="P159" s="32"/>
      <c r="Q159" s="32"/>
      <c r="R159" s="32"/>
      <c r="S159" s="32" t="s">
        <v>389</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25">
      <c r="B160" s="56" cm="1">
        <f t="array" aca="1" ref="B160" ca="1">FileSize(Folder&amp;Tests[[#This Row],[FileName]])</f>
        <v>37</v>
      </c>
      <c r="C160" s="51">
        <v>146</v>
      </c>
      <c r="D160" s="33" t="s">
        <v>385</v>
      </c>
      <c r="E160" s="32" t="s">
        <v>389</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25">
      <c r="B161" s="56" cm="1">
        <f t="array" aca="1" ref="B161" ca="1">FileSize(Folder&amp;Tests[[#This Row],[FileName]])</f>
        <v>37</v>
      </c>
      <c r="C161" s="52">
        <v>147</v>
      </c>
      <c r="D161" s="33" t="s">
        <v>385</v>
      </c>
      <c r="E161" s="32" t="s">
        <v>389</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25">
      <c r="B162" s="56" cm="1">
        <f t="array" aca="1" ref="B162" ca="1">FileSize(Folder&amp;Tests[[#This Row],[FileName]])</f>
        <v>37</v>
      </c>
      <c r="C162" s="52">
        <v>148</v>
      </c>
      <c r="D162" s="33" t="s">
        <v>385</v>
      </c>
      <c r="E162" s="32" t="s">
        <v>389</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25">
      <c r="B163" s="56" cm="1">
        <f t="array" aca="1" ref="B163" ca="1">FileSize(Folder&amp;Tests[[#This Row],[FileName]])</f>
        <v>37</v>
      </c>
      <c r="C163" s="52">
        <v>149</v>
      </c>
      <c r="D163" s="33" t="s">
        <v>385</v>
      </c>
      <c r="E163" s="32" t="s">
        <v>390</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25">
      <c r="B164" s="56" cm="1">
        <f t="array" aca="1" ref="B164" ca="1">FileSize(Folder&amp;Tests[[#This Row],[FileName]])</f>
        <v>37</v>
      </c>
      <c r="C164" s="52">
        <v>150</v>
      </c>
      <c r="D164" s="33" t="s">
        <v>385</v>
      </c>
      <c r="E164" s="32"/>
      <c r="F164" s="50" t="s">
        <v>391</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25">
      <c r="B165" s="56" cm="1">
        <f t="array" aca="1" ref="B165" ca="1">FileSize(Folder&amp;Tests[[#This Row],[FileName]])</f>
        <v>37</v>
      </c>
      <c r="C165" s="52">
        <v>151</v>
      </c>
      <c r="D165" s="33" t="s">
        <v>385</v>
      </c>
      <c r="E165" s="32" t="s">
        <v>238</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25">
      <c r="B166" s="56" cm="1">
        <f t="array" aca="1" ref="B166" ca="1">FileSize(Folder&amp;Tests[[#This Row],[FileName]])</f>
        <v>37</v>
      </c>
      <c r="C166" s="52">
        <v>152</v>
      </c>
      <c r="D166" s="33" t="s">
        <v>385</v>
      </c>
      <c r="E166" s="32"/>
      <c r="F166" s="34"/>
      <c r="G166" s="34"/>
      <c r="H166" s="34"/>
      <c r="I166" s="34"/>
      <c r="J166" s="34"/>
      <c r="K166" s="34"/>
      <c r="L166" s="32"/>
      <c r="M166" s="32"/>
      <c r="N166" s="32"/>
      <c r="O166" s="32"/>
      <c r="P166" s="32" t="s">
        <v>326</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25">
      <c r="B167" s="56" cm="1">
        <f t="array" aca="1" ref="B167" ca="1">FileSize(Folder&amp;Tests[[#This Row],[FileName]])</f>
        <v>37</v>
      </c>
      <c r="C167" s="52">
        <v>153</v>
      </c>
      <c r="D167" s="33" t="s">
        <v>385</v>
      </c>
      <c r="E167" s="32"/>
      <c r="F167" s="34"/>
      <c r="G167" s="34"/>
      <c r="H167" s="34"/>
      <c r="I167" s="34"/>
      <c r="J167" s="34"/>
      <c r="K167" s="34"/>
      <c r="L167" s="32"/>
      <c r="M167" s="32"/>
      <c r="N167" s="32"/>
      <c r="O167" s="32"/>
      <c r="P167" s="32"/>
      <c r="Q167" s="32" t="s">
        <v>326</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25">
      <c r="B168" s="56" cm="1">
        <f t="array" aca="1" ref="B168" ca="1">FileSize(Folder&amp;Tests[[#This Row],[FileName]])</f>
        <v>216</v>
      </c>
      <c r="C168" s="52">
        <v>154</v>
      </c>
      <c r="D168" s="33" t="s">
        <v>383</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25">
      <c r="B169" s="56" cm="1">
        <f t="array" aca="1" ref="B169" ca="1">FileSize(Folder&amp;Tests[[#This Row],[FileName]])</f>
        <v>956</v>
      </c>
      <c r="C169" s="51">
        <v>155</v>
      </c>
      <c r="D169" s="33" t="s">
        <v>402</v>
      </c>
      <c r="E169" s="32" t="s">
        <v>403</v>
      </c>
      <c r="F169" s="34"/>
      <c r="G169" s="34"/>
      <c r="H169" s="34" t="s">
        <v>311</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25">
      <c r="B170" s="56" cm="1">
        <f t="array" aca="1" ref="B170" ca="1">FileSize(Folder&amp;Tests[[#This Row],[FileName]])</f>
        <v>1900</v>
      </c>
      <c r="C170" s="51">
        <v>156</v>
      </c>
      <c r="D170" s="33" t="s">
        <v>556</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25">
      <c r="B171" s="56" cm="1">
        <f t="array" aca="1" ref="B171" ca="1">FileSize(Folder&amp;Tests[[#This Row],[FileName]])</f>
        <v>37</v>
      </c>
      <c r="C171" s="51">
        <v>157</v>
      </c>
      <c r="D171" s="33" t="s">
        <v>385</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25">
      <c r="B172" s="56" cm="1">
        <f t="array" aca="1" ref="B172" ca="1">FileSize(Folder&amp;Tests[[#This Row],[FileName]])</f>
        <v>37</v>
      </c>
      <c r="C172" s="51">
        <v>158</v>
      </c>
      <c r="D172" s="33" t="s">
        <v>385</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25">
      <c r="B173" s="56" cm="1">
        <f t="array" aca="1" ref="B173" ca="1">FileSize(Folder&amp;Tests[[#This Row],[FileName]])</f>
        <v>328</v>
      </c>
      <c r="C173" s="51">
        <v>159</v>
      </c>
      <c r="D173" s="33" t="s">
        <v>557</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25">
      <c r="B174" s="56" cm="1">
        <f t="array" aca="1" ref="B174" ca="1">FileSize(Folder&amp;Tests[[#This Row],[FileName]])</f>
        <v>37</v>
      </c>
      <c r="C174" s="51">
        <v>160</v>
      </c>
      <c r="D174" s="33" t="s">
        <v>385</v>
      </c>
      <c r="E174" s="32" t="s">
        <v>558</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25">
      <c r="B175" s="56" cm="1">
        <f t="array" aca="1" ref="B175" ca="1">FileSize(Folder&amp;Tests[[#This Row],[FileName]])</f>
        <v>374</v>
      </c>
      <c r="C175" s="51">
        <v>161</v>
      </c>
      <c r="D175" s="50" t="s">
        <v>559</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25">
      <c r="B176" s="56" cm="1">
        <f t="array" aca="1" ref="B176" ca="1">FileSize(Folder&amp;Tests[[#This Row],[FileName]])</f>
        <v>37</v>
      </c>
      <c r="C176" s="51">
        <v>162</v>
      </c>
      <c r="D176" s="33" t="s">
        <v>385</v>
      </c>
      <c r="E176" s="32" t="b">
        <v>1</v>
      </c>
      <c r="F176" s="34"/>
      <c r="G176" s="34"/>
      <c r="H176" s="34" t="s">
        <v>389</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25">
      <c r="B177" s="56" cm="1">
        <f t="array" aca="1" ref="B177" ca="1">FileSize(Folder&amp;Tests[[#This Row],[FileName]])</f>
        <v>37</v>
      </c>
      <c r="C177" s="51">
        <v>163</v>
      </c>
      <c r="D177" s="33" t="s">
        <v>385</v>
      </c>
      <c r="E177" s="32" t="b">
        <v>1</v>
      </c>
      <c r="F177" s="34"/>
      <c r="G177" s="34"/>
      <c r="H177" s="34" t="s">
        <v>560</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25">
      <c r="B178" s="56" cm="1">
        <f t="array" aca="1" ref="B178" ca="1">FileSize(Folder&amp;Tests[[#This Row],[FileName]])</f>
        <v>37</v>
      </c>
      <c r="C178" s="51">
        <v>164</v>
      </c>
      <c r="D178" s="33" t="s">
        <v>385</v>
      </c>
      <c r="E178" s="32" t="s">
        <v>561</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25">
      <c r="B179" s="56" cm="1">
        <f t="array" aca="1" ref="B179" ca="1">FileSize(Folder&amp;Tests[[#This Row],[FileName]])</f>
        <v>37</v>
      </c>
      <c r="C179" s="51">
        <v>165</v>
      </c>
      <c r="D179" s="33" t="s">
        <v>385</v>
      </c>
      <c r="E179" s="32" t="s">
        <v>562</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25">
      <c r="B180" s="56" cm="1">
        <f t="array" aca="1" ref="B180" ca="1">FileSize(Folder&amp;Tests[[#This Row],[FileName]])</f>
        <v>1900</v>
      </c>
      <c r="C180" s="51">
        <v>166</v>
      </c>
      <c r="D180" s="33" t="s">
        <v>556</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25">
      <c r="B181" s="56" cm="1">
        <f t="array" aca="1" ref="B181" ca="1">FileSize(Folder&amp;Tests[[#This Row],[FileName]])</f>
        <v>63</v>
      </c>
      <c r="C181" s="51">
        <v>167</v>
      </c>
      <c r="D181" s="33" t="s">
        <v>563</v>
      </c>
      <c r="E181" s="32" t="b">
        <v>1</v>
      </c>
      <c r="F181" s="34"/>
      <c r="G181" s="34"/>
      <c r="H181" s="34" t="s">
        <v>564</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25">
      <c r="B182" s="56" cm="1">
        <f t="array" aca="1" ref="B182" ca="1">FileSize(Folder&amp;Tests[[#This Row],[FileName]])</f>
        <v>37</v>
      </c>
      <c r="C182" s="51">
        <v>168</v>
      </c>
      <c r="D182" s="33" t="s">
        <v>385</v>
      </c>
      <c r="E182" s="32" t="s">
        <v>565</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25">
      <c r="B183" s="56" cm="1">
        <f t="array" aca="1" ref="B183" ca="1">FileSize(Folder&amp;Tests[[#This Row],[FileName]])</f>
        <v>37</v>
      </c>
      <c r="C183" s="51">
        <v>169</v>
      </c>
      <c r="D183" s="33" t="s">
        <v>385</v>
      </c>
      <c r="E183" s="32" t="s">
        <v>566</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25">
      <c r="B184" s="56"/>
      <c r="C184" s="51">
        <v>170</v>
      </c>
      <c r="D184" s="81" t="s">
        <v>567</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25">
      <c r="B185" s="56" cm="1">
        <f t="array" aca="1" ref="B185" ca="1">FileSize(Folder&amp;Tests[[#This Row],[FileName]])</f>
        <v>956</v>
      </c>
      <c r="C185" s="52">
        <v>171</v>
      </c>
      <c r="D185" s="33" t="s">
        <v>402</v>
      </c>
      <c r="E185" s="32" t="s">
        <v>574</v>
      </c>
      <c r="F185" s="34"/>
      <c r="G185" s="34"/>
      <c r="H185" s="34" t="s">
        <v>311</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25">
      <c r="B186" s="56" cm="1">
        <f t="array" aca="1" ref="B186" ca="1">FileSize(Folder&amp;Tests[[#This Row],[FileName]])</f>
        <v>956</v>
      </c>
      <c r="C186" s="52">
        <v>172</v>
      </c>
      <c r="D186" s="33" t="s">
        <v>402</v>
      </c>
      <c r="E186" s="32" t="s">
        <v>575</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25">
      <c r="B187" s="56" cm="1">
        <f t="array" aca="1" ref="B187" ca="1">FileSize(Folder&amp;Tests[[#This Row],[FileName]])</f>
        <v>956</v>
      </c>
      <c r="C187" s="51">
        <v>173</v>
      </c>
      <c r="D187" s="33" t="s">
        <v>402</v>
      </c>
      <c r="E187" s="32" t="s">
        <v>576</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25">
      <c r="B188" s="56" cm="1">
        <f t="array" aca="1" ref="B188" ca="1">FileSize(Folder&amp;Tests[[#This Row],[FileName]])</f>
        <v>956</v>
      </c>
      <c r="C188" s="51">
        <v>174</v>
      </c>
      <c r="D188" s="33" t="s">
        <v>402</v>
      </c>
      <c r="E188" s="32" t="s">
        <v>577</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25">
      <c r="B189" s="56" cm="1">
        <f t="array" aca="1" ref="B189" ca="1">FileSize(Folder&amp;Tests[[#This Row],[FileName]])</f>
        <v>956</v>
      </c>
      <c r="C189" s="52">
        <v>175</v>
      </c>
      <c r="D189" s="33" t="s">
        <v>402</v>
      </c>
      <c r="E189" s="32" t="s">
        <v>578</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row>
    <row r="190" spans="2:41" x14ac:dyDescent="0.25">
      <c r="B190" s="56" cm="1">
        <f t="array" aca="1" ref="B190" ca="1">FileSize(Folder&amp;Tests[[#This Row],[FileName]])</f>
        <v>2889</v>
      </c>
      <c r="C190" s="52">
        <v>176</v>
      </c>
      <c r="D190" s="38" t="s">
        <v>580</v>
      </c>
      <c r="E190" s="40" t="s">
        <v>581</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row>
    <row r="191" spans="2:41" x14ac:dyDescent="0.25">
      <c r="B191" s="56" cm="1">
        <f t="array" aca="1" ref="B191" ca="1">FileSize(Folder&amp;Tests[[#This Row],[FileName]])</f>
        <v>66081</v>
      </c>
      <c r="C191" s="52">
        <v>177</v>
      </c>
      <c r="D191" s="33" t="s">
        <v>582</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row>
    <row r="192" spans="2:41" x14ac:dyDescent="0.25">
      <c r="B192" s="56"/>
      <c r="C192" s="52">
        <v>178</v>
      </c>
      <c r="D192" s="50" t="s">
        <v>609</v>
      </c>
      <c r="E192" s="32" t="b">
        <v>1</v>
      </c>
      <c r="F192" s="34"/>
      <c r="G192" s="34"/>
      <c r="H192" s="34"/>
      <c r="I192" s="34"/>
      <c r="J192" s="34"/>
      <c r="K192" s="34">
        <v>1</v>
      </c>
      <c r="L192" s="32">
        <v>1</v>
      </c>
      <c r="M192" s="32">
        <v>1</v>
      </c>
      <c r="N192" s="32">
        <v>17</v>
      </c>
      <c r="O192" s="32">
        <v>0</v>
      </c>
      <c r="P192" s="32"/>
      <c r="Q192" s="32"/>
      <c r="R192" s="32" t="s">
        <v>333</v>
      </c>
      <c r="S192" s="32"/>
      <c r="T192" s="32"/>
      <c r="U192" s="44"/>
      <c r="V192" t="str">
        <f ca="1"/>
        <v xml:space="preserve"> </v>
      </c>
      <c r="AA192" s="48"/>
      <c r="AB192" s="48"/>
      <c r="AC192" s="48"/>
      <c r="AD192" s="48"/>
      <c r="AE192" s="48"/>
    </row>
    <row r="193" spans="2:31" x14ac:dyDescent="0.25">
      <c r="B193" s="79"/>
      <c r="C193" s="80">
        <v>179</v>
      </c>
      <c r="D193" s="50" t="s">
        <v>621</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row>
    <row r="194" spans="2:31" x14ac:dyDescent="0.25">
      <c r="B194" s="79"/>
      <c r="C194" s="80">
        <v>180</v>
      </c>
      <c r="D194" s="50" t="s">
        <v>628</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row>
    <row r="195" spans="2:31" x14ac:dyDescent="0.25">
      <c r="B195" s="89"/>
      <c r="C195" s="90">
        <v>181</v>
      </c>
      <c r="D195" s="50" t="s">
        <v>635</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row>
    <row r="196" spans="2:31" x14ac:dyDescent="0.25">
      <c r="B196" s="56" cm="1">
        <f t="array" aca="1" ref="B196" ca="1">FileSize(Folder&amp;Tests[[#This Row],[FileName]])</f>
        <v>166384</v>
      </c>
      <c r="C196" s="80" t="s">
        <v>372</v>
      </c>
      <c r="D196" s="33" t="s">
        <v>211</v>
      </c>
      <c r="E196" s="32" t="b">
        <v>0</v>
      </c>
      <c r="F196" s="34" t="s">
        <v>95</v>
      </c>
      <c r="G196" s="34" t="b">
        <v>0</v>
      </c>
      <c r="H196" s="34" t="s">
        <v>95</v>
      </c>
      <c r="I196" s="34" t="s">
        <v>95</v>
      </c>
      <c r="J196" s="34" t="b">
        <v>1</v>
      </c>
      <c r="K196" s="34"/>
      <c r="L196" s="32">
        <v>1</v>
      </c>
      <c r="M196" s="32">
        <v>1</v>
      </c>
      <c r="N196" s="32">
        <v>0</v>
      </c>
      <c r="O196" s="32">
        <v>0</v>
      </c>
      <c r="P196" s="32"/>
      <c r="Q196" s="32"/>
      <c r="R196" s="32"/>
      <c r="S196" s="32"/>
      <c r="T196" s="32" t="s">
        <v>96</v>
      </c>
      <c r="U196" s="41" t="s">
        <v>367</v>
      </c>
      <c r="V196" t="str">
        <f ca="1"/>
        <v xml:space="preserve"> </v>
      </c>
      <c r="AA196" s="48"/>
      <c r="AB196" s="48"/>
      <c r="AC196" s="48"/>
      <c r="AD196" s="48"/>
      <c r="AE196" s="48"/>
    </row>
    <row r="197" spans="2:31" x14ac:dyDescent="0.25">
      <c r="B197" s="56" cm="1">
        <f t="array" aca="1" ref="B197" ca="1">FileSize(Folder&amp;Tests[[#This Row],[FileName]])</f>
        <v>4</v>
      </c>
      <c r="C197" s="80" t="s">
        <v>372</v>
      </c>
      <c r="D197" s="33" t="s">
        <v>117</v>
      </c>
      <c r="E197" s="32" t="b">
        <v>0</v>
      </c>
      <c r="F197" s="34" t="s">
        <v>95</v>
      </c>
      <c r="G197" s="34" t="b">
        <v>0</v>
      </c>
      <c r="H197" s="34" t="s">
        <v>95</v>
      </c>
      <c r="I197" s="34" t="s">
        <v>95</v>
      </c>
      <c r="J197" s="34" t="b">
        <v>1</v>
      </c>
      <c r="K197" s="34"/>
      <c r="L197" s="32">
        <v>1</v>
      </c>
      <c r="M197" s="32">
        <v>1</v>
      </c>
      <c r="N197" s="32">
        <v>0</v>
      </c>
      <c r="O197" s="32">
        <v>0</v>
      </c>
      <c r="P197" s="32"/>
      <c r="Q197" s="32"/>
      <c r="R197" s="32"/>
      <c r="S197" s="32"/>
      <c r="T197" s="32" t="s">
        <v>96</v>
      </c>
      <c r="U197" s="44" t="s">
        <v>568</v>
      </c>
      <c r="V197" t="str">
        <f ca="1"/>
        <v xml:space="preserve"> </v>
      </c>
      <c r="AA197" s="48"/>
      <c r="AB197" s="48"/>
      <c r="AC197" s="48"/>
      <c r="AD197" s="48"/>
      <c r="AE197" s="48"/>
    </row>
    <row r="198" spans="2:31" x14ac:dyDescent="0.25">
      <c r="B198" s="56" cm="1">
        <f t="array" aca="1" ref="B198" ca="1">FileSize(Folder&amp;Tests[[#This Row],[FileName]])</f>
        <v>6</v>
      </c>
      <c r="C198" s="80" t="s">
        <v>372</v>
      </c>
      <c r="D198" s="33" t="s">
        <v>120</v>
      </c>
      <c r="E198" s="32" t="b">
        <v>1</v>
      </c>
      <c r="F198" s="34" t="s">
        <v>95</v>
      </c>
      <c r="G198" s="34" t="b">
        <v>0</v>
      </c>
      <c r="H198" s="34" t="s">
        <v>95</v>
      </c>
      <c r="I198" s="34" t="s">
        <v>95</v>
      </c>
      <c r="J198" s="34" t="b">
        <v>1</v>
      </c>
      <c r="K198" s="34"/>
      <c r="L198" s="32">
        <v>1</v>
      </c>
      <c r="M198" s="32">
        <v>1</v>
      </c>
      <c r="N198" s="32">
        <v>0</v>
      </c>
      <c r="O198" s="32">
        <v>0</v>
      </c>
      <c r="P198" s="32"/>
      <c r="Q198" s="32"/>
      <c r="R198" s="32"/>
      <c r="S198" s="32"/>
      <c r="T198" s="32" t="s">
        <v>96</v>
      </c>
      <c r="U198" s="44" t="s">
        <v>568</v>
      </c>
      <c r="V198" t="str">
        <f ca="1"/>
        <v xml:space="preserve"> </v>
      </c>
      <c r="AA198" s="48"/>
      <c r="AB198" s="48"/>
      <c r="AC198" s="48"/>
      <c r="AD198" s="48"/>
      <c r="AE198" s="48"/>
    </row>
    <row r="199" spans="2:31" x14ac:dyDescent="0.25">
      <c r="B199" s="56" cm="1">
        <f t="array" aca="1" ref="B199" ca="1">FileSize(Folder&amp;Tests[[#This Row],[FileName]])</f>
        <v>13</v>
      </c>
      <c r="C199" s="80" t="s">
        <v>372</v>
      </c>
      <c r="D199" s="33" t="s">
        <v>125</v>
      </c>
      <c r="E199" s="32" t="b">
        <v>1</v>
      </c>
      <c r="F199" s="34" t="s">
        <v>95</v>
      </c>
      <c r="G199" s="34" t="b">
        <v>0</v>
      </c>
      <c r="H199" s="34" t="s">
        <v>95</v>
      </c>
      <c r="I199" s="34" t="s">
        <v>95</v>
      </c>
      <c r="J199" s="34" t="b">
        <v>1</v>
      </c>
      <c r="K199" s="34"/>
      <c r="L199" s="32">
        <v>1</v>
      </c>
      <c r="M199" s="32">
        <v>1</v>
      </c>
      <c r="N199" s="32">
        <v>0</v>
      </c>
      <c r="O199" s="32">
        <v>0</v>
      </c>
      <c r="P199" s="32"/>
      <c r="Q199" s="32"/>
      <c r="R199" s="32"/>
      <c r="S199" s="32"/>
      <c r="T199" s="32" t="s">
        <v>96</v>
      </c>
      <c r="U199" s="44" t="s">
        <v>568</v>
      </c>
      <c r="V199" t="str">
        <f ca="1"/>
        <v xml:space="preserve"> </v>
      </c>
      <c r="AA199" s="48"/>
      <c r="AB199" s="48"/>
      <c r="AC199" s="48"/>
      <c r="AD199" s="48"/>
      <c r="AE199" s="48"/>
    </row>
    <row r="200" spans="2:31" x14ac:dyDescent="0.25">
      <c r="B200" s="56" cm="1">
        <f t="array" aca="1" ref="B200" ca="1">FileSize(Folder&amp;Tests[[#This Row],[FileName]])</f>
        <v>20</v>
      </c>
      <c r="C200" s="80" t="s">
        <v>372</v>
      </c>
      <c r="D200" s="33" t="s">
        <v>127</v>
      </c>
      <c r="E200" s="32" t="b">
        <v>1</v>
      </c>
      <c r="F200" s="34" t="s">
        <v>95</v>
      </c>
      <c r="G200" s="34" t="b">
        <v>0</v>
      </c>
      <c r="H200" s="34" t="s">
        <v>95</v>
      </c>
      <c r="I200" s="34" t="s">
        <v>95</v>
      </c>
      <c r="J200" s="34" t="b">
        <v>1</v>
      </c>
      <c r="K200" s="34"/>
      <c r="L200" s="32">
        <v>1</v>
      </c>
      <c r="M200" s="32">
        <v>1</v>
      </c>
      <c r="N200" s="32">
        <v>0</v>
      </c>
      <c r="O200" s="32">
        <v>0</v>
      </c>
      <c r="P200" s="32"/>
      <c r="Q200" s="32"/>
      <c r="R200" s="32"/>
      <c r="S200" s="32"/>
      <c r="T200" s="32" t="s">
        <v>96</v>
      </c>
      <c r="U200" s="44" t="s">
        <v>568</v>
      </c>
      <c r="V200" t="str">
        <f ca="1"/>
        <v xml:space="preserve"> </v>
      </c>
      <c r="AA200" s="48"/>
      <c r="AB200" s="48"/>
      <c r="AC200" s="48"/>
      <c r="AD200" s="48"/>
      <c r="AE200" s="48"/>
    </row>
    <row r="201" spans="2:31" x14ac:dyDescent="0.25">
      <c r="B201" s="56" cm="1">
        <f t="array" aca="1" ref="B201" ca="1">FileSize(Folder&amp;Tests[[#This Row],[FileName]])</f>
        <v>34</v>
      </c>
      <c r="C201" s="80" t="s">
        <v>372</v>
      </c>
      <c r="D201" s="33" t="s">
        <v>142</v>
      </c>
      <c r="E201" s="32" t="b">
        <v>1</v>
      </c>
      <c r="F201" s="34" t="s">
        <v>95</v>
      </c>
      <c r="G201" s="34" t="b">
        <v>0</v>
      </c>
      <c r="H201" s="34" t="s">
        <v>95</v>
      </c>
      <c r="I201" s="34" t="s">
        <v>95</v>
      </c>
      <c r="J201" s="34" t="b">
        <v>1</v>
      </c>
      <c r="K201" s="34"/>
      <c r="L201" s="32">
        <v>1</v>
      </c>
      <c r="M201" s="32">
        <v>1</v>
      </c>
      <c r="N201" s="32">
        <v>0</v>
      </c>
      <c r="O201" s="32">
        <v>0</v>
      </c>
      <c r="P201" s="32"/>
      <c r="Q201" s="32"/>
      <c r="R201" s="32"/>
      <c r="S201" s="32"/>
      <c r="T201" s="32" t="s">
        <v>96</v>
      </c>
      <c r="U201" s="44" t="s">
        <v>568</v>
      </c>
      <c r="V201" t="str">
        <f ca="1"/>
        <v xml:space="preserve"> </v>
      </c>
      <c r="AA201" s="48"/>
      <c r="AB201" s="48"/>
      <c r="AC201" s="48"/>
      <c r="AD201" s="48"/>
      <c r="AE201" s="48"/>
    </row>
    <row r="202" spans="2:31" x14ac:dyDescent="0.25">
      <c r="B202" s="56" cm="1">
        <f t="array" aca="1" ref="B202" ca="1">FileSize(Folder&amp;Tests[[#This Row],[FileName]])</f>
        <v>60</v>
      </c>
      <c r="C202" s="80" t="s">
        <v>372</v>
      </c>
      <c r="D202" s="33" t="s">
        <v>170</v>
      </c>
      <c r="E202" s="32" t="b">
        <v>1</v>
      </c>
      <c r="F202" s="34" t="s">
        <v>95</v>
      </c>
      <c r="G202" s="34" t="b">
        <v>0</v>
      </c>
      <c r="H202" s="34" t="s">
        <v>95</v>
      </c>
      <c r="I202" s="34" t="s">
        <v>95</v>
      </c>
      <c r="J202" s="34" t="b">
        <v>1</v>
      </c>
      <c r="K202" s="34"/>
      <c r="L202" s="32">
        <v>1</v>
      </c>
      <c r="M202" s="32">
        <v>1</v>
      </c>
      <c r="N202" s="32">
        <v>0</v>
      </c>
      <c r="O202" s="32">
        <v>0</v>
      </c>
      <c r="P202" s="32"/>
      <c r="Q202" s="32"/>
      <c r="R202" s="32"/>
      <c r="S202" s="32"/>
      <c r="T202" s="32" t="s">
        <v>96</v>
      </c>
      <c r="U202" s="44" t="s">
        <v>103</v>
      </c>
      <c r="V202" t="str">
        <f ca="1"/>
        <v xml:space="preserve"> </v>
      </c>
      <c r="AA202" s="48"/>
      <c r="AB202" s="48"/>
      <c r="AC202" s="48"/>
      <c r="AD202" s="48"/>
      <c r="AE202" s="48"/>
    </row>
    <row r="203" spans="2:31" x14ac:dyDescent="0.25">
      <c r="B203" s="56" cm="1">
        <f t="array" aca="1" ref="B203" ca="1">FileSize(Folder&amp;Tests[[#This Row],[FileName]])</f>
        <v>65</v>
      </c>
      <c r="C203" s="80" t="s">
        <v>372</v>
      </c>
      <c r="D203" s="33" t="s">
        <v>174</v>
      </c>
      <c r="E203" s="32" t="b">
        <v>1</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569</v>
      </c>
      <c r="V203" t="str">
        <f ca="1"/>
        <v xml:space="preserve"> </v>
      </c>
      <c r="AA203" s="48"/>
      <c r="AB203" s="48"/>
      <c r="AC203" s="48"/>
      <c r="AD203" s="48"/>
      <c r="AE203" s="48"/>
    </row>
    <row r="204" spans="2:31" x14ac:dyDescent="0.25">
      <c r="B204" s="56" cm="1">
        <f t="array" aca="1" ref="B204" ca="1">FileSize(Folder&amp;Tests[[#This Row],[FileName]])</f>
        <v>64</v>
      </c>
      <c r="C204" s="80" t="s">
        <v>372</v>
      </c>
      <c r="D204" s="33" t="s">
        <v>175</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570</v>
      </c>
      <c r="V204" t="str">
        <f ca="1"/>
        <v xml:space="preserve"> </v>
      </c>
      <c r="AA204" s="48"/>
      <c r="AB204" s="48"/>
      <c r="AC204" s="48"/>
      <c r="AD204" s="48"/>
      <c r="AE204" s="48"/>
    </row>
    <row r="205" spans="2:31" x14ac:dyDescent="0.25">
      <c r="B205" s="56" cm="1">
        <f t="array" aca="1" ref="B205" ca="1">FileSize(Folder&amp;Tests[[#This Row],[FileName]])</f>
        <v>70</v>
      </c>
      <c r="C205" s="80" t="s">
        <v>372</v>
      </c>
      <c r="D205" s="33" t="s">
        <v>176</v>
      </c>
      <c r="E205" s="32" t="b">
        <v>0</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571</v>
      </c>
      <c r="V205" t="str">
        <f ca="1"/>
        <v xml:space="preserve"> </v>
      </c>
      <c r="AA205" s="48"/>
      <c r="AB205" s="48"/>
      <c r="AC205" s="48"/>
      <c r="AD205" s="48"/>
      <c r="AE205" s="48"/>
    </row>
    <row r="206" spans="2:31" x14ac:dyDescent="0.25">
      <c r="B206" s="56" cm="1">
        <f t="array" aca="1" ref="B206" ca="1">FileSize(Folder&amp;Tests[[#This Row],[FileName]])</f>
        <v>74</v>
      </c>
      <c r="C206" s="80" t="s">
        <v>372</v>
      </c>
      <c r="D206" s="33" t="s">
        <v>180</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106</v>
      </c>
      <c r="V206" t="str">
        <f ca="1"/>
        <v xml:space="preserve"> </v>
      </c>
      <c r="AA206" s="48"/>
      <c r="AB206" s="48"/>
      <c r="AC206" s="48"/>
      <c r="AD206" s="48"/>
      <c r="AE206" s="48"/>
    </row>
    <row r="207" spans="2:31" x14ac:dyDescent="0.25">
      <c r="B207" s="56" cm="1">
        <f t="array" aca="1" ref="B207" ca="1">FileSize(Folder&amp;Tests[[#This Row],[FileName]])</f>
        <v>100</v>
      </c>
      <c r="C207" s="80" t="s">
        <v>372</v>
      </c>
      <c r="D207" s="33" t="s">
        <v>186</v>
      </c>
      <c r="E207" s="32" t="b">
        <v>1</v>
      </c>
      <c r="F207" s="34" t="s">
        <v>95</v>
      </c>
      <c r="G207" s="34" t="b">
        <v>0</v>
      </c>
      <c r="H207" s="34" t="s">
        <v>95</v>
      </c>
      <c r="I207" s="34" t="s">
        <v>95</v>
      </c>
      <c r="J207" s="34" t="b">
        <v>1</v>
      </c>
      <c r="K207" s="34"/>
      <c r="L207" s="32">
        <v>1</v>
      </c>
      <c r="M207" s="32">
        <v>1</v>
      </c>
      <c r="N207" s="32">
        <v>0</v>
      </c>
      <c r="O207" s="32">
        <v>0</v>
      </c>
      <c r="P207" s="32"/>
      <c r="Q207" s="32"/>
      <c r="R207" s="32"/>
      <c r="S207" s="35"/>
      <c r="T207" s="32" t="s">
        <v>96</v>
      </c>
      <c r="U207" s="41" t="s">
        <v>108</v>
      </c>
      <c r="V207" t="str">
        <f ca="1"/>
        <v xml:space="preserve"> </v>
      </c>
      <c r="AA207" s="48"/>
      <c r="AB207" s="48"/>
      <c r="AC207" s="48"/>
      <c r="AD207" s="48"/>
      <c r="AE207" s="48"/>
    </row>
    <row r="208" spans="2:31" x14ac:dyDescent="0.25">
      <c r="B208" s="56" cm="1">
        <f t="array" aca="1" ref="B208" ca="1">FileSize(Folder&amp;Tests[[#This Row],[FileName]])</f>
        <v>108</v>
      </c>
      <c r="C208" s="80" t="s">
        <v>372</v>
      </c>
      <c r="D208" s="33" t="s">
        <v>188</v>
      </c>
      <c r="E208" s="32" t="b">
        <v>1</v>
      </c>
      <c r="F208" s="34" t="s">
        <v>95</v>
      </c>
      <c r="G208" s="34" t="b">
        <v>0</v>
      </c>
      <c r="H208" s="34" t="s">
        <v>311</v>
      </c>
      <c r="I208" s="34" t="s">
        <v>95</v>
      </c>
      <c r="J208" s="34" t="b">
        <v>1</v>
      </c>
      <c r="K208" s="34"/>
      <c r="L208" s="32">
        <v>1</v>
      </c>
      <c r="M208" s="32">
        <v>1</v>
      </c>
      <c r="N208" s="32">
        <v>0</v>
      </c>
      <c r="O208" s="32">
        <v>0</v>
      </c>
      <c r="P208" s="32"/>
      <c r="Q208" s="32"/>
      <c r="R208" s="32"/>
      <c r="S208" s="32"/>
      <c r="T208" s="32" t="s">
        <v>96</v>
      </c>
      <c r="U208" s="41" t="s">
        <v>335</v>
      </c>
      <c r="V208" t="str">
        <f ca="1"/>
        <v xml:space="preserve"> </v>
      </c>
      <c r="AA208" s="48"/>
      <c r="AB208" s="48"/>
      <c r="AC208" s="48"/>
      <c r="AD208" s="48"/>
      <c r="AE208" s="48"/>
    </row>
    <row r="209" spans="2:31" x14ac:dyDescent="0.25">
      <c r="B209" s="56" cm="1">
        <f t="array" aca="1" ref="B209" ca="1">FileSize(Folder&amp;Tests[[#This Row],[FileName]])</f>
        <v>197</v>
      </c>
      <c r="C209" s="80" t="s">
        <v>372</v>
      </c>
      <c r="D209" s="33" t="s">
        <v>191</v>
      </c>
      <c r="E209" s="32" t="b">
        <v>1</v>
      </c>
      <c r="F209" s="34" t="str">
        <f ca="1">CHAR(9)</f>
        <v xml:space="preserve">	</v>
      </c>
      <c r="G209" s="34" t="b">
        <v>0</v>
      </c>
      <c r="H209" s="34" t="s">
        <v>95</v>
      </c>
      <c r="I209" s="34" t="s">
        <v>95</v>
      </c>
      <c r="J209" s="34" t="b">
        <v>1</v>
      </c>
      <c r="K209" s="34"/>
      <c r="L209" s="32">
        <v>1</v>
      </c>
      <c r="M209" s="32">
        <v>1</v>
      </c>
      <c r="N209" s="32">
        <v>0</v>
      </c>
      <c r="O209" s="32">
        <v>0</v>
      </c>
      <c r="P209" s="32"/>
      <c r="Q209" s="32"/>
      <c r="R209" s="32"/>
      <c r="S209" s="35" t="s">
        <v>282</v>
      </c>
      <c r="T209" s="32" t="s">
        <v>96</v>
      </c>
      <c r="U209" s="41" t="s">
        <v>109</v>
      </c>
      <c r="V209" t="str">
        <f ca="1"/>
        <v xml:space="preserve"> </v>
      </c>
      <c r="AA209" s="48"/>
      <c r="AB209" s="48"/>
      <c r="AC209" s="48"/>
      <c r="AD209" s="48"/>
      <c r="AE209" s="48"/>
    </row>
    <row r="210" spans="2:31" x14ac:dyDescent="0.25">
      <c r="B210" s="56" cm="1">
        <f t="array" aca="1" ref="B210" ca="1">FileSize(Folder&amp;Tests[[#This Row],[FileName]])</f>
        <v>43457</v>
      </c>
      <c r="C210" s="80" t="s">
        <v>372</v>
      </c>
      <c r="D210" s="33" t="s">
        <v>206</v>
      </c>
      <c r="E210" s="32" t="b">
        <v>0</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111</v>
      </c>
      <c r="V210" t="str">
        <f ca="1"/>
        <v xml:space="preserve"> </v>
      </c>
      <c r="AA210" s="48"/>
      <c r="AB210" s="48"/>
      <c r="AC210" s="48"/>
      <c r="AD210" s="48"/>
      <c r="AE210" s="48"/>
    </row>
    <row r="211" spans="2:31" x14ac:dyDescent="0.25">
      <c r="B211" s="56" cm="1">
        <f t="array" aca="1" ref="B211" ca="1">FileSize(Folder&amp;Tests[[#This Row],[FileName]])</f>
        <v>270111</v>
      </c>
      <c r="C211" s="80" t="s">
        <v>372</v>
      </c>
      <c r="D211" s="33" t="s">
        <v>216</v>
      </c>
      <c r="E211" s="32" t="b">
        <v>1</v>
      </c>
      <c r="F211" s="34" t="s">
        <v>95</v>
      </c>
      <c r="G211" s="34" t="b">
        <v>0</v>
      </c>
      <c r="H211" s="34" t="s">
        <v>95</v>
      </c>
      <c r="I211" s="34" t="s">
        <v>95</v>
      </c>
      <c r="J211" s="34" t="b">
        <v>1</v>
      </c>
      <c r="K211" s="34"/>
      <c r="L211" s="32">
        <v>1</v>
      </c>
      <c r="M211" s="32">
        <v>1</v>
      </c>
      <c r="N211" s="32">
        <v>0</v>
      </c>
      <c r="O211" s="32">
        <v>0</v>
      </c>
      <c r="P211" s="32"/>
      <c r="Q211" s="32"/>
      <c r="R211" s="32"/>
      <c r="S211" s="32"/>
      <c r="T211" s="32" t="s">
        <v>96</v>
      </c>
      <c r="U211" s="41" t="s">
        <v>227</v>
      </c>
      <c r="V211" t="str">
        <f ca="1"/>
        <v xml:space="preserve"> </v>
      </c>
      <c r="AA211" s="48"/>
      <c r="AB211" s="48"/>
      <c r="AC211" s="48"/>
      <c r="AD211" s="48"/>
      <c r="AE211" s="48"/>
    </row>
    <row r="212" spans="2:31" x14ac:dyDescent="0.25">
      <c r="B212" s="56" cm="1">
        <f t="array" aca="1" ref="B212" ca="1">FileSize(Folder&amp;Tests[[#This Row],[FileName]])</f>
        <v>729395</v>
      </c>
      <c r="C212" s="51" t="s">
        <v>372</v>
      </c>
      <c r="D212" s="33" t="s">
        <v>219</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97</v>
      </c>
      <c r="U212" s="41" t="s">
        <v>258</v>
      </c>
      <c r="V212" t="str">
        <f ca="1"/>
        <v xml:space="preserve"> </v>
      </c>
    </row>
    <row r="213" spans="2:31" x14ac:dyDescent="0.25">
      <c r="B213" s="56" cm="1">
        <f t="array" aca="1" ref="B213" ca="1">FileSize(Folder&amp;Tests[[#This Row],[FileName]])</f>
        <v>1647418</v>
      </c>
      <c r="C213" s="80" t="s">
        <v>372</v>
      </c>
      <c r="D213" s="38" t="s">
        <v>222</v>
      </c>
      <c r="E213" s="32" t="s">
        <v>228</v>
      </c>
      <c r="F213" s="34" t="s">
        <v>95</v>
      </c>
      <c r="G213" s="34" t="b">
        <v>0</v>
      </c>
      <c r="H213" s="34" t="s">
        <v>95</v>
      </c>
      <c r="I213" s="34" t="s">
        <v>95</v>
      </c>
      <c r="J213" s="34" t="b">
        <v>1</v>
      </c>
      <c r="K213" s="34"/>
      <c r="L213" s="32">
        <v>1</v>
      </c>
      <c r="M213" s="32">
        <v>1</v>
      </c>
      <c r="N213" s="32">
        <v>0</v>
      </c>
      <c r="O213" s="32">
        <v>0</v>
      </c>
      <c r="P213" s="32"/>
      <c r="Q213" s="32"/>
      <c r="R213" s="32"/>
      <c r="S213" s="32"/>
      <c r="T213" s="32" t="s">
        <v>96</v>
      </c>
      <c r="U213" s="46" t="s">
        <v>572</v>
      </c>
      <c r="V213" t="str">
        <f ca="1"/>
        <v xml:space="preserve"> </v>
      </c>
    </row>
    <row r="214" spans="2:31" x14ac:dyDescent="0.25">
      <c r="B214" s="55"/>
      <c r="C214" s="52"/>
      <c r="D214" s="38"/>
      <c r="E214" s="32"/>
      <c r="F214" s="34"/>
      <c r="G214" s="34"/>
      <c r="H214" s="34"/>
      <c r="I214" s="34"/>
      <c r="J214" s="34"/>
      <c r="K214" s="34"/>
      <c r="L214" s="32"/>
      <c r="M214" s="32"/>
      <c r="N214" s="32"/>
      <c r="O214" s="32"/>
      <c r="P214" s="32"/>
      <c r="Q214" s="32"/>
      <c r="R214" s="32"/>
      <c r="S214" s="32"/>
      <c r="T214" s="32"/>
      <c r="U214" s="46"/>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4">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5" x14ac:dyDescent="0.25"/>
  <sheetData>
    <row r="1" spans="1:1" ht="28.5" x14ac:dyDescent="0.45">
      <c r="A1" s="12" t="s">
        <v>584</v>
      </c>
    </row>
    <row r="3" spans="1:1" x14ac:dyDescent="0.25">
      <c r="A3" t="s">
        <v>623</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5" x14ac:dyDescent="0.25"/>
  <cols>
    <col min="1" max="1" width="10.28515625" bestFit="1" customWidth="1"/>
    <col min="2" max="2" width="16" bestFit="1" customWidth="1"/>
    <col min="3" max="3" width="9.140625" bestFit="1" customWidth="1"/>
    <col min="4" max="4" width="8.140625" bestFit="1" customWidth="1"/>
    <col min="5" max="5" width="11.7109375" bestFit="1" customWidth="1"/>
    <col min="6" max="6" width="15.140625" bestFit="1" customWidth="1"/>
    <col min="7" max="7" width="16.42578125" bestFit="1" customWidth="1"/>
    <col min="8" max="8" width="16.42578125" customWidth="1"/>
    <col min="9" max="9" width="11.28515625" bestFit="1" customWidth="1"/>
    <col min="10" max="10" width="11" bestFit="1" customWidth="1"/>
    <col min="11" max="11" width="14.140625" bestFit="1" customWidth="1"/>
    <col min="12" max="12" width="18.7109375" bestFit="1" customWidth="1"/>
    <col min="13" max="13" width="25.42578125" customWidth="1"/>
    <col min="14" max="14" width="11.5703125" bestFit="1" customWidth="1"/>
  </cols>
  <sheetData>
    <row r="1" spans="1:14" ht="28.5" x14ac:dyDescent="0.45">
      <c r="A1" s="1" t="s">
        <v>247</v>
      </c>
    </row>
    <row r="2" spans="1:14" x14ac:dyDescent="0.25">
      <c r="N2" s="66"/>
    </row>
    <row r="4" spans="1:14" x14ac:dyDescent="0.25">
      <c r="A4" s="15" t="s">
        <v>614</v>
      </c>
      <c r="M4" s="15" t="s">
        <v>588</v>
      </c>
    </row>
    <row r="5" spans="1:14" x14ac:dyDescent="0.25">
      <c r="M5" t="s">
        <v>538</v>
      </c>
    </row>
    <row r="6" spans="1:14" ht="45" x14ac:dyDescent="0.25">
      <c r="A6" s="13" t="s">
        <v>10</v>
      </c>
      <c r="B6" s="13" t="s">
        <v>11</v>
      </c>
      <c r="C6" s="13" t="s">
        <v>12</v>
      </c>
      <c r="D6" s="13" t="s">
        <v>13</v>
      </c>
      <c r="E6" s="14" t="s">
        <v>407</v>
      </c>
      <c r="F6" s="14" t="s">
        <v>408</v>
      </c>
      <c r="G6" s="14" t="s">
        <v>409</v>
      </c>
      <c r="H6" s="14" t="s">
        <v>410</v>
      </c>
      <c r="I6" s="14" t="str" cm="1">
        <f t="array" ref="I6:L6">"NCalls"&amp;CHAR(10)&amp;E6:H6</f>
        <v>NCalls
CSVRead
v0.1</v>
      </c>
      <c r="J6" s="14" t="str">
        <v>NCalls
sdkn104
v1.9</v>
      </c>
      <c r="K6" s="14" t="str">
        <v>NCalls
ws_garcia
v3.1.5</v>
      </c>
      <c r="L6" s="69" t="str">
        <v>NCalls
CSV.jl
v0.8.5+</v>
      </c>
      <c r="M6" s="13" t="s">
        <v>14</v>
      </c>
      <c r="N6" s="13" t="s">
        <v>15</v>
      </c>
    </row>
    <row r="7" spans="1:14" x14ac:dyDescent="0.2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411</v>
      </c>
      <c r="N7" s="66">
        <v>3</v>
      </c>
    </row>
    <row r="8" spans="1:14" x14ac:dyDescent="0.2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412</v>
      </c>
      <c r="N8" s="66">
        <v>6</v>
      </c>
    </row>
    <row r="9" spans="1:14" x14ac:dyDescent="0.2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413</v>
      </c>
      <c r="N9" s="66">
        <v>12</v>
      </c>
    </row>
    <row r="10" spans="1:14" x14ac:dyDescent="0.2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414</v>
      </c>
      <c r="N10" s="66">
        <v>24</v>
      </c>
    </row>
    <row r="11" spans="1:14" x14ac:dyDescent="0.2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415</v>
      </c>
      <c r="N11" s="66">
        <v>48</v>
      </c>
    </row>
    <row r="12" spans="1:14" x14ac:dyDescent="0.2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416</v>
      </c>
      <c r="N12" s="66">
        <v>96</v>
      </c>
    </row>
    <row r="13" spans="1:14" x14ac:dyDescent="0.2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417</v>
      </c>
      <c r="N13" s="66">
        <v>192</v>
      </c>
    </row>
    <row r="14" spans="1:14" x14ac:dyDescent="0.2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418</v>
      </c>
      <c r="N14" s="66">
        <v>384</v>
      </c>
    </row>
    <row r="15" spans="1:14" x14ac:dyDescent="0.2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419</v>
      </c>
      <c r="N15" s="66">
        <v>768</v>
      </c>
    </row>
    <row r="16" spans="1:14" x14ac:dyDescent="0.2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420</v>
      </c>
      <c r="N16" s="66">
        <v>1536</v>
      </c>
    </row>
    <row r="17" spans="1:14" x14ac:dyDescent="0.2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421</v>
      </c>
      <c r="N17" s="66">
        <v>3072</v>
      </c>
    </row>
    <row r="18" spans="1:14" x14ac:dyDescent="0.2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422</v>
      </c>
      <c r="N18" s="66">
        <v>6144</v>
      </c>
    </row>
    <row r="19" spans="1:14" x14ac:dyDescent="0.2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423</v>
      </c>
      <c r="N19" s="66">
        <v>12288</v>
      </c>
    </row>
    <row r="20" spans="1:14" x14ac:dyDescent="0.2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424</v>
      </c>
      <c r="N20" s="66">
        <v>24576</v>
      </c>
    </row>
    <row r="21" spans="1:14" x14ac:dyDescent="0.2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425</v>
      </c>
      <c r="N21" s="66">
        <v>49152</v>
      </c>
    </row>
    <row r="22" spans="1:14" x14ac:dyDescent="0.2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426</v>
      </c>
      <c r="N22" s="66">
        <v>98304</v>
      </c>
    </row>
    <row r="23" spans="1:14" x14ac:dyDescent="0.2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427</v>
      </c>
      <c r="N23" s="66">
        <v>196608</v>
      </c>
    </row>
    <row r="24" spans="1:14" x14ac:dyDescent="0.2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428</v>
      </c>
      <c r="N24" s="66">
        <v>393216</v>
      </c>
    </row>
    <row r="25" spans="1:14" x14ac:dyDescent="0.2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429</v>
      </c>
      <c r="N25" s="66">
        <v>786432</v>
      </c>
    </row>
    <row r="26" spans="1:14" x14ac:dyDescent="0.2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430</v>
      </c>
      <c r="N26" s="66">
        <v>1572864</v>
      </c>
    </row>
    <row r="27" spans="1:14" x14ac:dyDescent="0.2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431</v>
      </c>
      <c r="N27" s="66">
        <v>3145728</v>
      </c>
    </row>
    <row r="28" spans="1:14" x14ac:dyDescent="0.2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432</v>
      </c>
      <c r="N28" s="66">
        <v>6291456</v>
      </c>
    </row>
    <row r="29" spans="1:14" x14ac:dyDescent="0.25">
      <c r="I29" s="66"/>
      <c r="J29" s="66"/>
      <c r="K29" s="66"/>
      <c r="L29" s="66"/>
    </row>
    <row r="30" spans="1:14" x14ac:dyDescent="0.25">
      <c r="N30">
        <f>N28/1000000/E28</f>
        <v>2.1008569663029282</v>
      </c>
    </row>
    <row r="31" spans="1:14" x14ac:dyDescent="0.25">
      <c r="I31" s="66"/>
      <c r="J31" s="66"/>
      <c r="K31" s="66"/>
      <c r="L31" s="66"/>
      <c r="M31" s="15" t="s">
        <v>587</v>
      </c>
      <c r="N31" s="66">
        <f>C28*D28/E28</f>
        <v>700285.65543430927</v>
      </c>
    </row>
    <row r="32" spans="1:14" x14ac:dyDescent="0.25">
      <c r="I32" s="66"/>
      <c r="J32" s="66"/>
      <c r="K32" s="66"/>
      <c r="L32" s="66"/>
      <c r="M32" t="s">
        <v>593</v>
      </c>
    </row>
    <row r="33" spans="1:14" ht="45" x14ac:dyDescent="0.25">
      <c r="A33" s="13" t="s">
        <v>10</v>
      </c>
      <c r="B33" s="13" t="s">
        <v>11</v>
      </c>
      <c r="C33" s="13" t="s">
        <v>12</v>
      </c>
      <c r="D33" s="13" t="s">
        <v>13</v>
      </c>
      <c r="E33" s="14" t="s">
        <v>407</v>
      </c>
      <c r="F33" s="14" t="s">
        <v>408</v>
      </c>
      <c r="G33" s="14" t="s">
        <v>409</v>
      </c>
      <c r="H33" s="14" t="s">
        <v>410</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2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433</v>
      </c>
      <c r="N34" s="66">
        <v>34</v>
      </c>
    </row>
    <row r="35" spans="1:14" x14ac:dyDescent="0.2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434</v>
      </c>
      <c r="N35" s="66">
        <v>68</v>
      </c>
    </row>
    <row r="36" spans="1:14" x14ac:dyDescent="0.2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435</v>
      </c>
      <c r="N36" s="66">
        <v>136</v>
      </c>
    </row>
    <row r="37" spans="1:14" x14ac:dyDescent="0.2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436</v>
      </c>
      <c r="N37" s="66">
        <v>272</v>
      </c>
    </row>
    <row r="38" spans="1:14" x14ac:dyDescent="0.2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437</v>
      </c>
      <c r="N38" s="66">
        <v>544</v>
      </c>
    </row>
    <row r="39" spans="1:14" x14ac:dyDescent="0.2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438</v>
      </c>
      <c r="N39" s="66">
        <v>1088</v>
      </c>
    </row>
    <row r="40" spans="1:14" x14ac:dyDescent="0.2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439</v>
      </c>
      <c r="N40" s="66">
        <v>2176</v>
      </c>
    </row>
    <row r="41" spans="1:14" x14ac:dyDescent="0.2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440</v>
      </c>
      <c r="N41" s="66">
        <v>4352</v>
      </c>
    </row>
    <row r="42" spans="1:14" x14ac:dyDescent="0.2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441</v>
      </c>
      <c r="N42" s="66">
        <v>8704</v>
      </c>
    </row>
    <row r="43" spans="1:14" x14ac:dyDescent="0.2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442</v>
      </c>
      <c r="N43" s="66">
        <v>17408</v>
      </c>
    </row>
    <row r="44" spans="1:14" x14ac:dyDescent="0.2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443</v>
      </c>
      <c r="N44" s="66">
        <v>34816</v>
      </c>
    </row>
    <row r="45" spans="1:14" x14ac:dyDescent="0.2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444</v>
      </c>
      <c r="N45" s="66">
        <v>69632</v>
      </c>
    </row>
    <row r="46" spans="1:14" x14ac:dyDescent="0.2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445</v>
      </c>
      <c r="N46" s="66">
        <v>139264</v>
      </c>
    </row>
    <row r="47" spans="1:14" x14ac:dyDescent="0.2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446</v>
      </c>
      <c r="N47" s="66">
        <v>278528</v>
      </c>
    </row>
    <row r="48" spans="1:14" x14ac:dyDescent="0.2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447</v>
      </c>
      <c r="N48" s="66">
        <v>557056</v>
      </c>
    </row>
    <row r="49" spans="1:14" x14ac:dyDescent="0.2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448</v>
      </c>
      <c r="N49" s="66">
        <v>1114112</v>
      </c>
    </row>
    <row r="50" spans="1:14" x14ac:dyDescent="0.2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449</v>
      </c>
      <c r="N50" s="66">
        <v>2228224</v>
      </c>
    </row>
    <row r="51" spans="1:14" x14ac:dyDescent="0.2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450</v>
      </c>
      <c r="N51" s="66">
        <v>4456448</v>
      </c>
    </row>
    <row r="52" spans="1:14" x14ac:dyDescent="0.2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451</v>
      </c>
      <c r="N52" s="66">
        <v>8912896</v>
      </c>
    </row>
    <row r="53" spans="1:14" x14ac:dyDescent="0.2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452</v>
      </c>
      <c r="N53" s="66">
        <v>17825792</v>
      </c>
    </row>
    <row r="54" spans="1:14" x14ac:dyDescent="0.2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453</v>
      </c>
      <c r="N54" s="66">
        <v>35651584</v>
      </c>
    </row>
    <row r="55" spans="1:14" x14ac:dyDescent="0.25">
      <c r="C55" s="66"/>
      <c r="I55" s="66"/>
      <c r="J55" s="66"/>
      <c r="K55" s="66"/>
      <c r="L55" s="66"/>
    </row>
    <row r="56" spans="1:14" x14ac:dyDescent="0.25">
      <c r="I56" s="66"/>
      <c r="J56" s="66"/>
      <c r="K56" s="66"/>
      <c r="L56" s="66"/>
      <c r="N56">
        <f>N54/1000000/E54</f>
        <v>10.317015352063892</v>
      </c>
    </row>
    <row r="57" spans="1:14" x14ac:dyDescent="0.25">
      <c r="I57" s="66"/>
      <c r="J57" s="66"/>
      <c r="K57" s="66"/>
      <c r="L57" s="66"/>
      <c r="N57" s="66">
        <f>C54*D54/E54</f>
        <v>303441.6280018792</v>
      </c>
    </row>
    <row r="58" spans="1:14" x14ac:dyDescent="0.25">
      <c r="I58" s="66"/>
      <c r="J58" s="66"/>
      <c r="K58" s="66"/>
      <c r="L58" s="66"/>
      <c r="M58" s="15" t="s">
        <v>586</v>
      </c>
    </row>
    <row r="59" spans="1:14" x14ac:dyDescent="0.25">
      <c r="I59" s="66"/>
      <c r="J59" s="66"/>
      <c r="K59" s="66"/>
      <c r="L59" s="66"/>
      <c r="M59" t="s">
        <v>594</v>
      </c>
    </row>
    <row r="60" spans="1:14" ht="45" x14ac:dyDescent="0.25">
      <c r="A60" s="13" t="s">
        <v>10</v>
      </c>
      <c r="B60" s="13" t="s">
        <v>11</v>
      </c>
      <c r="C60" s="13" t="s">
        <v>12</v>
      </c>
      <c r="D60" s="13" t="s">
        <v>13</v>
      </c>
      <c r="E60" s="14" t="s">
        <v>407</v>
      </c>
      <c r="F60" s="14" t="s">
        <v>408</v>
      </c>
      <c r="G60" s="14" t="s">
        <v>409</v>
      </c>
      <c r="H60" s="14" t="s">
        <v>410</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2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454</v>
      </c>
      <c r="N61" s="66">
        <v>26</v>
      </c>
    </row>
    <row r="62" spans="1:14" x14ac:dyDescent="0.2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455</v>
      </c>
      <c r="N62" s="66">
        <v>52</v>
      </c>
    </row>
    <row r="63" spans="1:14" x14ac:dyDescent="0.2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456</v>
      </c>
      <c r="N63" s="66">
        <v>104</v>
      </c>
    </row>
    <row r="64" spans="1:14" x14ac:dyDescent="0.2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457</v>
      </c>
      <c r="N64" s="66">
        <v>208</v>
      </c>
    </row>
    <row r="65" spans="1:14" x14ac:dyDescent="0.2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458</v>
      </c>
      <c r="N65" s="66">
        <v>416</v>
      </c>
    </row>
    <row r="66" spans="1:14" x14ac:dyDescent="0.2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459</v>
      </c>
      <c r="N66" s="66">
        <v>832</v>
      </c>
    </row>
    <row r="67" spans="1:14" x14ac:dyDescent="0.2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460</v>
      </c>
      <c r="N67" s="66">
        <v>1664</v>
      </c>
    </row>
    <row r="68" spans="1:14" x14ac:dyDescent="0.2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461</v>
      </c>
      <c r="N68" s="66">
        <v>3328</v>
      </c>
    </row>
    <row r="69" spans="1:14" x14ac:dyDescent="0.2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462</v>
      </c>
      <c r="N69" s="66">
        <v>6656</v>
      </c>
    </row>
    <row r="70" spans="1:14" x14ac:dyDescent="0.2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463</v>
      </c>
      <c r="N70" s="66">
        <v>13312</v>
      </c>
    </row>
    <row r="71" spans="1:14" x14ac:dyDescent="0.2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464</v>
      </c>
      <c r="N71" s="66">
        <v>26624</v>
      </c>
    </row>
    <row r="72" spans="1:14" x14ac:dyDescent="0.2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465</v>
      </c>
      <c r="N72" s="66">
        <v>53248</v>
      </c>
    </row>
    <row r="73" spans="1:14" x14ac:dyDescent="0.2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466</v>
      </c>
      <c r="N73" s="66">
        <v>106496</v>
      </c>
    </row>
    <row r="74" spans="1:14" x14ac:dyDescent="0.2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467</v>
      </c>
      <c r="N74" s="66">
        <v>212992</v>
      </c>
    </row>
    <row r="75" spans="1:14" x14ac:dyDescent="0.2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468</v>
      </c>
      <c r="N75" s="66">
        <v>425984</v>
      </c>
    </row>
    <row r="76" spans="1:14" x14ac:dyDescent="0.2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469</v>
      </c>
      <c r="N76" s="66">
        <v>851968</v>
      </c>
    </row>
    <row r="77" spans="1:14" x14ac:dyDescent="0.2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470</v>
      </c>
      <c r="N77" s="66">
        <v>1703936</v>
      </c>
    </row>
    <row r="78" spans="1:14" x14ac:dyDescent="0.2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471</v>
      </c>
      <c r="N78" s="66">
        <v>3407872</v>
      </c>
    </row>
    <row r="79" spans="1:14" x14ac:dyDescent="0.2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472</v>
      </c>
      <c r="N79" s="66">
        <v>6815744</v>
      </c>
    </row>
    <row r="80" spans="1:14" x14ac:dyDescent="0.2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473</v>
      </c>
      <c r="N80" s="66">
        <v>13631488</v>
      </c>
    </row>
    <row r="81" spans="1:28" x14ac:dyDescent="0.2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474</v>
      </c>
      <c r="N81" s="66">
        <v>27262976</v>
      </c>
    </row>
    <row r="82" spans="1:28" x14ac:dyDescent="0.25">
      <c r="C82" s="66"/>
      <c r="I82" s="66"/>
      <c r="J82" s="66"/>
      <c r="K82" s="66"/>
      <c r="L82" s="66"/>
    </row>
    <row r="83" spans="1:28" x14ac:dyDescent="0.25">
      <c r="I83" s="66"/>
      <c r="J83" s="66"/>
      <c r="K83" s="66"/>
      <c r="L83" s="66"/>
      <c r="N83">
        <f>N81/1000000/E81</f>
        <v>5.4114494067790178</v>
      </c>
    </row>
    <row r="84" spans="1:28" x14ac:dyDescent="0.25">
      <c r="G84">
        <f>G81/E81</f>
        <v>8.3655751602363928</v>
      </c>
      <c r="I84" s="66"/>
      <c r="J84" s="66"/>
      <c r="K84" s="66"/>
      <c r="L84" s="66"/>
      <c r="N84" s="66">
        <f>C81*D81/E81</f>
        <v>208132.66949150071</v>
      </c>
    </row>
    <row r="85" spans="1:28" x14ac:dyDescent="0.25">
      <c r="G85">
        <f>E81/H81</f>
        <v>15.842821671236042</v>
      </c>
      <c r="I85" s="66"/>
      <c r="J85" s="66"/>
      <c r="K85" s="66"/>
      <c r="L85" s="66"/>
      <c r="M85" s="15" t="s">
        <v>589</v>
      </c>
    </row>
    <row r="86" spans="1:28" x14ac:dyDescent="0.25">
      <c r="I86" s="66"/>
      <c r="J86" s="66"/>
      <c r="K86" s="66"/>
      <c r="L86" s="66"/>
      <c r="M86" t="s">
        <v>595</v>
      </c>
    </row>
    <row r="87" spans="1:28" ht="45" x14ac:dyDescent="0.25">
      <c r="A87" s="13" t="s">
        <v>10</v>
      </c>
      <c r="B87" s="13" t="s">
        <v>11</v>
      </c>
      <c r="C87" s="13" t="s">
        <v>12</v>
      </c>
      <c r="D87" s="13" t="s">
        <v>13</v>
      </c>
      <c r="E87" s="14" t="s">
        <v>407</v>
      </c>
      <c r="F87" s="14" t="s">
        <v>408</v>
      </c>
      <c r="G87" s="14" t="s">
        <v>409</v>
      </c>
      <c r="H87" s="14" t="s">
        <v>410</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2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475</v>
      </c>
      <c r="N88" s="66">
        <v>181</v>
      </c>
      <c r="AB88" cm="1">
        <f t="array" ref="AB88:AB106">G88:G106/PasteResultsHere4</f>
        <v>9.5758230309432566</v>
      </c>
    </row>
    <row r="89" spans="1:28" x14ac:dyDescent="0.2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476</v>
      </c>
      <c r="N89" s="66">
        <v>362</v>
      </c>
      <c r="AB89">
        <v>8.3785545648868638</v>
      </c>
    </row>
    <row r="90" spans="1:28" x14ac:dyDescent="0.2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477</v>
      </c>
      <c r="N90" s="66">
        <v>724</v>
      </c>
      <c r="AB90">
        <v>7.3345882553117345</v>
      </c>
    </row>
    <row r="91" spans="1:28" x14ac:dyDescent="0.2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478</v>
      </c>
      <c r="N91" s="66">
        <v>1448</v>
      </c>
      <c r="AB91">
        <v>6.1234055435022201</v>
      </c>
    </row>
    <row r="92" spans="1:28" x14ac:dyDescent="0.2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479</v>
      </c>
      <c r="N92" s="66">
        <v>2896</v>
      </c>
      <c r="AB92">
        <v>4.6759444659209244</v>
      </c>
    </row>
    <row r="93" spans="1:28" x14ac:dyDescent="0.2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480</v>
      </c>
      <c r="N93" s="66">
        <v>5792</v>
      </c>
      <c r="AB93">
        <v>3.5772570961594337</v>
      </c>
    </row>
    <row r="94" spans="1:28" x14ac:dyDescent="0.2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481</v>
      </c>
      <c r="N94" s="66">
        <v>11584</v>
      </c>
      <c r="AB94">
        <v>2.8063068026818954</v>
      </c>
    </row>
    <row r="95" spans="1:28" x14ac:dyDescent="0.2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482</v>
      </c>
      <c r="N95" s="66">
        <v>23168</v>
      </c>
      <c r="AB95">
        <v>2.4085439752117561</v>
      </c>
    </row>
    <row r="96" spans="1:28" x14ac:dyDescent="0.2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483</v>
      </c>
      <c r="N96" s="66">
        <v>46336</v>
      </c>
      <c r="AB96">
        <v>2.1695348545724005</v>
      </c>
    </row>
    <row r="97" spans="1:28" x14ac:dyDescent="0.2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484</v>
      </c>
      <c r="N97" s="66">
        <v>92672</v>
      </c>
      <c r="AB97">
        <v>1.9344321769391588</v>
      </c>
    </row>
    <row r="98" spans="1:28" x14ac:dyDescent="0.2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485</v>
      </c>
      <c r="N98" s="66">
        <v>185344</v>
      </c>
      <c r="AB98">
        <v>1.8596321134661959</v>
      </c>
    </row>
    <row r="99" spans="1:28" x14ac:dyDescent="0.2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486</v>
      </c>
      <c r="N99" s="66">
        <v>370688</v>
      </c>
      <c r="AB99">
        <v>1.7130689704510926</v>
      </c>
    </row>
    <row r="100" spans="1:28" x14ac:dyDescent="0.2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487</v>
      </c>
      <c r="N100" s="66">
        <v>741376</v>
      </c>
      <c r="AB100">
        <v>1.6694276630709914</v>
      </c>
    </row>
    <row r="101" spans="1:28" x14ac:dyDescent="0.2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488</v>
      </c>
      <c r="N101" s="66">
        <v>1482752</v>
      </c>
      <c r="AB101">
        <v>1.6625730207060563</v>
      </c>
    </row>
    <row r="102" spans="1:28" x14ac:dyDescent="0.2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489</v>
      </c>
      <c r="N102" s="66">
        <v>2965504</v>
      </c>
      <c r="AB102">
        <v>1.5527873356124446</v>
      </c>
    </row>
    <row r="103" spans="1:28" x14ac:dyDescent="0.2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490</v>
      </c>
      <c r="N103" s="66">
        <v>5931008</v>
      </c>
      <c r="AB103">
        <v>1.4082615217343961</v>
      </c>
    </row>
    <row r="104" spans="1:28" x14ac:dyDescent="0.2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491</v>
      </c>
      <c r="N104" s="66">
        <v>11862016</v>
      </c>
      <c r="AB104">
        <v>1.4169339546294615</v>
      </c>
    </row>
    <row r="105" spans="1:28" x14ac:dyDescent="0.2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492</v>
      </c>
      <c r="N105" s="66">
        <v>23724032</v>
      </c>
      <c r="AB105">
        <v>1.4720540566647207</v>
      </c>
    </row>
    <row r="106" spans="1:28" x14ac:dyDescent="0.2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493</v>
      </c>
      <c r="N106" s="66">
        <v>47448064</v>
      </c>
      <c r="AB106">
        <v>1.4333629530562872</v>
      </c>
    </row>
    <row r="107" spans="1:28" x14ac:dyDescent="0.25">
      <c r="C107" s="66"/>
      <c r="I107" s="66"/>
      <c r="J107" s="66"/>
      <c r="K107" s="66"/>
      <c r="L107" s="66"/>
      <c r="M107" s="66"/>
    </row>
    <row r="108" spans="1:28" x14ac:dyDescent="0.25">
      <c r="C108" s="66"/>
      <c r="I108" s="66"/>
      <c r="J108" s="66"/>
      <c r="K108" s="66"/>
      <c r="L108" s="66"/>
      <c r="M108" s="66"/>
      <c r="N108">
        <f>N106/1000000/E106</f>
        <v>7.7198489971718862</v>
      </c>
    </row>
    <row r="109" spans="1:28" x14ac:dyDescent="0.25">
      <c r="I109" s="66"/>
      <c r="J109" s="66"/>
      <c r="K109" s="66"/>
      <c r="L109" s="66"/>
      <c r="N109" s="66">
        <f>C106*D106/E106</f>
        <v>426510.9943188887</v>
      </c>
    </row>
    <row r="110" spans="1:28" x14ac:dyDescent="0.25">
      <c r="C110" s="16"/>
      <c r="D110" s="17"/>
      <c r="I110" s="66"/>
      <c r="J110" s="66"/>
      <c r="K110" s="66"/>
      <c r="L110" s="66"/>
      <c r="M110" s="66"/>
    </row>
    <row r="111" spans="1:28" x14ac:dyDescent="0.25">
      <c r="I111" s="66"/>
      <c r="J111" s="66"/>
      <c r="K111" s="66"/>
      <c r="L111" s="66"/>
    </row>
    <row r="112" spans="1:28" x14ac:dyDescent="0.25">
      <c r="I112" s="66"/>
      <c r="J112" s="66"/>
      <c r="K112" s="66"/>
      <c r="L112" s="66"/>
      <c r="M112" s="15" t="s">
        <v>590</v>
      </c>
    </row>
    <row r="113" spans="1:14" x14ac:dyDescent="0.25">
      <c r="I113" s="66"/>
      <c r="J113" s="66"/>
      <c r="K113" s="66"/>
      <c r="L113" s="66"/>
      <c r="M113" t="s">
        <v>596</v>
      </c>
    </row>
    <row r="114" spans="1:14" ht="45" x14ac:dyDescent="0.25">
      <c r="A114" s="13" t="s">
        <v>10</v>
      </c>
      <c r="B114" s="13" t="s">
        <v>11</v>
      </c>
      <c r="C114" s="13" t="s">
        <v>12</v>
      </c>
      <c r="D114" s="13" t="s">
        <v>13</v>
      </c>
      <c r="E114" s="14" t="s">
        <v>407</v>
      </c>
      <c r="F114" s="14" t="s">
        <v>408</v>
      </c>
      <c r="G114" s="14" t="s">
        <v>409</v>
      </c>
      <c r="H114" s="14" t="s">
        <v>410</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2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494</v>
      </c>
      <c r="N115" s="66">
        <v>144</v>
      </c>
    </row>
    <row r="116" spans="1:14" x14ac:dyDescent="0.2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495</v>
      </c>
      <c r="N116" s="66">
        <v>280</v>
      </c>
    </row>
    <row r="117" spans="1:14" x14ac:dyDescent="0.2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496</v>
      </c>
      <c r="N117" s="66">
        <v>552</v>
      </c>
    </row>
    <row r="118" spans="1:14" x14ac:dyDescent="0.2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497</v>
      </c>
      <c r="N118" s="66">
        <v>1096</v>
      </c>
    </row>
    <row r="119" spans="1:14" x14ac:dyDescent="0.2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498</v>
      </c>
      <c r="N119" s="66">
        <v>2184</v>
      </c>
    </row>
    <row r="120" spans="1:14" x14ac:dyDescent="0.2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499</v>
      </c>
      <c r="N120" s="66">
        <v>4360</v>
      </c>
    </row>
    <row r="121" spans="1:14" x14ac:dyDescent="0.2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500</v>
      </c>
      <c r="N121" s="66">
        <v>8712</v>
      </c>
    </row>
    <row r="122" spans="1:14" x14ac:dyDescent="0.2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501</v>
      </c>
      <c r="N122" s="66">
        <v>17416</v>
      </c>
    </row>
    <row r="123" spans="1:14" x14ac:dyDescent="0.2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502</v>
      </c>
      <c r="N123" s="66">
        <v>34824</v>
      </c>
    </row>
    <row r="124" spans="1:14" x14ac:dyDescent="0.2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503</v>
      </c>
      <c r="N124" s="66">
        <v>69640</v>
      </c>
    </row>
    <row r="125" spans="1:14" x14ac:dyDescent="0.2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504</v>
      </c>
      <c r="N125" s="66">
        <v>139272</v>
      </c>
    </row>
    <row r="126" spans="1:14" x14ac:dyDescent="0.2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505</v>
      </c>
      <c r="N126" s="66">
        <v>278536</v>
      </c>
    </row>
    <row r="127" spans="1:14" x14ac:dyDescent="0.2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506</v>
      </c>
      <c r="N127" s="66">
        <v>557064</v>
      </c>
    </row>
    <row r="128" spans="1:14" x14ac:dyDescent="0.2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507</v>
      </c>
      <c r="N128" s="66">
        <v>1114120</v>
      </c>
    </row>
    <row r="129" spans="1:14" x14ac:dyDescent="0.25">
      <c r="I129" s="66"/>
      <c r="J129" s="66"/>
      <c r="K129" s="66"/>
      <c r="L129" s="66"/>
    </row>
    <row r="130" spans="1:14" x14ac:dyDescent="0.25">
      <c r="I130" s="66"/>
      <c r="J130" s="66"/>
      <c r="K130" s="66"/>
      <c r="L130" s="66"/>
    </row>
    <row r="131" spans="1:14" x14ac:dyDescent="0.25">
      <c r="I131" s="66"/>
      <c r="J131" s="66"/>
      <c r="K131" s="66"/>
      <c r="L131" s="66"/>
      <c r="N131" s="66"/>
    </row>
    <row r="132" spans="1:14" x14ac:dyDescent="0.25">
      <c r="I132" s="66"/>
      <c r="J132" s="66"/>
      <c r="K132" s="66"/>
      <c r="L132" s="66"/>
    </row>
    <row r="133" spans="1:14" x14ac:dyDescent="0.25">
      <c r="I133" s="66"/>
      <c r="J133" s="66"/>
      <c r="K133" s="66"/>
      <c r="L133" s="66"/>
    </row>
    <row r="134" spans="1:14" x14ac:dyDescent="0.25">
      <c r="I134" s="66"/>
      <c r="J134" s="66"/>
      <c r="K134" s="66"/>
      <c r="L134" s="66"/>
    </row>
    <row r="135" spans="1:14" x14ac:dyDescent="0.25">
      <c r="I135" s="66"/>
      <c r="J135" s="66"/>
      <c r="K135" s="66"/>
      <c r="L135" s="66"/>
    </row>
    <row r="136" spans="1:14" x14ac:dyDescent="0.25">
      <c r="I136" s="66"/>
      <c r="J136" s="66"/>
      <c r="K136" s="66"/>
      <c r="L136" s="66"/>
    </row>
    <row r="137" spans="1:14" x14ac:dyDescent="0.25">
      <c r="I137" s="66"/>
      <c r="J137" s="66"/>
      <c r="K137" s="66"/>
      <c r="L137" s="66"/>
    </row>
    <row r="138" spans="1:14" x14ac:dyDescent="0.25">
      <c r="I138" s="66"/>
      <c r="J138" s="66"/>
      <c r="K138" s="66"/>
      <c r="L138" s="66"/>
    </row>
    <row r="139" spans="1:14" x14ac:dyDescent="0.25">
      <c r="I139" s="66"/>
      <c r="J139" s="66"/>
      <c r="K139" s="66"/>
      <c r="L139" s="66"/>
      <c r="M139" s="15" t="s">
        <v>591</v>
      </c>
    </row>
    <row r="140" spans="1:14" x14ac:dyDescent="0.25">
      <c r="I140" s="66"/>
      <c r="J140" s="66"/>
      <c r="K140" s="66"/>
      <c r="L140" s="66"/>
      <c r="M140" t="s">
        <v>597</v>
      </c>
    </row>
    <row r="141" spans="1:14" ht="45" x14ac:dyDescent="0.25">
      <c r="A141" s="13" t="s">
        <v>10</v>
      </c>
      <c r="B141" s="13" t="s">
        <v>11</v>
      </c>
      <c r="C141" s="13" t="s">
        <v>12</v>
      </c>
      <c r="D141" s="13" t="s">
        <v>13</v>
      </c>
      <c r="E141" s="14" t="s">
        <v>407</v>
      </c>
      <c r="F141" s="14" t="s">
        <v>408</v>
      </c>
      <c r="G141" s="14" t="s">
        <v>409</v>
      </c>
      <c r="H141" s="14" t="s">
        <v>410</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2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508</v>
      </c>
      <c r="N142" s="66">
        <v>17408</v>
      </c>
    </row>
    <row r="143" spans="1:14" x14ac:dyDescent="0.2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509</v>
      </c>
      <c r="N143" s="66">
        <v>25600</v>
      </c>
    </row>
    <row r="144" spans="1:14" x14ac:dyDescent="0.2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510</v>
      </c>
      <c r="N144" s="66">
        <v>41984</v>
      </c>
    </row>
    <row r="145" spans="1:14" x14ac:dyDescent="0.2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511</v>
      </c>
      <c r="N145" s="66">
        <v>74752</v>
      </c>
    </row>
    <row r="146" spans="1:14" x14ac:dyDescent="0.2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512</v>
      </c>
      <c r="N146" s="66">
        <v>140288</v>
      </c>
    </row>
    <row r="147" spans="1:14" x14ac:dyDescent="0.2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513</v>
      </c>
      <c r="N147" s="66">
        <v>271360</v>
      </c>
    </row>
    <row r="148" spans="1:14" x14ac:dyDescent="0.2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514</v>
      </c>
      <c r="N148" s="66">
        <v>533504</v>
      </c>
    </row>
    <row r="149" spans="1:14" x14ac:dyDescent="0.2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515</v>
      </c>
      <c r="N149" s="66">
        <v>1057792</v>
      </c>
    </row>
    <row r="150" spans="1:14" x14ac:dyDescent="0.2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516</v>
      </c>
      <c r="N150" s="66">
        <v>2106368</v>
      </c>
    </row>
    <row r="151" spans="1:14" x14ac:dyDescent="0.2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517</v>
      </c>
      <c r="N151" s="66">
        <v>4203520</v>
      </c>
    </row>
    <row r="152" spans="1:14" x14ac:dyDescent="0.2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518</v>
      </c>
      <c r="N152" s="66">
        <v>8397824</v>
      </c>
    </row>
    <row r="153" spans="1:14" x14ac:dyDescent="0.2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519</v>
      </c>
      <c r="N153" s="66">
        <v>16786432</v>
      </c>
    </row>
    <row r="154" spans="1:14" x14ac:dyDescent="0.2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520</v>
      </c>
      <c r="N154" s="66">
        <v>33563648</v>
      </c>
    </row>
    <row r="155" spans="1:14" x14ac:dyDescent="0.2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521</v>
      </c>
      <c r="N155" s="66">
        <v>67118080</v>
      </c>
    </row>
    <row r="156" spans="1:14" x14ac:dyDescent="0.2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522</v>
      </c>
      <c r="N156" s="66">
        <v>134226944</v>
      </c>
    </row>
    <row r="157" spans="1:14" x14ac:dyDescent="0.25">
      <c r="I157" s="66"/>
      <c r="J157" s="66"/>
      <c r="K157" s="66"/>
      <c r="L157" s="66"/>
    </row>
    <row r="158" spans="1:14" x14ac:dyDescent="0.25">
      <c r="I158" s="66"/>
      <c r="J158" s="66"/>
      <c r="K158" s="66"/>
      <c r="L158" s="66"/>
      <c r="N158">
        <f>N156/1000000/E156</f>
        <v>18.232728728188359</v>
      </c>
    </row>
    <row r="159" spans="1:14" x14ac:dyDescent="0.25">
      <c r="I159" s="66"/>
      <c r="J159" s="66"/>
      <c r="K159" s="66"/>
      <c r="L159" s="66"/>
      <c r="N159" s="66">
        <f>C156*D156/E156</f>
        <v>1112.7610395519325</v>
      </c>
    </row>
    <row r="160" spans="1:14" x14ac:dyDescent="0.25">
      <c r="I160" s="66"/>
      <c r="J160" s="66"/>
      <c r="K160" s="66"/>
      <c r="L160" s="66"/>
    </row>
    <row r="161" spans="1:14" x14ac:dyDescent="0.25">
      <c r="I161" s="66"/>
      <c r="J161" s="66"/>
      <c r="K161" s="66"/>
      <c r="L161" s="66"/>
    </row>
    <row r="162" spans="1:14" x14ac:dyDescent="0.25">
      <c r="I162" s="66"/>
      <c r="J162" s="66"/>
      <c r="K162" s="66"/>
      <c r="L162" s="66"/>
    </row>
    <row r="163" spans="1:14" x14ac:dyDescent="0.25">
      <c r="I163" s="66"/>
      <c r="J163" s="66"/>
      <c r="K163" s="66"/>
      <c r="L163" s="66"/>
    </row>
    <row r="164" spans="1:14" x14ac:dyDescent="0.25">
      <c r="I164" s="66"/>
      <c r="J164" s="66"/>
      <c r="K164" s="66"/>
      <c r="L164" s="66"/>
    </row>
    <row r="165" spans="1:14" x14ac:dyDescent="0.25">
      <c r="I165" s="66"/>
      <c r="J165" s="66"/>
      <c r="K165" s="66"/>
      <c r="L165" s="66"/>
    </row>
    <row r="166" spans="1:14" x14ac:dyDescent="0.25">
      <c r="I166" s="66"/>
      <c r="J166" s="66"/>
      <c r="K166" s="66"/>
      <c r="L166" s="66"/>
      <c r="M166" s="15" t="s">
        <v>592</v>
      </c>
    </row>
    <row r="167" spans="1:14" ht="60" x14ac:dyDescent="0.25">
      <c r="I167" s="66"/>
      <c r="J167" s="66"/>
      <c r="K167" s="66"/>
      <c r="L167" s="66"/>
      <c r="M167" s="75" t="s">
        <v>598</v>
      </c>
    </row>
    <row r="168" spans="1:14" ht="45" x14ac:dyDescent="0.25">
      <c r="A168" s="13" t="s">
        <v>10</v>
      </c>
      <c r="B168" s="13" t="s">
        <v>11</v>
      </c>
      <c r="C168" s="13" t="s">
        <v>12</v>
      </c>
      <c r="D168" s="13" t="s">
        <v>13</v>
      </c>
      <c r="E168" s="14" t="s">
        <v>407</v>
      </c>
      <c r="F168" s="14" t="s">
        <v>408</v>
      </c>
      <c r="G168" s="14" t="s">
        <v>409</v>
      </c>
      <c r="H168" s="14" t="s">
        <v>410</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2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523</v>
      </c>
      <c r="N169" s="66">
        <v>66560</v>
      </c>
    </row>
    <row r="170" spans="1:14" x14ac:dyDescent="0.2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524</v>
      </c>
      <c r="N170" s="66">
        <v>74752</v>
      </c>
    </row>
    <row r="171" spans="1:14" x14ac:dyDescent="0.2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525</v>
      </c>
      <c r="N171" s="66">
        <v>91136</v>
      </c>
    </row>
    <row r="172" spans="1:14" x14ac:dyDescent="0.2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526</v>
      </c>
      <c r="N172" s="66">
        <v>123904</v>
      </c>
    </row>
    <row r="173" spans="1:14" x14ac:dyDescent="0.2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527</v>
      </c>
      <c r="N173" s="66">
        <v>189440</v>
      </c>
    </row>
    <row r="174" spans="1:14" x14ac:dyDescent="0.2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528</v>
      </c>
      <c r="N174" s="66">
        <v>320512</v>
      </c>
    </row>
    <row r="175" spans="1:14" x14ac:dyDescent="0.2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529</v>
      </c>
      <c r="N175" s="66">
        <v>582656</v>
      </c>
    </row>
    <row r="176" spans="1:14" x14ac:dyDescent="0.2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530</v>
      </c>
      <c r="N176" s="66">
        <v>1106944</v>
      </c>
    </row>
    <row r="177" spans="1:14" x14ac:dyDescent="0.2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531</v>
      </c>
      <c r="N177" s="66">
        <v>2155520</v>
      </c>
    </row>
    <row r="178" spans="1:14" x14ac:dyDescent="0.2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532</v>
      </c>
      <c r="N178" s="66">
        <v>4252672</v>
      </c>
    </row>
    <row r="179" spans="1:14" x14ac:dyDescent="0.2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533</v>
      </c>
      <c r="N179" s="66">
        <v>8446976</v>
      </c>
    </row>
    <row r="180" spans="1:14" x14ac:dyDescent="0.2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534</v>
      </c>
      <c r="N180" s="66">
        <v>16835584</v>
      </c>
    </row>
    <row r="181" spans="1:14" x14ac:dyDescent="0.2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535</v>
      </c>
      <c r="N181" s="66">
        <v>33612800</v>
      </c>
    </row>
    <row r="182" spans="1:14" x14ac:dyDescent="0.2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536</v>
      </c>
      <c r="N182" s="66">
        <v>67167232</v>
      </c>
    </row>
    <row r="183" spans="1:14" x14ac:dyDescent="0.2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537</v>
      </c>
      <c r="N183" s="66">
        <v>134276096</v>
      </c>
    </row>
    <row r="184" spans="1:14" x14ac:dyDescent="0.25">
      <c r="I184" s="66"/>
      <c r="J184" s="66"/>
      <c r="K184" s="66"/>
      <c r="L184" s="66"/>
    </row>
    <row r="185" spans="1:14" x14ac:dyDescent="0.25">
      <c r="I185" s="66"/>
      <c r="J185" s="66"/>
      <c r="K185" s="66"/>
      <c r="L185" s="66"/>
    </row>
    <row r="186" spans="1:14" x14ac:dyDescent="0.25">
      <c r="I186" s="66"/>
      <c r="J186" s="66"/>
      <c r="K186" s="66"/>
      <c r="L186" s="66"/>
      <c r="N186" s="66"/>
    </row>
    <row r="187" spans="1:14" x14ac:dyDescent="0.25">
      <c r="I187" s="66"/>
      <c r="J187" s="66"/>
      <c r="K187" s="66"/>
      <c r="L187" s="66"/>
    </row>
    <row r="188" spans="1:14" x14ac:dyDescent="0.25">
      <c r="I188" s="66"/>
      <c r="J188" s="66"/>
      <c r="K188" s="66"/>
      <c r="L188" s="66"/>
    </row>
    <row r="189" spans="1:14" x14ac:dyDescent="0.25">
      <c r="I189" s="66"/>
      <c r="J189" s="66"/>
      <c r="K189" s="66"/>
      <c r="L189" s="66"/>
    </row>
    <row r="190" spans="1:14" x14ac:dyDescent="0.25">
      <c r="I190" s="66"/>
      <c r="J190" s="66"/>
      <c r="K190" s="66"/>
      <c r="L190" s="66"/>
    </row>
    <row r="191" spans="1:14" x14ac:dyDescent="0.25">
      <c r="I191" s="66"/>
      <c r="J191" s="66"/>
      <c r="K191" s="66"/>
      <c r="L191" s="66"/>
    </row>
    <row r="192" spans="1:14" x14ac:dyDescent="0.25">
      <c r="I192" s="66"/>
      <c r="J192" s="66"/>
      <c r="K192" s="66"/>
      <c r="L192" s="66"/>
    </row>
    <row r="193" spans="9:12" x14ac:dyDescent="0.25">
      <c r="I193" s="66"/>
      <c r="J193" s="66"/>
      <c r="K193" s="66"/>
      <c r="L193" s="66"/>
    </row>
    <row r="194" spans="9:12" x14ac:dyDescent="0.25">
      <c r="I194" s="66"/>
      <c r="J194" s="66"/>
      <c r="K194" s="66"/>
      <c r="L194" s="66"/>
    </row>
    <row r="195" spans="9:12" x14ac:dyDescent="0.25">
      <c r="I195" s="66"/>
      <c r="J195" s="66"/>
      <c r="K195" s="66"/>
      <c r="L195" s="66"/>
    </row>
    <row r="196" spans="9:12" x14ac:dyDescent="0.25">
      <c r="I196" s="66"/>
      <c r="J196" s="66"/>
      <c r="K196" s="66"/>
      <c r="L196" s="66"/>
    </row>
    <row r="197" spans="9:12" x14ac:dyDescent="0.25">
      <c r="I197" s="66"/>
      <c r="J197" s="66"/>
      <c r="K197" s="66"/>
      <c r="L197" s="66"/>
    </row>
    <row r="198" spans="9:12" x14ac:dyDescent="0.25">
      <c r="I198" s="66"/>
      <c r="J198" s="66"/>
      <c r="K198" s="66"/>
      <c r="L198" s="66"/>
    </row>
    <row r="199" spans="9:12" x14ac:dyDescent="0.25">
      <c r="I199" s="66"/>
      <c r="J199" s="66"/>
      <c r="K199" s="66"/>
      <c r="L199" s="66"/>
    </row>
    <row r="200" spans="9:12" x14ac:dyDescent="0.25">
      <c r="I200" s="66"/>
      <c r="J200" s="66"/>
      <c r="K200" s="66"/>
      <c r="L200" s="66"/>
    </row>
    <row r="201" spans="9:12" x14ac:dyDescent="0.25">
      <c r="I201" s="66"/>
      <c r="J201" s="66"/>
      <c r="K201" s="66"/>
      <c r="L201" s="66"/>
    </row>
    <row r="202" spans="9:12" x14ac:dyDescent="0.25">
      <c r="I202" s="66"/>
      <c r="J202" s="66"/>
      <c r="K202" s="66"/>
      <c r="L202" s="66"/>
    </row>
    <row r="203" spans="9:12" x14ac:dyDescent="0.25">
      <c r="I203" s="66"/>
      <c r="J203" s="66"/>
      <c r="K203" s="66"/>
      <c r="L203" s="66"/>
    </row>
    <row r="204" spans="9:12" x14ac:dyDescent="0.25">
      <c r="I204" s="66"/>
      <c r="J204" s="66"/>
      <c r="K204" s="66"/>
      <c r="L204" s="66"/>
    </row>
    <row r="205" spans="9:12" x14ac:dyDescent="0.25">
      <c r="I205" s="66"/>
      <c r="J205" s="66"/>
      <c r="K205" s="66"/>
      <c r="L205" s="66"/>
    </row>
    <row r="206" spans="9:12" x14ac:dyDescent="0.25">
      <c r="I206" s="66"/>
      <c r="J206" s="66"/>
      <c r="K206" s="66"/>
      <c r="L206" s="66"/>
    </row>
    <row r="207" spans="9:12" x14ac:dyDescent="0.25">
      <c r="I207" s="66"/>
      <c r="J207" s="66"/>
      <c r="K207" s="66"/>
      <c r="L207" s="66"/>
    </row>
    <row r="208" spans="9:12" x14ac:dyDescent="0.25">
      <c r="I208" s="66"/>
      <c r="J208" s="66"/>
      <c r="K208" s="66"/>
      <c r="L208" s="66"/>
    </row>
    <row r="209" spans="9:12" x14ac:dyDescent="0.25">
      <c r="I209" s="66"/>
      <c r="J209" s="66"/>
      <c r="K209" s="66"/>
      <c r="L209" s="66"/>
    </row>
    <row r="210" spans="9:12" x14ac:dyDescent="0.25">
      <c r="I210" s="66"/>
      <c r="J210" s="66"/>
      <c r="K210" s="66"/>
      <c r="L210" s="66"/>
    </row>
    <row r="211" spans="9:12" x14ac:dyDescent="0.25">
      <c r="I211" s="66"/>
      <c r="J211" s="66"/>
      <c r="K211" s="66"/>
      <c r="L211" s="66"/>
    </row>
    <row r="212" spans="9:12" x14ac:dyDescent="0.25">
      <c r="I212" s="66"/>
      <c r="J212" s="66"/>
      <c r="K212" s="66"/>
      <c r="L212" s="66"/>
    </row>
    <row r="213" spans="9:12" x14ac:dyDescent="0.25">
      <c r="I213" s="66"/>
      <c r="J213" s="66"/>
      <c r="K213" s="66"/>
      <c r="L213" s="66"/>
    </row>
    <row r="214" spans="9:12" x14ac:dyDescent="0.25">
      <c r="I214" s="66"/>
      <c r="J214" s="66"/>
      <c r="K214" s="66"/>
      <c r="L214" s="66"/>
    </row>
    <row r="215" spans="9:12" x14ac:dyDescent="0.25">
      <c r="I215" s="66"/>
      <c r="J215" s="66"/>
      <c r="K215" s="66"/>
      <c r="L215" s="66"/>
    </row>
    <row r="216" spans="9:12" x14ac:dyDescent="0.25">
      <c r="I216" s="66"/>
      <c r="J216" s="66"/>
      <c r="K216" s="66"/>
      <c r="L216" s="66"/>
    </row>
    <row r="217" spans="9:12" x14ac:dyDescent="0.25">
      <c r="I217" s="66"/>
      <c r="J217" s="66"/>
      <c r="K217" s="66"/>
      <c r="L217" s="66"/>
    </row>
    <row r="218" spans="9:12" x14ac:dyDescent="0.2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5" x14ac:dyDescent="0.25"/>
  <cols>
    <col min="1" max="1" width="4.5703125" customWidth="1"/>
    <col min="2" max="2" width="27.140625" bestFit="1" customWidth="1"/>
    <col min="3" max="3" width="7" bestFit="1" customWidth="1"/>
    <col min="4" max="5" width="7.28515625" bestFit="1" customWidth="1"/>
    <col min="6" max="6" width="7.7109375" bestFit="1" customWidth="1"/>
    <col min="7" max="7" width="10.5703125" customWidth="1"/>
    <col min="8" max="8" width="28" bestFit="1" customWidth="1"/>
    <col min="9" max="11" width="14.28515625" bestFit="1" customWidth="1"/>
    <col min="12" max="13" width="10.5703125" customWidth="1"/>
    <col min="14" max="14" width="23.140625" bestFit="1" customWidth="1"/>
  </cols>
  <sheetData>
    <row r="1" spans="2:13" ht="28.5" x14ac:dyDescent="0.45">
      <c r="B1" s="1" t="s">
        <v>346</v>
      </c>
    </row>
    <row r="2" spans="2:13" x14ac:dyDescent="0.25">
      <c r="K2" s="37" t="s">
        <v>315</v>
      </c>
      <c r="L2" s="15" t="s">
        <v>317</v>
      </c>
    </row>
    <row r="3" spans="2:13" x14ac:dyDescent="0.25">
      <c r="B3" s="15" t="s">
        <v>345</v>
      </c>
      <c r="K3" s="37" t="s">
        <v>318</v>
      </c>
      <c r="L3" s="15" t="s">
        <v>330</v>
      </c>
    </row>
    <row r="4" spans="2:13" x14ac:dyDescent="0.25">
      <c r="B4" s="58" t="s">
        <v>606</v>
      </c>
      <c r="F4" s="15"/>
      <c r="G4" s="15"/>
      <c r="H4" s="15"/>
      <c r="I4" s="15"/>
      <c r="K4" s="60" t="s">
        <v>316</v>
      </c>
      <c r="L4" s="15" t="s">
        <v>331</v>
      </c>
    </row>
    <row r="5" spans="2:13" x14ac:dyDescent="0.25">
      <c r="B5" s="59" t="s">
        <v>344</v>
      </c>
      <c r="F5" s="15"/>
      <c r="G5" s="15"/>
      <c r="H5" s="15"/>
      <c r="I5" s="15"/>
      <c r="K5" s="60" t="s">
        <v>329</v>
      </c>
      <c r="L5" s="15" t="s">
        <v>321</v>
      </c>
    </row>
    <row r="6" spans="2:13" x14ac:dyDescent="0.25">
      <c r="F6" s="15"/>
      <c r="G6" s="15"/>
      <c r="H6" s="15"/>
      <c r="I6" s="15"/>
      <c r="K6" s="60" t="s">
        <v>328</v>
      </c>
      <c r="L6" t="str">
        <f ca="1">L4&amp;"("&amp;L5&amp;")?"</f>
        <v>T[0-2][0-9]:[0-5][0-9]:[0-5][0-9](\.[0-9]+)?</v>
      </c>
    </row>
    <row r="7" spans="2:13" x14ac:dyDescent="0.25">
      <c r="K7" s="37" t="s">
        <v>342</v>
      </c>
      <c r="L7" s="15" t="s">
        <v>339</v>
      </c>
    </row>
    <row r="8" spans="2:13" x14ac:dyDescent="0.25">
      <c r="F8" s="15"/>
      <c r="G8" s="15"/>
      <c r="H8" s="15"/>
      <c r="I8" s="15"/>
      <c r="K8" s="60" t="s">
        <v>347</v>
      </c>
      <c r="L8" t="str">
        <f ca="1">L6&amp;"("&amp;L7&amp;")?"</f>
        <v>T[0-2][0-9]:[0-5][0-9]:[0-5][0-9](\.[0-9]+)?((Z|((\+|\-)[0-2][0-9]:[0-5][0-9])))?</v>
      </c>
    </row>
    <row r="9" spans="2:13" x14ac:dyDescent="0.25">
      <c r="B9" s="47"/>
      <c r="F9" s="57"/>
      <c r="G9" s="57"/>
      <c r="H9" s="57"/>
      <c r="I9" s="57"/>
      <c r="K9" s="60" t="s">
        <v>343</v>
      </c>
      <c r="L9" t="str">
        <f ca="1">L6&amp;L7</f>
        <v>T[0-2][0-9]:[0-5][0-9]:[0-5][0-9](\.[0-9]+)?(Z|((\+|\-)[0-2][0-9]:[0-5][0-9]))</v>
      </c>
    </row>
    <row r="10" spans="2:13" x14ac:dyDescent="0.25">
      <c r="F10" s="15"/>
      <c r="G10" s="15"/>
      <c r="H10" s="15"/>
      <c r="I10" s="15"/>
      <c r="K10" s="37" t="s">
        <v>319</v>
      </c>
      <c r="L10" t="s">
        <v>320</v>
      </c>
    </row>
    <row r="11" spans="2:13" x14ac:dyDescent="0.25">
      <c r="B11" t="s">
        <v>323</v>
      </c>
      <c r="F11" s="15"/>
      <c r="G11" s="15"/>
      <c r="H11" s="15"/>
      <c r="I11" s="15"/>
      <c r="K11" s="60" t="s">
        <v>348</v>
      </c>
      <c r="L11" s="63" t="str">
        <f ca="1">L2&amp;L3&amp;L10</f>
        <v>^[0-9][0-9][0-9][0-9]\-[[0-1][0-9]\-[0-3][0-9]$</v>
      </c>
    </row>
    <row r="12" spans="2:13" x14ac:dyDescent="0.25">
      <c r="B12" s="88" t="str" cm="1">
        <f t="array" aca="1" ref="B12" ca="1">TestFolder()&amp;"\test_good_ISO8601.csv"</f>
        <v>C:\Projects\VBA-CSV\testfiles\\test_good_ISO8601.csv</v>
      </c>
      <c r="K12" s="60" t="s">
        <v>349</v>
      </c>
      <c r="L12" s="63" t="str">
        <f ca="1">L2&amp;L3&amp;"("&amp;L6&amp;")?"&amp;L10</f>
        <v>^[0-9][0-9][0-9][0-9]\-[[0-1][0-9]\-[0-3][0-9](T[0-2][0-9]:[0-5][0-9]:[0-5][0-9](\.[0-9]+)?)?$</v>
      </c>
    </row>
    <row r="13" spans="2:13" x14ac:dyDescent="0.25">
      <c r="B13" t="s">
        <v>324</v>
      </c>
      <c r="K13" s="60" t="s">
        <v>350</v>
      </c>
      <c r="L13" s="63" t="str">
        <f ca="1">L2&amp;L3&amp;"("&amp;L9&amp;")?"&amp;L10</f>
        <v>^[0-9][0-9][0-9][0-9]\-[[0-1][0-9]\-[0-3][0-9](T[0-2][0-9]:[0-5][0-9]:[0-5][0-9](\.[0-9]+)?(Z|((\+|\-)[0-2][0-9]:[0-5][0-9])))?$</v>
      </c>
    </row>
    <row r="14" spans="2:13" x14ac:dyDescent="0.25">
      <c r="B14" s="88" t="str" cm="1">
        <f t="array" aca="1" ref="B14" ca="1">TestFolder()&amp;"\test_bad_ISO8601.csv"</f>
        <v>C:\Projects\VBA-CSV\testfiles\\test_bad_ISO8601.csv</v>
      </c>
      <c r="K14" s="60" t="s">
        <v>351</v>
      </c>
      <c r="L14" s="63" t="str">
        <f ca="1">L2&amp;L3&amp;"("&amp;L8&amp;")?"&amp;L10</f>
        <v>^[0-9][0-9][0-9][0-9]\-[[0-1][0-9]\-[0-3][0-9](T[0-2][0-9]:[0-5][0-9]:[0-5][0-9](\.[0-9]+)?((Z|((\+|\-)[0-2][0-9]:[0-5][0-9])))?)?$</v>
      </c>
    </row>
    <row r="15" spans="2:13" x14ac:dyDescent="0.25">
      <c r="E15" s="57"/>
    </row>
    <row r="16" spans="2:13" x14ac:dyDescent="0.25">
      <c r="B16" t="s">
        <v>325</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326</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2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2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2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85"/>
  <sheetViews>
    <sheetView showGridLines="0" showRowColHeaders="0" workbookViewId="0"/>
  </sheetViews>
  <sheetFormatPr defaultRowHeight="15" x14ac:dyDescent="0.25"/>
  <cols>
    <col min="1" max="1" width="2.42578125" customWidth="1"/>
    <col min="2" max="2" width="7.7109375" customWidth="1"/>
    <col min="3" max="3" width="11.85546875" customWidth="1"/>
    <col min="4" max="4" width="5.42578125" customWidth="1"/>
    <col min="5" max="5" width="14.7109375" customWidth="1"/>
    <col min="6" max="6" width="155.42578125" customWidth="1"/>
    <col min="9" max="9" width="9.7109375" bestFit="1" customWidth="1"/>
  </cols>
  <sheetData>
    <row r="1" spans="2:21" ht="28.5" x14ac:dyDescent="0.45">
      <c r="B1" s="12" t="s">
        <v>46</v>
      </c>
    </row>
    <row r="3" spans="2:21" x14ac:dyDescent="0.25">
      <c r="I3" s="18" t="s">
        <v>47</v>
      </c>
      <c r="U3" s="18" t="s">
        <v>48</v>
      </c>
    </row>
    <row r="4" spans="2:21" x14ac:dyDescent="0.25">
      <c r="U4" s="19" t="s">
        <v>49</v>
      </c>
    </row>
    <row r="5" spans="2:21" x14ac:dyDescent="0.25">
      <c r="B5" s="20" t="s">
        <v>50</v>
      </c>
      <c r="C5" s="21" t="s">
        <v>51</v>
      </c>
      <c r="D5" s="85" t="s">
        <v>52</v>
      </c>
      <c r="E5" s="22" t="s">
        <v>53</v>
      </c>
      <c r="F5" s="23" t="s">
        <v>54</v>
      </c>
      <c r="I5" s="18" t="s">
        <v>292</v>
      </c>
      <c r="U5" s="49" t="s">
        <v>55</v>
      </c>
    </row>
    <row r="6" spans="2:21" x14ac:dyDescent="0.25">
      <c r="B6" s="84">
        <v>80</v>
      </c>
      <c r="C6" s="24">
        <v>44450</v>
      </c>
      <c r="D6" s="86">
        <v>0.40421296295971842</v>
      </c>
      <c r="E6" s="25" t="s">
        <v>56</v>
      </c>
      <c r="F6" s="26" t="s">
        <v>636</v>
      </c>
      <c r="I6" t="s">
        <v>293</v>
      </c>
    </row>
    <row r="7" spans="2:21" x14ac:dyDescent="0.25">
      <c r="B7" s="84">
        <v>79</v>
      </c>
      <c r="C7" s="24">
        <v>44450</v>
      </c>
      <c r="D7" s="86">
        <v>0.39056712963065365</v>
      </c>
      <c r="E7" s="25" t="s">
        <v>56</v>
      </c>
      <c r="F7" s="26" t="s">
        <v>634</v>
      </c>
      <c r="I7" t="s">
        <v>294</v>
      </c>
    </row>
    <row r="8" spans="2:21" x14ac:dyDescent="0.25">
      <c r="B8" s="82">
        <v>78</v>
      </c>
      <c r="C8" s="24">
        <v>44448</v>
      </c>
      <c r="D8" s="86">
        <v>0.52339120370015735</v>
      </c>
      <c r="E8" s="25" t="s">
        <v>56</v>
      </c>
      <c r="F8" s="26" t="s">
        <v>633</v>
      </c>
      <c r="I8" t="s">
        <v>295</v>
      </c>
    </row>
    <row r="9" spans="2:21" x14ac:dyDescent="0.25">
      <c r="B9" s="82">
        <v>77</v>
      </c>
      <c r="C9" s="24">
        <v>44448</v>
      </c>
      <c r="D9" s="86">
        <v>0.43658564814541023</v>
      </c>
      <c r="E9" s="25" t="s">
        <v>56</v>
      </c>
      <c r="F9" s="26" t="s">
        <v>632</v>
      </c>
      <c r="I9" t="s">
        <v>302</v>
      </c>
    </row>
    <row r="10" spans="2:21" x14ac:dyDescent="0.25">
      <c r="B10" s="82">
        <v>76</v>
      </c>
      <c r="C10" s="24">
        <v>44448</v>
      </c>
      <c r="D10" s="86">
        <v>0.37820601851854008</v>
      </c>
      <c r="E10" s="25" t="s">
        <v>56</v>
      </c>
      <c r="F10" s="26" t="s">
        <v>631</v>
      </c>
      <c r="I10" s="15" t="s">
        <v>300</v>
      </c>
    </row>
    <row r="11" spans="2:21" x14ac:dyDescent="0.25">
      <c r="B11" s="82">
        <v>75</v>
      </c>
      <c r="C11" s="24">
        <v>44447</v>
      </c>
      <c r="D11" s="86">
        <v>0.79199074074131204</v>
      </c>
      <c r="E11" s="25" t="s">
        <v>56</v>
      </c>
      <c r="F11" s="27" t="s">
        <v>630</v>
      </c>
      <c r="I11" t="s">
        <v>301</v>
      </c>
    </row>
    <row r="12" spans="2:21" x14ac:dyDescent="0.25">
      <c r="B12" s="82">
        <v>74</v>
      </c>
      <c r="C12" s="24">
        <v>44447</v>
      </c>
      <c r="D12" s="86">
        <v>0.38273148148437031</v>
      </c>
      <c r="E12" s="25" t="s">
        <v>56</v>
      </c>
      <c r="F12" s="26" t="s">
        <v>629</v>
      </c>
      <c r="I12" s="15" t="s">
        <v>296</v>
      </c>
      <c r="U12" s="18" t="s">
        <v>273</v>
      </c>
    </row>
    <row r="13" spans="2:21" x14ac:dyDescent="0.25">
      <c r="B13" s="82">
        <v>73</v>
      </c>
      <c r="C13" s="24">
        <v>44446</v>
      </c>
      <c r="D13" s="86">
        <v>0.57453703703504289</v>
      </c>
      <c r="E13" s="25" t="s">
        <v>56</v>
      </c>
      <c r="F13" s="26" t="s">
        <v>627</v>
      </c>
      <c r="I13" t="s">
        <v>297</v>
      </c>
      <c r="U13" t="s">
        <v>274</v>
      </c>
    </row>
    <row r="14" spans="2:21" x14ac:dyDescent="0.25">
      <c r="B14" s="82">
        <v>72</v>
      </c>
      <c r="C14" s="24">
        <v>44446</v>
      </c>
      <c r="D14" s="86">
        <v>0.474016203705105</v>
      </c>
      <c r="E14" s="25" t="s">
        <v>56</v>
      </c>
      <c r="F14" s="27" t="s">
        <v>626</v>
      </c>
      <c r="U14" s="19" t="s">
        <v>275</v>
      </c>
    </row>
    <row r="15" spans="2:21" x14ac:dyDescent="0.25">
      <c r="B15" s="82">
        <v>71</v>
      </c>
      <c r="C15" s="24">
        <v>44445</v>
      </c>
      <c r="D15" s="86">
        <v>0.599050925928168</v>
      </c>
      <c r="E15" s="25" t="s">
        <v>56</v>
      </c>
      <c r="F15" s="26" t="s">
        <v>625</v>
      </c>
      <c r="I15" s="18" t="s">
        <v>377</v>
      </c>
      <c r="U15" t="s">
        <v>276</v>
      </c>
    </row>
    <row r="16" spans="2:21" x14ac:dyDescent="0.25">
      <c r="B16" s="82">
        <v>70</v>
      </c>
      <c r="C16" s="24">
        <v>44444</v>
      </c>
      <c r="D16" s="86">
        <v>0.35259259259328246</v>
      </c>
      <c r="E16" s="25" t="s">
        <v>56</v>
      </c>
      <c r="F16" s="26" t="s">
        <v>624</v>
      </c>
      <c r="I16" t="s">
        <v>378</v>
      </c>
      <c r="U16" s="19" t="s">
        <v>277</v>
      </c>
    </row>
    <row r="17" spans="2:21" x14ac:dyDescent="0.25">
      <c r="B17" s="82">
        <v>69</v>
      </c>
      <c r="C17" s="24">
        <v>44442</v>
      </c>
      <c r="D17" s="86">
        <v>0.38805555555882165</v>
      </c>
      <c r="E17" s="25" t="s">
        <v>56</v>
      </c>
      <c r="F17" s="26" t="s">
        <v>622</v>
      </c>
      <c r="I17" t="s">
        <v>379</v>
      </c>
      <c r="U17" t="s">
        <v>240</v>
      </c>
    </row>
    <row r="18" spans="2:21" x14ac:dyDescent="0.25">
      <c r="B18" s="82">
        <v>68</v>
      </c>
      <c r="C18" s="24">
        <v>44441</v>
      </c>
      <c r="D18" s="86">
        <v>0.77039351851999527</v>
      </c>
      <c r="E18" s="25" t="s">
        <v>56</v>
      </c>
      <c r="F18" s="26" t="s">
        <v>619</v>
      </c>
      <c r="U18" s="19" t="s">
        <v>278</v>
      </c>
    </row>
    <row r="19" spans="2:21" x14ac:dyDescent="0.25">
      <c r="B19" s="82">
        <v>67</v>
      </c>
      <c r="C19" s="24">
        <v>44441</v>
      </c>
      <c r="D19" s="86">
        <v>0.73449074073869269</v>
      </c>
      <c r="E19" s="25" t="s">
        <v>56</v>
      </c>
      <c r="F19" s="26" t="s">
        <v>618</v>
      </c>
    </row>
    <row r="20" spans="2:21" x14ac:dyDescent="0.25">
      <c r="B20" s="82">
        <v>66</v>
      </c>
      <c r="C20" s="24">
        <v>44441</v>
      </c>
      <c r="D20" s="86">
        <v>0.40944444444176042</v>
      </c>
      <c r="E20" s="25" t="s">
        <v>56</v>
      </c>
      <c r="F20" s="26" t="s">
        <v>617</v>
      </c>
      <c r="U20" s="49" t="s">
        <v>280</v>
      </c>
    </row>
    <row r="21" spans="2:21" x14ac:dyDescent="0.25">
      <c r="B21" s="82">
        <v>65</v>
      </c>
      <c r="C21" s="24">
        <v>44441</v>
      </c>
      <c r="D21" s="86">
        <v>0.39550925925868796</v>
      </c>
      <c r="E21" s="25" t="s">
        <v>56</v>
      </c>
      <c r="F21" s="26" t="s">
        <v>616</v>
      </c>
      <c r="I21" s="15"/>
    </row>
    <row r="22" spans="2:21" x14ac:dyDescent="0.25">
      <c r="B22" s="82">
        <v>64</v>
      </c>
      <c r="C22" s="24">
        <v>44440</v>
      </c>
      <c r="D22" s="86">
        <v>0.75807870370044839</v>
      </c>
      <c r="E22" s="25" t="s">
        <v>56</v>
      </c>
      <c r="F22" s="26" t="s">
        <v>615</v>
      </c>
      <c r="I22" s="66"/>
    </row>
    <row r="23" spans="2:21" x14ac:dyDescent="0.25">
      <c r="B23" s="82">
        <v>63</v>
      </c>
      <c r="C23" s="24">
        <v>44440</v>
      </c>
      <c r="D23" s="86">
        <v>0.69891203703446081</v>
      </c>
      <c r="E23" s="25" t="s">
        <v>56</v>
      </c>
      <c r="F23" s="26" t="s">
        <v>613</v>
      </c>
    </row>
    <row r="24" spans="2:21" x14ac:dyDescent="0.25">
      <c r="B24" s="82">
        <v>62</v>
      </c>
      <c r="C24" s="24">
        <v>44440</v>
      </c>
      <c r="D24" s="86">
        <v>0.67539351851883112</v>
      </c>
      <c r="E24" s="25" t="s">
        <v>56</v>
      </c>
      <c r="F24" s="26" t="s">
        <v>612</v>
      </c>
    </row>
    <row r="25" spans="2:21" x14ac:dyDescent="0.25">
      <c r="B25" s="82">
        <v>61</v>
      </c>
      <c r="C25" s="24">
        <v>44440</v>
      </c>
      <c r="D25" s="86">
        <v>0.64565972222044365</v>
      </c>
      <c r="E25" s="25" t="s">
        <v>56</v>
      </c>
      <c r="F25" s="26" t="s">
        <v>611</v>
      </c>
      <c r="T25" s="37" t="str">
        <f t="array" aca="1" ref="T25:T40" ca="1">"*"</f>
        <v>*</v>
      </c>
      <c r="U25" s="18" t="s">
        <v>540</v>
      </c>
    </row>
    <row r="26" spans="2:21" x14ac:dyDescent="0.25">
      <c r="B26" s="82">
        <v>60</v>
      </c>
      <c r="C26" s="24">
        <v>44440</v>
      </c>
      <c r="D26" s="86">
        <v>0.64527777778130258</v>
      </c>
      <c r="E26" s="25" t="s">
        <v>56</v>
      </c>
      <c r="F26" s="26" t="s">
        <v>610</v>
      </c>
      <c r="T26" s="37" t="str">
        <f ca="1"/>
        <v>*</v>
      </c>
      <c r="U26" t="s">
        <v>555</v>
      </c>
    </row>
    <row r="27" spans="2:21" x14ac:dyDescent="0.25">
      <c r="B27" s="82">
        <v>59</v>
      </c>
      <c r="C27" s="24">
        <v>44440</v>
      </c>
      <c r="D27" s="86">
        <v>0.44094907407270512</v>
      </c>
      <c r="E27" s="25" t="s">
        <v>56</v>
      </c>
      <c r="F27" s="26" t="s">
        <v>608</v>
      </c>
      <c r="T27" s="37" t="str">
        <f ca="1"/>
        <v>*</v>
      </c>
      <c r="U27" t="s">
        <v>541</v>
      </c>
    </row>
    <row r="28" spans="2:21" x14ac:dyDescent="0.25">
      <c r="B28" s="82">
        <v>58</v>
      </c>
      <c r="C28" s="24">
        <v>44439</v>
      </c>
      <c r="D28" s="86">
        <v>0.41174768518249039</v>
      </c>
      <c r="E28" s="25" t="s">
        <v>56</v>
      </c>
      <c r="F28" s="26" t="s">
        <v>599</v>
      </c>
      <c r="T28" s="37" t="str">
        <f ca="1"/>
        <v>*</v>
      </c>
      <c r="U28" t="s">
        <v>542</v>
      </c>
    </row>
    <row r="29" spans="2:21" x14ac:dyDescent="0.25">
      <c r="B29" s="82">
        <v>57</v>
      </c>
      <c r="C29" s="24">
        <v>44438</v>
      </c>
      <c r="D29" s="86">
        <v>0.81614583333430346</v>
      </c>
      <c r="E29" s="25" t="s">
        <v>56</v>
      </c>
      <c r="F29" s="26" t="s">
        <v>59</v>
      </c>
      <c r="T29" s="37" t="str">
        <f ca="1"/>
        <v>*</v>
      </c>
      <c r="U29" t="s">
        <v>543</v>
      </c>
    </row>
    <row r="30" spans="2:21" x14ac:dyDescent="0.25">
      <c r="B30" s="82">
        <v>56</v>
      </c>
      <c r="C30" s="24">
        <v>44438</v>
      </c>
      <c r="D30" s="86">
        <v>0.77097222222073469</v>
      </c>
      <c r="E30" s="25" t="s">
        <v>56</v>
      </c>
      <c r="F30" s="26" t="s">
        <v>583</v>
      </c>
      <c r="T30" s="37" t="str">
        <f ca="1"/>
        <v>*</v>
      </c>
      <c r="U30" t="s">
        <v>544</v>
      </c>
    </row>
    <row r="31" spans="2:21" x14ac:dyDescent="0.25">
      <c r="B31" s="82">
        <v>55</v>
      </c>
      <c r="C31" s="24">
        <v>44438</v>
      </c>
      <c r="D31" s="86">
        <v>0.5741319444423425</v>
      </c>
      <c r="E31" s="25" t="s">
        <v>56</v>
      </c>
      <c r="F31" s="26" t="s">
        <v>579</v>
      </c>
      <c r="T31" s="37" t="str">
        <f ca="1"/>
        <v>*</v>
      </c>
      <c r="U31" t="s">
        <v>545</v>
      </c>
    </row>
    <row r="32" spans="2:21" x14ac:dyDescent="0.25">
      <c r="B32" s="82">
        <v>54</v>
      </c>
      <c r="C32" s="24">
        <v>44438</v>
      </c>
      <c r="D32" s="86">
        <v>0.32952546296291985</v>
      </c>
      <c r="E32" s="25" t="s">
        <v>56</v>
      </c>
      <c r="F32" s="26" t="s">
        <v>539</v>
      </c>
      <c r="T32" s="37" t="str">
        <f ca="1"/>
        <v>*</v>
      </c>
      <c r="U32" t="s">
        <v>546</v>
      </c>
    </row>
    <row r="33" spans="2:21" x14ac:dyDescent="0.25">
      <c r="B33" s="82">
        <v>53</v>
      </c>
      <c r="C33" s="24">
        <v>44436</v>
      </c>
      <c r="D33" s="86">
        <v>0.65918981481809169</v>
      </c>
      <c r="E33" s="25" t="s">
        <v>56</v>
      </c>
      <c r="F33" s="26" t="s">
        <v>406</v>
      </c>
      <c r="T33" s="37" t="str">
        <f ca="1"/>
        <v>*</v>
      </c>
      <c r="U33" t="s">
        <v>547</v>
      </c>
    </row>
    <row r="34" spans="2:21" x14ac:dyDescent="0.25">
      <c r="B34" s="82">
        <v>52</v>
      </c>
      <c r="C34" s="24">
        <v>44435</v>
      </c>
      <c r="D34" s="86">
        <v>0.85357638888672227</v>
      </c>
      <c r="E34" s="25" t="s">
        <v>56</v>
      </c>
      <c r="F34" s="27" t="s">
        <v>384</v>
      </c>
      <c r="T34" s="37" t="str">
        <f ca="1"/>
        <v>*</v>
      </c>
      <c r="U34" t="s">
        <v>548</v>
      </c>
    </row>
    <row r="35" spans="2:21" x14ac:dyDescent="0.25">
      <c r="B35" s="82">
        <v>51</v>
      </c>
      <c r="C35" s="24">
        <v>44434</v>
      </c>
      <c r="D35" s="86">
        <v>0.80643518518627388</v>
      </c>
      <c r="E35" s="25" t="s">
        <v>56</v>
      </c>
      <c r="F35" s="26" t="s">
        <v>376</v>
      </c>
      <c r="T35" s="37" t="str">
        <f ca="1"/>
        <v>*</v>
      </c>
      <c r="U35" t="s">
        <v>549</v>
      </c>
    </row>
    <row r="36" spans="2:21" x14ac:dyDescent="0.25">
      <c r="B36" s="82">
        <v>50</v>
      </c>
      <c r="C36" s="24">
        <v>44434</v>
      </c>
      <c r="D36" s="86">
        <v>0.80153935185080627</v>
      </c>
      <c r="E36" s="25" t="s">
        <v>56</v>
      </c>
      <c r="F36" s="26" t="s">
        <v>375</v>
      </c>
      <c r="T36" s="37" t="str">
        <f ca="1"/>
        <v>*</v>
      </c>
      <c r="U36" t="s">
        <v>550</v>
      </c>
    </row>
    <row r="37" spans="2:21" x14ac:dyDescent="0.25">
      <c r="B37" s="82">
        <v>49</v>
      </c>
      <c r="C37" s="24">
        <v>44434</v>
      </c>
      <c r="D37" s="86">
        <v>0.77059027777431766</v>
      </c>
      <c r="E37" s="25" t="s">
        <v>56</v>
      </c>
      <c r="F37" s="26" t="s">
        <v>374</v>
      </c>
      <c r="T37" s="37" t="str">
        <f ca="1"/>
        <v>*</v>
      </c>
      <c r="U37" t="s">
        <v>551</v>
      </c>
    </row>
    <row r="38" spans="2:21" x14ac:dyDescent="0.25">
      <c r="B38" s="82">
        <v>48</v>
      </c>
      <c r="C38" s="24">
        <v>44434</v>
      </c>
      <c r="D38" s="86">
        <v>0.57442129629635019</v>
      </c>
      <c r="E38" s="25" t="s">
        <v>56</v>
      </c>
      <c r="F38" s="27" t="s">
        <v>373</v>
      </c>
      <c r="T38" s="37" t="str">
        <f ca="1"/>
        <v>*</v>
      </c>
      <c r="U38" t="s">
        <v>552</v>
      </c>
    </row>
    <row r="39" spans="2:21" x14ac:dyDescent="0.25">
      <c r="B39" s="82">
        <v>47</v>
      </c>
      <c r="C39" s="24">
        <v>44434</v>
      </c>
      <c r="D39" s="86">
        <v>0.57239583333284827</v>
      </c>
      <c r="E39" s="25" t="s">
        <v>56</v>
      </c>
      <c r="F39" s="26" t="s">
        <v>355</v>
      </c>
      <c r="T39" s="37" t="str">
        <f ca="1"/>
        <v>*</v>
      </c>
      <c r="U39" t="s">
        <v>553</v>
      </c>
    </row>
    <row r="40" spans="2:21" x14ac:dyDescent="0.25">
      <c r="B40" s="82">
        <v>46</v>
      </c>
      <c r="C40" s="24">
        <v>44433</v>
      </c>
      <c r="D40" s="86">
        <v>1.0671296295186039E-2</v>
      </c>
      <c r="E40" s="25" t="s">
        <v>56</v>
      </c>
      <c r="F40" s="26" t="s">
        <v>336</v>
      </c>
      <c r="T40" s="37" t="str">
        <f ca="1"/>
        <v>*</v>
      </c>
      <c r="U40" t="s">
        <v>554</v>
      </c>
    </row>
    <row r="41" spans="2:21" x14ac:dyDescent="0.25">
      <c r="B41" s="82">
        <v>45</v>
      </c>
      <c r="C41" s="24">
        <v>44432</v>
      </c>
      <c r="D41" s="86">
        <v>0.82049768518481869</v>
      </c>
      <c r="E41" s="25" t="s">
        <v>56</v>
      </c>
      <c r="F41" s="26" t="s">
        <v>327</v>
      </c>
    </row>
    <row r="42" spans="2:21" x14ac:dyDescent="0.25">
      <c r="B42" s="82">
        <v>44</v>
      </c>
      <c r="C42" s="24">
        <v>44432</v>
      </c>
      <c r="D42" s="86">
        <v>0.799525462964084</v>
      </c>
      <c r="E42" s="25" t="s">
        <v>56</v>
      </c>
      <c r="F42" s="27" t="s">
        <v>322</v>
      </c>
    </row>
    <row r="43" spans="2:21" x14ac:dyDescent="0.25">
      <c r="B43" s="82">
        <v>43</v>
      </c>
      <c r="C43" s="24">
        <v>44432</v>
      </c>
      <c r="D43" s="86">
        <v>0.43258101851824904</v>
      </c>
      <c r="E43" s="25" t="s">
        <v>56</v>
      </c>
      <c r="F43" s="26" t="s">
        <v>313</v>
      </c>
    </row>
    <row r="44" spans="2:21" x14ac:dyDescent="0.25">
      <c r="B44" s="82">
        <v>42</v>
      </c>
      <c r="C44" s="24">
        <v>44432</v>
      </c>
      <c r="D44" s="86">
        <v>0.40347222222044365</v>
      </c>
      <c r="E44" s="25" t="s">
        <v>56</v>
      </c>
      <c r="F44" s="26" t="s">
        <v>312</v>
      </c>
    </row>
    <row r="45" spans="2:21" x14ac:dyDescent="0.25">
      <c r="B45" s="82">
        <v>41</v>
      </c>
      <c r="C45" s="24">
        <v>44429</v>
      </c>
      <c r="D45" s="86">
        <v>0.79307870370394085</v>
      </c>
      <c r="E45" s="25" t="s">
        <v>56</v>
      </c>
      <c r="F45" s="26" t="s">
        <v>299</v>
      </c>
    </row>
    <row r="46" spans="2:21" x14ac:dyDescent="0.25">
      <c r="B46" s="82">
        <v>40</v>
      </c>
      <c r="C46" s="24">
        <v>44429</v>
      </c>
      <c r="D46" s="86">
        <v>0.49694444444321562</v>
      </c>
      <c r="E46" s="25" t="s">
        <v>56</v>
      </c>
      <c r="F46" s="26" t="s">
        <v>298</v>
      </c>
    </row>
    <row r="47" spans="2:21" x14ac:dyDescent="0.25">
      <c r="B47" s="82">
        <v>39</v>
      </c>
      <c r="C47" s="24">
        <v>44428</v>
      </c>
      <c r="D47" s="86">
        <v>0.52388888888526708</v>
      </c>
      <c r="E47" s="25" t="s">
        <v>56</v>
      </c>
      <c r="F47" s="26" t="s">
        <v>281</v>
      </c>
    </row>
    <row r="48" spans="2:21" x14ac:dyDescent="0.25">
      <c r="B48" s="82">
        <v>38</v>
      </c>
      <c r="C48" s="24">
        <v>44428</v>
      </c>
      <c r="D48" s="86">
        <v>0.37546296296204673</v>
      </c>
      <c r="E48" s="25" t="s">
        <v>56</v>
      </c>
      <c r="F48" s="26" t="s">
        <v>279</v>
      </c>
    </row>
    <row r="49" spans="2:6" x14ac:dyDescent="0.25">
      <c r="B49" s="82">
        <v>37</v>
      </c>
      <c r="C49" s="24">
        <v>44427</v>
      </c>
      <c r="D49" s="86">
        <v>0.80869212962716119</v>
      </c>
      <c r="E49" s="25" t="s">
        <v>56</v>
      </c>
      <c r="F49" s="26" t="s">
        <v>271</v>
      </c>
    </row>
    <row r="50" spans="2:6" x14ac:dyDescent="0.25">
      <c r="B50" s="82">
        <v>36</v>
      </c>
      <c r="C50" s="24">
        <v>44427</v>
      </c>
      <c r="D50" s="86">
        <v>0.74518518518743804</v>
      </c>
      <c r="E50" s="25" t="s">
        <v>56</v>
      </c>
      <c r="F50" s="26" t="s">
        <v>270</v>
      </c>
    </row>
    <row r="51" spans="2:6" x14ac:dyDescent="0.25">
      <c r="B51" s="82">
        <v>35</v>
      </c>
      <c r="C51" s="24">
        <v>44427</v>
      </c>
      <c r="D51" s="86">
        <v>0.51920138888817746</v>
      </c>
      <c r="E51" s="25" t="s">
        <v>56</v>
      </c>
      <c r="F51" s="26" t="s">
        <v>264</v>
      </c>
    </row>
    <row r="52" spans="2:6" x14ac:dyDescent="0.25">
      <c r="B52" s="82">
        <v>34</v>
      </c>
      <c r="C52" s="24">
        <v>44426</v>
      </c>
      <c r="D52" s="86">
        <v>0.84697916666482342</v>
      </c>
      <c r="E52" s="25" t="s">
        <v>56</v>
      </c>
      <c r="F52" s="26" t="s">
        <v>256</v>
      </c>
    </row>
    <row r="53" spans="2:6" x14ac:dyDescent="0.25">
      <c r="B53" s="82">
        <v>33</v>
      </c>
      <c r="C53" s="24">
        <v>44426</v>
      </c>
      <c r="D53" s="86">
        <v>0.84443287036992842</v>
      </c>
      <c r="E53" s="25" t="s">
        <v>56</v>
      </c>
      <c r="F53" s="26" t="s">
        <v>255</v>
      </c>
    </row>
    <row r="54" spans="2:6" x14ac:dyDescent="0.25">
      <c r="B54" s="82">
        <v>32</v>
      </c>
      <c r="C54" s="24">
        <v>44424</v>
      </c>
      <c r="D54" s="86">
        <v>0.93637731481430819</v>
      </c>
      <c r="E54" s="25" t="s">
        <v>56</v>
      </c>
      <c r="F54" s="27" t="s">
        <v>249</v>
      </c>
    </row>
    <row r="55" spans="2:6" x14ac:dyDescent="0.25">
      <c r="B55" s="82">
        <v>31</v>
      </c>
      <c r="C55" s="24">
        <v>44424</v>
      </c>
      <c r="D55" s="86">
        <v>0.49105324073752854</v>
      </c>
      <c r="E55" s="25" t="s">
        <v>56</v>
      </c>
      <c r="F55" s="26" t="s">
        <v>248</v>
      </c>
    </row>
    <row r="56" spans="2:6" x14ac:dyDescent="0.25">
      <c r="B56" s="82">
        <v>30</v>
      </c>
      <c r="C56" s="24">
        <v>44423</v>
      </c>
      <c r="D56" s="86">
        <v>0.49593750000349246</v>
      </c>
      <c r="E56" s="25" t="s">
        <v>56</v>
      </c>
      <c r="F56" s="26" t="s">
        <v>113</v>
      </c>
    </row>
    <row r="57" spans="2:6" x14ac:dyDescent="0.25">
      <c r="B57" s="82">
        <v>29</v>
      </c>
      <c r="C57" s="24">
        <v>44423</v>
      </c>
      <c r="D57" s="86">
        <v>0.437638888892252</v>
      </c>
      <c r="E57" s="25" t="s">
        <v>56</v>
      </c>
      <c r="F57" s="26" t="s">
        <v>57</v>
      </c>
    </row>
    <row r="58" spans="2:6" x14ac:dyDescent="0.25">
      <c r="B58" s="82">
        <v>28</v>
      </c>
      <c r="C58" s="24">
        <v>44423</v>
      </c>
      <c r="D58" s="86">
        <v>0.33465277777577285</v>
      </c>
      <c r="E58" s="25" t="s">
        <v>56</v>
      </c>
      <c r="F58" s="26" t="s">
        <v>58</v>
      </c>
    </row>
    <row r="59" spans="2:6" x14ac:dyDescent="0.25">
      <c r="B59" s="82">
        <v>27</v>
      </c>
      <c r="C59" s="24">
        <v>44421</v>
      </c>
      <c r="D59" s="86">
        <v>0.84150462962861639</v>
      </c>
      <c r="E59" s="25" t="s">
        <v>56</v>
      </c>
      <c r="F59" s="26" t="s">
        <v>59</v>
      </c>
    </row>
    <row r="60" spans="2:6" x14ac:dyDescent="0.25">
      <c r="B60" s="82">
        <v>26</v>
      </c>
      <c r="C60" s="24">
        <v>44421</v>
      </c>
      <c r="D60" s="86">
        <v>0.83098379629518604</v>
      </c>
      <c r="E60" s="25" t="s">
        <v>56</v>
      </c>
      <c r="F60" s="26" t="s">
        <v>60</v>
      </c>
    </row>
    <row r="61" spans="2:6" x14ac:dyDescent="0.25">
      <c r="B61" s="82">
        <v>25</v>
      </c>
      <c r="C61" s="24">
        <v>44421</v>
      </c>
      <c r="D61" s="86">
        <v>0.73097222221986158</v>
      </c>
      <c r="E61" s="25" t="s">
        <v>56</v>
      </c>
      <c r="F61" s="26" t="s">
        <v>61</v>
      </c>
    </row>
    <row r="62" spans="2:6" x14ac:dyDescent="0.25">
      <c r="B62" s="82">
        <v>24</v>
      </c>
      <c r="C62" s="24">
        <v>44421</v>
      </c>
      <c r="D62" s="86">
        <v>0.71106481481547235</v>
      </c>
      <c r="E62" s="25" t="s">
        <v>56</v>
      </c>
      <c r="F62" s="26" t="s">
        <v>62</v>
      </c>
    </row>
    <row r="63" spans="2:6" x14ac:dyDescent="0.25">
      <c r="B63" s="82">
        <v>23</v>
      </c>
      <c r="C63" s="24">
        <v>44420</v>
      </c>
      <c r="D63" s="86">
        <v>0.80428240740729962</v>
      </c>
      <c r="E63" s="25" t="s">
        <v>56</v>
      </c>
      <c r="F63" s="26" t="s">
        <v>63</v>
      </c>
    </row>
    <row r="64" spans="2:6" x14ac:dyDescent="0.25">
      <c r="B64" s="82">
        <v>22</v>
      </c>
      <c r="C64" s="24">
        <v>44420</v>
      </c>
      <c r="D64" s="86">
        <v>0.74781249999796273</v>
      </c>
      <c r="E64" s="25" t="s">
        <v>56</v>
      </c>
      <c r="F64" s="27" t="s">
        <v>64</v>
      </c>
    </row>
    <row r="65" spans="2:6" x14ac:dyDescent="0.25">
      <c r="B65" s="82">
        <v>21</v>
      </c>
      <c r="C65" s="24">
        <v>44419</v>
      </c>
      <c r="D65" s="86">
        <v>0.98854166666569654</v>
      </c>
      <c r="E65" s="25" t="s">
        <v>56</v>
      </c>
      <c r="F65" s="26" t="s">
        <v>65</v>
      </c>
    </row>
    <row r="66" spans="2:6" x14ac:dyDescent="0.25">
      <c r="B66" s="82">
        <v>20</v>
      </c>
      <c r="C66" s="24">
        <v>44419</v>
      </c>
      <c r="D66" s="86">
        <v>0.98135416666627862</v>
      </c>
      <c r="E66" s="25" t="s">
        <v>56</v>
      </c>
      <c r="F66" s="26" t="s">
        <v>66</v>
      </c>
    </row>
    <row r="67" spans="2:6" x14ac:dyDescent="0.25">
      <c r="B67" s="82">
        <v>19</v>
      </c>
      <c r="C67" s="24">
        <v>44419</v>
      </c>
      <c r="D67" s="86">
        <v>0.82271990740991896</v>
      </c>
      <c r="E67" s="25" t="s">
        <v>56</v>
      </c>
      <c r="F67" s="26" t="s">
        <v>67</v>
      </c>
    </row>
    <row r="68" spans="2:6" x14ac:dyDescent="0.25">
      <c r="B68" s="82">
        <v>18</v>
      </c>
      <c r="C68" s="24">
        <v>44419</v>
      </c>
      <c r="D68" s="86">
        <v>0.73975694444379769</v>
      </c>
      <c r="E68" s="25" t="s">
        <v>56</v>
      </c>
      <c r="F68" s="26" t="s">
        <v>68</v>
      </c>
    </row>
    <row r="69" spans="2:6" x14ac:dyDescent="0.25">
      <c r="B69" s="82">
        <v>17</v>
      </c>
      <c r="C69" s="24">
        <v>44419</v>
      </c>
      <c r="D69" s="86">
        <v>0.708356481482042</v>
      </c>
      <c r="E69" s="25" t="s">
        <v>56</v>
      </c>
      <c r="F69" s="26" t="s">
        <v>69</v>
      </c>
    </row>
    <row r="70" spans="2:6" x14ac:dyDescent="0.25">
      <c r="B70" s="82">
        <v>16</v>
      </c>
      <c r="C70" s="24">
        <v>44419</v>
      </c>
      <c r="D70" s="86">
        <v>0.51960648148087785</v>
      </c>
      <c r="E70" s="25" t="s">
        <v>56</v>
      </c>
      <c r="F70" s="26" t="s">
        <v>70</v>
      </c>
    </row>
    <row r="71" spans="2:6" x14ac:dyDescent="0.25">
      <c r="B71" s="82">
        <v>15</v>
      </c>
      <c r="C71" s="24">
        <v>44419</v>
      </c>
      <c r="D71" s="86">
        <v>0.49577546296495711</v>
      </c>
      <c r="E71" s="25" t="s">
        <v>56</v>
      </c>
      <c r="F71" s="27" t="s">
        <v>71</v>
      </c>
    </row>
    <row r="72" spans="2:6" x14ac:dyDescent="0.25">
      <c r="B72" s="82">
        <v>14</v>
      </c>
      <c r="C72" s="24">
        <v>44419</v>
      </c>
      <c r="D72" s="86">
        <v>0.49174768518423662</v>
      </c>
      <c r="E72" s="25" t="s">
        <v>56</v>
      </c>
      <c r="F72" s="26" t="s">
        <v>72</v>
      </c>
    </row>
    <row r="73" spans="2:6" x14ac:dyDescent="0.25">
      <c r="B73" s="82">
        <v>13</v>
      </c>
      <c r="C73" s="24">
        <v>44419</v>
      </c>
      <c r="D73" s="86">
        <v>0.49034722222131677</v>
      </c>
      <c r="E73" s="25" t="s">
        <v>56</v>
      </c>
      <c r="F73" s="26" t="s">
        <v>73</v>
      </c>
    </row>
    <row r="74" spans="2:6" x14ac:dyDescent="0.25">
      <c r="B74" s="82">
        <v>12</v>
      </c>
      <c r="C74" s="24">
        <v>44419</v>
      </c>
      <c r="D74" s="86">
        <v>0.48190972222073469</v>
      </c>
      <c r="E74" s="25" t="s">
        <v>56</v>
      </c>
      <c r="F74" s="26" t="s">
        <v>74</v>
      </c>
    </row>
    <row r="75" spans="2:6" x14ac:dyDescent="0.25">
      <c r="B75" s="82">
        <v>11</v>
      </c>
      <c r="C75" s="24">
        <v>44418</v>
      </c>
      <c r="D75" s="86">
        <v>0.95467592592467554</v>
      </c>
      <c r="E75" s="25" t="s">
        <v>56</v>
      </c>
      <c r="F75" s="27" t="s">
        <v>75</v>
      </c>
    </row>
    <row r="76" spans="2:6" x14ac:dyDescent="0.25">
      <c r="B76" s="82">
        <v>10</v>
      </c>
      <c r="C76" s="24">
        <v>44418</v>
      </c>
      <c r="D76" s="86">
        <v>0.73436342592322035</v>
      </c>
      <c r="E76" s="25" t="s">
        <v>56</v>
      </c>
      <c r="F76" s="27" t="s">
        <v>76</v>
      </c>
    </row>
    <row r="77" spans="2:6" x14ac:dyDescent="0.25">
      <c r="B77" s="82">
        <v>9</v>
      </c>
      <c r="C77" s="24">
        <v>44417</v>
      </c>
      <c r="D77" s="86">
        <v>0.54605324073781958</v>
      </c>
      <c r="E77" s="25" t="s">
        <v>56</v>
      </c>
      <c r="F77" s="26" t="s">
        <v>77</v>
      </c>
    </row>
    <row r="78" spans="2:6" x14ac:dyDescent="0.25">
      <c r="B78" s="82">
        <v>8</v>
      </c>
      <c r="C78" s="24">
        <v>44416</v>
      </c>
      <c r="D78" s="86">
        <v>0.54939814814861165</v>
      </c>
      <c r="E78" s="25" t="s">
        <v>56</v>
      </c>
      <c r="F78" s="26" t="s">
        <v>78</v>
      </c>
    </row>
    <row r="79" spans="2:6" x14ac:dyDescent="0.25">
      <c r="B79" s="82">
        <v>7</v>
      </c>
      <c r="C79" s="24">
        <v>44415</v>
      </c>
      <c r="D79" s="86">
        <v>0.96137731481576338</v>
      </c>
      <c r="E79" s="25" t="s">
        <v>56</v>
      </c>
      <c r="F79" s="26" t="s">
        <v>79</v>
      </c>
    </row>
    <row r="80" spans="2:6" x14ac:dyDescent="0.25">
      <c r="B80" s="82">
        <v>6</v>
      </c>
      <c r="C80" s="24">
        <v>44414</v>
      </c>
      <c r="D80" s="86">
        <v>0.66607638888672227</v>
      </c>
      <c r="E80" s="25" t="s">
        <v>56</v>
      </c>
      <c r="F80" s="27" t="s">
        <v>80</v>
      </c>
    </row>
    <row r="81" spans="2:6" x14ac:dyDescent="0.25">
      <c r="B81" s="82">
        <v>5</v>
      </c>
      <c r="C81" s="24">
        <v>44412</v>
      </c>
      <c r="D81" s="86">
        <v>0.34912037036701804</v>
      </c>
      <c r="E81" s="25" t="s">
        <v>56</v>
      </c>
      <c r="F81" s="27" t="s">
        <v>81</v>
      </c>
    </row>
    <row r="82" spans="2:6" x14ac:dyDescent="0.25">
      <c r="B82" s="82">
        <v>4</v>
      </c>
      <c r="C82" s="24">
        <v>44411</v>
      </c>
      <c r="D82" s="86">
        <v>0.37682870370190358</v>
      </c>
      <c r="E82" s="25" t="s">
        <v>56</v>
      </c>
      <c r="F82" s="26" t="s">
        <v>82</v>
      </c>
    </row>
    <row r="83" spans="2:6" x14ac:dyDescent="0.25">
      <c r="B83" s="82">
        <v>3</v>
      </c>
      <c r="C83" s="24">
        <v>44406</v>
      </c>
      <c r="D83" s="86">
        <v>0.59842592592758592</v>
      </c>
      <c r="E83" s="25" t="s">
        <v>56</v>
      </c>
      <c r="F83" s="26" t="s">
        <v>83</v>
      </c>
    </row>
    <row r="84" spans="2:6" x14ac:dyDescent="0.25">
      <c r="B84" s="82">
        <v>2</v>
      </c>
      <c r="C84" s="24">
        <v>44406</v>
      </c>
      <c r="D84" s="86">
        <v>0.57677083333692281</v>
      </c>
      <c r="E84" s="25" t="s">
        <v>56</v>
      </c>
      <c r="F84" s="27" t="s">
        <v>84</v>
      </c>
    </row>
    <row r="85" spans="2:6" x14ac:dyDescent="0.25">
      <c r="B85" s="28">
        <v>1</v>
      </c>
      <c r="C85" s="29">
        <v>44400</v>
      </c>
      <c r="D85" s="87">
        <v>0.58872685184906004</v>
      </c>
      <c r="E85" s="30" t="s">
        <v>56</v>
      </c>
      <c r="F85"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2021-09-11T08:03:10Z</dcterms:modified>
</cp:coreProperties>
</file>