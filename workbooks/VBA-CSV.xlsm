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F04585B-04D8-4375-862C-77C7E23722D7}"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7"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8">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7" l="1" a="1"/>
  <c r="J2" i="37"/>
  <c r="A3" i="37" a="1"/>
  <c r="A3" i="37" s="1"/>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C3" i="37" l="1" a="1"/>
  <c r="B3" i="37" a="1"/>
  <c r="B3" i="37" s="1"/>
  <c r="D202" i="4"/>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37" l="1"/>
  <c r="C3" i="4"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F3" i="37" a="1"/>
  <c r="F3" i="37" l="1"/>
  <c r="AA15" i="4"/>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H2" i="37" a="1"/>
  <c r="H2" i="37" l="1"/>
  <c r="B211" i="4"/>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<sst xmlns="http://schemas.openxmlformats.org/spreadsheetml/2006/main" count="1502" uniqueCount="664">
  <si>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</si>
  <si>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</si>
  <si>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</si>
  <si>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</si>
  <si>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</si>
  <si>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</si>
  <si>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</si>
  <si>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</si>
  <si>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</si>
  <si>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</si>
  <si>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</si>
  <si>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</si>
  <si>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</si>
  <si>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</si>
  <si>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</si>
  <si>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</si>
  <si>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</si>
  <si>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</si>
  <si>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</si>
  <si>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</si>
  <si>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</si>
  <si>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</si>
  <si>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</si>
  <si>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</si>
  <si>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</si>
  <si>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</si>
  <si>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</si>
  <si>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</si>
  <si>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</si>
  <si>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</si>
  <si>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</si>
  <si>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</si>
  <si>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</si>
  <si>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</si>
  <si>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</si>
  <si>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</si>
  <si>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</si>
  <si>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</si>
  <si>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</si>
  <si>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</si>
  <si>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</si>
  <si>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</si>
  <si>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</si>
  <si>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</si>
  <si>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</si>
  <si>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</si>
  <si>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</si>
  <si>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</si>
  <si>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</si>
  <si>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</si>
  <si>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</si>
  <si>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</si>
  <si>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</si>
  <si>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</si>
  <si>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</si>
  <si>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</si>
  <si>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</si>
  <si>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</si>
  <si>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</si>
  <si>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</si>
  <si>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</si>
  <si>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</si>
  <si>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</si>
  <si>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</si>
  <si>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</si>
  <si>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</si>
  <si>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</si>
  <si>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</si>
  <si>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</si>
  <si>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</si>
  <si>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</si>
  <si>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</si>
  <si>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</si>
  <si>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</si>
  <si>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</si>
  <si>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</si>
  <si>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</si>
  <si>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</si>
  <si>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</si>
  <si>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</si>
  <si>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</si>
  <si>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</si>
  <si>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</si>
  <si>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</si>
  <si>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</si>
  <si>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</si>
  <si>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</si>
  <si>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</si>
  <si>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</si>
  <si>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</si>
  <si>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</si>
  <si>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</si>
  <si>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</si>
  <si>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</si>
  <si>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</si>
  <si>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</si>
  <si>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</si>
  <si>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</si>
  <si>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</si>
  <si>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</si>
  <si>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</si>
  <si>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</si>
  <si>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</si>
  <si>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</si>
  <si>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</si>
  <si>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</si>
  <si>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</si>
  <si>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</si>
  <si>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</si>
  <si>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</si>
  <si>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</si>
  <si>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</si>
  <si>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</si>
  <si>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</si>
  <si>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</si>
  <si>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</si>
  <si>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</si>
  <si>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</si>
  <si>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</si>
  <si>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</si>
  <si>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</si>
  <si>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</si>
  <si>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</si>
  <si>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</si>
  <si>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</si>
  <si>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</si>
  <si>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</si>
  <si>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</si>
  <si>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</si>
  <si>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</si>
  <si>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</si>
  <si>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</si>
  <si>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</si>
  <si>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</si>
  <si>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</si>
  <si>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</si>
  <si>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</si>
  <si>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</si>
  <si>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</si>
  <si>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</si>
  <si>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</si>
  <si>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</si>
  <si>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</si>
  <si>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</si>
  <si>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</si>
  <si>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</si>
  <si>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</si>
  <si>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</si>
  <si>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</si>
  <si>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</si>
  <si>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</si>
  <si>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</si>
  <si>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</si>
  <si>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</si>
  <si>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</si>
  <si>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</si>
  <si>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</si>
  <si>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</si>
  <si>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</si>
  <si>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</si>
  <si>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</si>
  <si>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</si>
  <si>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</si>
  <si>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</si>
  <si>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</si>
  <si>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</si>
  <si>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</si>
  <si>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</si>
  <si>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</si>
  <si>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</si>
  <si>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</si>
  <si>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</si>
  <si>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</si>
  <si>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</si>
  <si>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</si>
  <si>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</si>
  <si>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</si>
  <si>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</si>
  <si>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</si>
  <si>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</si>
  <si>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</si>
  <si>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</si>
  <si>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</si>
  <si>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</si>
  <si>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</si>
  <si>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</si>
  <si>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</si>
  <si>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</si>
  <si>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</si>
  <si>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</si>
  <si>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</si>
  <si>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</si>
  <si>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</si>
  <si>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</si>
  <si>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</si>
  <si>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</si>
  <si>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</si>
  <si>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</si>
  <si>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</si>
  <si>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</si>
  <si>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</si>
  <si>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</si>
  <si>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</si>
  <si>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</si>
  <si>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</si>
  <si>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</si>
  <si>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</si>
  <si>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</si>
  <si>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</si>
  <si>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</si>
  <si>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</si>
  <si>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</si>
  <si>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</si>
  <si>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</si>
  <si>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</si>
  <si>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</si>
  <si>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</si>
  <si>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</si>
  <si>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</si>
  <si>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</si>
  <si>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</si>
  <si>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</si>
  <si>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</si>
  <si>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</si>
  <si>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</si>
  <si>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</si>
  <si>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</si>
  <si>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</si>
  <si>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</si>
  <si>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</si>
  <si>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</si>
  <si>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</si>
  <si>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</si>
  <si>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</si>
  <si>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</si>
  <si>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</si>
  <si>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</si>
  <si>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</si>
  <si>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</si>
  <si>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</si>
  <si>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</si>
  <si>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</si>
  <si>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</si>
  <si>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</si>
  <si>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</si>
  <si>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</si>
  <si>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</si>
  <si>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</si>
  <si>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</si>
  <si>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</si>
  <si>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</si>
  <si>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</si>
  <si>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</si>
  <si>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</si>
  <si>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</si>
  <si>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</si>
  <si>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</si>
  <si>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</si>
  <si>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</si>
  <si>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</si>
  <si>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</si>
  <si>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</si>
  <si>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</si>
  <si>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</si>
  <si>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</si>
  <si>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</si>
  <si>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</si>
  <si>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</si>
  <si>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</si>
  <si>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</si>
  <si>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</si>
  <si>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</si>
  <si>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</si>
  <si>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</si>
  <si>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</si>
  <si>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</si>
  <si>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</si>
  <si>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</si>
  <si>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</si>
  <si>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</si>
  <si>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</si>
  <si>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</si>
  <si>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</si>
  <si>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</si>
  <si>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</si>
  <si>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</si>
  <si>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</si>
  <si>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</si>
  <si>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</si>
  <si>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</si>
  <si>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</si>
  <si>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</si>
  <si>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</si>
  <si>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</si>
  <si>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</si>
  <si>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</si>
  <si>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</si>
  <si>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</si>
  <si>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</si>
  <si>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</si>
  <si>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</si>
  <si>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</si>
  <si>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</si>
  <si>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</si>
  <si>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</si>
  <si>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</si>
  <si>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</si>
  <si>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</si>
  <si>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</si>
  <si>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</si>
  <si>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</si>
  <si>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</si>
  <si>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</si>
  <si>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</si>
  <si>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</si>
  <si>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</si>
  <si>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</si>
  <si>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</si>
  <si>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</si>
  <si>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</si>
  <si>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</si>
  <si>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</si>
  <si>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</si>
  <si>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</si>
  <si>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</si>
  <si>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</si>
  <si>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</si>
  <si>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</si>
  <si>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</si>
  <si>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</si>
  <si>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</si>
  <si>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</si>
  <si>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</si>
  <si>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</si>
  <si>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</si>
  <si>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</si>
  <si>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</si>
  <si>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</si>
  <si>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</si>
  <si>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</si>
  <si>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</si>
  <si>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</si>
  <si>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</si>
  <si>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</si>
  <si>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</si>
  <si>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</si>
  <si>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</si>
  <si>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</si>
  <si>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</si>
  <si>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</si>
  <si>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</si>
  <si>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</si>
  <si>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</si>
  <si>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</si>
  <si>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</si>
  <si>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</si>
  <si>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</si>
  <si>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</si>
  <si>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</si>
  <si>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</si>
  <si>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</si>
  <si>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</si>
  <si>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</si>
  <si>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</si>
  <si>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</si>
  <si>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</si>
  <si>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</si>
  <si>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</si>
  <si>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</si>
  <si>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</si>
  <si>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</si>
  <si>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</si>
  <si>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</si>
  <si>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</si>
  <si>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</si>
  <si>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</si>
  <si>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</si>
  <si>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</si>
  <si>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</si>
  <si>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</si>
  <si>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</si>
  <si>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</si>
  <si>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</si>
  <si>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</si>
  <si>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</si>
  <si>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</si>
  <si>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</si>
  <si>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</si>
  <si>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</si>
  <si>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</si>
  <si>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</si>
  <si>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</si>
  <si>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</si>
  <si>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</si>
  <si>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</si>
  <si>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</si>
  <si>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</si>
  <si>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</si>
  <si>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</si>
  <si>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</si>
  <si>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</si>
  <si>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</si>
  <si>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</si>
  <si>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</si>
  <si>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</si>
  <si>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</si>
  <si>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</si>
  <si>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</si>
  <si>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</si>
  <si>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</si>
  <si>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</si>
  <si>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</si>
  <si>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</si>
  <si>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</si>
  <si>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</si>
  <si>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</si>
  <si>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</si>
  <si>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</si>
  <si>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</si>
  <si>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</si>
  <si>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</si>
  <si>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</si>
  <si>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</si>
  <si>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</si>
  <si>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</si>
  <si>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</si>
  <si>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</si>
  <si>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</si>
  <si>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</si>
  <si>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</si>
  <si>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</si>
  <si>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</si>
  <si>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</si>
  <si>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</si>
  <si>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</si>
  <si>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</si>
  <si>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</si>
  <si>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</si>
  <si>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</si>
  <si>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</si>
  <si>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</si>
  <si>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</si>
  <si>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</si>
  <si>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</si>
  <si>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</si>
  <si>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</si>
  <si>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</si>
  <si>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</si>
  <si>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</si>
  <si>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</si>
  <si>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</si>
  <si>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</si>
  <si>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</si>
  <si>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</si>
  <si>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</si>
  <si>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</si>
  <si>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</si>
  <si>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</si>
  <si>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</si>
  <si>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</si>
  <si>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</si>
  <si>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</si>
  <si>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</si>
  <si>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</si>
  <si>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</si>
  <si>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</si>
  <si>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</si>
  <si>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</si>
  <si>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</si>
  <si>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</si>
  <si>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</si>
  <si>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</si>
  <si>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</si>
  <si>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</si>
  <si>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</si>
  <si>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</si>
  <si>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</si>
  <si>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</si>
  <si>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</si>
  <si>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</si>
  <si>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</si>
  <si>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</si>
  <si>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</si>
  <si>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</si>
  <si>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</si>
  <si>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</si>
  <si>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</si>
  <si>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</si>
  <si>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</si>
  <si>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</si>
  <si>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</si>
  <si>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</si>
  <si>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</si>
  <si>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</si>
  <si>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</si>
  <si>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</si>
  <si>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</si>
  <si>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</si>
  <si>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</si>
  <si>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</si>
  <si>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</si>
  <si>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</si>
  <si>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</si>
  <si>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</si>
  <si>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</si>
  <si>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</si>
  <si>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</si>
  <si>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</si>
  <si>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</si>
  <si>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</si>
  <si>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</si>
  <si>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</si>
  <si>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</si>
  <si>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</si>
  <si>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</si>
  <si>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</si>
  <si>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</si>
  <si>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</si>
  <si>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</si>
  <si>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</si>
  <si>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</si>
  <si>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</si>
  <si>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</si>
  <si>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</si>
  <si>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</si>
  <si>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</si>
  <si>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</si>
  <si>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</si>
  <si>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</si>
  <si>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</si>
  <si>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</si>
  <si>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</si>
  <si>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</si>
  <si>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</si>
  <si>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</si>
  <si>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</si>
  <si>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</si>
  <si>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</si>
  <si>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</si>
  <si>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</si>
  <si>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</si>
  <si>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</si>
  <si>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</si>
  <si>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</si>
  <si>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</si>
  <si>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</si>
  <si>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</si>
  <si>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</si>
  <si>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</si>
  <si>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</si>
  <si>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</si>
  <si>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</si>
  <si>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</si>
  <si>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</si>
  <si>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</si>
  <si>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</si>
  <si>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</si>
  <si>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</si>
  <si>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</si>
  <si>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</si>
  <si>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</si>
  <si>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</si>
  <si>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</si>
  <si>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</si>
  <si>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</si>
  <si>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</si>
  <si>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</si>
  <si>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</si>
  <si>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</si>
  <si>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</si>
  <si>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</si>
  <si>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</si>
  <si>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</si>
  <si>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</si>
  <si>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</si>
  <si>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</si>
  <si>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</si>
  <si>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</si>
  <si>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</si>
  <si>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</si>
  <si>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</si>
  <si>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</si>
  <si>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</si>
  <si>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</si>
  <si>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</si>
  <si>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</si>
  <si>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</si>
  <si>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</si>
  <si>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</si>
  <si>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</si>
  <si>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</si>
  <si>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</si>
  <si>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</si>
  <si>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</si>
  <si>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</si>
  <si>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</si>
  <si>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</si>
  <si>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</si>
  <si>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</si>
  <si>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</si>
  <si>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</si>
  <si>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</si>
  <si>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</si>
  <si>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</si>
  <si>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</si>
  <si>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</si>
  <si>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</si>
  <si>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</si>
  <si>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</si>
  <si>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</si>
  <si>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</si>
  <si>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</si>
  <si>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</si>
  <si>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</si>
  <si>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</si>
  <si>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</si>
  <si>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</si>
  <si>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</si>
  <si>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</si>
  <si>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</si>
  <si>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</si>
  <si>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</si>
  <si>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</si>
  <si>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</si>
  <si>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</si>
  <si>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</si>
  <si>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</si>
  <si>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</si>
  <si>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</si>
  <si>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</si>
  <si>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</si>
  <si>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</si>
  <si>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</si>
  <si>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</si>
  <si>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</si>
  <si>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</si>
  <si>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</si>
  <si>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</si>
  <si>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</si>
  <si>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</si>
  <si>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</si>
  <si>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</si>
  <si>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</si>
  <si>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</si>
  <si>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</si>
  <si>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</si>
  <si>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</si>
  <si>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Booleans</t>
  </si>
  <si>
    <t>Dates</t>
  </si>
  <si>
    <t>Added sheet GIF that works in conjuction with workbook VBA-CSV-GIFMaker.xlsm</t>
  </si>
  <si>
    <t>Strings</t>
  </si>
  <si>
    <t>Text</t>
  </si>
  <si>
    <t>Text, with comma</t>
  </si>
  <si>
    <t>Text "with" quotes</t>
  </si>
  <si>
    <t>Data</t>
  </si>
  <si>
    <t>CSVWrite</t>
  </si>
  <si>
    <t>CSVRead</t>
  </si>
  <si>
    <t>Changes to sheet GIF.</t>
  </si>
  <si>
    <t>CSVRead (Delimited = FALSE)</t>
  </si>
  <si>
    <t>Nums</t>
  </si>
  <si>
    <t>Text with 
line feed</t>
  </si>
  <si>
    <t>Text with
carriage return</t>
  </si>
  <si>
    <t>c:\Temp\Test.csv</t>
  </si>
  <si>
    <t>Arg DateFormat to CSVRead now defaults to Y-M-D.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</si>
</sst>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_);[Red]\(#,##0\)"/>
    <numFmt numFmtId="167" formatCode="dd\-mmm\-yyyy\ hh:mm:ss"/>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applyNumberFormat="1" applyBorder="1" applyAlignment="1">
      <alignment vertical="center" wrapText="1"/>
    </xf>
    <xf numFmtId="164" fontId="0" fillId="0" borderId="0" xfId="0" quotePrefix="1" applyNumberFormat="1" applyBorder="1" applyAlignment="1">
      <alignment horizontal="left" vertical="center" wrapText="1"/>
    </xf>
    <xf numFmtId="0" fontId="0" fillId="0" borderId="0" xfId="0" applyBorder="1"/>
    <xf numFmtId="0" fontId="0" fillId="0" borderId="0" xfId="0" applyFont="1" applyBorder="1" applyAlignment="1">
      <alignment vertical="center"/>
    </xf>
    <xf numFmtId="0" fontId="15" fillId="0" borderId="0" xfId="0" applyFont="1" applyBorder="1" applyAlignment="1">
      <alignment vertical="center"/>
    </xf>
    <xf numFmtId="0" fontId="15" fillId="0" borderId="0" xfId="0" quotePrefix="1" applyFont="1" applyBorder="1" applyAlignment="1">
      <alignment horizontal="left" vertical="center"/>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7" fontId="0" fillId="0" borderId="0" xfId="0" applyNumberFormat="1" applyBorder="1" applyAlignment="1">
      <alignmen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56" dataDxfId="54" headerRowBorderDxfId="55" tableBorderDxfId="53" totalsRowBorderDxfId="52">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200</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93" t="str">
        <f ca="1">B14</f>
        <v>File Size</v>
      </c>
      <c r="C8" s="93" t="s">
        <v>582</v>
      </c>
      <c r="D8" s="93" t="str">
        <f t="shared" ref="D8:U8" ca="1" si="0">D14</f>
        <v>FileName</v>
      </c>
      <c r="E8" s="93" t="str">
        <f t="shared" ca="1" si="0"/>
        <v>ConvertTypes</v>
      </c>
      <c r="F8" s="93" t="str">
        <f t="shared" ca="1" si="0"/>
        <v>Delimiter</v>
      </c>
      <c r="G8" s="93" t="str">
        <f t="shared" ca="1" si="0"/>
        <v>IgnoreRepeated</v>
      </c>
      <c r="H8" s="93" t="str">
        <f t="shared" ca="1" si="0"/>
        <v>DateFormat</v>
      </c>
      <c r="I8" s="93" t="str">
        <f t="shared" ca="1" si="0"/>
        <v>Comment</v>
      </c>
      <c r="J8" s="93" t="str">
        <f t="shared" ca="1" si="0"/>
        <v>IgnoreEmptyLines</v>
      </c>
      <c r="K8" s="93" t="str">
        <f t="shared" ca="1" si="0"/>
        <v>HeaderRowNum</v>
      </c>
      <c r="L8" s="93" t="str">
        <f t="shared" ca="1" si="0"/>
        <v>SkipToRow</v>
      </c>
      <c r="M8" s="93" t="str">
        <f t="shared" ca="1" si="0"/>
        <v>SkipToCol</v>
      </c>
      <c r="N8" s="93" t="str">
        <f t="shared" ca="1" si="0"/>
        <v>NumRows</v>
      </c>
      <c r="O8" s="93" t="str">
        <f t="shared" ca="1" si="0"/>
        <v>NumCols</v>
      </c>
      <c r="P8" s="93" t="str">
        <f t="shared" ca="1" si="0"/>
        <v>TrueStrings</v>
      </c>
      <c r="Q8" s="93" t="str">
        <f t="shared" ca="1" si="0"/>
        <v>FalseStrings</v>
      </c>
      <c r="R8" s="93" t="str">
        <f t="shared" ca="1" si="0"/>
        <v>MissingStrings</v>
      </c>
      <c r="S8" s="93" t="str">
        <f t="shared" ca="1" si="0"/>
        <v>Encoding</v>
      </c>
      <c r="T8" s="93" t="str">
        <f t="shared" ca="1" si="0"/>
        <v>DecimalSeparator</v>
      </c>
      <c r="U8" s="93" t="str">
        <f t="shared" ca="1" si="0"/>
        <v>Notes</v>
      </c>
      <c r="V8" s="65" t="str" cm="1">
        <f t="array" aca="1" ref="V8:V215" ca="1">fill(" ",ROWS(Tests[TestNo])+6,1)</f>
        <v xml:space="preserve"> </v>
      </c>
      <c r="AB8" s="58"/>
    </row>
    <row r="9" spans="2:41" ht="14.25" customHeight="1" x14ac:dyDescent="0.45">
      <c r="B9" s="93"/>
      <c r="C9" s="93"/>
      <c r="D9" s="93"/>
      <c r="E9" s="93"/>
      <c r="F9" s="93"/>
      <c r="G9" s="93"/>
      <c r="H9" s="93"/>
      <c r="I9" s="93"/>
      <c r="J9" s="93"/>
      <c r="K9" s="93"/>
      <c r="L9" s="93"/>
      <c r="M9" s="93"/>
      <c r="N9" s="93"/>
      <c r="O9" s="93"/>
      <c r="P9" s="93"/>
      <c r="Q9" s="93"/>
      <c r="R9" s="93"/>
      <c r="S9" s="93"/>
      <c r="T9" s="93"/>
      <c r="U9" s="93"/>
      <c r="V9" s="65" t="str">
        <f ca="1"/>
        <v xml:space="preserve"> </v>
      </c>
      <c r="AA9" s="57"/>
      <c r="AB9" s="58"/>
    </row>
    <row r="10" spans="2:41" ht="14.25" customHeight="1" x14ac:dyDescent="0.45">
      <c r="B10" s="93"/>
      <c r="C10" s="93"/>
      <c r="D10" s="93"/>
      <c r="E10" s="93"/>
      <c r="F10" s="93"/>
      <c r="G10" s="93"/>
      <c r="H10" s="93"/>
      <c r="I10" s="93"/>
      <c r="J10" s="93"/>
      <c r="K10" s="93"/>
      <c r="L10" s="93"/>
      <c r="M10" s="93"/>
      <c r="N10" s="93"/>
      <c r="O10" s="93"/>
      <c r="P10" s="93"/>
      <c r="Q10" s="93"/>
      <c r="R10" s="93"/>
      <c r="S10" s="93"/>
      <c r="T10" s="93"/>
      <c r="U10" s="93"/>
      <c r="V10" s="65" t="str">
        <f ca="1"/>
        <v xml:space="preserve"> </v>
      </c>
      <c r="AA10" s="57"/>
      <c r="AB10" s="58"/>
    </row>
    <row r="11" spans="2:41" x14ac:dyDescent="0.45">
      <c r="B11" s="93"/>
      <c r="C11" s="93"/>
      <c r="D11" s="93"/>
      <c r="E11" s="93"/>
      <c r="F11" s="93"/>
      <c r="G11" s="93"/>
      <c r="H11" s="93"/>
      <c r="I11" s="93"/>
      <c r="J11" s="93"/>
      <c r="K11" s="93"/>
      <c r="L11" s="93"/>
      <c r="M11" s="93"/>
      <c r="N11" s="93"/>
      <c r="O11" s="93"/>
      <c r="P11" s="93"/>
      <c r="Q11" s="93"/>
      <c r="R11" s="93"/>
      <c r="S11" s="93"/>
      <c r="T11" s="93"/>
      <c r="U11" s="93"/>
      <c r="V11" s="65" t="str">
        <f ca="1"/>
        <v xml:space="preserve"> </v>
      </c>
      <c r="AB11" s="58"/>
    </row>
    <row r="12" spans="2:41" x14ac:dyDescent="0.45">
      <c r="B12" s="93"/>
      <c r="C12" s="93"/>
      <c r="D12" s="93"/>
      <c r="E12" s="93"/>
      <c r="F12" s="93"/>
      <c r="G12" s="93"/>
      <c r="H12" s="93"/>
      <c r="I12" s="93"/>
      <c r="J12" s="93"/>
      <c r="K12" s="93"/>
      <c r="L12" s="93"/>
      <c r="M12" s="93"/>
      <c r="N12" s="93"/>
      <c r="O12" s="93"/>
      <c r="P12" s="93"/>
      <c r="Q12" s="93"/>
      <c r="R12" s="93"/>
      <c r="S12" s="93"/>
      <c r="T12" s="93"/>
      <c r="U12" s="93"/>
      <c r="V12" s="65" t="str">
        <f ca="1"/>
        <v xml:space="preserve"> </v>
      </c>
      <c r="AB12" s="58"/>
    </row>
    <row r="13" spans="2:41" x14ac:dyDescent="0.45">
      <c r="B13" s="94"/>
      <c r="C13" s="94"/>
      <c r="D13" s="94"/>
      <c r="E13" s="94"/>
      <c r="F13" s="94"/>
      <c r="G13" s="94"/>
      <c r="H13" s="94"/>
      <c r="I13" s="94"/>
      <c r="J13" s="94"/>
      <c r="K13" s="94"/>
      <c r="L13" s="94"/>
      <c r="M13" s="94"/>
      <c r="N13" s="94"/>
      <c r="O13" s="94"/>
      <c r="P13" s="94"/>
      <c r="Q13" s="94"/>
      <c r="R13" s="94"/>
      <c r="S13" s="94"/>
      <c r="T13" s="94"/>
      <c r="U13" s="94"/>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6">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eet2"/>
  <dimension ref="A1:P23"/>
  <sheetViews>
    <sheetView showGridLines="0" showRowColHeaders="0" workbookViewId="0"/>
  </sheetViews>
  <sheetFormatPr defaultRowHeight="14.25" x14ac:dyDescent="0.45"/>
  <cols>
    <col min="1" max="1" width="5.265625" bestFit="1" customWidth="1"/>
    <col min="2" max="2" width="7.86328125" bestFit="1" customWidth="1"/>
    <col min="3" max="3" width="18.3984375" bestFit="1" customWidth="1"/>
    <col min="4" max="4" width="15.59765625" bestFit="1" customWidth="1"/>
    <col min="5" max="5" width="2.59765625" customWidth="1"/>
    <col min="6" max="6" width="14.1328125" bestFit="1" customWidth="1"/>
    <col min="7" max="7" width="2.59765625" customWidth="1"/>
    <col min="8" max="8" width="34.6640625" bestFit="1" customWidth="1"/>
    <col min="9" max="9" width="2.59765625" customWidth="1"/>
    <col min="10" max="10" width="5.265625" bestFit="1" customWidth="1"/>
    <col min="11" max="11" width="7.86328125" bestFit="1" customWidth="1"/>
    <col min="12" max="12" width="18.3984375" bestFit="1" customWidth="1"/>
    <col min="13" max="13" width="15.59765625" bestFit="1" customWidth="1"/>
  </cols>
  <sheetData>
    <row r="1" spans="1:16" x14ac:dyDescent="0.45">
      <c r="A1" s="84" t="s">
        <v>654</v>
      </c>
      <c r="B1" s="83"/>
      <c r="C1" s="83"/>
      <c r="D1" s="83"/>
      <c r="E1" s="83"/>
      <c r="F1" s="84" t="s">
        <v>655</v>
      </c>
      <c r="G1" s="83"/>
      <c r="H1" s="85" t="s">
        <v>658</v>
      </c>
      <c r="I1" s="83"/>
      <c r="J1" s="84" t="s">
        <v>656</v>
      </c>
      <c r="K1" s="83"/>
      <c r="L1" s="83"/>
      <c r="M1" s="77"/>
      <c r="N1" s="77"/>
      <c r="O1" s="77"/>
      <c r="P1" s="13"/>
    </row>
    <row r="2" spans="1:16" x14ac:dyDescent="0.45">
      <c r="A2" s="77" t="s">
        <v>659</v>
      </c>
      <c r="B2" s="77" t="s">
        <v>647</v>
      </c>
      <c r="C2" s="78" t="s">
        <v>648</v>
      </c>
      <c r="D2" s="78" t="s">
        <v>650</v>
      </c>
      <c r="E2" s="78"/>
      <c r="F2" s="77" t="s">
        <v>662</v>
      </c>
      <c r="G2" s="77"/>
      <c r="H2" s="77" t="str" cm="1">
        <f t="array" aca="1" ref="H2:H14" ca="1">CSVRead(F3,FALSE,FALSE)</f>
        <v>"Nums","Booleans","Dates","Strings"</v>
      </c>
      <c r="I2" s="77"/>
      <c r="J2" s="77" t="str" cm="1">
        <f t="array" aca="1" ref="J2:M12" ca="1">CSVRead(F3,TRUE,,,"ISO")</f>
        <v>Nums</v>
      </c>
      <c r="K2" s="77" t="str">
        <f ca="1"/>
        <v>Booleans</v>
      </c>
      <c r="L2" s="78" t="str">
        <f ca="1"/>
        <v>Dates</v>
      </c>
      <c r="M2" s="79" t="str">
        <f ca="1"/>
        <v>Strings</v>
      </c>
      <c r="N2" s="77"/>
      <c r="O2" s="77"/>
      <c r="P2" s="13"/>
    </row>
    <row r="3" spans="1:16" x14ac:dyDescent="0.45">
      <c r="A3" s="77" cm="1">
        <f t="array" aca="1" ref="A3:A12" ca="1">_xlfn.SEQUENCE(10)</f>
        <v>1</v>
      </c>
      <c r="B3" s="77" t="b" cm="1">
        <f t="array" aca="1" ref="B3:B12" ca="1">MOD(_xlfn.ANCHORARRAY(A3),2)=0</f>
        <v>0</v>
      </c>
      <c r="C3" s="95" cm="1">
        <f t="array" aca="1" ref="C3:C12" ca="1">TODAY()+_xlfn.ANCHORARRAY(A3)+0.5</f>
        <v>44467.5</v>
      </c>
      <c r="D3" s="78" t="s">
        <v>651</v>
      </c>
      <c r="E3" s="78"/>
      <c r="F3" s="77" t="str" cm="1">
        <f t="array" aca="1" ref="F3" ca="1">CSVWrite(A2:D12,F2)</f>
        <v>c:\Temp\Test.csv</v>
      </c>
      <c r="G3" s="77"/>
      <c r="H3" s="77" t="str">
        <f ca="1"/>
        <v>1,False,2021-09-28T12:00:00,"Text"</v>
      </c>
      <c r="I3" s="77"/>
      <c r="J3" s="77">
        <f ca="1"/>
        <v>1</v>
      </c>
      <c r="K3" s="77" t="b">
        <f ca="1"/>
        <v>0</v>
      </c>
      <c r="L3" s="95">
        <f ca="1"/>
        <v>44467.5</v>
      </c>
      <c r="M3" s="79" t="str">
        <f ca="1"/>
        <v>Text</v>
      </c>
      <c r="N3" s="77"/>
      <c r="O3" s="77"/>
      <c r="P3" s="13"/>
    </row>
    <row r="4" spans="1:16" x14ac:dyDescent="0.45">
      <c r="A4" s="77">
        <f ca="1"/>
        <v>2</v>
      </c>
      <c r="B4" s="77" t="b">
        <f ca="1"/>
        <v>1</v>
      </c>
      <c r="C4" s="95">
        <f ca="1"/>
        <v>44468.5</v>
      </c>
      <c r="D4" s="80" t="s">
        <v>652</v>
      </c>
      <c r="E4" s="78"/>
      <c r="F4" s="77"/>
      <c r="G4" s="77"/>
      <c r="H4" s="77" t="str">
        <f ca="1"/>
        <v>2,True,2021-09-29T12:00:00,"Text, with comma"</v>
      </c>
      <c r="I4" s="77"/>
      <c r="J4" s="77">
        <f ca="1"/>
        <v>2</v>
      </c>
      <c r="K4" s="77" t="b">
        <f ca="1"/>
        <v>1</v>
      </c>
      <c r="L4" s="95">
        <f ca="1"/>
        <v>44468.5</v>
      </c>
      <c r="M4" s="79" t="str">
        <f ca="1"/>
        <v>Text, with comma</v>
      </c>
      <c r="N4" s="77"/>
      <c r="O4" s="77"/>
      <c r="P4" s="13"/>
    </row>
    <row r="5" spans="1:16" ht="28.5" x14ac:dyDescent="0.45">
      <c r="A5" s="77">
        <f ca="1"/>
        <v>3</v>
      </c>
      <c r="B5" s="77" t="b">
        <f ca="1"/>
        <v>0</v>
      </c>
      <c r="C5" s="95">
        <f ca="1"/>
        <v>44469.5</v>
      </c>
      <c r="D5" s="80" t="s">
        <v>660</v>
      </c>
      <c r="E5" s="78"/>
      <c r="F5" s="77"/>
      <c r="G5" s="77"/>
      <c r="H5" s="77" t="str">
        <f ca="1"/>
        <v xml:space="preserve">3,False,2021-09-30T12:00:00,"Text with </v>
      </c>
      <c r="I5" s="77"/>
      <c r="J5" s="77">
        <f ca="1"/>
        <v>3</v>
      </c>
      <c r="K5" s="77" t="b">
        <f ca="1"/>
        <v>0</v>
      </c>
      <c r="L5" s="95">
        <f ca="1"/>
        <v>44469.5</v>
      </c>
      <c r="M5" s="79" t="str">
        <f ca="1"/>
        <v>Text with 
line feed</v>
      </c>
      <c r="N5" s="77"/>
      <c r="O5" s="77"/>
      <c r="P5" s="13"/>
    </row>
    <row r="6" spans="1:16" ht="28.5" x14ac:dyDescent="0.45">
      <c r="A6" s="77">
        <f ca="1"/>
        <v>4</v>
      </c>
      <c r="B6" s="77" t="b">
        <f ca="1"/>
        <v>1</v>
      </c>
      <c r="C6" s="95">
        <f ca="1"/>
        <v>44470.5</v>
      </c>
      <c r="D6" s="81" t="s">
        <v>661</v>
      </c>
      <c r="E6" s="78"/>
      <c r="F6" s="77"/>
      <c r="G6" s="77"/>
      <c r="H6" s="77" t="str">
        <f ca="1"/>
        <v>line feed"</v>
      </c>
      <c r="I6" s="77"/>
      <c r="J6" s="77">
        <f ca="1"/>
        <v>4</v>
      </c>
      <c r="K6" s="77" t="b">
        <f ca="1"/>
        <v>1</v>
      </c>
      <c r="L6" s="95">
        <f ca="1"/>
        <v>44470.5</v>
      </c>
      <c r="M6" s="79" t="str">
        <f ca="1"/>
        <v>Text with
carriage return</v>
      </c>
      <c r="N6" s="77"/>
      <c r="O6" s="77"/>
      <c r="P6" s="13"/>
    </row>
    <row r="7" spans="1:16" x14ac:dyDescent="0.45">
      <c r="A7" s="77">
        <f ca="1"/>
        <v>5</v>
      </c>
      <c r="B7" s="77" t="b">
        <f ca="1"/>
        <v>0</v>
      </c>
      <c r="C7" s="95">
        <f ca="1"/>
        <v>44471.5</v>
      </c>
      <c r="D7" s="78" t="s">
        <v>653</v>
      </c>
      <c r="E7" s="78"/>
      <c r="F7" s="77"/>
      <c r="G7" s="77"/>
      <c r="H7" s="77" t="str">
        <f ca="1"/>
        <v>4,True,2021-10-01T12:00:00,"Text with</v>
      </c>
      <c r="I7" s="77"/>
      <c r="J7" s="77">
        <f ca="1"/>
        <v>5</v>
      </c>
      <c r="K7" s="77" t="b">
        <f ca="1"/>
        <v>0</v>
      </c>
      <c r="L7" s="95">
        <f ca="1"/>
        <v>44471.5</v>
      </c>
      <c r="M7" s="79" t="str">
        <f ca="1"/>
        <v>Text "with" quotes</v>
      </c>
      <c r="N7" s="77"/>
      <c r="O7" s="77"/>
      <c r="P7" s="13"/>
    </row>
    <row r="8" spans="1:16" x14ac:dyDescent="0.45">
      <c r="A8" s="77">
        <f ca="1"/>
        <v>6</v>
      </c>
      <c r="B8" s="77" t="b">
        <f ca="1"/>
        <v>1</v>
      </c>
      <c r="C8" s="95">
        <f ca="1"/>
        <v>44472.5</v>
      </c>
      <c r="D8" s="86" t="s">
        <v>651</v>
      </c>
      <c r="E8" s="78"/>
      <c r="F8" s="77"/>
      <c r="G8" s="77"/>
      <c r="H8" s="77" t="str">
        <f ca="1"/>
        <v>carriage return"</v>
      </c>
      <c r="I8" s="77"/>
      <c r="J8" s="77">
        <f ca="1"/>
        <v>6</v>
      </c>
      <c r="K8" s="77" t="b">
        <f ca="1"/>
        <v>1</v>
      </c>
      <c r="L8" s="95">
        <f ca="1"/>
        <v>44472.5</v>
      </c>
      <c r="M8" s="79" t="str">
        <f ca="1"/>
        <v>Text</v>
      </c>
      <c r="N8" s="77"/>
      <c r="O8" s="77"/>
      <c r="P8" s="13"/>
    </row>
    <row r="9" spans="1:16" x14ac:dyDescent="0.45">
      <c r="A9" s="77">
        <f ca="1"/>
        <v>7</v>
      </c>
      <c r="B9" s="77" t="b">
        <f ca="1"/>
        <v>0</v>
      </c>
      <c r="C9" s="95">
        <f ca="1"/>
        <v>44473.5</v>
      </c>
      <c r="D9" s="86" t="s">
        <v>651</v>
      </c>
      <c r="E9" s="78"/>
      <c r="F9" s="77"/>
      <c r="G9" s="77"/>
      <c r="H9" s="77" t="str">
        <f ca="1"/>
        <v>5,False,2021-10-02T12:00:00,"Text ""with"" quotes"</v>
      </c>
      <c r="I9" s="77"/>
      <c r="J9" s="77">
        <f ca="1"/>
        <v>7</v>
      </c>
      <c r="K9" s="77" t="b">
        <f ca="1"/>
        <v>0</v>
      </c>
      <c r="L9" s="95">
        <f ca="1"/>
        <v>44473.5</v>
      </c>
      <c r="M9" s="79" t="str">
        <f ca="1"/>
        <v>Text</v>
      </c>
      <c r="N9" s="77"/>
      <c r="O9" s="77"/>
      <c r="P9" s="13"/>
    </row>
    <row r="10" spans="1:16" x14ac:dyDescent="0.45">
      <c r="A10" s="77">
        <f ca="1"/>
        <v>8</v>
      </c>
      <c r="B10" s="77" t="b">
        <f ca="1"/>
        <v>1</v>
      </c>
      <c r="C10" s="95">
        <f ca="1"/>
        <v>44474.5</v>
      </c>
      <c r="D10" s="86" t="s">
        <v>651</v>
      </c>
      <c r="E10" s="78"/>
      <c r="F10" s="77"/>
      <c r="G10" s="77"/>
      <c r="H10" s="77" t="str">
        <f ca="1"/>
        <v>6,True,2021-10-03T12:00:00,"Text"</v>
      </c>
      <c r="I10" s="77"/>
      <c r="J10" s="77">
        <f ca="1"/>
        <v>8</v>
      </c>
      <c r="K10" s="77" t="b">
        <f ca="1"/>
        <v>1</v>
      </c>
      <c r="L10" s="95">
        <f ca="1"/>
        <v>44474.5</v>
      </c>
      <c r="M10" s="79" t="str">
        <f ca="1"/>
        <v>Text</v>
      </c>
      <c r="N10" s="77"/>
      <c r="O10" s="77"/>
      <c r="P10" s="13"/>
    </row>
    <row r="11" spans="1:16" x14ac:dyDescent="0.45">
      <c r="A11" s="77">
        <f ca="1"/>
        <v>9</v>
      </c>
      <c r="B11" s="77" t="b">
        <f ca="1"/>
        <v>0</v>
      </c>
      <c r="C11" s="95">
        <f ca="1"/>
        <v>44475.5</v>
      </c>
      <c r="D11" s="86" t="s">
        <v>651</v>
      </c>
      <c r="E11" s="78"/>
      <c r="F11" s="77"/>
      <c r="G11" s="77"/>
      <c r="H11" s="77" t="str">
        <f ca="1"/>
        <v>7,False,2021-10-04T12:00:00,"Text"</v>
      </c>
      <c r="I11" s="77"/>
      <c r="J11" s="77">
        <f ca="1"/>
        <v>9</v>
      </c>
      <c r="K11" s="77" t="b">
        <f ca="1"/>
        <v>0</v>
      </c>
      <c r="L11" s="95">
        <f ca="1"/>
        <v>44475.5</v>
      </c>
      <c r="M11" s="79" t="str">
        <f ca="1"/>
        <v>Text</v>
      </c>
      <c r="N11" s="77"/>
      <c r="O11" s="77"/>
      <c r="P11" s="13"/>
    </row>
    <row r="12" spans="1:16" x14ac:dyDescent="0.45">
      <c r="A12" s="77">
        <f ca="1"/>
        <v>10</v>
      </c>
      <c r="B12" s="77" t="b">
        <f ca="1"/>
        <v>1</v>
      </c>
      <c r="C12" s="95">
        <f ca="1"/>
        <v>44476.5</v>
      </c>
      <c r="D12" s="87" t="s">
        <v>651</v>
      </c>
      <c r="E12" s="77"/>
      <c r="F12" s="77"/>
      <c r="G12" s="77"/>
      <c r="H12" s="77" t="str">
        <f ca="1"/>
        <v>8,True,2021-10-05T12:00:00,"Text"</v>
      </c>
      <c r="I12" s="77"/>
      <c r="J12" s="77">
        <f ca="1"/>
        <v>10</v>
      </c>
      <c r="K12" s="77" t="b">
        <f ca="1"/>
        <v>1</v>
      </c>
      <c r="L12" s="95">
        <f ca="1"/>
        <v>44476.5</v>
      </c>
      <c r="M12" s="79" t="str">
        <f ca="1"/>
        <v>Text</v>
      </c>
      <c r="N12" s="77"/>
      <c r="O12" s="77"/>
      <c r="P12" s="13"/>
    </row>
    <row r="13" spans="1:16" x14ac:dyDescent="0.45">
      <c r="A13" s="77"/>
      <c r="B13" s="77"/>
      <c r="C13" s="77"/>
      <c r="D13" s="87"/>
      <c r="E13" s="77"/>
      <c r="F13" s="77"/>
      <c r="G13" s="77"/>
      <c r="H13" s="77" t="str">
        <f ca="1"/>
        <v>9,False,2021-10-06T12:00:00,"Text"</v>
      </c>
      <c r="I13" s="77"/>
      <c r="J13" s="77"/>
      <c r="K13" s="77"/>
      <c r="L13" s="77"/>
      <c r="M13" s="77"/>
      <c r="N13" s="77"/>
      <c r="O13" s="77"/>
      <c r="P13" s="13"/>
    </row>
    <row r="14" spans="1:16" x14ac:dyDescent="0.45">
      <c r="A14" s="77"/>
      <c r="B14" s="77"/>
      <c r="C14" s="77"/>
      <c r="D14" s="77"/>
      <c r="E14" s="77"/>
      <c r="F14" s="77"/>
      <c r="G14" s="77"/>
      <c r="H14" s="77" t="str">
        <f ca="1"/>
        <v>10,True,2021-10-07T12:00:00,"Text"</v>
      </c>
      <c r="I14" s="77"/>
      <c r="J14" s="77"/>
      <c r="K14" s="77"/>
      <c r="L14" s="77"/>
      <c r="M14" s="77"/>
      <c r="N14" s="77"/>
      <c r="O14" s="77"/>
      <c r="P14" s="13"/>
    </row>
    <row r="15" spans="1:16" x14ac:dyDescent="0.45">
      <c r="A15" s="77"/>
      <c r="B15" s="77"/>
      <c r="C15" s="77"/>
      <c r="D15" s="77"/>
      <c r="E15" s="77"/>
      <c r="F15" s="77"/>
      <c r="G15" s="77"/>
      <c r="H15" s="77"/>
      <c r="I15" s="77"/>
      <c r="J15" s="77"/>
      <c r="K15" s="77"/>
      <c r="L15" s="77"/>
      <c r="M15" s="77"/>
      <c r="N15" s="77"/>
      <c r="O15" s="77"/>
      <c r="P15" s="13"/>
    </row>
    <row r="16" spans="1:16" x14ac:dyDescent="0.45">
      <c r="A16" s="82"/>
      <c r="B16" s="82"/>
      <c r="C16" s="82"/>
      <c r="D16" s="82"/>
      <c r="E16" s="82"/>
      <c r="F16" s="82"/>
      <c r="G16" s="82"/>
      <c r="H16" s="82"/>
      <c r="I16" s="82"/>
      <c r="J16" s="82"/>
      <c r="K16" s="82"/>
      <c r="L16" s="82"/>
      <c r="M16" s="82"/>
      <c r="N16" s="82"/>
      <c r="O16" s="82"/>
    </row>
    <row r="23" spans="8:8" x14ac:dyDescent="0.45">
      <c r="H23" s="66"/>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18"/>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90" t="s">
        <v>51</v>
      </c>
      <c r="E5" s="22" t="s">
        <v>52</v>
      </c>
      <c r="F5" s="23" t="s">
        <v>53</v>
      </c>
      <c r="H5" s="18" t="s">
        <v>644</v>
      </c>
    </row>
    <row r="6" spans="2:8" x14ac:dyDescent="0.45">
      <c r="B6" s="89">
        <v>113</v>
      </c>
      <c r="C6" s="24">
        <v>44466</v>
      </c>
      <c r="D6" s="91">
        <v>0.80304398148291511</v>
      </c>
      <c r="E6" s="25" t="s">
        <v>55</v>
      </c>
      <c r="F6" s="26" t="s">
        <v>663</v>
      </c>
      <c r="H6" s="19" t="s">
        <v>645</v>
      </c>
    </row>
    <row r="7" spans="2:8" x14ac:dyDescent="0.45">
      <c r="B7" s="88">
        <v>112</v>
      </c>
      <c r="C7" s="24">
        <v>44466</v>
      </c>
      <c r="D7" s="91">
        <v>0.78805555555300089</v>
      </c>
      <c r="E7" s="25" t="s">
        <v>55</v>
      </c>
      <c r="F7" s="26" t="s">
        <v>657</v>
      </c>
    </row>
    <row r="8" spans="2:8" x14ac:dyDescent="0.45">
      <c r="B8" s="88">
        <v>111</v>
      </c>
      <c r="C8" s="24">
        <v>44466</v>
      </c>
      <c r="D8" s="91">
        <v>0.76920138888817746</v>
      </c>
      <c r="E8" s="25" t="s">
        <v>55</v>
      </c>
      <c r="F8" s="26" t="s">
        <v>657</v>
      </c>
      <c r="H8" s="18" t="s">
        <v>47</v>
      </c>
    </row>
    <row r="9" spans="2:8" x14ac:dyDescent="0.45">
      <c r="B9" s="88">
        <v>110</v>
      </c>
      <c r="C9" s="24">
        <v>44466</v>
      </c>
      <c r="D9" s="91">
        <v>0.729178240741021</v>
      </c>
      <c r="E9" s="25" t="s">
        <v>55</v>
      </c>
      <c r="F9" s="26" t="s">
        <v>657</v>
      </c>
      <c r="H9" s="19" t="s">
        <v>48</v>
      </c>
    </row>
    <row r="10" spans="2:8" x14ac:dyDescent="0.45">
      <c r="B10" s="88">
        <v>109</v>
      </c>
      <c r="C10" s="24">
        <v>44464</v>
      </c>
      <c r="D10" s="91">
        <v>0.815185185187147</v>
      </c>
      <c r="E10" s="25" t="s">
        <v>55</v>
      </c>
      <c r="F10" s="26" t="s">
        <v>649</v>
      </c>
      <c r="H10" s="43" t="s">
        <v>54</v>
      </c>
    </row>
    <row r="11" spans="2:8" x14ac:dyDescent="0.45">
      <c r="B11" s="88">
        <v>108</v>
      </c>
      <c r="C11" s="24">
        <v>44463</v>
      </c>
      <c r="D11" s="91">
        <v>0.73194444444379769</v>
      </c>
      <c r="E11" s="25" t="s">
        <v>55</v>
      </c>
      <c r="F11" s="27" t="s">
        <v>646</v>
      </c>
    </row>
    <row r="12" spans="2:8" x14ac:dyDescent="0.45">
      <c r="B12" s="88">
        <v>107</v>
      </c>
      <c r="C12" s="24">
        <v>44463</v>
      </c>
      <c r="D12" s="91">
        <v>0.54521990740613546</v>
      </c>
      <c r="E12" s="25" t="s">
        <v>55</v>
      </c>
      <c r="F12" s="26" t="s">
        <v>643</v>
      </c>
      <c r="H12" s="18" t="s">
        <v>248</v>
      </c>
    </row>
    <row r="13" spans="2:8" x14ac:dyDescent="0.45">
      <c r="B13" s="88">
        <v>106</v>
      </c>
      <c r="C13" s="24">
        <v>44463</v>
      </c>
      <c r="D13" s="91">
        <v>0.5326273148166365</v>
      </c>
      <c r="E13" s="25" t="s">
        <v>55</v>
      </c>
      <c r="F13" s="26" t="s">
        <v>641</v>
      </c>
      <c r="H13" t="s">
        <v>249</v>
      </c>
    </row>
    <row r="14" spans="2:8" x14ac:dyDescent="0.45">
      <c r="B14" s="88">
        <v>105</v>
      </c>
      <c r="C14" s="24">
        <v>44463</v>
      </c>
      <c r="D14" s="91">
        <v>0.45555555555620231</v>
      </c>
      <c r="E14" s="25" t="s">
        <v>55</v>
      </c>
      <c r="F14" s="26" t="s">
        <v>640</v>
      </c>
      <c r="H14" s="19" t="s">
        <v>250</v>
      </c>
    </row>
    <row r="15" spans="2:8" x14ac:dyDescent="0.45">
      <c r="B15" s="88">
        <v>104</v>
      </c>
      <c r="C15" s="24">
        <v>44462</v>
      </c>
      <c r="D15" s="91">
        <v>0.58405092592875008</v>
      </c>
      <c r="E15" s="25" t="s">
        <v>55</v>
      </c>
      <c r="F15" s="27" t="s">
        <v>639</v>
      </c>
      <c r="H15" t="s">
        <v>251</v>
      </c>
    </row>
    <row r="16" spans="2:8" x14ac:dyDescent="0.45">
      <c r="B16" s="88">
        <v>103</v>
      </c>
      <c r="C16" s="24">
        <v>44462</v>
      </c>
      <c r="D16" s="91">
        <v>0.55108796296553919</v>
      </c>
      <c r="E16" s="25" t="s">
        <v>55</v>
      </c>
      <c r="F16" s="26" t="s">
        <v>638</v>
      </c>
      <c r="H16" s="19" t="s">
        <v>252</v>
      </c>
    </row>
    <row r="17" spans="2:8" x14ac:dyDescent="0.45">
      <c r="B17" s="88">
        <v>102</v>
      </c>
      <c r="C17" s="24">
        <v>44462</v>
      </c>
      <c r="D17" s="91">
        <v>0.42077546296059154</v>
      </c>
      <c r="E17" s="25" t="s">
        <v>55</v>
      </c>
      <c r="F17" s="26" t="s">
        <v>637</v>
      </c>
      <c r="H17" t="s">
        <v>216</v>
      </c>
    </row>
    <row r="18" spans="2:8" x14ac:dyDescent="0.45">
      <c r="B18" s="88">
        <v>101</v>
      </c>
      <c r="C18" s="24">
        <v>44461</v>
      </c>
      <c r="D18" s="91">
        <v>0.49896990740671754</v>
      </c>
      <c r="E18" s="25" t="s">
        <v>55</v>
      </c>
      <c r="F18" s="26" t="s">
        <v>636</v>
      </c>
      <c r="H18" s="19" t="s">
        <v>253</v>
      </c>
    </row>
    <row r="19" spans="2:8" x14ac:dyDescent="0.45">
      <c r="B19" s="88">
        <v>100</v>
      </c>
      <c r="C19" s="24">
        <v>44461</v>
      </c>
      <c r="D19" s="91">
        <v>0.49760416666686069</v>
      </c>
      <c r="E19" s="25" t="s">
        <v>55</v>
      </c>
      <c r="F19" s="26" t="s">
        <v>635</v>
      </c>
      <c r="H19" s="43" t="s">
        <v>255</v>
      </c>
    </row>
    <row r="20" spans="2:8" x14ac:dyDescent="0.45">
      <c r="B20" s="88">
        <v>99</v>
      </c>
      <c r="C20" s="24">
        <v>44460</v>
      </c>
      <c r="D20" s="91">
        <v>0.73570601851679385</v>
      </c>
      <c r="E20" s="25" t="s">
        <v>55</v>
      </c>
      <c r="F20" s="26" t="s">
        <v>626</v>
      </c>
    </row>
    <row r="21" spans="2:8" x14ac:dyDescent="0.45">
      <c r="B21" s="88">
        <v>98</v>
      </c>
      <c r="C21" s="24">
        <v>44460</v>
      </c>
      <c r="D21" s="91">
        <v>0.67214120370044839</v>
      </c>
      <c r="E21" s="25" t="s">
        <v>55</v>
      </c>
      <c r="F21" s="26" t="s">
        <v>625</v>
      </c>
      <c r="H21" s="18" t="s">
        <v>267</v>
      </c>
    </row>
    <row r="22" spans="2:8" x14ac:dyDescent="0.45">
      <c r="B22" s="88">
        <v>97</v>
      </c>
      <c r="C22" s="24">
        <v>44460</v>
      </c>
      <c r="D22" s="91">
        <v>0.66630787037138361</v>
      </c>
      <c r="E22" s="25" t="s">
        <v>55</v>
      </c>
      <c r="F22" s="26" t="s">
        <v>624</v>
      </c>
      <c r="H22" t="s">
        <v>268</v>
      </c>
    </row>
    <row r="23" spans="2:8" x14ac:dyDescent="0.45">
      <c r="B23" s="88">
        <v>96</v>
      </c>
      <c r="C23" s="24">
        <v>44460</v>
      </c>
      <c r="D23" s="91">
        <v>0.64231481481692754</v>
      </c>
      <c r="E23" s="25" t="s">
        <v>55</v>
      </c>
      <c r="F23" s="26" t="s">
        <v>623</v>
      </c>
      <c r="H23" t="s">
        <v>269</v>
      </c>
    </row>
    <row r="24" spans="2:8" x14ac:dyDescent="0.45">
      <c r="B24" s="88">
        <v>95</v>
      </c>
      <c r="C24" s="24">
        <v>44460</v>
      </c>
      <c r="D24" s="91">
        <v>0.61458333333575865</v>
      </c>
      <c r="E24" s="25" t="s">
        <v>55</v>
      </c>
      <c r="F24" s="27" t="s">
        <v>619</v>
      </c>
      <c r="H24" t="s">
        <v>270</v>
      </c>
    </row>
    <row r="25" spans="2:8" x14ac:dyDescent="0.45">
      <c r="B25" s="88">
        <v>94</v>
      </c>
      <c r="C25" s="24">
        <v>44460</v>
      </c>
      <c r="D25" s="91">
        <v>0.59408564814657439</v>
      </c>
      <c r="E25" s="25" t="s">
        <v>55</v>
      </c>
      <c r="F25" s="26" t="s">
        <v>618</v>
      </c>
      <c r="H25" t="s">
        <v>277</v>
      </c>
    </row>
    <row r="26" spans="2:8" x14ac:dyDescent="0.45">
      <c r="B26" s="88">
        <v>93</v>
      </c>
      <c r="C26" s="24">
        <v>44459</v>
      </c>
      <c r="D26" s="91">
        <v>0.74761574074364034</v>
      </c>
      <c r="E26" s="25" t="s">
        <v>55</v>
      </c>
      <c r="F26" s="26" t="s">
        <v>591</v>
      </c>
      <c r="H26" s="15" t="s">
        <v>275</v>
      </c>
    </row>
    <row r="27" spans="2:8" x14ac:dyDescent="0.45">
      <c r="B27" s="88">
        <v>92</v>
      </c>
      <c r="C27" s="24">
        <v>44459</v>
      </c>
      <c r="D27" s="91">
        <v>0.71629629629751435</v>
      </c>
      <c r="E27" s="25" t="s">
        <v>55</v>
      </c>
      <c r="F27" s="26" t="s">
        <v>617</v>
      </c>
      <c r="H27" t="s">
        <v>276</v>
      </c>
    </row>
    <row r="28" spans="2:8" x14ac:dyDescent="0.45">
      <c r="B28" s="88">
        <v>91</v>
      </c>
      <c r="C28" s="24">
        <v>44459</v>
      </c>
      <c r="D28" s="91">
        <v>0.64791666666860692</v>
      </c>
      <c r="E28" s="25" t="s">
        <v>55</v>
      </c>
      <c r="F28" s="26" t="s">
        <v>616</v>
      </c>
      <c r="H28" s="15" t="s">
        <v>271</v>
      </c>
    </row>
    <row r="29" spans="2:8" x14ac:dyDescent="0.45">
      <c r="B29" s="88">
        <v>90</v>
      </c>
      <c r="C29" s="24">
        <v>44459</v>
      </c>
      <c r="D29" s="91">
        <v>0.64268518518656492</v>
      </c>
      <c r="E29" s="25" t="s">
        <v>55</v>
      </c>
      <c r="F29" s="26" t="s">
        <v>615</v>
      </c>
      <c r="H29" t="s">
        <v>272</v>
      </c>
    </row>
    <row r="30" spans="2:8" x14ac:dyDescent="0.45">
      <c r="B30" s="88">
        <v>89</v>
      </c>
      <c r="C30" s="24">
        <v>44459</v>
      </c>
      <c r="D30" s="91">
        <v>0.60615740740468027</v>
      </c>
      <c r="E30" s="25" t="s">
        <v>55</v>
      </c>
      <c r="F30" s="26" t="s">
        <v>580</v>
      </c>
      <c r="H30" s="15" t="s">
        <v>605</v>
      </c>
    </row>
    <row r="31" spans="2:8" x14ac:dyDescent="0.45">
      <c r="B31" s="88">
        <v>88</v>
      </c>
      <c r="C31" s="24">
        <v>44459</v>
      </c>
      <c r="D31" s="91">
        <v>0.43152777777868323</v>
      </c>
      <c r="E31" s="25" t="s">
        <v>55</v>
      </c>
      <c r="F31" s="26" t="s">
        <v>614</v>
      </c>
    </row>
    <row r="32" spans="2:8" x14ac:dyDescent="0.45">
      <c r="B32" s="88">
        <v>87</v>
      </c>
      <c r="C32" s="24">
        <v>44459</v>
      </c>
      <c r="D32" s="91">
        <v>0.40533564814541023</v>
      </c>
      <c r="E32" s="25" t="s">
        <v>55</v>
      </c>
      <c r="F32" s="27" t="s">
        <v>612</v>
      </c>
      <c r="H32" s="18" t="s">
        <v>345</v>
      </c>
    </row>
    <row r="33" spans="2:8" x14ac:dyDescent="0.45">
      <c r="B33" s="88">
        <v>86</v>
      </c>
      <c r="C33" s="24">
        <v>44458</v>
      </c>
      <c r="D33" s="91">
        <v>0.80187499999738066</v>
      </c>
      <c r="E33" s="25" t="s">
        <v>55</v>
      </c>
      <c r="F33" s="27" t="s">
        <v>603</v>
      </c>
      <c r="H33" t="s">
        <v>346</v>
      </c>
    </row>
    <row r="34" spans="2:8" x14ac:dyDescent="0.45">
      <c r="B34" s="88">
        <v>85</v>
      </c>
      <c r="C34" s="24">
        <v>44458</v>
      </c>
      <c r="D34" s="91">
        <v>0.77153935185197042</v>
      </c>
      <c r="E34" s="25" t="s">
        <v>55</v>
      </c>
      <c r="F34" s="26" t="s">
        <v>602</v>
      </c>
      <c r="H34" t="s">
        <v>347</v>
      </c>
    </row>
    <row r="35" spans="2:8" x14ac:dyDescent="0.45">
      <c r="B35" s="88">
        <v>84</v>
      </c>
      <c r="C35" s="24">
        <v>44458</v>
      </c>
      <c r="D35" s="91">
        <v>0.690150462964084</v>
      </c>
      <c r="E35" s="25" t="s">
        <v>55</v>
      </c>
      <c r="F35" s="27" t="s">
        <v>600</v>
      </c>
    </row>
    <row r="36" spans="2:8" x14ac:dyDescent="0.45">
      <c r="B36" s="88">
        <v>83</v>
      </c>
      <c r="C36" s="24">
        <v>44458</v>
      </c>
      <c r="D36" s="91">
        <v>0.46993055555503815</v>
      </c>
      <c r="E36" s="25" t="s">
        <v>55</v>
      </c>
      <c r="F36" s="26" t="s">
        <v>599</v>
      </c>
      <c r="G36" s="36" t="str">
        <f t="array" aca="1" ref="G36:G51" ca="1">"*"</f>
        <v>*</v>
      </c>
      <c r="H36" s="18" t="s">
        <v>508</v>
      </c>
    </row>
    <row r="37" spans="2:8" x14ac:dyDescent="0.45">
      <c r="B37" s="88">
        <v>82</v>
      </c>
      <c r="C37" s="24">
        <v>44458</v>
      </c>
      <c r="D37" s="91">
        <v>0.42821759259095415</v>
      </c>
      <c r="E37" s="25" t="s">
        <v>55</v>
      </c>
      <c r="F37" s="26" t="s">
        <v>598</v>
      </c>
      <c r="G37" s="36" t="str">
        <f ca="1"/>
        <v>*</v>
      </c>
      <c r="H37" t="s">
        <v>523</v>
      </c>
    </row>
    <row r="38" spans="2:8" x14ac:dyDescent="0.45">
      <c r="B38" s="88">
        <v>81</v>
      </c>
      <c r="C38" s="24">
        <v>44450</v>
      </c>
      <c r="D38" s="91">
        <v>0.47984953703416977</v>
      </c>
      <c r="E38" s="25" t="s">
        <v>55</v>
      </c>
      <c r="F38" s="26" t="s">
        <v>595</v>
      </c>
      <c r="G38" s="36" t="str">
        <f ca="1"/>
        <v>*</v>
      </c>
      <c r="H38" t="s">
        <v>509</v>
      </c>
    </row>
    <row r="39" spans="2:8" x14ac:dyDescent="0.45">
      <c r="B39" s="88">
        <v>80</v>
      </c>
      <c r="C39" s="24">
        <v>44450</v>
      </c>
      <c r="D39" s="91">
        <v>0.40421296295971842</v>
      </c>
      <c r="E39" s="25" t="s">
        <v>55</v>
      </c>
      <c r="F39" s="26" t="s">
        <v>597</v>
      </c>
      <c r="G39" s="36" t="str">
        <f ca="1"/>
        <v>*</v>
      </c>
      <c r="H39" t="s">
        <v>510</v>
      </c>
    </row>
    <row r="40" spans="2:8" x14ac:dyDescent="0.45">
      <c r="B40" s="88">
        <v>79</v>
      </c>
      <c r="C40" s="24">
        <v>44450</v>
      </c>
      <c r="D40" s="91">
        <v>0.39056712963065365</v>
      </c>
      <c r="E40" s="25" t="s">
        <v>55</v>
      </c>
      <c r="F40" s="26" t="s">
        <v>595</v>
      </c>
      <c r="G40" s="36" t="str">
        <f ca="1"/>
        <v>*</v>
      </c>
      <c r="H40" t="s">
        <v>511</v>
      </c>
    </row>
    <row r="41" spans="2:8" x14ac:dyDescent="0.45">
      <c r="B41" s="88">
        <v>78</v>
      </c>
      <c r="C41" s="24">
        <v>44448</v>
      </c>
      <c r="D41" s="91">
        <v>0.52339120370015735</v>
      </c>
      <c r="E41" s="25" t="s">
        <v>55</v>
      </c>
      <c r="F41" s="26" t="s">
        <v>594</v>
      </c>
      <c r="G41" s="36" t="str">
        <f ca="1"/>
        <v>*</v>
      </c>
      <c r="H41" t="s">
        <v>512</v>
      </c>
    </row>
    <row r="42" spans="2:8" x14ac:dyDescent="0.45">
      <c r="B42" s="88">
        <v>77</v>
      </c>
      <c r="C42" s="24">
        <v>44448</v>
      </c>
      <c r="D42" s="91">
        <v>0.43658564814541023</v>
      </c>
      <c r="E42" s="25" t="s">
        <v>55</v>
      </c>
      <c r="F42" s="26" t="s">
        <v>593</v>
      </c>
      <c r="G42" s="36" t="str">
        <f ca="1"/>
        <v>*</v>
      </c>
      <c r="H42" t="s">
        <v>513</v>
      </c>
    </row>
    <row r="43" spans="2:8" x14ac:dyDescent="0.45">
      <c r="B43" s="88">
        <v>76</v>
      </c>
      <c r="C43" s="24">
        <v>44448</v>
      </c>
      <c r="D43" s="91">
        <v>0.37820601851854008</v>
      </c>
      <c r="E43" s="25" t="s">
        <v>55</v>
      </c>
      <c r="F43" s="26" t="s">
        <v>592</v>
      </c>
      <c r="G43" s="36" t="str">
        <f ca="1"/>
        <v>*</v>
      </c>
      <c r="H43" t="s">
        <v>514</v>
      </c>
    </row>
    <row r="44" spans="2:8" x14ac:dyDescent="0.45">
      <c r="B44" s="88">
        <v>75</v>
      </c>
      <c r="C44" s="24">
        <v>44447</v>
      </c>
      <c r="D44" s="91">
        <v>0.79199074074131204</v>
      </c>
      <c r="E44" s="25" t="s">
        <v>55</v>
      </c>
      <c r="F44" s="27" t="s">
        <v>591</v>
      </c>
      <c r="G44" s="36" t="str">
        <f ca="1"/>
        <v>*</v>
      </c>
      <c r="H44" t="s">
        <v>515</v>
      </c>
    </row>
    <row r="45" spans="2:8" x14ac:dyDescent="0.45">
      <c r="B45" s="88">
        <v>74</v>
      </c>
      <c r="C45" s="24">
        <v>44447</v>
      </c>
      <c r="D45" s="91">
        <v>0.38273148148437031</v>
      </c>
      <c r="E45" s="25" t="s">
        <v>55</v>
      </c>
      <c r="F45" s="26" t="s">
        <v>590</v>
      </c>
      <c r="G45" s="36" t="str">
        <f ca="1"/>
        <v>*</v>
      </c>
      <c r="H45" t="s">
        <v>516</v>
      </c>
    </row>
    <row r="46" spans="2:8" x14ac:dyDescent="0.45">
      <c r="B46" s="88">
        <v>73</v>
      </c>
      <c r="C46" s="24">
        <v>44446</v>
      </c>
      <c r="D46" s="91">
        <v>0.57453703703504289</v>
      </c>
      <c r="E46" s="25" t="s">
        <v>55</v>
      </c>
      <c r="F46" s="26" t="s">
        <v>588</v>
      </c>
      <c r="G46" s="36" t="str">
        <f ca="1"/>
        <v>*</v>
      </c>
      <c r="H46" t="s">
        <v>517</v>
      </c>
    </row>
    <row r="47" spans="2:8" x14ac:dyDescent="0.45">
      <c r="B47" s="88">
        <v>72</v>
      </c>
      <c r="C47" s="24">
        <v>44446</v>
      </c>
      <c r="D47" s="91">
        <v>0.474016203705105</v>
      </c>
      <c r="E47" s="25" t="s">
        <v>55</v>
      </c>
      <c r="F47" s="27" t="s">
        <v>587</v>
      </c>
      <c r="G47" s="36" t="str">
        <f ca="1"/>
        <v>*</v>
      </c>
      <c r="H47" t="s">
        <v>518</v>
      </c>
    </row>
    <row r="48" spans="2:8" x14ac:dyDescent="0.45">
      <c r="B48" s="88">
        <v>71</v>
      </c>
      <c r="C48" s="24">
        <v>44445</v>
      </c>
      <c r="D48" s="91">
        <v>0.599050925928168</v>
      </c>
      <c r="E48" s="25" t="s">
        <v>55</v>
      </c>
      <c r="F48" s="26" t="s">
        <v>586</v>
      </c>
      <c r="G48" s="36" t="str">
        <f ca="1"/>
        <v>*</v>
      </c>
      <c r="H48" t="s">
        <v>519</v>
      </c>
    </row>
    <row r="49" spans="2:8" x14ac:dyDescent="0.45">
      <c r="B49" s="88">
        <v>70</v>
      </c>
      <c r="C49" s="24">
        <v>44444</v>
      </c>
      <c r="D49" s="91">
        <v>0.35259259259328246</v>
      </c>
      <c r="E49" s="25" t="s">
        <v>55</v>
      </c>
      <c r="F49" s="26" t="s">
        <v>585</v>
      </c>
      <c r="G49" s="36" t="str">
        <f ca="1"/>
        <v>*</v>
      </c>
      <c r="H49" t="s">
        <v>520</v>
      </c>
    </row>
    <row r="50" spans="2:8" x14ac:dyDescent="0.45">
      <c r="B50" s="88">
        <v>69</v>
      </c>
      <c r="C50" s="24">
        <v>44442</v>
      </c>
      <c r="D50" s="91">
        <v>0.38805555555882165</v>
      </c>
      <c r="E50" s="25" t="s">
        <v>55</v>
      </c>
      <c r="F50" s="26" t="s">
        <v>584</v>
      </c>
      <c r="G50" s="36" t="str">
        <f ca="1"/>
        <v>*</v>
      </c>
      <c r="H50" t="s">
        <v>521</v>
      </c>
    </row>
    <row r="51" spans="2:8" x14ac:dyDescent="0.45">
      <c r="B51" s="88">
        <v>68</v>
      </c>
      <c r="C51" s="24">
        <v>44441</v>
      </c>
      <c r="D51" s="91">
        <v>0.77039351851999527</v>
      </c>
      <c r="E51" s="25" t="s">
        <v>55</v>
      </c>
      <c r="F51" s="26" t="s">
        <v>581</v>
      </c>
      <c r="G51" s="36" t="str">
        <f ca="1"/>
        <v>*</v>
      </c>
      <c r="H51" t="s">
        <v>522</v>
      </c>
    </row>
    <row r="52" spans="2:8" x14ac:dyDescent="0.45">
      <c r="B52" s="88">
        <v>67</v>
      </c>
      <c r="C52" s="24">
        <v>44441</v>
      </c>
      <c r="D52" s="91">
        <v>0.73449074073869269</v>
      </c>
      <c r="E52" s="25" t="s">
        <v>55</v>
      </c>
      <c r="F52" s="26" t="s">
        <v>580</v>
      </c>
    </row>
    <row r="53" spans="2:8" x14ac:dyDescent="0.45">
      <c r="B53" s="88">
        <v>66</v>
      </c>
      <c r="C53" s="24">
        <v>44441</v>
      </c>
      <c r="D53" s="91">
        <v>0.40944444444176042</v>
      </c>
      <c r="E53" s="25" t="s">
        <v>55</v>
      </c>
      <c r="F53" s="26" t="s">
        <v>579</v>
      </c>
    </row>
    <row r="54" spans="2:8" x14ac:dyDescent="0.45">
      <c r="B54" s="88">
        <v>65</v>
      </c>
      <c r="C54" s="24">
        <v>44441</v>
      </c>
      <c r="D54" s="91">
        <v>0.39550925925868796</v>
      </c>
      <c r="E54" s="25" t="s">
        <v>55</v>
      </c>
      <c r="F54" s="26" t="s">
        <v>578</v>
      </c>
    </row>
    <row r="55" spans="2:8" x14ac:dyDescent="0.45">
      <c r="B55" s="88">
        <v>64</v>
      </c>
      <c r="C55" s="24">
        <v>44440</v>
      </c>
      <c r="D55" s="91">
        <v>0.75807870370044839</v>
      </c>
      <c r="E55" s="25" t="s">
        <v>55</v>
      </c>
      <c r="F55" s="26" t="s">
        <v>577</v>
      </c>
    </row>
    <row r="56" spans="2:8" x14ac:dyDescent="0.45">
      <c r="B56" s="88">
        <v>63</v>
      </c>
      <c r="C56" s="24">
        <v>44440</v>
      </c>
      <c r="D56" s="91">
        <v>0.69891203703446081</v>
      </c>
      <c r="E56" s="25" t="s">
        <v>55</v>
      </c>
      <c r="F56" s="26" t="s">
        <v>576</v>
      </c>
    </row>
    <row r="57" spans="2:8" x14ac:dyDescent="0.45">
      <c r="B57" s="88">
        <v>62</v>
      </c>
      <c r="C57" s="24">
        <v>44440</v>
      </c>
      <c r="D57" s="91">
        <v>0.67539351851883112</v>
      </c>
      <c r="E57" s="25" t="s">
        <v>55</v>
      </c>
      <c r="F57" s="26" t="s">
        <v>575</v>
      </c>
    </row>
    <row r="58" spans="2:8" x14ac:dyDescent="0.45">
      <c r="B58" s="88">
        <v>61</v>
      </c>
      <c r="C58" s="24">
        <v>44440</v>
      </c>
      <c r="D58" s="91">
        <v>0.64565972222044365</v>
      </c>
      <c r="E58" s="25" t="s">
        <v>55</v>
      </c>
      <c r="F58" s="26" t="s">
        <v>574</v>
      </c>
    </row>
    <row r="59" spans="2:8" x14ac:dyDescent="0.45">
      <c r="B59" s="88">
        <v>60</v>
      </c>
      <c r="C59" s="24">
        <v>44440</v>
      </c>
      <c r="D59" s="91">
        <v>0.64527777778130258</v>
      </c>
      <c r="E59" s="25" t="s">
        <v>55</v>
      </c>
      <c r="F59" s="26" t="s">
        <v>573</v>
      </c>
    </row>
    <row r="60" spans="2:8" x14ac:dyDescent="0.45">
      <c r="B60" s="88">
        <v>59</v>
      </c>
      <c r="C60" s="24">
        <v>44440</v>
      </c>
      <c r="D60" s="91">
        <v>0.44094907407270512</v>
      </c>
      <c r="E60" s="25" t="s">
        <v>55</v>
      </c>
      <c r="F60" s="26" t="s">
        <v>571</v>
      </c>
    </row>
    <row r="61" spans="2:8" x14ac:dyDescent="0.45">
      <c r="B61" s="88">
        <v>58</v>
      </c>
      <c r="C61" s="24">
        <v>44439</v>
      </c>
      <c r="D61" s="91">
        <v>0.41174768518249039</v>
      </c>
      <c r="E61" s="25" t="s">
        <v>55</v>
      </c>
      <c r="F61" s="26" t="s">
        <v>562</v>
      </c>
    </row>
    <row r="62" spans="2:8" x14ac:dyDescent="0.45">
      <c r="B62" s="88">
        <v>57</v>
      </c>
      <c r="C62" s="24">
        <v>44438</v>
      </c>
      <c r="D62" s="91">
        <v>0.81614583333430346</v>
      </c>
      <c r="E62" s="25" t="s">
        <v>55</v>
      </c>
      <c r="F62" s="26" t="s">
        <v>58</v>
      </c>
    </row>
    <row r="63" spans="2:8" x14ac:dyDescent="0.45">
      <c r="B63" s="88">
        <v>56</v>
      </c>
      <c r="C63" s="24">
        <v>44438</v>
      </c>
      <c r="D63" s="91">
        <v>0.77097222222073469</v>
      </c>
      <c r="E63" s="25" t="s">
        <v>55</v>
      </c>
      <c r="F63" s="26" t="s">
        <v>546</v>
      </c>
    </row>
    <row r="64" spans="2:8" x14ac:dyDescent="0.45">
      <c r="B64" s="88">
        <v>55</v>
      </c>
      <c r="C64" s="24">
        <v>44438</v>
      </c>
      <c r="D64" s="91">
        <v>0.5741319444423425</v>
      </c>
      <c r="E64" s="25" t="s">
        <v>55</v>
      </c>
      <c r="F64" s="26" t="s">
        <v>542</v>
      </c>
    </row>
    <row r="65" spans="2:6" x14ac:dyDescent="0.45">
      <c r="B65" s="88">
        <v>54</v>
      </c>
      <c r="C65" s="24">
        <v>44438</v>
      </c>
      <c r="D65" s="91">
        <v>0.32952546296291985</v>
      </c>
      <c r="E65" s="25" t="s">
        <v>55</v>
      </c>
      <c r="F65" s="26" t="s">
        <v>507</v>
      </c>
    </row>
    <row r="66" spans="2:6" x14ac:dyDescent="0.45">
      <c r="B66" s="88">
        <v>53</v>
      </c>
      <c r="C66" s="24">
        <v>44436</v>
      </c>
      <c r="D66" s="91">
        <v>0.65918981481809169</v>
      </c>
      <c r="E66" s="25" t="s">
        <v>55</v>
      </c>
      <c r="F66" s="26" t="s">
        <v>374</v>
      </c>
    </row>
    <row r="67" spans="2:6" x14ac:dyDescent="0.45">
      <c r="B67" s="88">
        <v>52</v>
      </c>
      <c r="C67" s="24">
        <v>44435</v>
      </c>
      <c r="D67" s="91">
        <v>0.85357638888672227</v>
      </c>
      <c r="E67" s="25" t="s">
        <v>55</v>
      </c>
      <c r="F67" s="27" t="s">
        <v>352</v>
      </c>
    </row>
    <row r="68" spans="2:6" x14ac:dyDescent="0.45">
      <c r="B68" s="88">
        <v>51</v>
      </c>
      <c r="C68" s="24">
        <v>44434</v>
      </c>
      <c r="D68" s="91">
        <v>0.80643518518627388</v>
      </c>
      <c r="E68" s="25" t="s">
        <v>55</v>
      </c>
      <c r="F68" s="26" t="s">
        <v>344</v>
      </c>
    </row>
    <row r="69" spans="2:6" x14ac:dyDescent="0.45">
      <c r="B69" s="88">
        <v>50</v>
      </c>
      <c r="C69" s="24">
        <v>44434</v>
      </c>
      <c r="D69" s="91">
        <v>0.80153935185080627</v>
      </c>
      <c r="E69" s="25" t="s">
        <v>55</v>
      </c>
      <c r="F69" s="26" t="s">
        <v>343</v>
      </c>
    </row>
    <row r="70" spans="2:6" x14ac:dyDescent="0.45">
      <c r="B70" s="88">
        <v>49</v>
      </c>
      <c r="C70" s="24">
        <v>44434</v>
      </c>
      <c r="D70" s="91">
        <v>0.77059027777431766</v>
      </c>
      <c r="E70" s="25" t="s">
        <v>55</v>
      </c>
      <c r="F70" s="26" t="s">
        <v>342</v>
      </c>
    </row>
    <row r="71" spans="2:6" x14ac:dyDescent="0.45">
      <c r="B71" s="88">
        <v>48</v>
      </c>
      <c r="C71" s="24">
        <v>44434</v>
      </c>
      <c r="D71" s="91">
        <v>0.57442129629635019</v>
      </c>
      <c r="E71" s="25" t="s">
        <v>55</v>
      </c>
      <c r="F71" s="27" t="s">
        <v>341</v>
      </c>
    </row>
    <row r="72" spans="2:6" x14ac:dyDescent="0.45">
      <c r="B72" s="88">
        <v>47</v>
      </c>
      <c r="C72" s="24">
        <v>44434</v>
      </c>
      <c r="D72" s="91">
        <v>0.57239583333284827</v>
      </c>
      <c r="E72" s="25" t="s">
        <v>55</v>
      </c>
      <c r="F72" s="26" t="s">
        <v>329</v>
      </c>
    </row>
    <row r="73" spans="2:6" x14ac:dyDescent="0.45">
      <c r="B73" s="88">
        <v>46</v>
      </c>
      <c r="C73" s="24">
        <v>44433</v>
      </c>
      <c r="D73" s="91">
        <v>1.0671296295186039E-2</v>
      </c>
      <c r="E73" s="25" t="s">
        <v>55</v>
      </c>
      <c r="F73" s="26" t="s">
        <v>310</v>
      </c>
    </row>
    <row r="74" spans="2:6" x14ac:dyDescent="0.45">
      <c r="B74" s="88">
        <v>45</v>
      </c>
      <c r="C74" s="24">
        <v>44432</v>
      </c>
      <c r="D74" s="91">
        <v>0.82049768518481869</v>
      </c>
      <c r="E74" s="25" t="s">
        <v>55</v>
      </c>
      <c r="F74" s="26" t="s">
        <v>302</v>
      </c>
    </row>
    <row r="75" spans="2:6" x14ac:dyDescent="0.45">
      <c r="B75" s="88">
        <v>44</v>
      </c>
      <c r="C75" s="24">
        <v>44432</v>
      </c>
      <c r="D75" s="91">
        <v>0.799525462964084</v>
      </c>
      <c r="E75" s="25" t="s">
        <v>55</v>
      </c>
      <c r="F75" s="27" t="s">
        <v>297</v>
      </c>
    </row>
    <row r="76" spans="2:6" x14ac:dyDescent="0.45">
      <c r="B76" s="88">
        <v>43</v>
      </c>
      <c r="C76" s="24">
        <v>44432</v>
      </c>
      <c r="D76" s="91">
        <v>0.43258101851824904</v>
      </c>
      <c r="E76" s="25" t="s">
        <v>55</v>
      </c>
      <c r="F76" s="26" t="s">
        <v>288</v>
      </c>
    </row>
    <row r="77" spans="2:6" x14ac:dyDescent="0.45">
      <c r="B77" s="88">
        <v>42</v>
      </c>
      <c r="C77" s="24">
        <v>44432</v>
      </c>
      <c r="D77" s="91">
        <v>0.40347222222044365</v>
      </c>
      <c r="E77" s="25" t="s">
        <v>55</v>
      </c>
      <c r="F77" s="26" t="s">
        <v>287</v>
      </c>
    </row>
    <row r="78" spans="2:6" x14ac:dyDescent="0.45">
      <c r="B78" s="88">
        <v>41</v>
      </c>
      <c r="C78" s="24">
        <v>44429</v>
      </c>
      <c r="D78" s="91">
        <v>0.79307870370394085</v>
      </c>
      <c r="E78" s="25" t="s">
        <v>55</v>
      </c>
      <c r="F78" s="26" t="s">
        <v>274</v>
      </c>
    </row>
    <row r="79" spans="2:6" x14ac:dyDescent="0.45">
      <c r="B79" s="88">
        <v>40</v>
      </c>
      <c r="C79" s="24">
        <v>44429</v>
      </c>
      <c r="D79" s="91">
        <v>0.49694444444321562</v>
      </c>
      <c r="E79" s="25" t="s">
        <v>55</v>
      </c>
      <c r="F79" s="26" t="s">
        <v>273</v>
      </c>
    </row>
    <row r="80" spans="2:6" x14ac:dyDescent="0.45">
      <c r="B80" s="88">
        <v>39</v>
      </c>
      <c r="C80" s="24">
        <v>44428</v>
      </c>
      <c r="D80" s="91">
        <v>0.52388888888526708</v>
      </c>
      <c r="E80" s="25" t="s">
        <v>55</v>
      </c>
      <c r="F80" s="26" t="s">
        <v>256</v>
      </c>
    </row>
    <row r="81" spans="2:6" x14ac:dyDescent="0.45">
      <c r="B81" s="88">
        <v>38</v>
      </c>
      <c r="C81" s="24">
        <v>44428</v>
      </c>
      <c r="D81" s="91">
        <v>0.37546296296204673</v>
      </c>
      <c r="E81" s="25" t="s">
        <v>55</v>
      </c>
      <c r="F81" s="26" t="s">
        <v>254</v>
      </c>
    </row>
    <row r="82" spans="2:6" x14ac:dyDescent="0.45">
      <c r="B82" s="88">
        <v>37</v>
      </c>
      <c r="C82" s="24">
        <v>44427</v>
      </c>
      <c r="D82" s="91">
        <v>0.80869212962716119</v>
      </c>
      <c r="E82" s="25" t="s">
        <v>55</v>
      </c>
      <c r="F82" s="26" t="s">
        <v>246</v>
      </c>
    </row>
    <row r="83" spans="2:6" x14ac:dyDescent="0.45">
      <c r="B83" s="88">
        <v>36</v>
      </c>
      <c r="C83" s="24">
        <v>44427</v>
      </c>
      <c r="D83" s="91">
        <v>0.74518518518743804</v>
      </c>
      <c r="E83" s="25" t="s">
        <v>55</v>
      </c>
      <c r="F83" s="26" t="s">
        <v>245</v>
      </c>
    </row>
    <row r="84" spans="2:6" x14ac:dyDescent="0.45">
      <c r="B84" s="88">
        <v>35</v>
      </c>
      <c r="C84" s="24">
        <v>44427</v>
      </c>
      <c r="D84" s="91">
        <v>0.51920138888817746</v>
      </c>
      <c r="E84" s="25" t="s">
        <v>55</v>
      </c>
      <c r="F84" s="26" t="s">
        <v>239</v>
      </c>
    </row>
    <row r="85" spans="2:6" x14ac:dyDescent="0.45">
      <c r="B85" s="88">
        <v>34</v>
      </c>
      <c r="C85" s="24">
        <v>44426</v>
      </c>
      <c r="D85" s="91">
        <v>0.84697916666482342</v>
      </c>
      <c r="E85" s="25" t="s">
        <v>55</v>
      </c>
      <c r="F85" s="26" t="s">
        <v>232</v>
      </c>
    </row>
    <row r="86" spans="2:6" x14ac:dyDescent="0.45">
      <c r="B86" s="88">
        <v>33</v>
      </c>
      <c r="C86" s="24">
        <v>44426</v>
      </c>
      <c r="D86" s="91">
        <v>0.84443287036992842</v>
      </c>
      <c r="E86" s="25" t="s">
        <v>55</v>
      </c>
      <c r="F86" s="26" t="s">
        <v>231</v>
      </c>
    </row>
    <row r="87" spans="2:6" x14ac:dyDescent="0.45">
      <c r="B87" s="88">
        <v>32</v>
      </c>
      <c r="C87" s="24">
        <v>44424</v>
      </c>
      <c r="D87" s="91">
        <v>0.93637731481430819</v>
      </c>
      <c r="E87" s="25" t="s">
        <v>55</v>
      </c>
      <c r="F87" s="27" t="s">
        <v>225</v>
      </c>
    </row>
    <row r="88" spans="2:6" x14ac:dyDescent="0.45">
      <c r="B88" s="88">
        <v>31</v>
      </c>
      <c r="C88" s="24">
        <v>44424</v>
      </c>
      <c r="D88" s="91">
        <v>0.49105324073752854</v>
      </c>
      <c r="E88" s="25" t="s">
        <v>55</v>
      </c>
      <c r="F88" s="26" t="s">
        <v>224</v>
      </c>
    </row>
    <row r="89" spans="2:6" x14ac:dyDescent="0.45">
      <c r="B89" s="88">
        <v>30</v>
      </c>
      <c r="C89" s="24">
        <v>44423</v>
      </c>
      <c r="D89" s="91">
        <v>0.49593750000349246</v>
      </c>
      <c r="E89" s="25" t="s">
        <v>55</v>
      </c>
      <c r="F89" s="26" t="s">
        <v>106</v>
      </c>
    </row>
    <row r="90" spans="2:6" x14ac:dyDescent="0.45">
      <c r="B90" s="88">
        <v>29</v>
      </c>
      <c r="C90" s="24">
        <v>44423</v>
      </c>
      <c r="D90" s="91">
        <v>0.437638888892252</v>
      </c>
      <c r="E90" s="25" t="s">
        <v>55</v>
      </c>
      <c r="F90" s="26" t="s">
        <v>56</v>
      </c>
    </row>
    <row r="91" spans="2:6" x14ac:dyDescent="0.45">
      <c r="B91" s="88">
        <v>28</v>
      </c>
      <c r="C91" s="24">
        <v>44423</v>
      </c>
      <c r="D91" s="91">
        <v>0.33465277777577285</v>
      </c>
      <c r="E91" s="25" t="s">
        <v>55</v>
      </c>
      <c r="F91" s="26" t="s">
        <v>57</v>
      </c>
    </row>
    <row r="92" spans="2:6" x14ac:dyDescent="0.45">
      <c r="B92" s="88">
        <v>27</v>
      </c>
      <c r="C92" s="24">
        <v>44421</v>
      </c>
      <c r="D92" s="91">
        <v>0.84150462962861639</v>
      </c>
      <c r="E92" s="25" t="s">
        <v>55</v>
      </c>
      <c r="F92" s="26" t="s">
        <v>58</v>
      </c>
    </row>
    <row r="93" spans="2:6" x14ac:dyDescent="0.45">
      <c r="B93" s="88">
        <v>26</v>
      </c>
      <c r="C93" s="24">
        <v>44421</v>
      </c>
      <c r="D93" s="91">
        <v>0.83098379629518604</v>
      </c>
      <c r="E93" s="25" t="s">
        <v>55</v>
      </c>
      <c r="F93" s="26" t="s">
        <v>59</v>
      </c>
    </row>
    <row r="94" spans="2:6" x14ac:dyDescent="0.45">
      <c r="B94" s="88">
        <v>25</v>
      </c>
      <c r="C94" s="24">
        <v>44421</v>
      </c>
      <c r="D94" s="91">
        <v>0.73097222221986158</v>
      </c>
      <c r="E94" s="25" t="s">
        <v>55</v>
      </c>
      <c r="F94" s="26" t="s">
        <v>60</v>
      </c>
    </row>
    <row r="95" spans="2:6" x14ac:dyDescent="0.45">
      <c r="B95" s="88">
        <v>24</v>
      </c>
      <c r="C95" s="24">
        <v>44421</v>
      </c>
      <c r="D95" s="91">
        <v>0.71106481481547235</v>
      </c>
      <c r="E95" s="25" t="s">
        <v>55</v>
      </c>
      <c r="F95" s="26" t="s">
        <v>61</v>
      </c>
    </row>
    <row r="96" spans="2:6" x14ac:dyDescent="0.45">
      <c r="B96" s="88">
        <v>23</v>
      </c>
      <c r="C96" s="24">
        <v>44420</v>
      </c>
      <c r="D96" s="91">
        <v>0.80428240740729962</v>
      </c>
      <c r="E96" s="25" t="s">
        <v>55</v>
      </c>
      <c r="F96" s="26" t="s">
        <v>62</v>
      </c>
    </row>
    <row r="97" spans="2:6" x14ac:dyDescent="0.45">
      <c r="B97" s="88">
        <v>22</v>
      </c>
      <c r="C97" s="24">
        <v>44420</v>
      </c>
      <c r="D97" s="91">
        <v>0.74781249999796273</v>
      </c>
      <c r="E97" s="25" t="s">
        <v>55</v>
      </c>
      <c r="F97" s="27" t="s">
        <v>63</v>
      </c>
    </row>
    <row r="98" spans="2:6" x14ac:dyDescent="0.45">
      <c r="B98" s="88">
        <v>21</v>
      </c>
      <c r="C98" s="24">
        <v>44419</v>
      </c>
      <c r="D98" s="91">
        <v>0.98854166666569654</v>
      </c>
      <c r="E98" s="25" t="s">
        <v>55</v>
      </c>
      <c r="F98" s="26" t="s">
        <v>64</v>
      </c>
    </row>
    <row r="99" spans="2:6" x14ac:dyDescent="0.45">
      <c r="B99" s="88">
        <v>20</v>
      </c>
      <c r="C99" s="24">
        <v>44419</v>
      </c>
      <c r="D99" s="91">
        <v>0.98135416666627862</v>
      </c>
      <c r="E99" s="25" t="s">
        <v>55</v>
      </c>
      <c r="F99" s="26" t="s">
        <v>65</v>
      </c>
    </row>
    <row r="100" spans="2:6" x14ac:dyDescent="0.45">
      <c r="B100" s="88">
        <v>19</v>
      </c>
      <c r="C100" s="24">
        <v>44419</v>
      </c>
      <c r="D100" s="91">
        <v>0.82271990740991896</v>
      </c>
      <c r="E100" s="25" t="s">
        <v>55</v>
      </c>
      <c r="F100" s="26" t="s">
        <v>66</v>
      </c>
    </row>
    <row r="101" spans="2:6" x14ac:dyDescent="0.45">
      <c r="B101" s="88">
        <v>18</v>
      </c>
      <c r="C101" s="24">
        <v>44419</v>
      </c>
      <c r="D101" s="91">
        <v>0.73975694444379769</v>
      </c>
      <c r="E101" s="25" t="s">
        <v>55</v>
      </c>
      <c r="F101" s="26" t="s">
        <v>67</v>
      </c>
    </row>
    <row r="102" spans="2:6" x14ac:dyDescent="0.45">
      <c r="B102" s="88">
        <v>17</v>
      </c>
      <c r="C102" s="24">
        <v>44419</v>
      </c>
      <c r="D102" s="91">
        <v>0.708356481482042</v>
      </c>
      <c r="E102" s="25" t="s">
        <v>55</v>
      </c>
      <c r="F102" s="26" t="s">
        <v>68</v>
      </c>
    </row>
    <row r="103" spans="2:6" x14ac:dyDescent="0.45">
      <c r="B103" s="88">
        <v>16</v>
      </c>
      <c r="C103" s="24">
        <v>44419</v>
      </c>
      <c r="D103" s="91">
        <v>0.51960648148087785</v>
      </c>
      <c r="E103" s="25" t="s">
        <v>55</v>
      </c>
      <c r="F103" s="26" t="s">
        <v>69</v>
      </c>
    </row>
    <row r="104" spans="2:6" x14ac:dyDescent="0.45">
      <c r="B104" s="88">
        <v>15</v>
      </c>
      <c r="C104" s="24">
        <v>44419</v>
      </c>
      <c r="D104" s="91">
        <v>0.49577546296495711</v>
      </c>
      <c r="E104" s="25" t="s">
        <v>55</v>
      </c>
      <c r="F104" s="27" t="s">
        <v>70</v>
      </c>
    </row>
    <row r="105" spans="2:6" x14ac:dyDescent="0.45">
      <c r="B105" s="88">
        <v>14</v>
      </c>
      <c r="C105" s="24">
        <v>44419</v>
      </c>
      <c r="D105" s="91">
        <v>0.49174768518423662</v>
      </c>
      <c r="E105" s="25" t="s">
        <v>55</v>
      </c>
      <c r="F105" s="26" t="s">
        <v>71</v>
      </c>
    </row>
    <row r="106" spans="2:6" x14ac:dyDescent="0.45">
      <c r="B106" s="88">
        <v>13</v>
      </c>
      <c r="C106" s="24">
        <v>44419</v>
      </c>
      <c r="D106" s="91">
        <v>0.49034722222131677</v>
      </c>
      <c r="E106" s="25" t="s">
        <v>55</v>
      </c>
      <c r="F106" s="26" t="s">
        <v>72</v>
      </c>
    </row>
    <row r="107" spans="2:6" x14ac:dyDescent="0.45">
      <c r="B107" s="88">
        <v>12</v>
      </c>
      <c r="C107" s="24">
        <v>44419</v>
      </c>
      <c r="D107" s="91">
        <v>0.48190972222073469</v>
      </c>
      <c r="E107" s="25" t="s">
        <v>55</v>
      </c>
      <c r="F107" s="26" t="s">
        <v>73</v>
      </c>
    </row>
    <row r="108" spans="2:6" x14ac:dyDescent="0.45">
      <c r="B108" s="88">
        <v>11</v>
      </c>
      <c r="C108" s="24">
        <v>44418</v>
      </c>
      <c r="D108" s="91">
        <v>0.95467592592467554</v>
      </c>
      <c r="E108" s="25" t="s">
        <v>55</v>
      </c>
      <c r="F108" s="27" t="s">
        <v>74</v>
      </c>
    </row>
    <row r="109" spans="2:6" x14ac:dyDescent="0.45">
      <c r="B109" s="88">
        <v>10</v>
      </c>
      <c r="C109" s="24">
        <v>44418</v>
      </c>
      <c r="D109" s="91">
        <v>0.73436342592322035</v>
      </c>
      <c r="E109" s="25" t="s">
        <v>55</v>
      </c>
      <c r="F109" s="27" t="s">
        <v>75</v>
      </c>
    </row>
    <row r="110" spans="2:6" x14ac:dyDescent="0.45">
      <c r="B110" s="88">
        <v>9</v>
      </c>
      <c r="C110" s="24">
        <v>44417</v>
      </c>
      <c r="D110" s="91">
        <v>0.54605324073781958</v>
      </c>
      <c r="E110" s="25" t="s">
        <v>55</v>
      </c>
      <c r="F110" s="26" t="s">
        <v>76</v>
      </c>
    </row>
    <row r="111" spans="2:6" x14ac:dyDescent="0.45">
      <c r="B111" s="88">
        <v>8</v>
      </c>
      <c r="C111" s="24">
        <v>44416</v>
      </c>
      <c r="D111" s="91">
        <v>0.54939814814861165</v>
      </c>
      <c r="E111" s="25" t="s">
        <v>55</v>
      </c>
      <c r="F111" s="26" t="s">
        <v>77</v>
      </c>
    </row>
    <row r="112" spans="2:6" x14ac:dyDescent="0.45">
      <c r="B112" s="88">
        <v>7</v>
      </c>
      <c r="C112" s="24">
        <v>44415</v>
      </c>
      <c r="D112" s="91">
        <v>0.96137731481576338</v>
      </c>
      <c r="E112" s="25" t="s">
        <v>55</v>
      </c>
      <c r="F112" s="26" t="s">
        <v>78</v>
      </c>
    </row>
    <row r="113" spans="2:6" x14ac:dyDescent="0.45">
      <c r="B113" s="88">
        <v>6</v>
      </c>
      <c r="C113" s="24">
        <v>44414</v>
      </c>
      <c r="D113" s="91">
        <v>0.66607638888672227</v>
      </c>
      <c r="E113" s="25" t="s">
        <v>55</v>
      </c>
      <c r="F113" s="27" t="s">
        <v>79</v>
      </c>
    </row>
    <row r="114" spans="2:6" x14ac:dyDescent="0.45">
      <c r="B114" s="88">
        <v>5</v>
      </c>
      <c r="C114" s="24">
        <v>44412</v>
      </c>
      <c r="D114" s="91">
        <v>0.34912037036701804</v>
      </c>
      <c r="E114" s="25" t="s">
        <v>55</v>
      </c>
      <c r="F114" s="27" t="s">
        <v>80</v>
      </c>
    </row>
    <row r="115" spans="2:6" x14ac:dyDescent="0.45">
      <c r="B115" s="88">
        <v>4</v>
      </c>
      <c r="C115" s="24">
        <v>44411</v>
      </c>
      <c r="D115" s="91">
        <v>0.37682870370190358</v>
      </c>
      <c r="E115" s="25" t="s">
        <v>55</v>
      </c>
      <c r="F115" s="26" t="s">
        <v>81</v>
      </c>
    </row>
    <row r="116" spans="2:6" x14ac:dyDescent="0.45">
      <c r="B116" s="88">
        <v>3</v>
      </c>
      <c r="C116" s="24">
        <v>44406</v>
      </c>
      <c r="D116" s="91">
        <v>0.59842592592758592</v>
      </c>
      <c r="E116" s="25" t="s">
        <v>55</v>
      </c>
      <c r="F116" s="26" t="s">
        <v>82</v>
      </c>
    </row>
    <row r="117" spans="2:6" x14ac:dyDescent="0.45">
      <c r="B117" s="88">
        <v>2</v>
      </c>
      <c r="C117" s="24">
        <v>44406</v>
      </c>
      <c r="D117" s="91">
        <v>0.57677083333692281</v>
      </c>
      <c r="E117" s="25" t="s">
        <v>55</v>
      </c>
      <c r="F117" s="27" t="s">
        <v>83</v>
      </c>
    </row>
    <row r="118" spans="2:6" x14ac:dyDescent="0.45">
      <c r="B118" s="28">
        <v>1</v>
      </c>
      <c r="C118" s="29">
        <v>44400</v>
      </c>
      <c r="D118" s="92">
        <v>0.58872685184906004</v>
      </c>
      <c r="E118" s="30" t="s">
        <v>55</v>
      </c>
      <c r="F118"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42</vt:i4>
      </vt:variant>
    </vt:vector>
  </HeadingPairs>
  <TitlesOfParts>
    <vt:vector size="51" baseType="lpstr">
      <vt:lpstr>Demo</vt:lpstr>
      <vt:lpstr>Col-by-col</vt:lpstr>
      <vt:lpstr>Test</vt:lpstr>
      <vt:lpstr>HiddenSheet</vt:lpstr>
      <vt:lpstr>TestResults</vt:lpstr>
      <vt:lpstr>Performance</vt:lpstr>
      <vt:lpstr>RegExp</vt:lpstr>
      <vt:lpstr>GIF</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2021-09-27T19:13:49Z</dcterms:modified>
</cp:coreProperties>
</file>