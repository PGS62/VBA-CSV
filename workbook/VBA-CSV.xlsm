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20001_{C63F29B6-C103-4363-BA0C-D6B59E31A1B6}" xr6:coauthVersionLast="47" xr6:coauthVersionMax="47" xr10:uidLastSave="{00000000-0000-0000-0000-000000000000}"/>
  <bookViews>
    <workbookView xWindow="38782" yWindow="-98" windowWidth="46275" windowHeight="25515" xr2:uid="{86175985-054A-431D-8A4E-01C3A835BC9D}"/>
  </bookViews>
  <sheets>
    <sheet name="Demo" sheetId="1" r:id="rId1"/>
    <sheet name="Help" sheetId="3" r:id="rId2"/>
    <sheet name="Timing" sheetId="10" r:id="rId3"/>
    <sheet name="Audit" sheetId="2" r:id="rId4"/>
    <sheet name="Sheet1" sheetId="7" r:id="rId5"/>
    <sheet name="Sheet2" sheetId="8" r:id="rId6"/>
  </sheets>
  <functionGroups builtInGroupCount="19"/>
  <externalReferences>
    <externalReference r:id="rId7"/>
  </externalReferences>
  <definedNames>
    <definedName name="AllowLineFeed">Demo!#REF!</definedName>
    <definedName name="DateFormat">Demo!$C$6</definedName>
    <definedName name="DateTimeFormat">Demo!$C$7</definedName>
    <definedName name="EOL">Demo!$C$9</definedName>
    <definedName name="FileName">Demo!$C$4</definedName>
    <definedName name="Headers" localSheetId="3">Audit!$B$5:$F$5</definedName>
    <definedName name="NCols">Demo!#REF!</definedName>
    <definedName name="NRows">Demo!#REF!</definedName>
    <definedName name="PutFormulasHere1" localSheetId="2">Timing!$E$6:$E$27</definedName>
    <definedName name="PutFormulasHere2" localSheetId="2">Timing!$E$33:$E$53</definedName>
    <definedName name="PutFormulasHere3" localSheetId="2">Timing!$E$60:$E$80</definedName>
    <definedName name="PutFormulasHere4" localSheetId="2">Timing!$E$87:$E$105</definedName>
    <definedName name="PutFormulasHere5" localSheetId="2">Timing!$E$114:$E$127</definedName>
    <definedName name="PutFormulasHere6" localSheetId="2">Timing!$E$141:$E$155</definedName>
    <definedName name="PutFormulasHere7" localSheetId="2">Timing!$E$168:$E$182</definedName>
    <definedName name="QuoteAllStrings">Demo!$C$5</definedName>
    <definedName name="SourceFile" localSheetId="1">Help!$C$2</definedName>
    <definedName name="Unicode">Demo!$C$8</definedName>
    <definedName name="Windows">Demo!$C$5:$C$8</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1">
            <x14:argumentDescription index="0">The full name of the file, including the path.</x14:argumentDescription>
            <x14:argumentDescription index="1">TRUE to convert Numbers, Dates, Booleans and Errors into their typed values, or FALSE to leave as strings. Or letters N, D, B, E, Q. E.g. "BN" to convert just Booleans and numbers. Q indicates quoted strings should retain their quotes.</x14:argumentDescription>
            <x14:argumentDescription index="2">Delimiter string. Defaults to the first instance of comma, tab, semi-colon, colon or pipe found outside quoted regions. Enter FALSE to  see the file's raw contents as would be displayed in a text editor. Delimiter may have more than one character.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Fields which are missing in the file (i.e. consecutive delimiters) are represented by ShowMissingsAs. Defaults to the null string, but can be any string or Empty.</x14:argumentDescription>
            <x14:argumentDescription index="9">Enter TRUE if the file is UTF-16 encoded, FALSE otherwise. Omit to guess from the file's contents.</x14:argumentDescription>
            <x14:argumentDescription index="10">The character that represents a decimal point. If omitted, then the value from Windows regional settings is used.</x14:argumentDescription>
          </x14:argumentDescriptions>
        </x14:definedName>
        <x14:definedName name="CSVRead_V1">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2">
          <x14:argumentDescriptions count="11">
            <x14:argumentDescription index="0">The full name of the file, including the path.</x14:argumentDescription>
            <x14:argumentDescription index="1">TRUE to convert Numbers, Dates, Booleans and Excel Errors into their typed values, or FALSE to leave as strings. For more control enter a string containing the letters N,D,B, and E eg "NB" to convert just numbers and Booleans,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Enter TRUE if the file is unicode, FALSE if the file is ascii. Omit to infer from the file's contents.</x14:argumentDescription>
            <x14:argumentDescription index="9">Value to represent empty fields (successive delimiters) in the file. May be a string or an Empty value. Optional and defaults to the zero-length string.</x14:argumentDescription>
            <x14:argumentDescription index="10">The character that represents a decimal point. If omitted, then the value from Windows regional settings is used.</x14:argumentDescription>
          </x14:argumentDescriptions>
        </x14:definedName>
        <x14:definedName name="CSVWrite">
          <x14:argumentDescriptions count="8">
            <x14:argumentDescription index="0">The full name of the file, including the path.</x14:argumentDescription>
            <x14:argumentDescription index="1">An array of data. Elements may be strings, numbers, dates, Booleans, empty, Excel errors or null values.</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A format string that determines how dates with non-zero time part appear in the file. If omitted defaults to "yyyy-mm-dd hh:mm:ss".The companion function CVSRead is not currently capable of interpreting fields written in DateTime format.</x14:argumentDescription>
            <x14:argumentDescription index="5">The delimiter string, if omitted defaults to a comma. Delimiter may have more than one character.</x14:argumentDescription>
            <x14:argumentDescription index="6">If FALSE (the default) the file written will be UTF-8. If TRUE the file written will be UTF-16 LE BOM. An error will result if this argument is FALSE but Data contains characters with code points above 255.</x14:argumentDescription>
            <x14:argumentDescription index="7">Enter the line ending as "Windows" (or CRLF), or "Unix" (or LF) or "Mac" (or CR). If omitted defaults to "Windows".</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1" l="1" a="1"/>
  <c r="C4" i="1"/>
  <c r="V21" i="3" a="1"/>
  <c r="V21" i="3"/>
  <c r="D7" i="3" l="1" a="1"/>
  <c r="D7" i="3" s="1"/>
  <c r="T62" i="8" a="1"/>
  <c r="T62" i="8"/>
  <c r="T55" i="8" a="1"/>
  <c r="T55" i="8"/>
  <c r="T50" i="8" a="1"/>
  <c r="T50" i="8"/>
  <c r="J7" i="3" a="1"/>
  <c r="J7" i="3" s="1"/>
  <c r="A141" i="10" a="1"/>
  <c r="A141" i="10" s="1"/>
  <c r="B127" i="10"/>
  <c r="A127" i="10" s="1"/>
  <c r="B126" i="10"/>
  <c r="A126" i="10" s="1"/>
  <c r="B125" i="10"/>
  <c r="A125" i="10" s="1"/>
  <c r="B124" i="10"/>
  <c r="A124" i="10" s="1"/>
  <c r="B123" i="10"/>
  <c r="A123" i="10" s="1"/>
  <c r="B122" i="10"/>
  <c r="A122" i="10" s="1"/>
  <c r="B121" i="10"/>
  <c r="A121" i="10" s="1"/>
  <c r="B120" i="10"/>
  <c r="A120" i="10" s="1"/>
  <c r="B119" i="10"/>
  <c r="A119" i="10" s="1"/>
  <c r="B118" i="10"/>
  <c r="A118" i="10" s="1"/>
  <c r="B117" i="10"/>
  <c r="A117" i="10" s="1"/>
  <c r="B116" i="10"/>
  <c r="A116" i="10" s="1"/>
  <c r="B115" i="10"/>
  <c r="A115" i="10" s="1"/>
  <c r="B114" i="10"/>
  <c r="A114" i="10" s="1"/>
  <c r="A105" i="10"/>
  <c r="A104" i="10"/>
  <c r="A103" i="10"/>
  <c r="A102" i="10"/>
  <c r="A101" i="10"/>
  <c r="A100" i="10"/>
  <c r="A99" i="10"/>
  <c r="A98" i="10"/>
  <c r="A97" i="10"/>
  <c r="A96" i="10"/>
  <c r="A95" i="10"/>
  <c r="A94" i="10"/>
  <c r="A93" i="10"/>
  <c r="A92" i="10"/>
  <c r="A91" i="10"/>
  <c r="A90" i="10"/>
  <c r="A89" i="10"/>
  <c r="A88" i="10"/>
  <c r="A87" i="10"/>
  <c r="B80" i="10"/>
  <c r="A80" i="10" s="1"/>
  <c r="B79" i="10"/>
  <c r="A79" i="10" s="1"/>
  <c r="B78" i="10"/>
  <c r="A78" i="10" s="1"/>
  <c r="B77" i="10"/>
  <c r="A77" i="10" s="1"/>
  <c r="B76" i="10"/>
  <c r="A76" i="10" s="1"/>
  <c r="B75" i="10"/>
  <c r="A75" i="10" s="1"/>
  <c r="B74" i="10"/>
  <c r="A74" i="10" s="1"/>
  <c r="B73" i="10"/>
  <c r="A73" i="10" s="1"/>
  <c r="B72" i="10"/>
  <c r="A72" i="10" s="1"/>
  <c r="B71" i="10"/>
  <c r="A71" i="10" s="1"/>
  <c r="B70" i="10"/>
  <c r="A70" i="10" s="1"/>
  <c r="B69" i="10"/>
  <c r="A69" i="10" s="1"/>
  <c r="B68" i="10"/>
  <c r="A68" i="10" s="1"/>
  <c r="B67" i="10"/>
  <c r="A67" i="10" s="1"/>
  <c r="B66" i="10"/>
  <c r="A66" i="10" s="1"/>
  <c r="B65" i="10"/>
  <c r="A65" i="10" s="1"/>
  <c r="B64" i="10"/>
  <c r="A64" i="10" s="1"/>
  <c r="B63" i="10"/>
  <c r="A63" i="10" s="1"/>
  <c r="B62" i="10"/>
  <c r="A62" i="10" s="1"/>
  <c r="B61" i="10"/>
  <c r="A61" i="10" s="1"/>
  <c r="B60" i="10"/>
  <c r="A60" i="10" s="1"/>
  <c r="B53" i="10"/>
  <c r="A53" i="10" s="1"/>
  <c r="B52" i="10"/>
  <c r="A52" i="10" s="1"/>
  <c r="B51" i="10"/>
  <c r="A51" i="10" s="1"/>
  <c r="B50" i="10"/>
  <c r="A50" i="10" s="1"/>
  <c r="B49" i="10"/>
  <c r="A49" i="10" s="1"/>
  <c r="B48" i="10"/>
  <c r="A48" i="10" s="1"/>
  <c r="B47" i="10"/>
  <c r="A47" i="10" s="1"/>
  <c r="B46" i="10"/>
  <c r="A46" i="10" s="1"/>
  <c r="B45" i="10"/>
  <c r="A45" i="10" s="1"/>
  <c r="B44" i="10"/>
  <c r="A44" i="10" s="1"/>
  <c r="B43" i="10"/>
  <c r="A43" i="10" s="1"/>
  <c r="B42" i="10"/>
  <c r="A42" i="10" s="1"/>
  <c r="B41" i="10"/>
  <c r="A41" i="10" s="1"/>
  <c r="B40" i="10"/>
  <c r="A40" i="10" s="1"/>
  <c r="B39" i="10"/>
  <c r="A39" i="10" s="1"/>
  <c r="B38" i="10"/>
  <c r="A38" i="10" s="1"/>
  <c r="B37" i="10"/>
  <c r="A37" i="10" s="1"/>
  <c r="B36" i="10"/>
  <c r="A36" i="10" s="1"/>
  <c r="B35" i="10"/>
  <c r="A35" i="10" s="1"/>
  <c r="B34" i="10"/>
  <c r="A34" i="10" s="1"/>
  <c r="B33" i="10"/>
  <c r="A33" i="10" s="1"/>
  <c r="A27" i="10"/>
  <c r="A26" i="10"/>
  <c r="A25" i="10"/>
  <c r="A24" i="10"/>
  <c r="A23" i="10"/>
  <c r="A22" i="10"/>
  <c r="A21" i="10"/>
  <c r="A20" i="10"/>
  <c r="A19" i="10"/>
  <c r="A18" i="10"/>
  <c r="A17" i="10"/>
  <c r="A16" i="10"/>
  <c r="A15" i="10"/>
  <c r="A14" i="10"/>
  <c r="A13" i="10"/>
  <c r="A12" i="10"/>
  <c r="A11" i="10"/>
  <c r="A10" i="10"/>
  <c r="A9" i="10"/>
  <c r="A8" i="10"/>
  <c r="A7" i="10"/>
  <c r="A6" i="10"/>
  <c r="J5" i="3"/>
  <c r="D5" i="3"/>
  <c r="D48" i="7"/>
  <c r="D49" i="7" a="1"/>
  <c r="D49" i="7"/>
  <c r="D16" i="7" a="1"/>
  <c r="D16" i="7"/>
  <c r="D26" i="7" a="1"/>
  <c r="D26" i="7"/>
  <c r="D35" i="7" a="1"/>
  <c r="D35" i="7"/>
  <c r="D43" i="7" a="1"/>
  <c r="D43" i="7"/>
  <c r="Q18" i="7" a="1"/>
  <c r="Q18" i="7"/>
  <c r="A7" i="7" a="1"/>
  <c r="A7" i="7"/>
  <c r="A4" i="7" a="1"/>
  <c r="A4" i="7"/>
  <c r="A5" i="7" a="1"/>
  <c r="A5" i="7"/>
  <c r="A6" i="7" a="1"/>
  <c r="A6" i="7"/>
  <c r="A8" i="7" a="1"/>
  <c r="A8" i="7"/>
  <c r="A9" i="7" a="1"/>
  <c r="A9" i="7"/>
  <c r="A10" i="7" a="1"/>
  <c r="A10" i="7"/>
  <c r="A11" i="7" a="1"/>
  <c r="A11" i="7"/>
  <c r="A12" i="7" a="1"/>
  <c r="A12" i="7"/>
  <c r="A13" i="7" a="1"/>
  <c r="A13" i="7"/>
  <c r="A14" i="7" a="1"/>
  <c r="A14" i="7"/>
  <c r="A15" i="7" a="1"/>
  <c r="A15" i="7"/>
  <c r="A16" i="7" a="1"/>
  <c r="A16" i="7"/>
  <c r="A17" i="7" a="1"/>
  <c r="A17" i="7"/>
  <c r="A18" i="7" a="1"/>
  <c r="A18" i="7"/>
  <c r="A19" i="7" a="1"/>
  <c r="A19" i="7"/>
  <c r="A20" i="7" a="1"/>
  <c r="A20" i="7"/>
  <c r="A21" i="7" a="1"/>
  <c r="A21" i="7"/>
  <c r="A22" i="7" a="1"/>
  <c r="A22" i="7"/>
  <c r="A23" i="7" a="1"/>
  <c r="A23" i="7"/>
  <c r="A24" i="7" a="1"/>
  <c r="A24" i="7"/>
  <c r="A25" i="7" a="1"/>
  <c r="A25" i="7"/>
  <c r="A26" i="7" a="1"/>
  <c r="A26" i="7"/>
  <c r="A27" i="7" a="1"/>
  <c r="A27" i="7"/>
  <c r="A28" i="7" a="1"/>
  <c r="A28" i="7"/>
  <c r="A29" i="7" a="1"/>
  <c r="A29" i="7"/>
  <c r="A30" i="7" a="1"/>
  <c r="A30" i="7"/>
  <c r="A31" i="7" a="1"/>
  <c r="A31" i="7"/>
  <c r="A32" i="7" a="1"/>
  <c r="A32" i="7"/>
  <c r="A33" i="7" a="1"/>
  <c r="A33" i="7"/>
  <c r="A34" i="7" a="1"/>
  <c r="A34" i="7"/>
  <c r="A35" i="7" a="1"/>
  <c r="A35" i="7"/>
  <c r="A36" i="7" a="1"/>
  <c r="A36" i="7"/>
  <c r="A37" i="7" a="1"/>
  <c r="A37" i="7"/>
  <c r="A38" i="7" a="1"/>
  <c r="A38" i="7"/>
  <c r="A39" i="7" a="1"/>
  <c r="A39" i="7"/>
  <c r="A40" i="7" a="1"/>
  <c r="A40" i="7"/>
  <c r="A41" i="7" a="1"/>
  <c r="A41" i="7"/>
  <c r="A42" i="7" a="1"/>
  <c r="A42" i="7"/>
  <c r="A43" i="7" a="1"/>
  <c r="A43" i="7"/>
  <c r="A44" i="7" a="1"/>
  <c r="A44" i="7"/>
  <c r="A45" i="7" a="1"/>
  <c r="A45" i="7"/>
  <c r="A46" i="7" a="1"/>
  <c r="A46" i="7"/>
  <c r="A47" i="7" a="1"/>
  <c r="A47" i="7"/>
  <c r="A48" i="7" a="1"/>
  <c r="A48" i="7"/>
  <c r="A49" i="7" a="1"/>
  <c r="A49" i="7"/>
  <c r="A50" i="7" a="1"/>
  <c r="A50" i="7"/>
  <c r="A51" i="7" a="1"/>
  <c r="A51" i="7"/>
  <c r="A52" i="7" a="1"/>
  <c r="A52" i="7"/>
  <c r="A53" i="7" a="1"/>
  <c r="A53" i="7"/>
  <c r="A54" i="7" a="1"/>
  <c r="A54" i="7"/>
  <c r="K11" i="7" a="1"/>
  <c r="K11" i="7" s="1"/>
  <c r="B4" i="7" a="1"/>
  <c r="B4" i="7" s="1"/>
  <c r="C2" i="7" a="1"/>
  <c r="C2" i="7" s="1"/>
  <c r="E2" i="7" a="1"/>
  <c r="F2" i="7" a="1"/>
  <c r="D42" i="7"/>
  <c r="D7" i="7" a="1"/>
  <c r="D25" i="7"/>
  <c r="D15" i="7"/>
  <c r="D34" i="7"/>
  <c r="D6" i="7"/>
  <c r="B13" i="1" a="1"/>
  <c r="D18" i="8" a="1"/>
  <c r="B22" i="3" a="1"/>
  <c r="B44" i="3" a="1"/>
  <c r="B65" i="3" a="1"/>
  <c r="H65" i="3" a="1"/>
  <c r="D18" i="8" l="1"/>
  <c r="B65" i="3"/>
  <c r="B44" i="3"/>
  <c r="B22" i="3"/>
  <c r="H65" i="3"/>
  <c r="D7" i="7"/>
  <c r="F2" i="7"/>
  <c r="E2" i="7"/>
  <c r="B13" i="1"/>
  <c r="G2" i="7" a="1"/>
  <c r="E13" i="1" a="1"/>
  <c r="D36" i="8" a="1"/>
  <c r="D33" i="8" a="1"/>
  <c r="D33" i="8" l="1"/>
  <c r="D36" i="8"/>
  <c r="E13" i="1"/>
  <c r="G2" i="7"/>
  <c r="L10" i="7" s="1" a="1"/>
  <c r="L10" i="7" s="1"/>
  <c r="J13" i="1" a="1"/>
  <c r="M13" i="1" a="1"/>
  <c r="G13" i="1" a="1"/>
  <c r="A35" i="8" l="1" a="1"/>
  <c r="A35" i="8" s="1"/>
  <c r="B35" i="8" a="1"/>
  <c r="B35" i="8" s="1"/>
  <c r="J13" i="1"/>
  <c r="G13" i="1"/>
  <c r="M13" i="1"/>
  <c r="P13" i="1" a="1"/>
  <c r="P13" i="1" l="1"/>
  <c r="P1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<sst xmlns="http://schemas.openxmlformats.org/spreadsheetml/2006/main" count="585" uniqueCount="433">
  <si>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</si>
  <si>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</si>
  <si>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</si>
  <si>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</si>
  <si>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</si>
  <si>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</si>
  <si>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</si>
  <si>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</si>
  <si>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</si>
  <si>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</si>
  <si>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</si>
  <si>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</si>
  <si>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</si>
  <si>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</si>
  <si>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</si>
  <si>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</si>
  <si>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</si>
  <si>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</si>
  <si>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</si>
  <si>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</si>
  <si>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Delimiter</t>
  </si>
  <si>
    <t>NumRows</t>
  </si>
  <si>
    <t>NumCols</t>
  </si>
  <si>
    <t>DecimalSeparator</t>
  </si>
  <si>
    <t>Returns the contents of a comma-separated file on disk as an array.</t>
  </si>
  <si>
    <t>The full name of the file, including the path.</t>
  </si>
  <si>
    <t>The character that represents a decimal point. If omitted, then the value from Windows regional settings is used.</t>
  </si>
  <si>
    <t>Argument</t>
  </si>
  <si>
    <t>FunctionName</t>
  </si>
  <si>
    <t>FunctionDescription</t>
  </si>
  <si>
    <t>Description</t>
  </si>
  <si>
    <t>Header for VBA code</t>
  </si>
  <si>
    <t>ExtraHelp</t>
  </si>
  <si>
    <t>Inputs to CSVWrite</t>
  </si>
  <si>
    <t>Call CSVRead, TypeConversion = TRUE</t>
  </si>
  <si>
    <t>VBA-CSV functions CSVWrite and CSVRead</t>
  </si>
  <si>
    <t>String</t>
  </si>
  <si>
    <t>Logical</t>
  </si>
  <si>
    <t>Error</t>
  </si>
  <si>
    <t>TODO</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</si>
  <si>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</si>
  <si>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</si>
  <si>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</si>
  <si>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</si>
  <si>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</si>
  <si>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</si>
  <si>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</si>
  <si>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Data</t>
  </si>
  <si>
    <t>Colour key</t>
  </si>
  <si>
    <t>Number (or Date, according to cell's NumberFormat)</t>
  </si>
  <si>
    <t>Rewrote code to split a string, rather than examining each character in VBA code, use InStr in a while loop to push the character examination down to C code.</t>
  </si>
  <si>
    <t>Alternatives to test against</t>
  </si>
  <si>
    <t>https://github.com/sdkn104/VBA-CSV</t>
  </si>
  <si>
    <t>https://github.com/ws-garcia/VBA-CSV-interface</t>
  </si>
  <si>
    <t>VBA Code to register with Excel function Wizard. Function description and argument descriptions must be no longer than 255 characters.</t>
  </si>
  <si>
    <t>Added code to compare against https://github.com/sdkn104/VBA-CSV</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</si>
  <si>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</si>
  <si>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</si>
  <si>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</si>
  <si>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</si>
  <si>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</si>
  <si>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</si>
  <si>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</si>
  <si>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</si>
  <si>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</si>
  <si>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</si>
  <si>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</si>
  <si>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</si>
  <si>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</si>
  <si>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</si>
  <si>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</si>
  <si>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</si>
  <si>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</si>
  <si>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</si>
  <si>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</si>
  <si>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</si>
  <si>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</si>
  <si>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</si>
  <si>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</si>
  <si>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</si>
  <si>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</si>
  <si>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</si>
  <si>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</si>
  <si>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</si>
  <si>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</si>
  <si>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</si>
  <si>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</si>
  <si>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</si>
  <si>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</si>
  <si>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</si>
  <si>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</si>
  <si>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</si>
  <si>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</si>
  <si>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</si>
  <si>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</si>
  <si>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</si>
  <si>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</si>
  <si>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</si>
  <si>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</si>
  <si>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</si>
  <si>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</si>
  <si>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</si>
  <si>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</si>
  <si>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</si>
  <si>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</si>
  <si>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</si>
  <si>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</si>
  <si>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</si>
  <si>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</si>
  <si>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</si>
  <si>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</si>
  <si>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</si>
  <si>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</si>
  <si>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</si>
  <si>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</si>
  <si>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</si>
  <si>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</si>
  <si>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</si>
  <si>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</si>
  <si>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</si>
  <si>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</si>
  <si>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</si>
  <si>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</si>
  <si>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</si>
  <si>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</si>
  <si>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</si>
  <si>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</si>
  <si>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</si>
  <si>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</si>
  <si>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</si>
  <si>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</si>
  <si>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</si>
  <si>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</si>
  <si>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</si>
  <si>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</si>
  <si>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</si>
  <si>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</si>
  <si>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</si>
  <si>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</si>
  <si>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</si>
  <si>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</si>
  <si>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String with embedded line-feeds, commas or quotes</t>
  </si>
  <si>
    <t>Addd sheet "TimingResults" and module modCompareAgainstAlternatives.</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</si>
  <si>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</si>
  <si>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</si>
  <si>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</si>
  <si>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</si>
  <si>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</si>
  <si>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</si>
  <si>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</si>
  <si>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</si>
  <si>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</si>
  <si>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</si>
  <si>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</si>
  <si>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</si>
  <si>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</si>
  <si>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</si>
  <si>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</si>
  <si>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</si>
  <si>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</si>
  <si>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</si>
  <si>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</si>
  <si>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</si>
  <si>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</si>
  <si>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</si>
  <si>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</si>
  <si>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</si>
  <si>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</si>
  <si>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</si>
  <si>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</si>
  <si>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</si>
  <si>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</si>
  <si>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</si>
  <si>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</si>
  <si>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</si>
  <si>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</si>
  <si>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</si>
  <si>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</si>
  <si>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</si>
  <si>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</si>
  <si>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</si>
  <si>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</si>
  <si>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</si>
  <si>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</si>
  <si>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Timing</t>
  </si>
  <si>
    <t>C:\Temp\CSVTest\CompareAgainstAlternatives\Windows_1024_x_008_Strings_length_3_Ascii_NotRagged.csv</t>
  </si>
  <si>
    <t>C:\Temp\CSVTest\CompareAgainstAlternatives\Windows_1024_x_008_Strings_length_6_Ascii_NotRagged.csv</t>
  </si>
  <si>
    <t>C:\Temp\CSVTest\CompareAgainstAlternatives\Windows_1024_x_008_Strings_length_10_Ascii_NotRagged.csv</t>
  </si>
  <si>
    <t>C:\Temp\CSVTest\CompareAgainstAlternatives\Windows_1024_x_008_Strings_length_18_Ascii_NotRagged.csv</t>
  </si>
  <si>
    <t>C:\Temp\CSVTest\CompareAgainstAlternatives\Windows_1024_x_008_Strings_length_34_Ascii_NotRagged.csv</t>
  </si>
  <si>
    <t>C:\Temp\CSVTest\CompareAgainstAlternatives\Windows_1024_x_008_Strings_length_66_Ascii_NotRagged.csv</t>
  </si>
  <si>
    <t>C:\Temp\CSVTest\CompareAgainstAlternatives\Windows_1024_x_008_Strings_length_130_Ascii_NotRagged.csv</t>
  </si>
  <si>
    <t>C:\Temp\CSVTest\CompareAgainstAlternatives\Windows_1024_x_008_Strings_length_258_Ascii_NotRagged.csv</t>
  </si>
  <si>
    <t>C:\Temp\CSVTest\CompareAgainstAlternatives\Windows_1024_x_008_Strings_length_514_Ascii_NotRagged.csv</t>
  </si>
  <si>
    <t>C:\Temp\CSVTest\CompareAgainstAlternatives\Windows_1024_x_008_Strings_length_1026_Ascii_NotRagged.csv</t>
  </si>
  <si>
    <t>C:\Temp\CSVTest\CompareAgainstAlternatives\Windows_1024_x_008_Strings_length_2050_Ascii_NotRagged.csv</t>
  </si>
  <si>
    <t>C:\Temp\CSVTest\CompareAgainstAlternatives\Windows_1024_x_008_Strings_length_4098_Ascii_NotRagged.csv</t>
  </si>
  <si>
    <t>C:\Temp\CSVTest\CompareAgainstAlternatives\Windows_1024_x_008_Strings_length_8194_Ascii_NotRagged.csv</t>
  </si>
  <si>
    <t>C:\Temp\CSVTest\CompareAgainstAlternatives\Windows_1024_x_008_Strings_length_16386_Ascii_NotRagged.csv</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</si>
  <si>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</si>
  <si>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</si>
  <si>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</si>
  <si>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</si>
  <si>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</si>
  <si>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</si>
  <si>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</si>
  <si>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</si>
  <si>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</si>
  <si>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</si>
  <si>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</si>
  <si>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</si>
  <si>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</si>
  <si>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</si>
  <si>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</si>
  <si>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C:\Temp\CSVTest\CompareAgainstAlternatives\Windows_0001_x_001_Strings_length_32_Ascii_NotRagged.csv</t>
  </si>
  <si>
    <t>Settled on fastest algo.</t>
  </si>
  <si>
    <t>ConvertTypes</t>
  </si>
  <si>
    <t>SkipToCol</t>
  </si>
  <si>
    <t>The column in the file at which reading starts. Optional and defaults to 1 to read from the first column.</t>
  </si>
  <si>
    <t>The number of columns to read from the file. If omitted (or zero), all columns from SkipToCol are read.</t>
  </si>
  <si>
    <t>SkipToRow</t>
  </si>
  <si>
    <t>The row in the file at which reading starts. Optional and defaults to 1 to read from the first row.</t>
  </si>
  <si>
    <t>The number of rows to read from the file. If omitted (or zero), all rows from SkipToRow to the end of the file are read.</t>
  </si>
  <si>
    <t>Now have two functions CSVRead_V1 and CSVRead_V2</t>
  </si>
  <si>
    <t>C:\Users\phili\Downloads\VBA-CSV-interface\testing\tests\Bad comments value specified.csv</t>
  </si>
  <si>
    <t>C:\Users\phili\Downloads\VBA-CSV-interface\testing\tests\Comment with non-default character.csv</t>
  </si>
  <si>
    <t>C:\Users\phili\Downloads\VBA-CSV-interface\testing\tests\Commented line at beginning.csv</t>
  </si>
  <si>
    <t>C:\Users\phili\Downloads\VBA-CSV-interface\testing\tests\Commented line at end.csv</t>
  </si>
  <si>
    <t>C:\Users\phili\Downloads\VBA-CSV-interface\testing\tests\Commented line in middle.csv</t>
  </si>
  <si>
    <t>C:\Users\phili\Downloads\VBA-CSV-interface\testing\tests\Complex CSV syntax.csv</t>
  </si>
  <si>
    <t>C:\Users\phili\Downloads\VBA-CSV-interface\testing\tests\Entire file is comment lines.csv</t>
  </si>
  <si>
    <t>C:\Users\phili\Downloads\VBA-CSV-interface\testing\tests\Input is just a string (a single field).csv</t>
  </si>
  <si>
    <t>C:\Users\phili\Downloads\VBA-CSV-interface\testing\tests\Input is just empty fields.csv</t>
  </si>
  <si>
    <t>C:\Users\phili\Downloads\VBA-CSV-interface\testing\tests\Input is just the delimiter (2 empty fields).csv</t>
  </si>
  <si>
    <t>C:\Users\phili\Downloads\VBA-CSV-interface\testing\tests\Input with only a commented line and blank line after.csv</t>
  </si>
  <si>
    <t>C:\Users\phili\Downloads\VBA-CSV-interface\testing\tests\Input with only a commented line, without comments enabled.csv</t>
  </si>
  <si>
    <t>C:\Users\phili\Downloads\VBA-CSV-interface\testing\tests\Input without comments with line starting with whitespace.csv</t>
  </si>
  <si>
    <t>C:\Users\phili\Downloads\VBA-CSV-interface\testing\tests\Line ends with quoted field.csv</t>
  </si>
  <si>
    <t>C:\Users\phili\Downloads\VBA-CSV-interface\testing\tests\Line starts with quoted field.csv</t>
  </si>
  <si>
    <t>C:\Users\phili\Downloads\VBA-CSV-interface\testing\tests\Misplaced quotes in data, not as opening quotes.csv</t>
  </si>
  <si>
    <t>C:\Users\phili\Downloads\VBA-CSV-interface\testing\tests\Multiple consecutive empty fields.csv</t>
  </si>
  <si>
    <t>C:\Users\phili\Downloads\VBA-CSV-interface\testing\tests\Multiple rows, one column (no delimiter found).csv</t>
  </si>
  <si>
    <t>C:\Users\phili\Downloads\VBA-CSV-interface\testing\tests\One column input with empty fields.csv</t>
  </si>
  <si>
    <t>C:\Users\phili\Downloads\VBA-CSV-interface\testing\tests\One row.csv</t>
  </si>
  <si>
    <t>C:\Users\phili\Downloads\VBA-CSV-interface\testing\tests\Pipe delimiter.csv</t>
  </si>
  <si>
    <t>C:\Users\phili\Downloads\VBA-CSV-interface\testing\tests\Quoted field at end of row (but not at EOF) has quotes.csv</t>
  </si>
  <si>
    <t>C:\Users\phili\Downloads\VBA-CSV-interface\testing\tests\Quoted field has no closing quote.csv</t>
  </si>
  <si>
    <t>C:\Users\phili\Downloads\VBA-CSV-interface\testing\tests\Quoted field with 5 quotes in a row and a delimiter.csv</t>
  </si>
  <si>
    <t>C:\Users\phili\Downloads\VBA-CSV-interface\testing\tests\Quoted field with delimiter.csv</t>
  </si>
  <si>
    <t>C:\Users\phili\Downloads\VBA-CSV-interface\testing\tests\Quoted field with escaped quotes at boundaries.csv</t>
  </si>
  <si>
    <t>C:\Users\phili\Downloads\VBA-CSV-interface\testing\tests\Quoted field with escaped quotes.csv</t>
  </si>
  <si>
    <t>C:\Users\phili\Downloads\VBA-CSV-interface\testing\tests\Quoted field with extra whitespace on edges.csv</t>
  </si>
  <si>
    <t>C:\Users\phili\Downloads\VBA-CSV-interface\testing\tests\Quoted field with line break.csv</t>
  </si>
  <si>
    <t>C:\Users\phili\Downloads\VBA-CSV-interface\testing\tests\Quoted field with quotes around delimiter.csv</t>
  </si>
  <si>
    <t>C:\Users\phili\Downloads\VBA-CSV-interface\testing\tests\Quoted field with quotes on left side of delimiter.csv</t>
  </si>
  <si>
    <t>C:\Users\phili\Downloads\VBA-CSV-interface\testing\tests\Quoted field with quotes on right side of delimiter.csv</t>
  </si>
  <si>
    <t>C:\Users\phili\Downloads\VBA-CSV-interface\testing\tests\Quoted field with unix escaped quotes at boundaries.csv</t>
  </si>
  <si>
    <t>C:\Users\phili\Downloads\VBA-CSV-interface\testing\tests\Quoted field with whitespace around quotes.csv</t>
  </si>
  <si>
    <t>C:\Users\phili\Downloads\VBA-CSV-interface\testing\tests\Quoted field.csv</t>
  </si>
  <si>
    <t>C:\Users\phili\Downloads\VBA-CSV-interface\testing\tests\Quoted fields at end of row with delimiter and line break.csv</t>
  </si>
  <si>
    <t>C:\Users\phili\Downloads\VBA-CSV-interface\testing\tests\Quoted fields with line breaks.csv</t>
  </si>
  <si>
    <t>C:\Users\phili\Downloads\VBA-CSV-interface\testing\tests\Row with enough fields but blank field at end.csv</t>
  </si>
  <si>
    <t>C:\Users\phili\Downloads\VBA-CSV-interface\testing\tests\Row with too few fields.csv</t>
  </si>
  <si>
    <t>C:\Users\phili\Downloads\VBA-CSV-interface\testing\tests\Row with too many fields.csv</t>
  </si>
  <si>
    <t>C:\Users\phili\Downloads\VBA-CSV-interface\testing\tests\Skip empty lines, with empty input.csv</t>
  </si>
  <si>
    <t>C:\Users\phili\Downloads\VBA-CSV-interface\testing\tests\Skip empty lines, with first line only whitespace.csv</t>
  </si>
  <si>
    <t>C:\Users\phili\Downloads\VBA-CSV-interface\testing\tests\Skip empty lines, with newline at end of input.csv</t>
  </si>
  <si>
    <t>C:\Users\phili\Downloads\VBA-CSV-interface\testing\tests\Tab delimiter.csv</t>
  </si>
  <si>
    <t>C:\Users\phili\Downloads\VBA-CSV-interface\testing\tests\Test runner [CSVinterface-TDD].xlsm</t>
  </si>
  <si>
    <t>C:\Users\phili\Downloads\VBA-CSV-interface\testing\tests\Three comment lines consecutively at beginning of file.csv</t>
  </si>
  <si>
    <t>C:\Users\phili\Downloads\VBA-CSV-interface\testing\tests\Two comment lines consecutively at end of file.csv</t>
  </si>
  <si>
    <t>C:\Users\phili\Downloads\VBA-CSV-interface\testing\tests\Two comment lines consecutively.csv</t>
  </si>
  <si>
    <t>C:\Users\phili\Downloads\VBA-CSV-interface\testing\tests\Two rows.csv</t>
  </si>
  <si>
    <t>C:\Users\phili\Downloads\VBA-CSV-interface\testing\tests\Unquoted field with quotes at end of field.csv</t>
  </si>
  <si>
    <t>C:\Users\phili\Downloads\VBA-CSV-interface\testing\tests\Whitespace at edges of unquoted field.csv</t>
  </si>
  <si>
    <t>CSVRead_V1=CSVRead_V2</t>
  </si>
  <si>
    <t>CSVRead_V2=CSVRead_sdkn104</t>
  </si>
  <si>
    <t>CSVRead_V2=CSVRead_ws_garcia</t>
  </si>
  <si>
    <t>a</t>
  </si>
  <si>
    <t>b</t>
  </si>
  <si>
    <t>c</t>
  </si>
  <si>
    <t>d</t>
  </si>
  <si>
    <t>e</t>
  </si>
  <si>
    <t>f</t>
  </si>
  <si>
    <t>h</t>
  </si>
  <si>
    <t>i</t>
  </si>
  <si>
    <t>j</t>
  </si>
  <si>
    <t>k</t>
  </si>
  <si>
    <t>l</t>
  </si>
  <si>
    <t>,</t>
  </si>
  <si>
    <t>c:\temp\anothertest.csv</t>
  </si>
  <si>
    <t>!</t>
  </si>
  <si>
    <t>"</t>
  </si>
  <si>
    <t>#</t>
  </si>
  <si>
    <t>$</t>
  </si>
  <si>
    <t>%</t>
  </si>
  <si>
    <t>&amp;</t>
  </si>
  <si>
    <t>'</t>
  </si>
  <si>
    <t>(</t>
  </si>
  <si>
    <t>)</t>
  </si>
  <si>
    <t>*</t>
  </si>
  <si>
    <t>+</t>
  </si>
  <si>
    <t>-</t>
  </si>
  <si>
    <t>.</t>
  </si>
  <si>
    <t>/</t>
  </si>
  <si>
    <t>0</t>
  </si>
  <si>
    <t>1</t>
  </si>
  <si>
    <t>2</t>
  </si>
  <si>
    <t>3</t>
  </si>
  <si>
    <t>4</t>
  </si>
  <si>
    <t>5</t>
  </si>
  <si>
    <t>7</t>
  </si>
  <si>
    <t>8</t>
  </si>
  <si>
    <t>9</t>
  </si>
  <si>
    <t>:</t>
  </si>
  <si>
    <t>;</t>
  </si>
  <si>
    <t>&lt;</t>
  </si>
  <si>
    <t>=</t>
  </si>
  <si>
    <t>&gt;</t>
  </si>
  <si>
    <t>?</t>
  </si>
  <si>
    <t>@</t>
  </si>
  <si>
    <t>A</t>
  </si>
  <si>
    <t>B</t>
  </si>
  <si>
    <t>C</t>
  </si>
  <si>
    <t>D</t>
  </si>
  <si>
    <t>E</t>
  </si>
  <si>
    <t>F</t>
  </si>
  <si>
    <t>G</t>
  </si>
  <si>
    <t>H</t>
  </si>
  <si>
    <t>J</t>
  </si>
  <si>
    <t>K</t>
  </si>
  <si>
    <t>L</t>
  </si>
  <si>
    <t>M</t>
  </si>
  <si>
    <t>N</t>
  </si>
  <si>
    <t>O</t>
  </si>
  <si>
    <t>P</t>
  </si>
  <si>
    <t>Q</t>
  </si>
  <si>
    <t>R</t>
  </si>
  <si>
    <t>S</t>
  </si>
  <si>
    <t>T</t>
  </si>
  <si>
    <t>U</t>
  </si>
  <si>
    <t>V</t>
  </si>
  <si>
    <t>W</t>
  </si>
  <si>
    <t>X</t>
  </si>
  <si>
    <t>Y</t>
  </si>
  <si>
    <t>Z</t>
  </si>
  <si>
    <t>[</t>
  </si>
  <si>
    <t>\</t>
  </si>
  <si>
    <t>]</t>
  </si>
  <si>
    <t>^</t>
  </si>
  <si>
    <t>_</t>
  </si>
  <si>
    <t>`</t>
  </si>
  <si>
    <t>m</t>
  </si>
  <si>
    <t>n</t>
  </si>
  <si>
    <t>o</t>
  </si>
  <si>
    <t>p</t>
  </si>
  <si>
    <t>q</t>
  </si>
  <si>
    <t>r</t>
  </si>
  <si>
    <t>s</t>
  </si>
  <si>
    <t>t</t>
  </si>
  <si>
    <t>u</t>
  </si>
  <si>
    <t>v</t>
  </si>
  <si>
    <t>w</t>
  </si>
  <si>
    <t>y</t>
  </si>
  <si>
    <t>z</t>
  </si>
  <si>
    <t>|</t>
  </si>
  <si>
    <t>}</t>
  </si>
  <si>
    <t>~</t>
  </si>
  <si>
    <t></t>
  </si>
  <si>
    <t>€</t>
  </si>
  <si>
    <t></t>
  </si>
  <si>
    <t>‚</t>
  </si>
  <si>
    <t>ƒ</t>
  </si>
  <si>
    <t>„</t>
  </si>
  <si>
    <t>CSVRead_V2 now supports SkipToCol and NumCols, not yet SkipToRow and NumRows though.</t>
  </si>
  <si>
    <t>CSVRead_V3 now supports SkipToRow and NumRows.</t>
  </si>
  <si>
    <t>CSVRead_sdkn104</t>
  </si>
  <si>
    <t>CSVRead_ws_garcia</t>
  </si>
  <si>
    <t>File</t>
  </si>
  <si>
    <t>Size</t>
  </si>
  <si>
    <t>One column of 1-char fields.</t>
  </si>
  <si>
    <t>One column of 32-char fields.</t>
  </si>
  <si>
    <t>One column of 20-char fields with embedded breaks.</t>
  </si>
  <si>
    <t>10 columns of 17-char numeric fields (no quotes).</t>
  </si>
  <si>
    <t>1024 rows, 8 columns. Fields not quoted.</t>
  </si>
  <si>
    <t>1024 rows, 8 columns. Fields quoted.</t>
  </si>
  <si>
    <t>Added sheet `TimingResults (3)`</t>
  </si>
  <si>
    <t>Field Length</t>
  </si>
  <si>
    <t>Each Field Contains</t>
  </si>
  <si>
    <t>Num Rows</t>
  </si>
  <si>
    <t>Num Cols</t>
  </si>
  <si>
    <t>Bug fixes to handling of SkipNumRows etc.</t>
  </si>
  <si>
    <t>Changed method SaveWorkbookAndExportModules to also save a backup to OneDrive.</t>
  </si>
  <si>
    <t>Deleted 2 of the 3 sheets with timing results.</t>
  </si>
  <si>
    <t>Deleted functions CSVRead_V1 and CSVRead_V2</t>
  </si>
  <si>
    <t>Removed redundant modules. CSVWrite no longer has Ragged argument.</t>
  </si>
  <si>
    <t>The delimiter string, if omitted defaults to a comma. Delimiter may have more than one character.</t>
  </si>
  <si>
    <t>Delimiter string. Defaults to the first instance of comma, tab, semi-colon, colon or pipe found outside quoted regions. Enter FALSE to  see the file's raw contents as would be displayed in a text editor. Delimiter may have more than one character.</t>
  </si>
  <si>
    <t>CSVRead</t>
  </si>
  <si>
    <t>An array of data. Elements may be strings, numbers, dates, Booleans, empty, Excel errors or null values.</t>
  </si>
  <si>
    <t>If TRUE (the default) then all strings in Data are quoted before being written to file. If FALSE only strings containing Delimiter, line feed, carriage return or double quote are quoted. Double quotes are always escaped by another double quote.</t>
  </si>
  <si>
    <t>Creates a comma-separated file on disk containing Data. Any existing file of the same name is overwritten. If successful, the function returns FileName, otherwise an "error string" (starts with #, ends with !) describing what went wrong.</t>
  </si>
  <si>
    <t>Renamed CSVRead_V3 as CSVRead</t>
  </si>
  <si>
    <t>Length (max 255)</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</si>
  <si>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</si>
  <si>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definition of the CSV format see
https://tools.ietf.org/html/rfc4180#section-2</t>
  </si>
  <si>
    <t>Removed reference to SolumAddin.</t>
  </si>
  <si>
    <t>NCalls
CSVRead</t>
  </si>
  <si>
    <t>NCalls
CSVRead_sdkn104</t>
  </si>
  <si>
    <t>NCalls
CSVRead_ws_garcia</t>
  </si>
  <si>
    <t>Method TimeThreeParsers now has TimeOut argument so that time to execute is averaged over the number of calls required to take (in total) the TimeOut value.</t>
  </si>
  <si>
    <t>Help</t>
  </si>
  <si>
    <t>A format string that determines how dates with non-zero time part appear in the file. If omitted defaults to "yyyy-mm-dd hh:mm:ss".The companion function CVSRead is not currently capable of interpreting fields written in DateTime format.</t>
  </si>
  <si>
    <t>A format string that determine how dates, including cells formatted as dates, appear in the file. If omitted, defaults to "yyyy-mm-dd".</t>
  </si>
  <si>
    <t>Code formatting.</t>
  </si>
  <si>
    <t>Corrections to code comments.</t>
  </si>
  <si>
    <t>ShowMissingsAs</t>
  </si>
  <si>
    <t>Fields which are missing in the file (i.e. consecutive delimiters) are represented by ShowMissingsAs. Defaults to the null string, but can be any string or Empty.</t>
  </si>
  <si>
    <t>UTF16</t>
  </si>
  <si>
    <t>Enter TRUE if the file is UTF-16 encoded, FALSE otherwise. Omit to guess from the file's contents.</t>
  </si>
  <si>
    <t>If FALSE (the default) the file written will be UTF-8. If TRUE the file written will be UTF-16 LE BOM. An error will result if this argument is FALSE but Data contains characters with code points above 255.</t>
  </si>
  <si>
    <t>Enter the line ending as "Windows" (or CRLF), or "Unix" (or LF) or "Mac" (or CR). If omitted defaults to "Windows".</t>
  </si>
  <si>
    <t>RawFileContents</t>
  </si>
  <si>
    <t>xxy</t>
  </si>
  <si>
    <t>&lt;MISSING&gt;</t>
  </si>
  <si>
    <t>c:\temp\CSVTest\Originals\Windows_0001_x_002_RandomVariantsWithLineFeed_Unicode_Ragged.csv</t>
  </si>
  <si>
    <t>Added argument ShowMissingsAs to CSVRead. Simplification of this workbook.</t>
  </si>
  <si>
    <t>SourceFile</t>
  </si>
  <si>
    <t>C:\Projects\VBA-CSV\src\modCSVReadWrite.bas</t>
  </si>
  <si>
    <t>The format of dates in the file such as "D-M-Y", "M-D-Y" or "Y/M/D". If omitted a value is read from Windows regional settings. Repeated D's (or M's or Y's) are equivalent to single instances, so that "d-m-y" and "DD-MMM-YYYY" are equivalent.</t>
  </si>
  <si>
    <t>Markdown Help for GitHub README.MD</t>
  </si>
  <si>
    <t>TRUE to convert Numbers, Dates, Booleans and Errors into their typed values, or FALSE to leave as strings. Or a string of characters N, D, B, E, Q. E.g. "BN" to convert just Booleans and numbers. Q indicates quoted strings should retain their quotes.</t>
  </si>
  <si>
    <t>Work on Markdown help.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</si>
</sst>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10"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sz val="11"/>
      <color rgb="FF000000"/>
      <name val="Calibri"/>
      <family val="2"/>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3">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7" fillId="0" borderId="0" applyNumberFormat="0" applyFill="0" applyBorder="0" applyAlignment="0" applyProtection="0"/>
  </cellStyleXfs>
  <cellXfs count="66">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0" fontId="0" fillId="0" borderId="10" xfId="0" quotePrefix="1" applyNumberFormat="1" applyBorder="1" applyAlignment="1">
      <alignment horizontal="left"/>
    </xf>
    <xf numFmtId="0" fontId="0" fillId="0" borderId="0" xfId="0" applyAlignment="1">
      <alignment horizontal="left" vertical="center"/>
    </xf>
    <xf numFmtId="0" fontId="6" fillId="7" borderId="0" xfId="0" applyFont="1" applyFill="1"/>
    <xf numFmtId="38" fontId="0" fillId="0" borderId="0" xfId="0" applyNumberFormat="1" applyAlignment="1">
      <alignment horizontal="left" vertical="center"/>
    </xf>
    <xf numFmtId="0" fontId="0" fillId="0" borderId="10" xfId="0" quotePrefix="1" applyBorder="1" applyAlignment="1">
      <alignment horizontal="left" vertical="center"/>
    </xf>
    <xf numFmtId="0" fontId="8" fillId="0" borderId="0" xfId="0" quotePrefix="1" applyFont="1" applyAlignment="1">
      <alignment horizontal="left"/>
    </xf>
    <xf numFmtId="0" fontId="0" fillId="0" borderId="0" xfId="0" quotePrefix="1"/>
    <xf numFmtId="0" fontId="4" fillId="0" borderId="0" xfId="0" applyFont="1" applyProtection="1">
      <protection locked="0"/>
    </xf>
    <xf numFmtId="0" fontId="0" fillId="0" borderId="0" xfId="0" applyAlignment="1">
      <alignment wrapText="1"/>
    </xf>
    <xf numFmtId="38" fontId="0" fillId="0" borderId="0" xfId="0" applyNumberFormat="1"/>
    <xf numFmtId="0" fontId="0" fillId="0" borderId="11" xfId="0" applyBorder="1" applyAlignment="1">
      <alignment vertical="center"/>
    </xf>
    <xf numFmtId="0" fontId="3" fillId="0" borderId="11" xfId="0" applyFont="1" applyBorder="1"/>
    <xf numFmtId="0" fontId="0" fillId="0" borderId="11" xfId="0" applyBorder="1" applyAlignment="1">
      <alignment vertical="center" wrapText="1"/>
    </xf>
    <xf numFmtId="0" fontId="0" fillId="0" borderId="11" xfId="0" quotePrefix="1" applyBorder="1" applyAlignment="1">
      <alignment horizontal="left"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38" fontId="0" fillId="0" borderId="0" xfId="0" applyNumberFormat="1"/>
    <xf numFmtId="40" fontId="0" fillId="0" borderId="0" xfId="0" applyNumberFormat="1"/>
    <xf numFmtId="0" fontId="0" fillId="0" borderId="0" xfId="0" applyAlignment="1">
      <alignment vertical="center"/>
    </xf>
    <xf numFmtId="0" fontId="0" fillId="0" borderId="0" xfId="0" quotePrefix="1" applyAlignment="1">
      <alignment horizontal="left" vertical="center" wrapText="1"/>
    </xf>
    <xf numFmtId="0" fontId="3" fillId="0" borderId="0" xfId="0" applyFont="1" applyAlignment="1">
      <alignment horizontal="right"/>
    </xf>
    <xf numFmtId="0" fontId="0" fillId="0" borderId="0" xfId="0" applyAlignment="1">
      <alignment horizontal="right"/>
    </xf>
    <xf numFmtId="38" fontId="2" fillId="2" borderId="7" xfId="0" applyNumberFormat="1" applyFont="1" applyFill="1" applyBorder="1" applyAlignment="1">
      <alignment horizontal="center" vertical="center"/>
    </xf>
    <xf numFmtId="0" fontId="4" fillId="0" borderId="0" xfId="0" quotePrefix="1" applyFont="1" applyProtection="1">
      <protection locked="0"/>
    </xf>
    <xf numFmtId="38" fontId="2" fillId="2" borderId="7" xfId="0" applyNumberFormat="1" applyFont="1" applyFill="1" applyBorder="1" applyAlignment="1">
      <alignment horizontal="center" vertical="center"/>
    </xf>
    <xf numFmtId="20" fontId="0" fillId="0" borderId="2" xfId="0" applyNumberFormat="1" applyBorder="1" applyAlignment="1">
      <alignment horizontal="left" vertical="center"/>
    </xf>
    <xf numFmtId="20" fontId="2" fillId="2" borderId="8" xfId="0" applyNumberFormat="1" applyFont="1" applyFill="1" applyBorder="1" applyAlignment="1">
      <alignment horizontal="left" vertical="center"/>
    </xf>
    <xf numFmtId="20" fontId="2" fillId="2" borderId="5" xfId="0" applyNumberFormat="1" applyFont="1" applyFill="1" applyBorder="1" applyAlignment="1">
      <alignment horizontal="left" vertical="center"/>
    </xf>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B26C-4EBC-8EAB-5C3B48F64E8C}"/>
            </c:ext>
          </c:extLst>
        </c:ser>
        <c:ser>
          <c:idx val="1"/>
          <c:order val="1"/>
          <c:tx>
            <c:strRef>
              <c:f>Timing!$F$32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B26C-4EBC-8EAB-5C3B48F64E8C}"/>
            </c:ext>
          </c:extLst>
        </c:ser>
        <c:ser>
          <c:idx val="2"/>
          <c:order val="2"/>
          <c:tx>
            <c:strRef>
              <c:f>Timing!$G$32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B26C-4EBC-8EAB-5C3B48F64E8C}"/>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9108-47A1-8773-F5C9CAA48EEE}"/>
            </c:ext>
          </c:extLst>
        </c:ser>
        <c:ser>
          <c:idx val="1"/>
          <c:order val="1"/>
          <c:tx>
            <c:strRef>
              <c:f>Timing!$F$59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9108-47A1-8773-F5C9CAA48EEE}"/>
            </c:ext>
          </c:extLst>
        </c:ser>
        <c:ser>
          <c:idx val="2"/>
          <c:order val="2"/>
          <c:tx>
            <c:strRef>
              <c:f>Timing!$G$59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9108-47A1-8773-F5C9CAA48EEE}"/>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0A43-44D6-8DB0-885395C4DBFA}"/>
            </c:ext>
          </c:extLst>
        </c:ser>
        <c:ser>
          <c:idx val="1"/>
          <c:order val="1"/>
          <c:tx>
            <c:strRef>
              <c:f>Timing!$F$86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0A43-44D6-8DB0-885395C4DBFA}"/>
            </c:ext>
          </c:extLst>
        </c:ser>
        <c:ser>
          <c:idx val="2"/>
          <c:order val="2"/>
          <c:tx>
            <c:strRef>
              <c:f>Timing!$G$86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0A43-44D6-8DB0-885395C4DBFA}"/>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Timing!$K$112</c:f>
          <c:strCache>
            <c:ptCount val="1"/>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2701-4E77-AAF5-F5E459E2DABE}"/>
            </c:ext>
          </c:extLst>
        </c:ser>
        <c:ser>
          <c:idx val="1"/>
          <c:order val="1"/>
          <c:tx>
            <c:strRef>
              <c:f>Timing!$F$113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2701-4E77-AAF5-F5E459E2DABE}"/>
            </c:ext>
          </c:extLst>
        </c:ser>
        <c:ser>
          <c:idx val="2"/>
          <c:order val="2"/>
          <c:tx>
            <c:strRef>
              <c:f>Timing!$G$113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2701-4E77-AAF5-F5E459E2DABE}"/>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96CE-49AB-9FE1-CA504480A41B}"/>
            </c:ext>
          </c:extLst>
        </c:ser>
        <c:ser>
          <c:idx val="1"/>
          <c:order val="1"/>
          <c:tx>
            <c:strRef>
              <c:f>Timing!$F$140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96CE-49AB-9FE1-CA504480A41B}"/>
            </c:ext>
          </c:extLst>
        </c:ser>
        <c:ser>
          <c:idx val="2"/>
          <c:order val="2"/>
          <c:tx>
            <c:strRef>
              <c:f>Timing!$G$140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96CE-49AB-9FE1-CA504480A41B}"/>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07A5-4BB6-B9C3-6C2E4B926CA1}"/>
            </c:ext>
          </c:extLst>
        </c:ser>
        <c:ser>
          <c:idx val="1"/>
          <c:order val="1"/>
          <c:tx>
            <c:strRef>
              <c:f>Timing!$F$167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07A5-4BB6-B9C3-6C2E4B926CA1}"/>
            </c:ext>
          </c:extLst>
        </c:ser>
        <c:ser>
          <c:idx val="2"/>
          <c:order val="2"/>
          <c:tx>
            <c:strRef>
              <c:f>Timing!$G$167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07A5-4BB6-B9C3-6C2E4B926CA1}"/>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CBEA-4658-BE5F-224DD1638696}"/>
            </c:ext>
          </c:extLst>
        </c:ser>
        <c:ser>
          <c:idx val="1"/>
          <c:order val="1"/>
          <c:tx>
            <c:strRef>
              <c:f>Timing!$F$5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CBEA-4658-BE5F-224DD1638696}"/>
            </c:ext>
          </c:extLst>
        </c:ser>
        <c:ser>
          <c:idx val="2"/>
          <c:order val="2"/>
          <c:tx>
            <c:strRef>
              <c:f>Timing!$G$5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CBEA-4658-BE5F-224DD1638696}"/>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352425</xdr:colOff>
          <xdr:row>0</xdr:row>
          <xdr:rowOff>114300</xdr:rowOff>
        </xdr:from>
        <xdr:to>
          <xdr:col>5</xdr:col>
          <xdr:colOff>647700</xdr:colOff>
          <xdr:row>2</xdr:row>
          <xdr:rowOff>114300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Add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xdr:from>
      <xdr:col>13</xdr:col>
      <xdr:colOff>0</xdr:colOff>
      <xdr:row>31</xdr:row>
      <xdr:rowOff>0</xdr:rowOff>
    </xdr:from>
    <xdr:to>
      <xdr:col>24</xdr:col>
      <xdr:colOff>0</xdr:colOff>
      <xdr:row>54</xdr:row>
      <xdr:rowOff>117475</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37" name="Chart 36">
          <a:extLst>
            <a:ext uri="{FF2B5EF4-FFF2-40B4-BE49-F238E27FC236}">
              <a16:creationId xmlns:a16="http://schemas.microsoft.com/office/drawing/2014/main" id="{00000000-0008-0000-02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Equals"/>
      <definedName name="sArraysIdentical"/>
      <definedName name="sFileSh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Q84"/>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17" ht="28.5" x14ac:dyDescent="0.85">
      <c r="A1" s="23" t="s">
        <v>35</v>
      </c>
    </row>
    <row r="3" spans="1:17" x14ac:dyDescent="0.45">
      <c r="B3" s="21" t="s">
        <v>33</v>
      </c>
      <c r="G3" s="22" t="s">
        <v>48</v>
      </c>
    </row>
    <row r="4" spans="1:17" x14ac:dyDescent="0.45">
      <c r="B4" t="s">
        <v>0</v>
      </c>
      <c r="C4" s="15" t="str" cm="1">
        <f t="array" aca="1" ref="C4" ca="1">TempFolder()&amp;"\VBA-CSVTest.csv"</f>
        <v>C:\Users\phili\AppData\Local\Temp\VBA-CSVTest.csv</v>
      </c>
      <c r="G4" s="29" t="s">
        <v>49</v>
      </c>
    </row>
    <row r="5" spans="1:17" x14ac:dyDescent="0.45">
      <c r="B5" t="s">
        <v>12</v>
      </c>
      <c r="C5" s="16" t="b">
        <v>1</v>
      </c>
      <c r="G5" s="24" t="s">
        <v>36</v>
      </c>
    </row>
    <row r="6" spans="1:17" x14ac:dyDescent="0.45">
      <c r="B6" t="s">
        <v>1</v>
      </c>
      <c r="C6" s="15" t="s">
        <v>17</v>
      </c>
      <c r="G6" s="40" t="s">
        <v>141</v>
      </c>
    </row>
    <row r="7" spans="1:17" x14ac:dyDescent="0.45">
      <c r="B7" t="s">
        <v>13</v>
      </c>
      <c r="C7" s="15" t="s">
        <v>18</v>
      </c>
      <c r="G7" s="27" t="s">
        <v>38</v>
      </c>
    </row>
    <row r="8" spans="1:17" x14ac:dyDescent="0.45">
      <c r="B8" t="s">
        <v>14</v>
      </c>
      <c r="C8" s="16" t="b">
        <v>0</v>
      </c>
      <c r="G8" s="25" t="s">
        <v>37</v>
      </c>
    </row>
    <row r="9" spans="1:17" x14ac:dyDescent="0.45">
      <c r="B9" t="s">
        <v>15</v>
      </c>
      <c r="C9" s="16" t="s">
        <v>16</v>
      </c>
    </row>
    <row r="10" spans="1:17" x14ac:dyDescent="0.45">
      <c r="C10" s="16"/>
      <c r="P10" s="22" t="s">
        <v>46</v>
      </c>
    </row>
    <row r="11" spans="1:17" x14ac:dyDescent="0.45">
      <c r="B11" s="10"/>
      <c r="C11" s="16"/>
      <c r="P11" s="17" t="b">
        <f ca="1">AND(ROWS(B13:C52)=ROWS(_xlfn.ANCHORARRAY(J13)),COLUMNS(B13:C52)=COLUMNS(_xlfn.ANCHORARRAY(J13)),AND(_xlfn.ANCHORARRAY(P13)))</f>
        <v>1</v>
      </c>
    </row>
    <row r="12" spans="1:17" x14ac:dyDescent="0.45">
      <c r="B12" s="21" t="s">
        <v>42</v>
      </c>
      <c r="E12" s="22" t="s">
        <v>45</v>
      </c>
      <c r="F12" s="22"/>
      <c r="G12" s="21" t="s">
        <v>44</v>
      </c>
      <c r="J12" s="21" t="s">
        <v>43</v>
      </c>
      <c r="M12" s="21" t="s">
        <v>34</v>
      </c>
      <c r="P12" t="s">
        <v>19</v>
      </c>
    </row>
    <row r="13" spans="1:17" x14ac:dyDescent="0.45">
      <c r="B13" s="26" cm="1">
        <f t="array" aca="1" ref="B13:C52" ca="1">RandomVariants(40,2,TRUE,Unicode,EOL)</f>
        <v>151527</v>
      </c>
      <c r="C13" s="26">
        <f ca="1"/>
        <v>24865357.6051852</v>
      </c>
      <c r="E13" t="str" cm="1">
        <f t="array" aca="1" ref="E13" ca="1">CSVWrite(FileName,B13:C52,QuoteAllStrings,DateFormat,DateTimeFormat,,Unicode,EOL)</f>
        <v>C:\Temp\TestFile.CSV</v>
      </c>
      <c r="G13" s="26" t="str" cm="1">
        <f t="array" aca="1" ref="G13:G57" ca="1">CSVRead(E13,,FALSE)</f>
        <v>151527,24865357.6051852</v>
      </c>
      <c r="J13" s="26" t="str" cm="1">
        <f t="array" aca="1" ref="J13:K52" ca="1">CSVRead(E13,FALSE)</f>
        <v>151527</v>
      </c>
      <c r="K13" s="26" t="str">
        <f ca="1"/>
        <v>24865357.6051852</v>
      </c>
      <c r="M13" s="26" cm="1">
        <f t="array" aca="1" ref="M13:N52" ca="1">CSVRead(E13,TRUE,,DateFormat)</f>
        <v>151527</v>
      </c>
      <c r="N13" s="26">
        <f ca="1"/>
        <v>24865357.6051852</v>
      </c>
      <c r="P13" s="17" t="b" cm="1">
        <f t="array" aca="1" ref="P13:Q52" ca="1">[1]!sArrayEquals(B13:C52,_xlfn.ANCHORARRAY(M13))</f>
        <v>1</v>
      </c>
      <c r="Q13" s="17" t="b">
        <f ca="1"/>
        <v>1</v>
      </c>
    </row>
    <row r="14" spans="1:17" x14ac:dyDescent="0.45">
      <c r="B14" s="26" t="str">
        <f ca="1"/>
        <v>-1615618.21918709</v>
      </c>
      <c r="C14" s="26" t="str">
        <f ca="1"/>
        <v>FALSE</v>
      </c>
      <c r="G14" s="26" t="str">
        <f ca="1"/>
        <v>"-1615618.21918709","FALSE"</v>
      </c>
      <c r="J14" s="26" t="str">
        <f ca="1"/>
        <v>-1615618.21918709</v>
      </c>
      <c r="K14" s="26" t="str">
        <f ca="1"/>
        <v>FALSE</v>
      </c>
      <c r="M14" s="26" t="str">
        <f ca="1"/>
        <v>-1615618.21918709</v>
      </c>
      <c r="N14" s="26" t="str">
        <f ca="1"/>
        <v>FALSE</v>
      </c>
      <c r="P14" s="17" t="b">
        <f ca="1"/>
        <v>1</v>
      </c>
      <c r="Q14" s="17" t="b">
        <f ca="1"/>
        <v>1</v>
      </c>
    </row>
    <row r="15" spans="1:17" x14ac:dyDescent="0.45">
      <c r="B15" s="26" t="str">
        <f ca="1"/>
        <v>2016-Dec-23</v>
      </c>
      <c r="C15" s="26" t="str">
        <f ca="1"/>
        <v>1992-Mar-07</v>
      </c>
      <c r="G15" s="26" t="str">
        <f ca="1"/>
        <v>"2016-Dec-23","1992-Mar-07"</v>
      </c>
      <c r="J15" s="26" t="str">
        <f ca="1"/>
        <v>2016-Dec-23</v>
      </c>
      <c r="K15" s="26" t="str">
        <f ca="1"/>
        <v>1992-Mar-07</v>
      </c>
      <c r="M15" s="26" t="str">
        <f ca="1"/>
        <v>2016-Dec-23</v>
      </c>
      <c r="N15" s="26" t="str">
        <f ca="1"/>
        <v>1992-Mar-07</v>
      </c>
      <c r="P15" s="17" t="b">
        <f ca="1"/>
        <v>1</v>
      </c>
      <c r="Q15" s="17" t="b">
        <f ca="1"/>
        <v>1</v>
      </c>
    </row>
    <row r="16" spans="1:17" x14ac:dyDescent="0.45">
      <c r="B16" s="38">
        <f ca="1"/>
        <v>-1.4146496171137901E-6</v>
      </c>
      <c r="C16" s="26" t="str">
        <f ca="1"/>
        <v>-11816663.7260815</v>
      </c>
      <c r="G16" s="26" t="str">
        <f ca="1"/>
        <v>-1.41464961711379E-06,"-11816663.7260815"</v>
      </c>
      <c r="J16" s="38" t="str">
        <f ca="1"/>
        <v>-1.41464961711379E-06</v>
      </c>
      <c r="K16" s="26" t="str">
        <f ca="1"/>
        <v>-11816663.7260815</v>
      </c>
      <c r="M16" s="38">
        <f ca="1"/>
        <v>-1.4146496171137901E-6</v>
      </c>
      <c r="N16" s="26" t="str">
        <f ca="1"/>
        <v>-11816663.7260815</v>
      </c>
      <c r="P16" s="17" t="b">
        <f ca="1"/>
        <v>1</v>
      </c>
      <c r="Q16" s="17" t="b">
        <f ca="1"/>
        <v>1</v>
      </c>
    </row>
    <row r="17" spans="2:17" x14ac:dyDescent="0.45">
      <c r="B17" s="26">
        <f ca="1"/>
        <v>38448</v>
      </c>
      <c r="C17" s="26" t="str">
        <f ca="1"/>
        <v>.kIu-F=k:k\*dr2OdAf6I</v>
      </c>
      <c r="G17" s="26" t="str">
        <f ca="1"/>
        <v>38448,".kIu-F=k:k\*dr2OdAf6I"</v>
      </c>
      <c r="J17" s="26" t="str">
        <f ca="1"/>
        <v>38448</v>
      </c>
      <c r="K17" s="26" t="str">
        <f ca="1"/>
        <v>.kIu-F=k:k\*dr2OdAf6I</v>
      </c>
      <c r="M17" s="26">
        <f ca="1"/>
        <v>38448</v>
      </c>
      <c r="N17" s="26" t="str">
        <f ca="1"/>
        <v>.kIu-F=k:k\*dr2OdAf6I</v>
      </c>
      <c r="P17" s="17" t="b">
        <f ca="1"/>
        <v>1</v>
      </c>
      <c r="Q17" s="17" t="b">
        <f ca="1"/>
        <v>1</v>
      </c>
    </row>
    <row r="18" spans="2:17" x14ac:dyDescent="0.45">
      <c r="B18" s="26">
        <f ca="1"/>
        <v>962049</v>
      </c>
      <c r="C18" s="26">
        <f ca="1"/>
        <v>85353844.094789207</v>
      </c>
      <c r="G18" s="26" t="str">
        <f ca="1"/>
        <v>962049,85353844.0947892</v>
      </c>
      <c r="J18" s="26" t="str">
        <f ca="1"/>
        <v>962049</v>
      </c>
      <c r="K18" s="26" t="str">
        <f ca="1"/>
        <v>85353844.0947892</v>
      </c>
      <c r="M18" s="26">
        <f ca="1"/>
        <v>962049</v>
      </c>
      <c r="N18" s="26">
        <f ca="1"/>
        <v>85353844.094789207</v>
      </c>
      <c r="P18" s="17" t="b">
        <f ca="1"/>
        <v>1</v>
      </c>
      <c r="Q18" s="17" t="b">
        <f ca="1"/>
        <v>1</v>
      </c>
    </row>
    <row r="19" spans="2:17" x14ac:dyDescent="0.45">
      <c r="B19" s="26" t="str">
        <f ca="1"/>
        <v>1652967618.63282</v>
      </c>
      <c r="C19" s="26" t="b">
        <f ca="1"/>
        <v>0</v>
      </c>
      <c r="G19" s="26" t="str">
        <f ca="1"/>
        <v>"1652967618.63282",False</v>
      </c>
      <c r="J19" s="26" t="str">
        <f ca="1"/>
        <v>1652967618.63282</v>
      </c>
      <c r="K19" s="26" t="str">
        <f ca="1"/>
        <v>False</v>
      </c>
      <c r="M19" s="26" t="str">
        <f ca="1"/>
        <v>1652967618.63282</v>
      </c>
      <c r="N19" s="26" t="b">
        <f ca="1"/>
        <v>0</v>
      </c>
      <c r="P19" s="17" t="b">
        <f ca="1"/>
        <v>1</v>
      </c>
      <c r="Q19" s="17" t="b">
        <f ca="1"/>
        <v>1</v>
      </c>
    </row>
    <row r="20" spans="2:17" x14ac:dyDescent="0.45">
      <c r="B20" s="26">
        <f ca="1"/>
        <v>278853</v>
      </c>
      <c r="C20" s="26" t="str">
        <f ca="1"/>
        <v>2014-Dec-19</v>
      </c>
      <c r="G20" s="26" t="str">
        <f ca="1"/>
        <v>278853,"2014-Dec-19"</v>
      </c>
      <c r="J20" s="26" t="str">
        <f ca="1"/>
        <v>278853</v>
      </c>
      <c r="K20" s="26" t="str">
        <f ca="1"/>
        <v>2014-Dec-19</v>
      </c>
      <c r="M20" s="26">
        <f ca="1"/>
        <v>278853</v>
      </c>
      <c r="N20" s="26" t="str">
        <f ca="1"/>
        <v>2014-Dec-19</v>
      </c>
      <c r="P20" s="17" t="b">
        <f ca="1"/>
        <v>1</v>
      </c>
      <c r="Q20" s="17" t="b">
        <f ca="1"/>
        <v>1</v>
      </c>
    </row>
    <row r="21" spans="2:17" x14ac:dyDescent="0.45">
      <c r="B21" s="26">
        <f ca="1"/>
        <v>-2.0177117304644198E-9</v>
      </c>
      <c r="C21" s="26">
        <f ca="1"/>
        <v>-24238</v>
      </c>
      <c r="G21" s="26" t="str">
        <f ca="1"/>
        <v>-2.01771173046442E-09,-24238</v>
      </c>
      <c r="J21" s="26" t="str">
        <f ca="1"/>
        <v>-2.01771173046442E-09</v>
      </c>
      <c r="K21" s="26" t="str">
        <f ca="1"/>
        <v>-24238</v>
      </c>
      <c r="M21" s="26">
        <f ca="1"/>
        <v>-2.0177117304644198E-9</v>
      </c>
      <c r="N21" s="26">
        <f ca="1"/>
        <v>-24238</v>
      </c>
      <c r="P21" s="17" t="b">
        <f ca="1"/>
        <v>1</v>
      </c>
      <c r="Q21" s="17" t="b">
        <f ca="1"/>
        <v>1</v>
      </c>
    </row>
    <row r="22" spans="2:17" x14ac:dyDescent="0.45">
      <c r="B22" s="26" t="b">
        <f ca="1"/>
        <v>1</v>
      </c>
      <c r="C22" s="26">
        <f ca="1"/>
        <v>56924</v>
      </c>
      <c r="G22" s="26" t="str">
        <f ca="1"/>
        <v>True,56924</v>
      </c>
      <c r="J22" s="26" t="str">
        <f ca="1"/>
        <v>True</v>
      </c>
      <c r="K22" s="26" t="str">
        <f ca="1"/>
        <v>56924</v>
      </c>
      <c r="M22" s="26" t="b">
        <f ca="1"/>
        <v>1</v>
      </c>
      <c r="N22" s="26">
        <f ca="1"/>
        <v>56924</v>
      </c>
      <c r="P22" s="17" t="b">
        <f ca="1"/>
        <v>1</v>
      </c>
      <c r="Q22" s="17" t="b">
        <f ca="1"/>
        <v>1</v>
      </c>
    </row>
    <row r="23" spans="2:17" x14ac:dyDescent="0.45">
      <c r="B23" s="26" t="str">
        <f ca="1"/>
        <v>2006-Aug-19</v>
      </c>
      <c r="C23" s="26">
        <f ca="1"/>
        <v>-1.68721097123039E-9</v>
      </c>
      <c r="G23" s="26" t="str">
        <f ca="1"/>
        <v>"2006-Aug-19",-1.68721097123039E-09</v>
      </c>
      <c r="J23" s="26" t="str">
        <f ca="1"/>
        <v>2006-Aug-19</v>
      </c>
      <c r="K23" s="26" t="str">
        <f ca="1"/>
        <v>-1.68721097123039E-09</v>
      </c>
      <c r="M23" s="26" t="str">
        <f ca="1"/>
        <v>2006-Aug-19</v>
      </c>
      <c r="N23" s="26">
        <f ca="1"/>
        <v>-1.68721097123039E-9</v>
      </c>
      <c r="P23" s="17" t="b">
        <f ca="1"/>
        <v>1</v>
      </c>
      <c r="Q23" s="17" t="b">
        <f ca="1"/>
        <v>1</v>
      </c>
    </row>
    <row r="24" spans="2:17" x14ac:dyDescent="0.45">
      <c r="B24" s="26">
        <f ca="1"/>
        <v>-385474948.31973302</v>
      </c>
      <c r="C24" s="26">
        <f ca="1"/>
        <v>-889189</v>
      </c>
      <c r="G24" s="26" t="str">
        <f ca="1"/>
        <v>-385474948.319733,-889189</v>
      </c>
      <c r="J24" s="26" t="str">
        <f ca="1"/>
        <v>-385474948.319733</v>
      </c>
      <c r="K24" s="26" t="str">
        <f ca="1"/>
        <v>-889189</v>
      </c>
      <c r="M24" s="26">
        <f ca="1"/>
        <v>-385474948.31973302</v>
      </c>
      <c r="N24" s="26">
        <f ca="1"/>
        <v>-889189</v>
      </c>
      <c r="P24" s="17" t="b">
        <f ca="1"/>
        <v>1</v>
      </c>
      <c r="Q24" s="17" t="b">
        <f ca="1"/>
        <v>1</v>
      </c>
    </row>
    <row r="25" spans="2:17" x14ac:dyDescent="0.45">
      <c r="B25" s="26">
        <f ca="1"/>
        <v>0</v>
      </c>
      <c r="C25" s="26">
        <f ca="1"/>
        <v>-552230</v>
      </c>
      <c r="G25" s="26" t="str">
        <f ca="1"/>
        <v>0,-552230</v>
      </c>
      <c r="J25" s="26" t="str">
        <f ca="1"/>
        <v>0</v>
      </c>
      <c r="K25" s="26" t="str">
        <f ca="1"/>
        <v>-552230</v>
      </c>
      <c r="M25" s="26">
        <f ca="1"/>
        <v>0</v>
      </c>
      <c r="N25" s="26">
        <f ca="1"/>
        <v>-552230</v>
      </c>
      <c r="P25" s="17" t="b">
        <f ca="1"/>
        <v>1</v>
      </c>
      <c r="Q25" s="17" t="b">
        <f ca="1"/>
        <v>1</v>
      </c>
    </row>
    <row r="26" spans="2:17" x14ac:dyDescent="0.45">
      <c r="B26" s="26">
        <f ca="1"/>
        <v>0</v>
      </c>
      <c r="C26" s="26" t="str">
        <f ca="1"/>
        <v>g1a[,+J.g</v>
      </c>
      <c r="G26" s="26" t="str">
        <f ca="1"/>
        <v>0,"g1a[,+J.g"</v>
      </c>
      <c r="J26" s="26" t="str">
        <f ca="1"/>
        <v>0</v>
      </c>
      <c r="K26" s="26" t="str">
        <f ca="1"/>
        <v>g1a[,+J.g</v>
      </c>
      <c r="M26" s="26">
        <f ca="1"/>
        <v>0</v>
      </c>
      <c r="N26" s="26" t="str">
        <f ca="1"/>
        <v>g1a[,+J.g</v>
      </c>
      <c r="P26" s="17" t="b">
        <f ca="1"/>
        <v>1</v>
      </c>
      <c r="Q26" s="17" t="b">
        <f ca="1"/>
        <v>1</v>
      </c>
    </row>
    <row r="27" spans="2:17" x14ac:dyDescent="0.45">
      <c r="B27" s="26" t="str">
        <f ca="1"/>
        <v>z=gi9</v>
      </c>
      <c r="C27" s="26" t="str">
        <f ca="1"/>
        <v>-4.04003873637724E-10</v>
      </c>
      <c r="G27" s="26" t="str">
        <f ca="1"/>
        <v>"z=gi9","-4.04003873637724E-10"</v>
      </c>
      <c r="J27" s="26" t="str">
        <f ca="1"/>
        <v>z=gi9</v>
      </c>
      <c r="K27" s="26" t="str">
        <f ca="1"/>
        <v>-4.04003873637724E-10</v>
      </c>
      <c r="M27" s="26" t="str">
        <f ca="1"/>
        <v>z=gi9</v>
      </c>
      <c r="N27" s="26" t="str">
        <f ca="1"/>
        <v>-4.04003873637724E-10</v>
      </c>
      <c r="P27" s="17" t="b">
        <f ca="1"/>
        <v>1</v>
      </c>
      <c r="Q27" s="17" t="b">
        <f ca="1"/>
        <v>1</v>
      </c>
    </row>
    <row r="28" spans="2:17" x14ac:dyDescent="0.45">
      <c r="B28" s="26">
        <f ca="1"/>
        <v>3458124.2004270302</v>
      </c>
      <c r="C28" s="26" t="str">
        <f ca="1"/>
        <v>2065-Dec-08</v>
      </c>
      <c r="G28" s="26" t="str">
        <f ca="1"/>
        <v>3458124.20042703,"2065-Dec-08"</v>
      </c>
      <c r="J28" s="26" t="str">
        <f ca="1"/>
        <v>3458124.20042703</v>
      </c>
      <c r="K28" s="26" t="str">
        <f ca="1"/>
        <v>2065-Dec-08</v>
      </c>
      <c r="M28" s="26">
        <f ca="1"/>
        <v>3458124.2004270302</v>
      </c>
      <c r="N28" s="26" t="str">
        <f ca="1"/>
        <v>2065-Dec-08</v>
      </c>
      <c r="P28" s="17" t="b">
        <f ca="1"/>
        <v>1</v>
      </c>
      <c r="Q28" s="17" t="b">
        <f ca="1"/>
        <v>1</v>
      </c>
    </row>
    <row r="29" spans="2:17" x14ac:dyDescent="0.45">
      <c r="B29" s="26">
        <f ca="1"/>
        <v>-0.58658469404423297</v>
      </c>
      <c r="C29" s="26" t="b">
        <f ca="1"/>
        <v>0</v>
      </c>
      <c r="G29" s="26" t="str">
        <f ca="1"/>
        <v>-0.586584694044233,False</v>
      </c>
      <c r="J29" s="26" t="str">
        <f ca="1"/>
        <v>-0.586584694044233</v>
      </c>
      <c r="K29" s="26" t="str">
        <f ca="1"/>
        <v>False</v>
      </c>
      <c r="M29" s="26">
        <f ca="1"/>
        <v>-0.58658469404423297</v>
      </c>
      <c r="N29" s="26" t="b">
        <f ca="1"/>
        <v>0</v>
      </c>
      <c r="P29" s="17" t="b">
        <f ca="1"/>
        <v>1</v>
      </c>
      <c r="Q29" s="17" t="b">
        <f ca="1"/>
        <v>1</v>
      </c>
    </row>
    <row r="30" spans="2:17" x14ac:dyDescent="0.45">
      <c r="B30" s="26">
        <f ca="1"/>
        <v>26.213068800763502</v>
      </c>
      <c r="C30" s="26" t="e">
        <f ca="1"/>
        <v>#VALUE!</v>
      </c>
      <c r="G30" s="26" t="str">
        <f ca="1"/>
        <v>26.2130688007635,#VALUE!</v>
      </c>
      <c r="J30" s="26" t="str">
        <f ca="1"/>
        <v>26.2130688007635</v>
      </c>
      <c r="K30" s="26" t="str">
        <f ca="1"/>
        <v>#VALUE!</v>
      </c>
      <c r="M30" s="26">
        <f ca="1"/>
        <v>26.213068800763502</v>
      </c>
      <c r="N30" s="26" t="e">
        <f ca="1"/>
        <v>#VALUE!</v>
      </c>
      <c r="P30" s="17" t="b">
        <f ca="1"/>
        <v>1</v>
      </c>
      <c r="Q30" s="17" t="b">
        <f ca="1"/>
        <v>1</v>
      </c>
    </row>
    <row r="31" spans="2:17" x14ac:dyDescent="0.45">
      <c r="B31" s="26">
        <f ca="1"/>
        <v>-926828</v>
      </c>
      <c r="C31" s="26" t="str">
        <f ca="1"/>
        <v/>
      </c>
      <c r="G31" s="26" t="str">
        <f ca="1"/>
        <v>-926828,""</v>
      </c>
      <c r="J31" s="26" t="str">
        <f ca="1"/>
        <v>-926828</v>
      </c>
      <c r="K31" s="26" t="str">
        <f ca="1"/>
        <v/>
      </c>
      <c r="M31" s="26">
        <f ca="1"/>
        <v>-926828</v>
      </c>
      <c r="N31" s="26" t="str">
        <f ca="1"/>
        <v/>
      </c>
      <c r="P31" s="17" t="b">
        <f ca="1"/>
        <v>1</v>
      </c>
      <c r="Q31" s="17" t="b">
        <f ca="1"/>
        <v>1</v>
      </c>
    </row>
    <row r="32" spans="2:17" x14ac:dyDescent="0.45">
      <c r="B32" s="26" t="b">
        <f ca="1"/>
        <v>0</v>
      </c>
      <c r="C32" s="26" t="str">
        <f ca="1"/>
        <v>TRUE</v>
      </c>
      <c r="G32" s="26" t="str">
        <f ca="1"/>
        <v>False,"TRUE"</v>
      </c>
      <c r="J32" s="26" t="str">
        <f ca="1"/>
        <v>False</v>
      </c>
      <c r="K32" s="26" t="str">
        <f ca="1"/>
        <v>TRUE</v>
      </c>
      <c r="M32" s="26" t="b">
        <f ca="1"/>
        <v>0</v>
      </c>
      <c r="N32" s="26" t="str">
        <f ca="1"/>
        <v>TRUE</v>
      </c>
      <c r="P32" s="17" t="b">
        <f ca="1"/>
        <v>1</v>
      </c>
      <c r="Q32" s="17" t="b">
        <f ca="1"/>
        <v>1</v>
      </c>
    </row>
    <row r="33" spans="2:17" x14ac:dyDescent="0.45">
      <c r="B33" s="26" t="str">
        <f ca="1"/>
        <v/>
      </c>
      <c r="C33" s="26" t="str">
        <f ca="1"/>
        <v/>
      </c>
      <c r="G33" s="26" t="str">
        <f ca="1"/>
        <v>#SPILL!,""</v>
      </c>
      <c r="J33" s="26" t="str">
        <f ca="1"/>
        <v>#SPILL!</v>
      </c>
      <c r="K33" s="26" t="str">
        <f ca="1"/>
        <v/>
      </c>
      <c r="M33" s="26" t="str">
        <f ca="1"/>
        <v/>
      </c>
      <c r="N33" s="26" t="str">
        <f ca="1"/>
        <v/>
      </c>
      <c r="P33" s="17" t="b">
        <f ca="1"/>
        <v>1</v>
      </c>
      <c r="Q33" s="17" t="b">
        <f ca="1"/>
        <v>1</v>
      </c>
    </row>
    <row r="34" spans="2:17" x14ac:dyDescent="0.45">
      <c r="B34" s="26">
        <f ca="1"/>
        <v>0</v>
      </c>
      <c r="C34" s="26">
        <f ca="1"/>
        <v>43564</v>
      </c>
      <c r="G34" s="26" t="str">
        <f ca="1"/>
        <v>0,43564</v>
      </c>
      <c r="J34" s="26" t="str">
        <f ca="1"/>
        <v>0</v>
      </c>
      <c r="K34" s="26" t="str">
        <f ca="1"/>
        <v>43564</v>
      </c>
      <c r="M34" s="26">
        <f ca="1"/>
        <v>0</v>
      </c>
      <c r="N34" s="26">
        <f ca="1"/>
        <v>43564</v>
      </c>
      <c r="P34" s="17" t="b">
        <f ca="1"/>
        <v>1</v>
      </c>
      <c r="Q34" s="17" t="b">
        <f ca="1"/>
        <v>1</v>
      </c>
    </row>
    <row r="35" spans="2:17" x14ac:dyDescent="0.45">
      <c r="B35" s="26">
        <f ca="1"/>
        <v>0</v>
      </c>
      <c r="C35" s="26" t="e">
        <f ca="1"/>
        <v>#NULL!</v>
      </c>
      <c r="G35" s="26" t="str">
        <f ca="1"/>
        <v>0,#NULL!</v>
      </c>
      <c r="J35" s="26" t="str">
        <f ca="1"/>
        <v>0</v>
      </c>
      <c r="K35" s="26" t="str">
        <f ca="1"/>
        <v>#NULL!</v>
      </c>
      <c r="M35" s="26">
        <f ca="1"/>
        <v>0</v>
      </c>
      <c r="N35" s="26" t="e">
        <f ca="1"/>
        <v>#NULL!</v>
      </c>
      <c r="P35" s="17" t="b">
        <f ca="1"/>
        <v>1</v>
      </c>
      <c r="Q35" s="17" t="b">
        <f ca="1"/>
        <v>1</v>
      </c>
    </row>
    <row r="36" spans="2:17" x14ac:dyDescent="0.45">
      <c r="B36" s="26" t="str">
        <f ca="1"/>
        <v>/U</v>
      </c>
      <c r="C36" s="26" t="e">
        <f ca="1"/>
        <v>#REF!</v>
      </c>
      <c r="G36" s="26" t="str">
        <f ca="1"/>
        <v>"/U",#REF!</v>
      </c>
      <c r="J36" s="26" t="str">
        <f ca="1"/>
        <v>/U</v>
      </c>
      <c r="K36" s="26" t="str">
        <f ca="1"/>
        <v>#REF!</v>
      </c>
      <c r="M36" s="26" t="str">
        <f ca="1"/>
        <v>/U</v>
      </c>
      <c r="N36" s="26" t="e">
        <f ca="1"/>
        <v>#REF!</v>
      </c>
      <c r="P36" s="17" t="b">
        <f ca="1"/>
        <v>1</v>
      </c>
      <c r="Q36" s="17" t="b">
        <f ca="1"/>
        <v>1</v>
      </c>
    </row>
    <row r="37" spans="2:17" x14ac:dyDescent="0.45">
      <c r="B37" s="26" t="str">
        <f ca="1"/>
        <v>2001-May-30</v>
      </c>
      <c r="C37" s="26" t="e">
        <f ca="1"/>
        <v>#N/A</v>
      </c>
      <c r="G37" s="26" t="str">
        <f ca="1"/>
        <v>"2001-May-30",#GETTING_DATA!</v>
      </c>
      <c r="J37" s="26" t="str">
        <f ca="1"/>
        <v>2001-May-30</v>
      </c>
      <c r="K37" s="26" t="str">
        <f ca="1"/>
        <v>#GETTING_DATA!</v>
      </c>
      <c r="M37" s="26" t="str">
        <f ca="1"/>
        <v>2001-May-30</v>
      </c>
      <c r="N37" s="26" t="e">
        <f ca="1"/>
        <v>#N/A</v>
      </c>
      <c r="P37" s="17" t="b">
        <f ca="1"/>
        <v>1</v>
      </c>
      <c r="Q37" s="17" t="b">
        <f ca="1"/>
        <v>1</v>
      </c>
    </row>
    <row r="38" spans="2:17" x14ac:dyDescent="0.45">
      <c r="B38" s="26" t="str">
        <f ca="1"/>
        <v>McM_x000D_
3C</v>
      </c>
      <c r="C38" s="26" t="str">
        <f ca="1"/>
        <v>2016-Jun-08</v>
      </c>
      <c r="G38" s="26" t="str">
        <f ca="1"/>
        <v>"McM</v>
      </c>
      <c r="J38" s="26" t="str">
        <f ca="1"/>
        <v>McM_x000D_
3C</v>
      </c>
      <c r="K38" s="26" t="str">
        <f ca="1"/>
        <v>2016-Jun-08</v>
      </c>
      <c r="M38" s="26" t="str">
        <f ca="1"/>
        <v>McM_x000D_
3C</v>
      </c>
      <c r="N38" s="26" t="str">
        <f ca="1"/>
        <v>2016-Jun-08</v>
      </c>
      <c r="P38" s="17" t="b">
        <f ca="1"/>
        <v>1</v>
      </c>
      <c r="Q38" s="17" t="b">
        <f ca="1"/>
        <v>1</v>
      </c>
    </row>
    <row r="39" spans="2:17" x14ac:dyDescent="0.45">
      <c r="B39" s="26" t="str">
        <f ca="1"/>
        <v>FALSE</v>
      </c>
      <c r="C39" s="26" t="str">
        <f ca="1"/>
        <v>TRUE</v>
      </c>
      <c r="G39" s="26" t="str">
        <f ca="1"/>
        <v>3C","2016-Jun-08"</v>
      </c>
      <c r="J39" s="26" t="str">
        <f ca="1"/>
        <v>FALSE</v>
      </c>
      <c r="K39" s="26" t="str">
        <f ca="1"/>
        <v>TRUE</v>
      </c>
      <c r="M39" s="26" t="str">
        <f ca="1"/>
        <v>FALSE</v>
      </c>
      <c r="N39" s="26" t="str">
        <f ca="1"/>
        <v>TRUE</v>
      </c>
      <c r="P39" s="17" t="b">
        <f ca="1"/>
        <v>1</v>
      </c>
      <c r="Q39" s="17" t="b">
        <f ca="1"/>
        <v>1</v>
      </c>
    </row>
    <row r="40" spans="2:17" x14ac:dyDescent="0.45">
      <c r="B40" s="26" t="str">
        <f ca="1"/>
        <v>1986-Oct-09</v>
      </c>
      <c r="C40" s="26">
        <f ca="1"/>
        <v>0</v>
      </c>
      <c r="G40" s="26" t="str">
        <f ca="1"/>
        <v>"FALSE","TRUE"</v>
      </c>
      <c r="J40" s="26" t="str">
        <f ca="1"/>
        <v>1986-Oct-09</v>
      </c>
      <c r="K40" s="26" t="str">
        <f ca="1"/>
        <v>0</v>
      </c>
      <c r="M40" s="26" t="str">
        <f ca="1"/>
        <v>1986-Oct-09</v>
      </c>
      <c r="N40" s="26">
        <f ca="1"/>
        <v>0</v>
      </c>
      <c r="P40" s="17" t="b">
        <f ca="1"/>
        <v>1</v>
      </c>
      <c r="Q40" s="17" t="b">
        <f ca="1"/>
        <v>1</v>
      </c>
    </row>
    <row r="41" spans="2:17" x14ac:dyDescent="0.45">
      <c r="B41" s="26" t="str">
        <f ca="1"/>
        <v>2038-Mar-07</v>
      </c>
      <c r="C41" s="26">
        <f ca="1"/>
        <v>28710</v>
      </c>
      <c r="G41" s="26" t="str">
        <f ca="1"/>
        <v>"1986-Oct-09",0</v>
      </c>
      <c r="J41" s="26" t="str">
        <f ca="1"/>
        <v>2038-Mar-07</v>
      </c>
      <c r="K41" s="26" t="str">
        <f ca="1"/>
        <v>28710</v>
      </c>
      <c r="M41" s="26" t="str">
        <f ca="1"/>
        <v>2038-Mar-07</v>
      </c>
      <c r="N41" s="26">
        <f ca="1"/>
        <v>28710</v>
      </c>
      <c r="P41" s="17" t="b">
        <f ca="1"/>
        <v>1</v>
      </c>
      <c r="Q41" s="17" t="b">
        <f ca="1"/>
        <v>1</v>
      </c>
    </row>
    <row r="42" spans="2:17" x14ac:dyDescent="0.45">
      <c r="B42" s="26" t="str">
        <f ca="1"/>
        <v/>
      </c>
      <c r="C42" s="26">
        <f ca="1"/>
        <v>0</v>
      </c>
      <c r="G42" s="26" t="str">
        <f ca="1"/>
        <v>"2038-Mar-07",28710</v>
      </c>
      <c r="J42" s="26" t="str">
        <f ca="1"/>
        <v/>
      </c>
      <c r="K42" s="26" t="str">
        <f ca="1"/>
        <v>0</v>
      </c>
      <c r="M42" s="26" t="str">
        <f ca="1"/>
        <v/>
      </c>
      <c r="N42" s="26">
        <f ca="1"/>
        <v>0</v>
      </c>
      <c r="P42" s="17" t="b">
        <f ca="1"/>
        <v>1</v>
      </c>
      <c r="Q42" s="17" t="b">
        <f ca="1"/>
        <v>1</v>
      </c>
    </row>
    <row r="43" spans="2:17" x14ac:dyDescent="0.45">
      <c r="B43" s="26" t="str">
        <f ca="1"/>
        <v/>
      </c>
      <c r="C43" s="26">
        <f ca="1"/>
        <v>977523.81274381501</v>
      </c>
      <c r="G43" s="26" t="str">
        <f ca="1"/>
        <v>"",0</v>
      </c>
      <c r="J43" s="26" t="str">
        <f ca="1"/>
        <v/>
      </c>
      <c r="K43" s="26" t="str">
        <f ca="1"/>
        <v>977523.812743815</v>
      </c>
      <c r="M43" s="26" t="str">
        <f ca="1"/>
        <v/>
      </c>
      <c r="N43" s="26">
        <f ca="1"/>
        <v>977523.81274381501</v>
      </c>
      <c r="P43" s="17" t="b">
        <f ca="1"/>
        <v>1</v>
      </c>
      <c r="Q43" s="17" t="b">
        <f ca="1"/>
        <v>1</v>
      </c>
    </row>
    <row r="44" spans="2:17" x14ac:dyDescent="0.45">
      <c r="B44" s="26">
        <f ca="1"/>
        <v>0</v>
      </c>
      <c r="C44" s="26" t="str">
        <f ca="1"/>
        <v>2052-Jan-30</v>
      </c>
      <c r="G44" s="26" t="str">
        <f ca="1"/>
        <v>"",977523.812743815</v>
      </c>
      <c r="J44" s="26" t="str">
        <f ca="1"/>
        <v>0</v>
      </c>
      <c r="K44" s="26" t="str">
        <f ca="1"/>
        <v>2052-Jan-30</v>
      </c>
      <c r="M44" s="26">
        <f ca="1"/>
        <v>0</v>
      </c>
      <c r="N44" s="26" t="str">
        <f ca="1"/>
        <v>2052-Jan-30</v>
      </c>
      <c r="P44" s="17" t="b">
        <f ca="1"/>
        <v>1</v>
      </c>
      <c r="Q44" s="17" t="b">
        <f ca="1"/>
        <v>1</v>
      </c>
    </row>
    <row r="45" spans="2:17" x14ac:dyDescent="0.45">
      <c r="B45" s="26" t="str">
        <f ca="1"/>
        <v>FALSE</v>
      </c>
      <c r="C45" s="26" t="str">
        <f ca="1"/>
        <v xml:space="preserve">Here's a carriage return (ascii 13):_x000D_and here's a line feed (ascii 10):
and here's both together:_x000D_
</v>
      </c>
      <c r="G45" s="26" t="str">
        <f ca="1"/>
        <v>0,"2052-Jan-30"</v>
      </c>
      <c r="J45" s="26" t="str">
        <f ca="1"/>
        <v>FALSE</v>
      </c>
      <c r="K45" s="26" t="str">
        <f ca="1"/>
        <v xml:space="preserve">Here's a carriage return (ascii 13):_x000D_and here's a line feed (ascii 10):
and here's both together:_x000D_
</v>
      </c>
      <c r="M45" s="26" t="str">
        <f ca="1"/>
        <v>FALSE</v>
      </c>
      <c r="N45" s="26" t="str">
        <f ca="1"/>
        <v xml:space="preserve">Here's a carriage return (ascii 13):_x000D_and here's a line feed (ascii 10):
and here's both together:_x000D_
</v>
      </c>
      <c r="P45" s="17" t="b">
        <f ca="1"/>
        <v>1</v>
      </c>
      <c r="Q45" s="17" t="b">
        <f ca="1"/>
        <v>1</v>
      </c>
    </row>
    <row r="46" spans="2:17" x14ac:dyDescent="0.45">
      <c r="B46" s="26" t="e">
        <f ca="1"/>
        <v>#VALUE!</v>
      </c>
      <c r="C46" s="26">
        <f ca="1"/>
        <v>38451</v>
      </c>
      <c r="G46" s="26" t="str">
        <f ca="1"/>
        <v>"FALSE","Here's a carriage return (ascii 13):</v>
      </c>
      <c r="J46" s="26" t="str">
        <f ca="1"/>
        <v>#VALUE!</v>
      </c>
      <c r="K46" s="26" t="str">
        <f ca="1"/>
        <v>38451</v>
      </c>
      <c r="M46" s="26" t="e">
        <f ca="1"/>
        <v>#VALUE!</v>
      </c>
      <c r="N46" s="26">
        <f ca="1"/>
        <v>38451</v>
      </c>
      <c r="P46" s="17" t="b">
        <f ca="1"/>
        <v>1</v>
      </c>
      <c r="Q46" s="17" t="b">
        <f ca="1"/>
        <v>1</v>
      </c>
    </row>
    <row r="47" spans="2:17" x14ac:dyDescent="0.45">
      <c r="B47" s="26" t="str">
        <f ca="1"/>
        <v/>
      </c>
      <c r="C47" s="26">
        <f ca="1"/>
        <v>0</v>
      </c>
      <c r="G47" s="26" t="str">
        <f ca="1"/>
        <v>and here's a line feed (ascii 10):</v>
      </c>
      <c r="J47" s="26" t="str">
        <f ca="1"/>
        <v/>
      </c>
      <c r="K47" s="26" t="str">
        <f ca="1"/>
        <v>0</v>
      </c>
      <c r="M47" s="26" t="str">
        <f ca="1"/>
        <v/>
      </c>
      <c r="N47" s="26">
        <f ca="1"/>
        <v>0</v>
      </c>
      <c r="P47" s="17" t="b">
        <f ca="1"/>
        <v>1</v>
      </c>
      <c r="Q47" s="17" t="b">
        <f ca="1"/>
        <v>1</v>
      </c>
    </row>
    <row r="48" spans="2:17" x14ac:dyDescent="0.45">
      <c r="B48" s="26">
        <f ca="1"/>
        <v>8.9900914463025804E-11</v>
      </c>
      <c r="C48" s="26" t="str">
        <f ca="1"/>
        <v>2014-Jul-28</v>
      </c>
      <c r="G48" s="26" t="str">
        <f ca="1"/>
        <v>and here's both together:</v>
      </c>
      <c r="J48" s="26" t="str">
        <f ca="1"/>
        <v>8.99009144630258E-11</v>
      </c>
      <c r="K48" s="26" t="str">
        <f ca="1"/>
        <v>2014-Jul-28</v>
      </c>
      <c r="M48" s="26">
        <f ca="1"/>
        <v>8.9900914463025804E-11</v>
      </c>
      <c r="N48" s="26" t="str">
        <f ca="1"/>
        <v>2014-Jul-28</v>
      </c>
      <c r="P48" s="17" t="b">
        <f ca="1"/>
        <v>1</v>
      </c>
      <c r="Q48" s="17" t="b">
        <f ca="1"/>
        <v>1</v>
      </c>
    </row>
    <row r="49" spans="2:17" x14ac:dyDescent="0.45">
      <c r="B49" s="26" t="b">
        <f ca="1"/>
        <v>0</v>
      </c>
      <c r="C49" s="26">
        <f ca="1"/>
        <v>-18207.2369613017</v>
      </c>
      <c r="G49" s="26" t="str">
        <f ca="1"/>
        <v>"</v>
      </c>
      <c r="J49" s="26" t="str">
        <f ca="1"/>
        <v>False</v>
      </c>
      <c r="K49" s="26" t="str">
        <f ca="1"/>
        <v>-18207.2369613017</v>
      </c>
      <c r="M49" s="26" t="b">
        <f ca="1"/>
        <v>0</v>
      </c>
      <c r="N49" s="26">
        <f ca="1"/>
        <v>-18207.2369613017</v>
      </c>
      <c r="P49" s="17" t="b">
        <f ca="1"/>
        <v>1</v>
      </c>
      <c r="Q49" s="17" t="b">
        <f ca="1"/>
        <v>1</v>
      </c>
    </row>
    <row r="50" spans="2:17" x14ac:dyDescent="0.45">
      <c r="B50" s="26">
        <f ca="1"/>
        <v>0</v>
      </c>
      <c r="C50" s="26" t="e">
        <f ca="1"/>
        <v>#REF!</v>
      </c>
      <c r="G50" s="26" t="str">
        <f ca="1"/>
        <v>#VALUE!,38451</v>
      </c>
      <c r="J50" s="26" t="str">
        <f ca="1"/>
        <v>0</v>
      </c>
      <c r="K50" s="26" t="str">
        <f ca="1"/>
        <v>#REF!</v>
      </c>
      <c r="M50" s="26">
        <f ca="1"/>
        <v>0</v>
      </c>
      <c r="N50" s="26" t="e">
        <f ca="1"/>
        <v>#REF!</v>
      </c>
      <c r="P50" s="17" t="b">
        <f ca="1"/>
        <v>1</v>
      </c>
      <c r="Q50" s="17" t="b">
        <f ca="1"/>
        <v>1</v>
      </c>
    </row>
    <row r="51" spans="2:17" x14ac:dyDescent="0.45">
      <c r="B51" s="26" t="str">
        <f ca="1"/>
        <v>NJF&gt;`_x000D_
Q)"LK`</v>
      </c>
      <c r="C51" s="26" t="str">
        <f ca="1"/>
        <v>0*`mm7h/L)M</v>
      </c>
      <c r="G51" s="26" t="str">
        <f ca="1"/>
        <v>"",0</v>
      </c>
      <c r="J51" s="26" t="str">
        <f ca="1"/>
        <v>NJF&gt;`_x000D_
Q)"LK`</v>
      </c>
      <c r="K51" s="26" t="str">
        <f ca="1"/>
        <v>0*`mm7h/L)M</v>
      </c>
      <c r="M51" s="26" t="str">
        <f ca="1"/>
        <v>NJF&gt;`_x000D_
Q)"LK`</v>
      </c>
      <c r="N51" s="26" t="str">
        <f ca="1"/>
        <v>0*`mm7h/L)M</v>
      </c>
      <c r="P51" s="17" t="b">
        <f ca="1"/>
        <v>1</v>
      </c>
      <c r="Q51" s="17" t="b">
        <f ca="1"/>
        <v>1</v>
      </c>
    </row>
    <row r="52" spans="2:17" x14ac:dyDescent="0.45">
      <c r="B52" s="26" t="str">
        <f ca="1"/>
        <v>FALSE</v>
      </c>
      <c r="C52" s="26" t="str">
        <f ca="1"/>
        <v>]L</v>
      </c>
      <c r="G52" s="26" t="str">
        <f ca="1"/>
        <v>8.99009144630258E-11,"2014-Jul-28"</v>
      </c>
      <c r="J52" s="26" t="str">
        <f ca="1"/>
        <v>FALSE</v>
      </c>
      <c r="K52" s="26" t="str">
        <f ca="1"/>
        <v>]L</v>
      </c>
      <c r="M52" s="26" t="str">
        <f ca="1"/>
        <v>FALSE</v>
      </c>
      <c r="N52" s="26" t="str">
        <f ca="1"/>
        <v>]L</v>
      </c>
      <c r="P52" s="17" t="b">
        <f ca="1"/>
        <v>1</v>
      </c>
      <c r="Q52" s="17" t="b">
        <f ca="1"/>
        <v>1</v>
      </c>
    </row>
    <row r="53" spans="2:17" x14ac:dyDescent="0.45">
      <c r="G53" s="26" t="str">
        <f ca="1"/>
        <v>False,-18207.2369613017</v>
      </c>
    </row>
    <row r="54" spans="2:17" x14ac:dyDescent="0.45">
      <c r="G54" s="26" t="str">
        <f ca="1"/>
        <v>0,#REF!</v>
      </c>
    </row>
    <row r="55" spans="2:17" x14ac:dyDescent="0.45">
      <c r="G55" s="26" t="str">
        <f ca="1"/>
        <v>"NJF&gt;`</v>
      </c>
    </row>
    <row r="56" spans="2:17" x14ac:dyDescent="0.45">
      <c r="G56" s="26" t="str">
        <f ca="1"/>
        <v>Q)""LK`","0*`mm7h/L)M"</v>
      </c>
    </row>
    <row r="57" spans="2:17" x14ac:dyDescent="0.45">
      <c r="G57" s="26" t="str">
        <f ca="1"/>
        <v>"FALSE","]L"</v>
      </c>
    </row>
    <row r="58" spans="2:17" x14ac:dyDescent="0.45">
      <c r="G58" s="26"/>
    </row>
    <row r="59" spans="2:17" x14ac:dyDescent="0.45">
      <c r="G59" s="26"/>
    </row>
    <row r="60" spans="2:17" x14ac:dyDescent="0.45">
      <c r="G60" s="26"/>
    </row>
    <row r="61" spans="2:17" x14ac:dyDescent="0.45">
      <c r="G61" s="26"/>
    </row>
    <row r="62" spans="2:17" x14ac:dyDescent="0.45">
      <c r="G62" s="26"/>
    </row>
    <row r="63" spans="2:17" x14ac:dyDescent="0.45">
      <c r="G63" s="26"/>
    </row>
    <row r="64" spans="2:17" x14ac:dyDescent="0.45">
      <c r="G64" s="26"/>
    </row>
    <row r="65" spans="7:7" x14ac:dyDescent="0.45">
      <c r="G65" s="26"/>
    </row>
    <row r="66" spans="7:7" x14ac:dyDescent="0.45">
      <c r="G66" s="26"/>
    </row>
    <row r="67" spans="7:7" x14ac:dyDescent="0.45">
      <c r="G67" s="26"/>
    </row>
    <row r="68" spans="7:7" x14ac:dyDescent="0.45">
      <c r="G68" s="26"/>
    </row>
    <row r="69" spans="7:7" x14ac:dyDescent="0.45">
      <c r="G69" s="26"/>
    </row>
    <row r="70" spans="7:7" x14ac:dyDescent="0.45">
      <c r="G70" s="26"/>
    </row>
    <row r="71" spans="7:7" x14ac:dyDescent="0.45">
      <c r="G71" s="26"/>
    </row>
    <row r="72" spans="7:7" x14ac:dyDescent="0.45">
      <c r="G72" s="26"/>
    </row>
    <row r="73" spans="7:7" x14ac:dyDescent="0.45">
      <c r="G73" s="26"/>
    </row>
    <row r="74" spans="7:7" x14ac:dyDescent="0.45">
      <c r="G74" s="26"/>
    </row>
    <row r="75" spans="7:7" x14ac:dyDescent="0.45">
      <c r="G75" s="26"/>
    </row>
    <row r="76" spans="7:7" x14ac:dyDescent="0.45">
      <c r="G76" s="26"/>
    </row>
    <row r="77" spans="7:7" x14ac:dyDescent="0.45">
      <c r="G77" s="26"/>
    </row>
    <row r="78" spans="7:7" x14ac:dyDescent="0.45">
      <c r="G78" s="26"/>
    </row>
    <row r="79" spans="7:7" x14ac:dyDescent="0.45">
      <c r="G79" s="26"/>
    </row>
    <row r="80" spans="7:7" x14ac:dyDescent="0.45">
      <c r="G80" s="28"/>
    </row>
    <row r="81" spans="7:7" x14ac:dyDescent="0.45">
      <c r="G81" s="28"/>
    </row>
    <row r="82" spans="7:7" x14ac:dyDescent="0.45">
      <c r="G82" s="28"/>
    </row>
    <row r="83" spans="7:7" x14ac:dyDescent="0.45">
      <c r="G83" s="28"/>
    </row>
    <row r="84" spans="7:7" x14ac:dyDescent="0.45">
      <c r="G84" s="28"/>
    </row>
  </sheetData>
  <sheetProtection sheet="1" objects="1" scenarios="1"/>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disablePrompts="1"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V285"/>
  <sheetViews>
    <sheetView showGridLines="0" showRowColHeaders="0" zoomScale="96" zoomScaleNormal="96" workbookViewId="0"/>
  </sheetViews>
  <sheetFormatPr defaultRowHeight="14.25" x14ac:dyDescent="0.45"/>
  <cols>
    <col min="1" max="1" width="4.59765625" customWidth="1"/>
    <col min="2" max="2" width="15.3984375" bestFit="1" customWidth="1"/>
    <col min="3" max="3" width="69.59765625" bestFit="1" customWidth="1"/>
    <col min="8" max="8" width="14.796875" bestFit="1" customWidth="1"/>
    <col min="9" max="9" width="69.59765625" bestFit="1" customWidth="1"/>
  </cols>
  <sheetData>
    <row r="1" spans="2:10" ht="28.5" x14ac:dyDescent="0.85">
      <c r="B1" s="1" t="s">
        <v>411</v>
      </c>
    </row>
    <row r="2" spans="2:10" x14ac:dyDescent="0.45">
      <c r="B2" t="s">
        <v>427</v>
      </c>
      <c r="C2" s="61" t="s">
        <v>428</v>
      </c>
    </row>
    <row r="4" spans="2:10" x14ac:dyDescent="0.45">
      <c r="B4" s="31" t="s">
        <v>28</v>
      </c>
      <c r="C4" s="49" t="s">
        <v>29</v>
      </c>
      <c r="D4" s="17" t="s">
        <v>403</v>
      </c>
      <c r="H4" s="31" t="s">
        <v>28</v>
      </c>
      <c r="I4" s="49" t="s">
        <v>29</v>
      </c>
      <c r="J4" s="17" t="s">
        <v>403</v>
      </c>
    </row>
    <row r="5" spans="2:10" ht="42.75" x14ac:dyDescent="0.45">
      <c r="B5" s="42" t="s">
        <v>398</v>
      </c>
      <c r="C5" s="48" t="s">
        <v>24</v>
      </c>
      <c r="D5" s="52">
        <f ca="1">LEN(C5)</f>
        <v>67</v>
      </c>
      <c r="H5" s="32" t="s">
        <v>45</v>
      </c>
      <c r="I5" s="51" t="s">
        <v>401</v>
      </c>
      <c r="J5" s="52">
        <f ca="1">LEN(I5)</f>
        <v>237</v>
      </c>
    </row>
    <row r="6" spans="2:10" x14ac:dyDescent="0.45">
      <c r="B6" s="31" t="s">
        <v>27</v>
      </c>
      <c r="C6" s="49" t="s">
        <v>30</v>
      </c>
      <c r="D6" s="53"/>
      <c r="H6" s="31" t="s">
        <v>27</v>
      </c>
      <c r="I6" s="49" t="s">
        <v>30</v>
      </c>
      <c r="J6" s="53"/>
    </row>
    <row r="7" spans="2:10" x14ac:dyDescent="0.45">
      <c r="B7" s="33" t="s">
        <v>0</v>
      </c>
      <c r="C7" s="50" t="s" cm="1">
        <v>25</v>
      </c>
      <c r="D7" s="53" cm="1">
        <f t="array" aca="1" ref="D7:D17" ca="1">LEN(C7:C17)</f>
        <v>46</v>
      </c>
      <c r="H7" s="33" t="s">
        <v>0</v>
      </c>
      <c r="I7" s="51" t="s">
        <v>25</v>
      </c>
      <c r="J7" s="53" cm="1">
        <f t="array" aca="1" ref="J7:J14" ca="1">LEN(I7:I14)</f>
        <v>46</v>
      </c>
    </row>
    <row r="8" spans="2:10" ht="42.75" x14ac:dyDescent="0.45">
      <c r="B8" s="33" t="s">
        <v>216</v>
      </c>
      <c r="C8" s="51" t="s">
        <v>431</v>
      </c>
      <c r="D8" s="53">
        <f ca="1"/>
        <v>250</v>
      </c>
      <c r="H8" s="33" t="s">
        <v>47</v>
      </c>
      <c r="I8" s="51" t="s">
        <v>399</v>
      </c>
      <c r="J8" s="53">
        <f ca="1"/>
        <v>104</v>
      </c>
    </row>
    <row r="9" spans="2:10" ht="42.75" x14ac:dyDescent="0.45">
      <c r="B9" s="34" t="s">
        <v>20</v>
      </c>
      <c r="C9" s="51" t="s">
        <v>397</v>
      </c>
      <c r="D9" s="53">
        <f ca="1"/>
        <v>247</v>
      </c>
      <c r="H9" s="33" t="s">
        <v>12</v>
      </c>
      <c r="I9" s="51" t="s">
        <v>400</v>
      </c>
      <c r="J9" s="53">
        <f ca="1"/>
        <v>244</v>
      </c>
    </row>
    <row r="10" spans="2:10" ht="42.75" x14ac:dyDescent="0.45">
      <c r="B10" s="34" t="s">
        <v>1</v>
      </c>
      <c r="C10" s="51" t="s">
        <v>429</v>
      </c>
      <c r="D10" s="53">
        <f ca="1"/>
        <v>242</v>
      </c>
      <c r="H10" s="33" t="s">
        <v>1</v>
      </c>
      <c r="I10" s="51" t="s">
        <v>413</v>
      </c>
      <c r="J10" s="53">
        <f ca="1"/>
        <v>135</v>
      </c>
    </row>
    <row r="11" spans="2:10" ht="42.75" x14ac:dyDescent="0.45">
      <c r="B11" s="35" t="s">
        <v>220</v>
      </c>
      <c r="C11" s="51" t="s">
        <v>221</v>
      </c>
      <c r="D11" s="53">
        <f ca="1"/>
        <v>99</v>
      </c>
      <c r="H11" s="33" t="s">
        <v>13</v>
      </c>
      <c r="I11" s="51" t="s">
        <v>412</v>
      </c>
      <c r="J11" s="53">
        <f ca="1"/>
        <v>237</v>
      </c>
    </row>
    <row r="12" spans="2:10" ht="28.5" x14ac:dyDescent="0.45">
      <c r="B12" s="33" t="s">
        <v>217</v>
      </c>
      <c r="C12" s="51" t="s">
        <v>218</v>
      </c>
      <c r="D12" s="53">
        <f ca="1"/>
        <v>105</v>
      </c>
      <c r="H12" s="33" t="s">
        <v>20</v>
      </c>
      <c r="I12" s="51" t="s">
        <v>396</v>
      </c>
      <c r="J12" s="53">
        <f ca="1"/>
        <v>97</v>
      </c>
    </row>
    <row r="13" spans="2:10" ht="42.75" x14ac:dyDescent="0.45">
      <c r="B13" s="35" t="s">
        <v>21</v>
      </c>
      <c r="C13" s="51" t="s">
        <v>222</v>
      </c>
      <c r="D13" s="53">
        <f ca="1"/>
        <v>120</v>
      </c>
      <c r="H13" s="35" t="s">
        <v>418</v>
      </c>
      <c r="I13" s="51" t="s">
        <v>420</v>
      </c>
      <c r="J13" s="53">
        <f ca="1"/>
        <v>206</v>
      </c>
    </row>
    <row r="14" spans="2:10" ht="28.5" x14ac:dyDescent="0.45">
      <c r="B14" s="33" t="s">
        <v>22</v>
      </c>
      <c r="C14" s="51" t="s">
        <v>219</v>
      </c>
      <c r="D14" s="53">
        <f ca="1"/>
        <v>103</v>
      </c>
      <c r="H14" s="33" t="s">
        <v>15</v>
      </c>
      <c r="I14" s="51" t="s">
        <v>421</v>
      </c>
      <c r="J14" s="53">
        <f ca="1"/>
        <v>115</v>
      </c>
    </row>
    <row r="15" spans="2:10" ht="28.5" x14ac:dyDescent="0.45">
      <c r="B15" s="33" t="s">
        <v>416</v>
      </c>
      <c r="C15" s="50" t="s">
        <v>417</v>
      </c>
      <c r="D15" s="53">
        <f ca="1"/>
        <v>162</v>
      </c>
    </row>
    <row r="16" spans="2:10" ht="57" x14ac:dyDescent="0.45">
      <c r="B16" s="33" t="s">
        <v>418</v>
      </c>
      <c r="C16" s="51" t="s">
        <v>419</v>
      </c>
      <c r="D16" s="53">
        <f ca="1"/>
        <v>98</v>
      </c>
      <c r="H16" s="33" t="s">
        <v>32</v>
      </c>
      <c r="I16" s="36" t="s">
        <v>405</v>
      </c>
    </row>
    <row r="17" spans="2:22" ht="28.5" x14ac:dyDescent="0.45">
      <c r="B17" s="33" t="s">
        <v>23</v>
      </c>
      <c r="C17" s="50" t="s">
        <v>26</v>
      </c>
      <c r="D17" s="53">
        <f ca="1"/>
        <v>113</v>
      </c>
    </row>
    <row r="19" spans="2:22" ht="199.5" x14ac:dyDescent="0.45">
      <c r="B19" s="33" t="s">
        <v>32</v>
      </c>
      <c r="C19" s="35" t="s">
        <v>404</v>
      </c>
    </row>
    <row r="20" spans="2:22" x14ac:dyDescent="0.45">
      <c r="C20" s="10"/>
      <c r="V20" s="18" t="s">
        <v>430</v>
      </c>
    </row>
    <row r="21" spans="2:22" x14ac:dyDescent="0.45">
      <c r="B21" s="19" t="s">
        <v>54</v>
      </c>
      <c r="V21" s="20" t="str" cm="1">
        <f t="array" aca="1" ref="V21:V63" ca="1">sarraystack(MarkdownHelp(SourceFile,B5,C5,B7:B17,C7:C17),"",MarkdownHelp(SourceFile,H5,I5,H7:H14,I7:I14))</f>
        <v>#### _CSVRead_</v>
      </c>
    </row>
    <row r="22" spans="2:22" x14ac:dyDescent="0.45">
      <c r="B22" s="20" t="str" cm="1">
        <f t="array" aca="1" ref="B22:B43" ca="1">CodeToRegister(B5,C5,C7:C17)</f>
        <v>'---------------------------------------------------------------------------------------------------------</v>
      </c>
      <c r="V22" s="20" t="str">
        <f ca="1"/>
        <v>Returns the contents of a comma-separated file on disk as an array.</v>
      </c>
    </row>
    <row r="23" spans="2:22" x14ac:dyDescent="0.45">
      <c r="B23" s="20" t="str">
        <f ca="1"/>
        <v>' Procedure  : RegisterCSVRead</v>
      </c>
      <c r="V23" s="20" t="str">
        <f ca="1"/>
        <v>```</v>
      </c>
    </row>
    <row r="24" spans="2:22" x14ac:dyDescent="0.45">
      <c r="B24" s="20" t="str">
        <f ca="1"/>
        <v>' Purpose    : Register the function CSVRead with the Excel function wizard. Suggest this function is called from a</v>
      </c>
      <c r="V24" s="20" t="str">
        <f ca="1"/>
        <v>Public Function CSVRead(FileName As String, Optional ConvertTypes As Variant = False, __x000D_</v>
      </c>
    </row>
    <row r="25" spans="2:22" x14ac:dyDescent="0.45">
      <c r="B25" s="20" t="str">
        <f ca="1"/>
        <v>'              WorkBook_Open event.</v>
      </c>
      <c r="V25" s="20" t="str">
        <f ca="1"/>
        <v xml:space="preserve">    Optional ByVal Delimiter As Variant, Optional DateFormat As String, __x000D_</v>
      </c>
    </row>
    <row r="26" spans="2:22" x14ac:dyDescent="0.45">
      <c r="B26" s="20" t="str">
        <f ca="1"/>
        <v>'---------------------------------------------------------------------------------------------------------</v>
      </c>
      <c r="V26" s="20" t="str">
        <f ca="1"/>
        <v xml:space="preserve">    Optional ByVal SkipToRow As Long = 1, Optional ByVal SkipToCol As Long = 1, __x000D_</v>
      </c>
    </row>
    <row r="27" spans="2:22" x14ac:dyDescent="0.45">
      <c r="B27" s="20" t="str">
        <f ca="1"/>
        <v>Sub RegisterCSVRead()</v>
      </c>
      <c r="V27" s="20" t="str">
        <f ca="1"/>
        <v xml:space="preserve">    Optional ByVal NumRows As Long = 0, Optional ByVal NumCols As Long = 0, __x000D_</v>
      </c>
    </row>
    <row r="28" spans="2:22" x14ac:dyDescent="0.45">
      <c r="B28" s="20" t="str">
        <f ca="1"/>
        <v xml:space="preserve">    Const FnDesc = "Returns the contents of a comma-separated file on disk as an array."</v>
      </c>
      <c r="V28" s="20" t="str">
        <f ca="1"/>
        <v xml:space="preserve">    Optional ByVal ShowMissingsAs As Variant = "", Optional ByVal UTF16 As Variant, __x000D_</v>
      </c>
    </row>
    <row r="29" spans="2:22" x14ac:dyDescent="0.45">
      <c r="B29" s="20" t="str">
        <f ca="1"/>
        <v xml:space="preserve">    Dim ArgDescs() As String</v>
      </c>
      <c r="V29" s="20" t="str">
        <f ca="1"/>
        <v xml:space="preserve">    Optional DecimalSeparator As String = vbNullString)</v>
      </c>
    </row>
    <row r="30" spans="2:22" x14ac:dyDescent="0.45">
      <c r="B30" s="20" t="str">
        <f ca="1"/>
        <v xml:space="preserve">    ReDim ArgDescs(1 To 11)</v>
      </c>
      <c r="V30" s="20" t="str">
        <f ca="1"/>
        <v>```</v>
      </c>
    </row>
    <row r="31" spans="2:22" x14ac:dyDescent="0.45">
      <c r="B31" s="20" t="str">
        <f ca="1"/>
        <v xml:space="preserve">    ArgDescs(1) = "The full name of the file, including the path."</v>
      </c>
      <c r="V31" s="20" t="str">
        <f ca="1"/>
        <v/>
      </c>
    </row>
    <row r="32" spans="2:22" x14ac:dyDescent="0.45">
      <c r="B32" s="20" t="str">
        <f ca="1"/>
        <v xml:space="preserve">    ArgDescs(2) = "TRUE to convert Numbers, Dates, Booleans and Errors into their typed values, or FALSE to leave as strings. Or a string of characters N, D, B, E, Q. E.g. ""BN"" to convert just Booleans and numbers. Q indicates quoted strings should retain their quotes."</v>
      </c>
      <c r="V32" s="20" t="str">
        <f ca="1"/>
        <v>|Argument|Description|</v>
      </c>
    </row>
    <row r="33" spans="2:22" x14ac:dyDescent="0.45">
      <c r="B33" s="20" t="str">
        <f ca="1"/>
        <v xml:space="preserve">    ArgDescs(3) = "Delimiter string. Defaults to the first instance of comma, tab, semi-colon, colon or pipe found outside quoted regions. Enter FALSE to  see the file's raw contents as would be displayed in a text editor. Delimiter may have more than one character."</v>
      </c>
      <c r="V33" s="20" t="str">
        <f ca="1"/>
        <v>|:-------|:----------|</v>
      </c>
    </row>
    <row r="34" spans="2:22" x14ac:dyDescent="0.45">
      <c r="B34" s="20" t="str">
        <f ca="1"/>
        <v xml:space="preserve">    ArgDescs(4) = "The format of dates in the file such as ""D-M-Y"", ""M-D-Y"" or ""Y/M/D"". If omitted a value is read from Windows regional settings. Repeated D's (or M's or Y's) are equivalent to single instances, so that ""d-m-y"" and ""DD-MMM-YYYY"" are equivalent."</v>
      </c>
      <c r="V34" s="20" t="str">
        <f ca="1"/>
        <v>|`FileName`|The full name of the file, including the path.|</v>
      </c>
    </row>
    <row r="35" spans="2:22" x14ac:dyDescent="0.45">
      <c r="B35" s="20" t="str">
        <f ca="1"/>
        <v xml:space="preserve">    ArgDescs(5) = "The row in the file at which reading starts. Optional and defaults to 1 to read from the first row."</v>
      </c>
      <c r="V35" s="20" t="str">
        <f ca="1"/>
        <v>|`ConvertTypes`|TRUE to convert Numbers, Dates, Booleans and Errors into their typed values, or FALSE to leave as strings. Or a string of characters N, D, B, E, Q. E.g. "BN" to convert just Booleans and numbers. Q indicates quoted strings should retain their quotes.|</v>
      </c>
    </row>
    <row r="36" spans="2:22" x14ac:dyDescent="0.45">
      <c r="B36" s="20" t="str">
        <f ca="1"/>
        <v xml:space="preserve">    ArgDescs(6) = "The column in the file at which reading starts. Optional and defaults to 1 to read from the first column."</v>
      </c>
      <c r="V36" s="20" t="str">
        <f ca="1"/>
        <v>|`Delimiter`|`Delimiter` string. Defaults to the first instance of comma, tab, semi-colon, colon or pipe found outside quoted regions. Enter FALSE to  see the file's raw contents as would be displayed in a text editor. `Delimiter` may have more than one character.|</v>
      </c>
    </row>
    <row r="37" spans="2:22" x14ac:dyDescent="0.45">
      <c r="B37" s="20" t="str">
        <f ca="1"/>
        <v xml:space="preserve">    ArgDescs(7) = "The number of rows to read from the file. If omitted (or zero), all rows from SkipToRow to the end of the file are read."</v>
      </c>
      <c r="V37" s="20" t="str">
        <f ca="1"/>
        <v>|`DateFormat`|The format of dates in the file such as "D-M-Y", "M-D-Y" or "Y/M/D". If omitted a value is read from Windows regional settings. Repeated D's (or M's or Y's) are equivalent to single instances, so that "d-m-y" and "DD-MMM-YYYY" are equivalent.|</v>
      </c>
    </row>
    <row r="38" spans="2:22" x14ac:dyDescent="0.45">
      <c r="B38" s="20" t="str">
        <f ca="1"/>
        <v xml:space="preserve">    ArgDescs(8) = "The number of columns to read from the file. If omitted (or zero), all columns from SkipToCol are read."</v>
      </c>
      <c r="V38" s="20" t="str">
        <f ca="1"/>
        <v>|`SkipToRow`|The row in the file at which reading starts. Optional and defaults to 1 to read from the first row.|</v>
      </c>
    </row>
    <row r="39" spans="2:22" x14ac:dyDescent="0.45">
      <c r="B39" s="20" t="str">
        <f ca="1"/>
        <v xml:space="preserve">    ArgDescs(9) = "Fields which are missing in the file (i.e. consecutive delimiters) are represented by ShowMissingsAs. Defaults to the null string, but can be any string or Empty."</v>
      </c>
      <c r="V39" s="20" t="str">
        <f ca="1"/>
        <v>|`SkipToCol`|The column in the file at which reading starts. Optional and defaults to 1 to read from the first column.|</v>
      </c>
    </row>
    <row r="40" spans="2:22" x14ac:dyDescent="0.45">
      <c r="B40" s="20" t="str">
        <f ca="1"/>
        <v xml:space="preserve">    ArgDescs(10) = "Enter TRUE if the file is UTF-16 encoded, FALSE otherwise. Omit to guess from the file's contents."</v>
      </c>
      <c r="V40" s="20" t="str">
        <f ca="1"/>
        <v>|`NumRows`|The number of rows to read from the file. If omitted (or zero), all rows from `SkipToRow` to the end of the file are read.|</v>
      </c>
    </row>
    <row r="41" spans="2:22" x14ac:dyDescent="0.45">
      <c r="B41" s="20" t="str">
        <f ca="1"/>
        <v xml:space="preserve">    ArgDescs(11) = "The character that represents a decimal point. If omitted, then the value from Windows regional settings is used."</v>
      </c>
      <c r="H41" s="20"/>
      <c r="V41" s="20" t="str">
        <f ca="1"/>
        <v>|`NumCols`|The number of columns to read from the file. If omitted (or zero), all columns from `SkipToCol` are read.|</v>
      </c>
    </row>
    <row r="42" spans="2:22" x14ac:dyDescent="0.45">
      <c r="B42" s="20" t="str">
        <f ca="1"/>
        <v xml:space="preserve">    Application.MacroOptions "CSVRead", FnDesc, , , , , , , , , ArgDescs</v>
      </c>
      <c r="H42" s="20"/>
      <c r="V42" s="20" t="str">
        <f ca="1"/>
        <v>|`ShowMissingsAs`|Fields which are missing in the file (i.e. consecutive delimiters) are represented by `ShowMissingsAs`. Defaults to the null string, but can be any string or Empty.|</v>
      </c>
    </row>
    <row r="43" spans="2:22" x14ac:dyDescent="0.45">
      <c r="B43" s="20" t="str">
        <f ca="1"/>
        <v>End Sub</v>
      </c>
      <c r="H43" s="20"/>
      <c r="V43" s="20" t="str">
        <f ca="1"/>
        <v>|`UTF16`|Enter TRUE if the file is UTF-16 encoded, FALSE otherwise. Omit to guess from the file's contents.|</v>
      </c>
    </row>
    <row r="44" spans="2:22" x14ac:dyDescent="0.45">
      <c r="B44" s="20" t="str" cm="1">
        <f t="array" aca="1" ref="B44:B62" ca="1">CodeToRegister(H5,I5,I7:I14)</f>
        <v>'---------------------------------------------------------------------------------------------------------</v>
      </c>
      <c r="H44" s="20"/>
      <c r="V44" s="20" t="str">
        <f ca="1"/>
        <v>|`DecimalSeparator`|The character that represents a decimal point. If omitted, then the value from Windows regional settings is used.|</v>
      </c>
    </row>
    <row r="45" spans="2:22" x14ac:dyDescent="0.45">
      <c r="B45" s="20" t="str">
        <f ca="1"/>
        <v>' Procedure  : RegisterCSVWrite</v>
      </c>
      <c r="H45" s="20"/>
      <c r="V45" s="20" t="str">
        <f ca="1"/>
        <v/>
      </c>
    </row>
    <row r="46" spans="2:22" x14ac:dyDescent="0.45">
      <c r="B46" s="20" t="str">
        <f ca="1"/>
        <v>' Purpose    : Register the function CSVWrite with the Excel function wizard. Suggest this function is called from a</v>
      </c>
      <c r="H46" s="20"/>
      <c r="V46" s="20" t="str">
        <f ca="1"/>
        <v>#### _CSVWrite_</v>
      </c>
    </row>
    <row r="47" spans="2:22" x14ac:dyDescent="0.45">
      <c r="B47" s="20" t="str">
        <f ca="1"/>
        <v>'              WorkBook_Open event.</v>
      </c>
      <c r="H47" s="20"/>
      <c r="V47" s="20" t="str">
        <f ca="1"/>
        <v>Creates a comma-separated file on disk containing Data. Any existing file of the same name is overwritten. If successful, the function returns FileName, otherwise an "error string" (starts with #, ends with !) describing what went wrong.</v>
      </c>
    </row>
    <row r="48" spans="2:22" x14ac:dyDescent="0.45">
      <c r="B48" s="20" t="str">
        <f ca="1"/>
        <v>'---------------------------------------------------------------------------------------------------------</v>
      </c>
      <c r="H48" s="20"/>
      <c r="V48" s="20" t="str">
        <f ca="1"/>
        <v>```</v>
      </c>
    </row>
    <row r="49" spans="2:22" x14ac:dyDescent="0.45">
      <c r="B49" s="20" t="str">
        <f ca="1"/>
        <v>Sub RegisterCSVWrite()</v>
      </c>
      <c r="H49" s="20"/>
      <c r="V49" s="20" t="str">
        <f ca="1"/>
        <v>Public Function CSVWrite(FileName As String, ByVal Data As Variant, Optional QuoteAllStrings As Boolean = True, __x000D_</v>
      </c>
    </row>
    <row r="50" spans="2:22" x14ac:dyDescent="0.45">
      <c r="B50" s="20" t="str">
        <f ca="1"/>
        <v xml:space="preserve">    Const FnDesc = "Creates a comma-separated file on disk containing Data. Any existing file of the same name is overwritten. If successful, the function returns FileName, otherwise an ""error string"" (starts with #, ends with !) describing what went wrong."</v>
      </c>
      <c r="H50" s="20"/>
      <c r="V50" s="20" t="str">
        <f ca="1"/>
        <v xml:space="preserve">    Optional DateFormat As String = "yyyy-mm-dd", Optional DateTimeFormat As String = "yyyy-mm-dd hh:mm:ss", __x000D_</v>
      </c>
    </row>
    <row r="51" spans="2:22" x14ac:dyDescent="0.45">
      <c r="B51" s="20" t="str">
        <f ca="1"/>
        <v xml:space="preserve">    Dim ArgDescs() As String</v>
      </c>
      <c r="H51" s="20"/>
      <c r="V51" s="20" t="str">
        <f ca="1"/>
        <v xml:space="preserve">    Optional Delimiter As String = ",", Optional UTF16 As Boolean, Optional ByVal EOL As String = vbCrLf)</v>
      </c>
    </row>
    <row r="52" spans="2:22" x14ac:dyDescent="0.45">
      <c r="B52" s="20" t="str">
        <f ca="1"/>
        <v xml:space="preserve">    ReDim ArgDescs(1 To 8)</v>
      </c>
      <c r="H52" s="20"/>
      <c r="V52" s="20" t="str">
        <f ca="1"/>
        <v>```</v>
      </c>
    </row>
    <row r="53" spans="2:22" x14ac:dyDescent="0.45">
      <c r="B53" s="20" t="str">
        <f ca="1"/>
        <v xml:space="preserve">    ArgDescs(1) = "The full name of the file, including the path."</v>
      </c>
      <c r="H53" s="20"/>
      <c r="V53" s="20" t="str">
        <f ca="1"/>
        <v/>
      </c>
    </row>
    <row r="54" spans="2:22" x14ac:dyDescent="0.45">
      <c r="B54" s="20" t="str">
        <f ca="1"/>
        <v xml:space="preserve">    ArgDescs(2) = "An array of data. Elements may be strings, numbers, dates, Booleans, empty, Excel errors or null values."</v>
      </c>
      <c r="H54" s="20"/>
      <c r="V54" s="20" t="str">
        <f ca="1"/>
        <v>|Argument|Description|</v>
      </c>
    </row>
    <row r="55" spans="2:22" x14ac:dyDescent="0.45">
      <c r="B55" s="20" t="str">
        <f ca="1"/>
        <v xml:space="preserve">    ArgDescs(3) = "If TRUE (the default) then all strings in Data are quoted before being written to file. If FALSE only strings containing Delimiter, line feed, carriage return or double quote are quoted. Double quotes are always escaped by another double quote."</v>
      </c>
      <c r="H55" s="20"/>
      <c r="V55" s="20" t="str">
        <f ca="1"/>
        <v>|:-------|:----------|</v>
      </c>
    </row>
    <row r="56" spans="2:22" x14ac:dyDescent="0.45">
      <c r="B56" s="20" t="str">
        <f ca="1"/>
        <v xml:space="preserve">    ArgDescs(4) = "A format string that determine how dates, including cells formatted as dates, appear in the file. If omitted, defaults to ""yyyy-mm-dd""."</v>
      </c>
      <c r="H56" s="20"/>
      <c r="V56" s="20" t="str">
        <f ca="1"/>
        <v>|`FileName`|The full name of the file, including the path.|</v>
      </c>
    </row>
    <row r="57" spans="2:22" x14ac:dyDescent="0.45">
      <c r="B57" s="20" t="str">
        <f ca="1"/>
        <v xml:space="preserve">    ArgDescs(5) = "A format string that determines how dates with non-zero time part appear in the file. If omitted defaults to ""yyyy-mm-dd hh:mm:ss"".The companion function CVSRead is not currently capable of interpreting fields written in DateTime format."</v>
      </c>
      <c r="H57" s="20"/>
      <c r="V57" s="20" t="str">
        <f ca="1"/>
        <v>|`Data`|An array of `Data`. Elements may be strings, numbers, dates, Booleans, empty, Excel errors or null values.|</v>
      </c>
    </row>
    <row r="58" spans="2:22" x14ac:dyDescent="0.45">
      <c r="B58" s="20" t="str">
        <f ca="1"/>
        <v xml:space="preserve">    ArgDescs(6) = "The delimiter string, if omitted defaults to a comma. Delimiter may have more than one character."</v>
      </c>
      <c r="H58" s="20"/>
      <c r="V58" s="20" t="str">
        <f ca="1"/>
        <v>|`QuoteAllStrings`|If TRUE (the default) then all strings in `Data` are quoted before being written to file. If FALSE only strings containing `Delimiter`, line feed, carriage return or double quote are quoted. Double quotes are always escaped by another double quote.|</v>
      </c>
    </row>
    <row r="59" spans="2:22" x14ac:dyDescent="0.45">
      <c r="B59" s="20" t="str">
        <f ca="1"/>
        <v xml:space="preserve">    ArgDescs(7) = "If FALSE (the default) the file written will be UTF-8. If TRUE the file written will be UTF-16 LE BOM. An error will result if this argument is FALSE but Data contains characters with code points above 255."</v>
      </c>
      <c r="H59" s="20"/>
      <c r="V59" s="20" t="str">
        <f ca="1"/>
        <v>|`DateFormat`|A format string that determine how dates, including cells formatted as dates, appear in the file. If omitted, defaults to "yyyy-mm-dd".|</v>
      </c>
    </row>
    <row r="60" spans="2:22" x14ac:dyDescent="0.45">
      <c r="B60" s="20" t="str">
        <f ca="1"/>
        <v xml:space="preserve">    ArgDescs(8) = "Enter the line ending as ""Windows"" (or CRLF), or ""Unix"" (or LF) or ""Mac"" (or CR). If omitted defaults to ""Windows""."</v>
      </c>
      <c r="H60" s="20"/>
      <c r="V60" s="20" t="str">
        <f ca="1"/>
        <v>|`DateTimeFormat`|A format string that determines how dates with non-zero time part appear in the file. If omitted defaults to "yyyy-mm-dd hh:mm:ss".The companion function CVSRead is not currently capable of interpreting fields written in DateTime format.|</v>
      </c>
    </row>
    <row r="61" spans="2:22" x14ac:dyDescent="0.45">
      <c r="B61" s="20" t="str">
        <f ca="1"/>
        <v xml:space="preserve">    Application.MacroOptions "CSVWrite", FnDesc, , , , , , , , , ArgDescs</v>
      </c>
      <c r="H61" s="20"/>
      <c r="V61" s="20" t="str">
        <f ca="1"/>
        <v>|`Delimiter`|The `Delimiter` string, if omitted defaults to a comma. `Delimiter` may have more than one character.|</v>
      </c>
    </row>
    <row r="62" spans="2:22" x14ac:dyDescent="0.45">
      <c r="B62" s="20" t="str">
        <f ca="1"/>
        <v>End Sub</v>
      </c>
      <c r="H62" s="20"/>
      <c r="V62" s="20" t="str">
        <f ca="1"/>
        <v>|`UTF16`|If FALSE (the default) the file written will be UTF-8. If TRUE the file written will be UTF-16 LE BOM. An error will result if this argument is FALSE but `Data` contains characters with code points above 255.|</v>
      </c>
    </row>
    <row r="63" spans="2:22" x14ac:dyDescent="0.45">
      <c r="H63" s="20"/>
      <c r="V63" s="20" t="str">
        <f ca="1"/>
        <v>|`EOL`|Enter the line ending as "Windows" (or CRLF), or "Unix" (or LF) or "Mac" (or CR). If omitted defaults to "Windows".|</v>
      </c>
    </row>
    <row r="64" spans="2:22" x14ac:dyDescent="0.45">
      <c r="B64" s="18" t="s">
        <v>31</v>
      </c>
      <c r="H64" s="18" t="s">
        <v>31</v>
      </c>
      <c r="V64" s="20"/>
    </row>
    <row r="65" spans="2:22" x14ac:dyDescent="0.45">
      <c r="B65" s="20" t="str" cm="1">
        <f t="array" aca="1" ref="B65:B113" ca="1">HelpForVBE(B5,C5,B7:B17,C7:C17,C19)</f>
        <v>'---------------------------------------------------------------------------------------------------------</v>
      </c>
      <c r="H65" s="20" t="str" cm="1">
        <f t="array" aca="1" ref="H65:H94" ca="1">HelpForVBE(H5,I5,H7:H14,I7:I14,I16)</f>
        <v>'---------------------------------------------------------------------------------------------------------</v>
      </c>
      <c r="V65" s="20"/>
    </row>
    <row r="66" spans="2:22" x14ac:dyDescent="0.45">
      <c r="B66" s="20" t="str">
        <f ca="1"/>
        <v>' Procedure : CSVRead</v>
      </c>
      <c r="H66" s="20" t="str">
        <f ca="1"/>
        <v>' Procedure : CSVWrite</v>
      </c>
      <c r="V66" s="20"/>
    </row>
    <row r="67" spans="2:22" x14ac:dyDescent="0.45">
      <c r="B67" s="20" t="str">
        <f ca="1"/>
        <v>' Purpose   : Returns the contents of a comma-separated file on disk as an array.</v>
      </c>
      <c r="H67" s="20" t="str">
        <f ca="1"/>
        <v>' Purpose   : Creates a comma-separated file on disk containing Data. Any existing file of the same name</v>
      </c>
      <c r="V67" s="20"/>
    </row>
    <row r="68" spans="2:22" x14ac:dyDescent="0.45">
      <c r="B68" s="20" t="str">
        <f ca="1"/>
        <v>' Arguments</v>
      </c>
      <c r="H68" s="20" t="str">
        <f ca="1"/>
        <v>'             is overwritten. If successful, the function returns FileName, otherwise an</v>
      </c>
      <c r="V68" s="20"/>
    </row>
    <row r="69" spans="2:22" x14ac:dyDescent="0.45">
      <c r="B69" s="20" t="str">
        <f ca="1"/>
        <v>' FileName  : The full name of the file, including the path.</v>
      </c>
      <c r="H69" s="20" t="str">
        <f ca="1"/>
        <v>'             "error string" (starts with #, ends with !) describing what went wrong.</v>
      </c>
      <c r="V69" s="20"/>
    </row>
    <row r="70" spans="2:22" x14ac:dyDescent="0.45">
      <c r="B70" s="20" t="str">
        <f ca="1"/>
        <v>' ConvertTypes: TRUE to convert Numbers, Dates, Booleans and Errors into their typed values, or FALSE to</v>
      </c>
      <c r="H70" s="20" t="str">
        <f ca="1"/>
        <v>' Arguments</v>
      </c>
      <c r="V70" s="20"/>
    </row>
    <row r="71" spans="2:22" x14ac:dyDescent="0.45">
      <c r="B71" s="20" t="str">
        <f ca="1"/>
        <v>'             leave as strings. Or a string of characters N, D, B, E, Q. E.g. "BN" to</v>
      </c>
      <c r="H71" s="20" t="str">
        <f ca="1"/>
        <v>' FileName  : The full name of the file, including the path.</v>
      </c>
      <c r="V71" s="20"/>
    </row>
    <row r="72" spans="2:22" x14ac:dyDescent="0.45">
      <c r="B72" s="20" t="str">
        <f ca="1"/>
        <v>'             convert just Booleans and numbers. Q indicates quoted strings should retain</v>
      </c>
      <c r="H72" s="20" t="str">
        <f ca="1"/>
        <v>' Data      : An array of data. Elements may be strings, numbers, dates, Booleans, empty, Excel errors</v>
      </c>
      <c r="V72" s="20"/>
    </row>
    <row r="73" spans="2:22" x14ac:dyDescent="0.45">
      <c r="B73" s="20" t="str">
        <f ca="1"/>
        <v>'             their quotes.</v>
      </c>
      <c r="H73" s="20" t="str">
        <f ca="1"/>
        <v>'             or null values.</v>
      </c>
      <c r="V73" s="20"/>
    </row>
    <row r="74" spans="2:22" x14ac:dyDescent="0.45">
      <c r="B74" s="20" t="str">
        <f ca="1"/>
        <v>' Delimiter : Delimiter string. Defaults to the first instance of comma, tab, semi-colon, colon or pipe</v>
      </c>
      <c r="H74" s="20" t="str">
        <f ca="1"/>
        <v>' QuoteAllStrings: If TRUE (the default) then all strings in Data are quoted before being written to file. If</v>
      </c>
      <c r="V74" s="20"/>
    </row>
    <row r="75" spans="2:22" x14ac:dyDescent="0.45">
      <c r="B75" s="20" t="str">
        <f ca="1"/>
        <v>'             found outside quoted regions. Enter FALSE to  see the file's raw contents as</v>
      </c>
      <c r="H75" s="20" t="str">
        <f ca="1"/>
        <v>'             FALSE only strings containing Delimiter, line feed, carriage return or double</v>
      </c>
      <c r="V75" s="20"/>
    </row>
    <row r="76" spans="2:22" x14ac:dyDescent="0.45">
      <c r="B76" s="20" t="str">
        <f ca="1"/>
        <v>'             would be displayed in a text editor. Delimiter may have more than one</v>
      </c>
      <c r="H76" s="20" t="str">
        <f ca="1"/>
        <v>'             quote are quoted. Double quotes are always escaped by another double quote.</v>
      </c>
      <c r="V76" s="20"/>
    </row>
    <row r="77" spans="2:22" x14ac:dyDescent="0.45">
      <c r="B77" s="20" t="str">
        <f ca="1"/>
        <v>'             character.</v>
      </c>
      <c r="H77" s="20" t="str">
        <f ca="1"/>
        <v>' DateFormat: A format string that determine how dates, including cells formatted as dates, appear in</v>
      </c>
      <c r="V77" s="20"/>
    </row>
    <row r="78" spans="2:22" x14ac:dyDescent="0.45">
      <c r="B78" s="20" t="str">
        <f ca="1"/>
        <v>' DateFormat: The format of dates in the file such as "D-M-Y", "M-D-Y" or "Y/M/D". If omitted a value is</v>
      </c>
      <c r="H78" s="20" t="str">
        <f ca="1"/>
        <v>'             the file. If omitted, defaults to "yyyy-mm-dd".</v>
      </c>
      <c r="V78" s="20"/>
    </row>
    <row r="79" spans="2:22" x14ac:dyDescent="0.45">
      <c r="B79" s="20" t="str">
        <f ca="1"/>
        <v>'             read from Windows regional settings. Repeated D's (or M's or Y's) are</v>
      </c>
      <c r="H79" s="20" t="str">
        <f ca="1"/>
        <v>' DateTimeFormat: A format string that determines how dates with non-zero time part appear in the file. If</v>
      </c>
      <c r="V79" s="20"/>
    </row>
    <row r="80" spans="2:22" x14ac:dyDescent="0.45">
      <c r="B80" s="20" t="str">
        <f ca="1"/>
        <v>'             equivalent to single instances, so that "d-m-y" and "DD-MMM-YYYY" are</v>
      </c>
      <c r="H80" s="20" t="str">
        <f ca="1"/>
        <v>'             omitted defaults to "yyyy-mm-dd hh:mm:ss".The companion function CVSRead is</v>
      </c>
      <c r="V80" s="20"/>
    </row>
    <row r="81" spans="2:22" x14ac:dyDescent="0.45">
      <c r="B81" s="20" t="str">
        <f ca="1"/>
        <v>'             equivalent.</v>
      </c>
      <c r="H81" s="20" t="str">
        <f ca="1"/>
        <v>'             not currently capable of interpreting fields written in DateTime format.</v>
      </c>
      <c r="V81" s="20"/>
    </row>
    <row r="82" spans="2:22" x14ac:dyDescent="0.45">
      <c r="B82" s="20" t="str">
        <f ca="1"/>
        <v>' SkipToRow : The row in the file at which reading starts. Optional and defaults to 1 to read from the</v>
      </c>
      <c r="H82" s="20" t="str">
        <f ca="1"/>
        <v>' Delimiter : The delimiter string, if omitted defaults to a comma. Delimiter may have more than one</v>
      </c>
      <c r="V82" s="20"/>
    </row>
    <row r="83" spans="2:22" x14ac:dyDescent="0.45">
      <c r="B83" s="20" t="str">
        <f ca="1"/>
        <v>'             first row.</v>
      </c>
      <c r="H83" s="20" t="str">
        <f ca="1"/>
        <v>'             character.</v>
      </c>
      <c r="V83" s="20"/>
    </row>
    <row r="84" spans="2:22" x14ac:dyDescent="0.45">
      <c r="B84" s="20" t="str">
        <f ca="1"/>
        <v>' SkipToCol : The column in the file at which reading starts. Optional and defaults to 1 to read from</v>
      </c>
      <c r="H84" s="20" t="str">
        <f ca="1"/>
        <v>' UTF16     : If FALSE (the default) the file written will be UTF-8. If TRUE the file written will be</v>
      </c>
      <c r="V84" s="20"/>
    </row>
    <row r="85" spans="2:22" x14ac:dyDescent="0.45">
      <c r="B85" s="20" t="str">
        <f ca="1"/>
        <v>'             the first column.</v>
      </c>
      <c r="H85" s="20" t="str">
        <f ca="1"/>
        <v>'             UTF-16 LE BOM. An error will result if this argument is FALSE but Data</v>
      </c>
      <c r="V85" s="20"/>
    </row>
    <row r="86" spans="2:22" x14ac:dyDescent="0.45">
      <c r="B86" s="20" t="str">
        <f ca="1"/>
        <v>' NumRows   : The number of rows to read from the file. If omitted (or zero), all rows from SkipToRow to</v>
      </c>
      <c r="H86" s="20" t="str">
        <f ca="1"/>
        <v>'             contains characters with code points above 255.</v>
      </c>
      <c r="V86" s="20"/>
    </row>
    <row r="87" spans="2:22" x14ac:dyDescent="0.45">
      <c r="B87" s="20" t="str">
        <f ca="1"/>
        <v>'             the end of the file are read.</v>
      </c>
      <c r="H87" s="20" t="str">
        <f ca="1"/>
        <v>' EOL       : Enter the line ending as "Windows" (or CRLF), or "Unix" (or LF) or "Mac" (or CR). If</v>
      </c>
      <c r="V87" s="20"/>
    </row>
    <row r="88" spans="2:22" x14ac:dyDescent="0.45">
      <c r="B88" s="20" t="str">
        <f ca="1"/>
        <v>' NumCols   : The number of columns to read from the file. If omitted (or zero), all columns from</v>
      </c>
      <c r="H88" s="20" t="str">
        <f ca="1"/>
        <v>'             omitted defaults to "Windows".</v>
      </c>
      <c r="V88" s="20"/>
    </row>
    <row r="89" spans="2:22" x14ac:dyDescent="0.45">
      <c r="B89" s="20" t="str">
        <f ca="1"/>
        <v>'             SkipToCol are read.</v>
      </c>
      <c r="H89" s="20" t="str">
        <f ca="1"/>
        <v>'</v>
      </c>
      <c r="V89" s="20"/>
    </row>
    <row r="90" spans="2:22" x14ac:dyDescent="0.45">
      <c r="B90" s="20" t="str">
        <f ca="1"/>
        <v>' ShowMissingsAs: Fields which are missing in the file (i.e. consecutive delimiters) are represented by</v>
      </c>
      <c r="H90" s="20" t="str">
        <f ca="1"/>
        <v>' Notes     : See also companion function CSVRead.</v>
      </c>
      <c r="V90" s="20"/>
    </row>
    <row r="91" spans="2:22" x14ac:dyDescent="0.45">
      <c r="B91" s="20" t="str">
        <f ca="1"/>
        <v>'             ShowMissingsAs. Defaults to the null string, but can be any string or Empty.</v>
      </c>
      <c r="H91" s="20" t="str">
        <f ca="1"/>
        <v xml:space="preserve">'             </v>
      </c>
      <c r="V91" s="20"/>
    </row>
    <row r="92" spans="2:22" x14ac:dyDescent="0.45">
      <c r="B92" s="20" t="str">
        <f ca="1"/>
        <v>' UTF16     : Enter TRUE if the file is UTF-16 encoded, FALSE otherwise. Omit to guess from the file's</v>
      </c>
      <c r="H92" s="20" t="str">
        <f ca="1"/>
        <v>'             For definition of the CSV format see</v>
      </c>
      <c r="V92" s="20"/>
    </row>
    <row r="93" spans="2:22" x14ac:dyDescent="0.45">
      <c r="B93" s="20" t="str">
        <f ca="1"/>
        <v>'             contents.</v>
      </c>
      <c r="H93" s="20" t="str">
        <f ca="1"/>
        <v>'             https://tools.ietf.org/html/rfc4180#section-2</v>
      </c>
      <c r="V93" s="20"/>
    </row>
    <row r="94" spans="2:22" x14ac:dyDescent="0.45">
      <c r="B94" s="20" t="str">
        <f ca="1"/>
        <v>' DecimalSeparator: The character that represents a decimal point. If omitted, then the value from Windows</v>
      </c>
      <c r="H94" s="20" t="str">
        <f ca="1"/>
        <v>'---------------------------------------------------------------------------------------------------------</v>
      </c>
      <c r="V94" s="20"/>
    </row>
    <row r="95" spans="2:22" x14ac:dyDescent="0.45">
      <c r="B95" s="20" t="str">
        <f ca="1"/>
        <v>'             regional settings is used.</v>
      </c>
      <c r="H95" s="20"/>
      <c r="V95" s="20"/>
    </row>
    <row r="96" spans="2:22" x14ac:dyDescent="0.45">
      <c r="B96" s="20" t="str">
        <f ca="1"/>
        <v>'</v>
      </c>
      <c r="H96" s="20"/>
      <c r="V96" s="20"/>
    </row>
    <row r="97" spans="2:22" x14ac:dyDescent="0.45">
      <c r="B97" s="20" t="str">
        <f ca="1"/>
        <v>' Notes     : See also companion function CSVWrite.</v>
      </c>
      <c r="H97" s="20"/>
      <c r="V97" s="20"/>
    </row>
    <row r="98" spans="2:22" x14ac:dyDescent="0.45">
      <c r="B98" s="20" t="str">
        <f ca="1"/>
        <v xml:space="preserve">'             </v>
      </c>
      <c r="H98" s="20"/>
      <c r="V98" s="20"/>
    </row>
    <row r="99" spans="2:22" x14ac:dyDescent="0.45">
      <c r="B99" s="20" t="str">
        <f ca="1"/>
        <v>'             The function handles all csv files that conform to the standards described in</v>
      </c>
      <c r="H99" s="20"/>
      <c r="V99" s="20"/>
    </row>
    <row r="100" spans="2:22" x14ac:dyDescent="0.45">
      <c r="B100" s="20" t="str">
        <f ca="1"/>
        <v>'             RFC4180  https://www.rfc-editor.org/rfc/rfc4180.txt including files with</v>
      </c>
      <c r="H100" s="20"/>
      <c r="V100" s="20"/>
    </row>
    <row r="101" spans="2:22" x14ac:dyDescent="0.45">
      <c r="B101" s="20" t="str">
        <f ca="1"/>
        <v>'             quoted fields.</v>
      </c>
      <c r="H101" s="20"/>
      <c r="V101" s="20"/>
    </row>
    <row r="102" spans="2:22" x14ac:dyDescent="0.45">
      <c r="B102" s="20" t="str">
        <f ca="1"/>
        <v xml:space="preserve">'             </v>
      </c>
      <c r="H102" s="20"/>
      <c r="V102" s="20"/>
    </row>
    <row r="103" spans="2:22" x14ac:dyDescent="0.45">
      <c r="B103" s="20" t="str">
        <f ca="1"/>
        <v>'             In addition the function handles files which break some of those standards:</v>
      </c>
      <c r="H103" s="20"/>
      <c r="V103" s="20"/>
    </row>
    <row r="104" spans="2:22" x14ac:dyDescent="0.45">
      <c r="B104" s="20" t="str">
        <f ca="1"/>
        <v>'             * Not all lines of the file need have the same number of fields. The function</v>
      </c>
      <c r="H104" s="20"/>
      <c r="V104" s="20"/>
    </row>
    <row r="105" spans="2:22" x14ac:dyDescent="0.45">
      <c r="B105" s="20" t="str">
        <f ca="1"/>
        <v>'             "pads" with Empty values.</v>
      </c>
      <c r="H105" s="20"/>
      <c r="V105" s="20"/>
    </row>
    <row r="106" spans="2:22" x14ac:dyDescent="0.45">
      <c r="B106" s="20" t="str">
        <f ca="1"/>
        <v>'             * Fields which start with a double quote but do not end with a double quote</v>
      </c>
      <c r="H106" s="20"/>
      <c r="V106" s="20"/>
    </row>
    <row r="107" spans="2:22" x14ac:dyDescent="0.45">
      <c r="B107" s="20" t="str">
        <f ca="1"/>
        <v>'             are handled by being returned unchanged. Necessarily such fields have an even</v>
      </c>
      <c r="H107" s="20"/>
      <c r="V107" s="20"/>
    </row>
    <row r="108" spans="2:22" x14ac:dyDescent="0.45">
      <c r="B108" s="20" t="str">
        <f ca="1"/>
        <v>'             number of double quotes, or otherwise the field will be treated as the last</v>
      </c>
      <c r="H108" s="20"/>
      <c r="V108" s="20"/>
    </row>
    <row r="109" spans="2:22" x14ac:dyDescent="0.45">
      <c r="B109" s="20" t="str">
        <f ca="1"/>
        <v>'             field in the file.</v>
      </c>
      <c r="H109" s="20"/>
      <c r="V109" s="20"/>
    </row>
    <row r="110" spans="2:22" x14ac:dyDescent="0.45">
      <c r="B110" s="20" t="str">
        <f ca="1"/>
        <v>'             * The standard states that csv files should have Windows-style line endings,</v>
      </c>
      <c r="H110" s="20"/>
      <c r="V110" s="20"/>
    </row>
    <row r="111" spans="2:22" x14ac:dyDescent="0.45">
      <c r="B111" s="20" t="str">
        <f ca="1"/>
        <v>'             but the function supports files with Windows, Unix and (old) Mac line</v>
      </c>
      <c r="H111" s="20"/>
      <c r="V111" s="20"/>
    </row>
    <row r="112" spans="2:22" x14ac:dyDescent="0.45">
      <c r="B112" s="20" t="str">
        <f ca="1"/>
        <v>'             endings. Files may also have mixed line endings.</v>
      </c>
      <c r="H112" s="20"/>
      <c r="V112" s="20"/>
    </row>
    <row r="113" spans="2:22" x14ac:dyDescent="0.45">
      <c r="B113" s="20" t="str">
        <f ca="1"/>
        <v>'---------------------------------------------------------------------------------------------------------</v>
      </c>
      <c r="H113" s="20"/>
      <c r="V113" s="20"/>
    </row>
    <row r="114" spans="2:22" x14ac:dyDescent="0.45">
      <c r="B114" s="20"/>
      <c r="H114" s="20"/>
      <c r="V114" s="20"/>
    </row>
    <row r="115" spans="2:22" x14ac:dyDescent="0.45">
      <c r="H115" s="20"/>
      <c r="V115" s="20"/>
    </row>
    <row r="116" spans="2:22" x14ac:dyDescent="0.45">
      <c r="H116" s="20"/>
      <c r="V116" s="20"/>
    </row>
    <row r="117" spans="2:22" x14ac:dyDescent="0.45">
      <c r="H117" s="20"/>
      <c r="V117" s="20"/>
    </row>
    <row r="118" spans="2:22" x14ac:dyDescent="0.45">
      <c r="V118" s="20"/>
    </row>
    <row r="119" spans="2:22" x14ac:dyDescent="0.45">
      <c r="V119" s="20"/>
    </row>
    <row r="120" spans="2:22" x14ac:dyDescent="0.45">
      <c r="V120" s="20"/>
    </row>
    <row r="121" spans="2:22" x14ac:dyDescent="0.45">
      <c r="V121" s="20"/>
    </row>
    <row r="122" spans="2:22" x14ac:dyDescent="0.45">
      <c r="V122" s="20"/>
    </row>
    <row r="123" spans="2:22" x14ac:dyDescent="0.45">
      <c r="V123" s="20"/>
    </row>
    <row r="124" spans="2:22" x14ac:dyDescent="0.45">
      <c r="V124" s="20"/>
    </row>
    <row r="125" spans="2:22" x14ac:dyDescent="0.45">
      <c r="V125" s="20"/>
    </row>
    <row r="126" spans="2:22" x14ac:dyDescent="0.45">
      <c r="V126" s="20"/>
    </row>
    <row r="127" spans="2:22" x14ac:dyDescent="0.45">
      <c r="V127" s="20"/>
    </row>
    <row r="128" spans="2:22" x14ac:dyDescent="0.45">
      <c r="V128" s="20"/>
    </row>
    <row r="129" spans="22:22" x14ac:dyDescent="0.45">
      <c r="V129" s="20"/>
    </row>
    <row r="130" spans="22:22" x14ac:dyDescent="0.45">
      <c r="V130" s="20"/>
    </row>
    <row r="131" spans="22:22" x14ac:dyDescent="0.45">
      <c r="V131" s="20"/>
    </row>
    <row r="132" spans="22:22" x14ac:dyDescent="0.45">
      <c r="V132" s="20"/>
    </row>
    <row r="133" spans="22:22" x14ac:dyDescent="0.45">
      <c r="V133" s="20"/>
    </row>
    <row r="229" spans="2:2" x14ac:dyDescent="0.45">
      <c r="B229" s="20"/>
    </row>
    <row r="230" spans="2:2" x14ac:dyDescent="0.45">
      <c r="B230" s="20"/>
    </row>
    <row r="231" spans="2:2" x14ac:dyDescent="0.45">
      <c r="B231" s="20"/>
    </row>
    <row r="232" spans="2:2" x14ac:dyDescent="0.45">
      <c r="B232" s="20"/>
    </row>
    <row r="233" spans="2:2" x14ac:dyDescent="0.45">
      <c r="B233" s="20"/>
    </row>
    <row r="234" spans="2:2" x14ac:dyDescent="0.45">
      <c r="B234" s="20"/>
    </row>
    <row r="235" spans="2:2" x14ac:dyDescent="0.45">
      <c r="B235" s="20"/>
    </row>
    <row r="236" spans="2:2" x14ac:dyDescent="0.45">
      <c r="B236" s="20"/>
    </row>
    <row r="237" spans="2:2" x14ac:dyDescent="0.45">
      <c r="B237" s="20"/>
    </row>
    <row r="238" spans="2:2" x14ac:dyDescent="0.45">
      <c r="B238" s="20"/>
    </row>
    <row r="239" spans="2:2" x14ac:dyDescent="0.45">
      <c r="B239" s="20"/>
    </row>
    <row r="240" spans="2:2" x14ac:dyDescent="0.45">
      <c r="B240" s="20"/>
    </row>
    <row r="241" spans="2:2" x14ac:dyDescent="0.45">
      <c r="B241" s="20"/>
    </row>
    <row r="242" spans="2:2" x14ac:dyDescent="0.45">
      <c r="B242" s="20"/>
    </row>
    <row r="243" spans="2:2" x14ac:dyDescent="0.45">
      <c r="B243" s="20"/>
    </row>
    <row r="244" spans="2:2" x14ac:dyDescent="0.45">
      <c r="B244" s="20"/>
    </row>
    <row r="245" spans="2:2" x14ac:dyDescent="0.45">
      <c r="B245" s="20"/>
    </row>
    <row r="246" spans="2:2" x14ac:dyDescent="0.45">
      <c r="B246" s="20"/>
    </row>
    <row r="247" spans="2:2" x14ac:dyDescent="0.45">
      <c r="B247" s="20"/>
    </row>
    <row r="248" spans="2:2" x14ac:dyDescent="0.45">
      <c r="B248" s="20"/>
    </row>
    <row r="249" spans="2:2" x14ac:dyDescent="0.45">
      <c r="B249" s="20"/>
    </row>
    <row r="250" spans="2:2" x14ac:dyDescent="0.45">
      <c r="B250" s="20"/>
    </row>
    <row r="251" spans="2:2" x14ac:dyDescent="0.45">
      <c r="B251" s="20"/>
    </row>
    <row r="252" spans="2:2" x14ac:dyDescent="0.45">
      <c r="B252" s="20"/>
    </row>
    <row r="253" spans="2:2" x14ac:dyDescent="0.45">
      <c r="B253" s="20"/>
    </row>
    <row r="254" spans="2:2" x14ac:dyDescent="0.45">
      <c r="B254" s="20"/>
    </row>
    <row r="255" spans="2:2" x14ac:dyDescent="0.45">
      <c r="B255" s="20"/>
    </row>
    <row r="256" spans="2:2" x14ac:dyDescent="0.45">
      <c r="B256" s="20"/>
    </row>
    <row r="257" spans="2:2" x14ac:dyDescent="0.45">
      <c r="B257" s="20"/>
    </row>
    <row r="258" spans="2:2" x14ac:dyDescent="0.45">
      <c r="B258" s="20"/>
    </row>
    <row r="259" spans="2:2" x14ac:dyDescent="0.45">
      <c r="B259" s="20"/>
    </row>
    <row r="260" spans="2:2" x14ac:dyDescent="0.45">
      <c r="B260" s="20"/>
    </row>
    <row r="261" spans="2:2" x14ac:dyDescent="0.45">
      <c r="B261" s="20"/>
    </row>
    <row r="262" spans="2:2" x14ac:dyDescent="0.45">
      <c r="B262" s="20"/>
    </row>
    <row r="263" spans="2:2" x14ac:dyDescent="0.45">
      <c r="B263" s="20"/>
    </row>
    <row r="264" spans="2:2" x14ac:dyDescent="0.45">
      <c r="B264" s="20"/>
    </row>
    <row r="265" spans="2:2" x14ac:dyDescent="0.45">
      <c r="B265" s="20"/>
    </row>
    <row r="266" spans="2:2" x14ac:dyDescent="0.45">
      <c r="B266" s="20"/>
    </row>
    <row r="267" spans="2:2" x14ac:dyDescent="0.45">
      <c r="B267" s="20"/>
    </row>
    <row r="268" spans="2:2" x14ac:dyDescent="0.45">
      <c r="B268" s="20"/>
    </row>
    <row r="269" spans="2:2" x14ac:dyDescent="0.45">
      <c r="B269" s="20"/>
    </row>
    <row r="270" spans="2:2" x14ac:dyDescent="0.45">
      <c r="B270" s="20"/>
    </row>
    <row r="271" spans="2:2" x14ac:dyDescent="0.45">
      <c r="B271" s="20"/>
    </row>
    <row r="272" spans="2:2" x14ac:dyDescent="0.45">
      <c r="B272" s="20"/>
    </row>
    <row r="273" spans="2:2" x14ac:dyDescent="0.45">
      <c r="B273" s="20"/>
    </row>
    <row r="274" spans="2:2" x14ac:dyDescent="0.45">
      <c r="B274" s="20"/>
    </row>
    <row r="275" spans="2:2" x14ac:dyDescent="0.45">
      <c r="B275" s="20"/>
    </row>
    <row r="276" spans="2:2" x14ac:dyDescent="0.45">
      <c r="B276" s="20"/>
    </row>
    <row r="277" spans="2:2" x14ac:dyDescent="0.45">
      <c r="B277" s="20"/>
    </row>
    <row r="278" spans="2:2" x14ac:dyDescent="0.45">
      <c r="B278" s="20"/>
    </row>
    <row r="279" spans="2:2" x14ac:dyDescent="0.45">
      <c r="B279" s="20"/>
    </row>
    <row r="280" spans="2:2" x14ac:dyDescent="0.45">
      <c r="B280" s="20"/>
    </row>
    <row r="281" spans="2:2" x14ac:dyDescent="0.45">
      <c r="B281" s="20"/>
    </row>
    <row r="282" spans="2:2" x14ac:dyDescent="0.45">
      <c r="B282" s="20"/>
    </row>
    <row r="283" spans="2:2" x14ac:dyDescent="0.45">
      <c r="B283" s="20"/>
    </row>
    <row r="284" spans="2:2" x14ac:dyDescent="0.45">
      <c r="B284" s="20"/>
    </row>
    <row r="285" spans="2:2" x14ac:dyDescent="0.45">
      <c r="B285" s="20"/>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02197-55DE-43D7-950D-76E61F3C495C}">
  <sheetPr codeName="Sheet6"/>
  <dimension ref="A1:L217"/>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184</v>
      </c>
    </row>
    <row r="2" spans="1:12" x14ac:dyDescent="0.45">
      <c r="L2" s="54"/>
    </row>
    <row r="4" spans="1:12" x14ac:dyDescent="0.45">
      <c r="K4" t="s">
        <v>380</v>
      </c>
    </row>
    <row r="5" spans="1:12" ht="28.5" x14ac:dyDescent="0.45">
      <c r="A5" s="56" t="s">
        <v>387</v>
      </c>
      <c r="B5" s="56" t="s">
        <v>388</v>
      </c>
      <c r="C5" s="56" t="s">
        <v>389</v>
      </c>
      <c r="D5" s="56" t="s">
        <v>390</v>
      </c>
      <c r="E5" s="56" t="s">
        <v>398</v>
      </c>
      <c r="F5" s="56" t="s">
        <v>376</v>
      </c>
      <c r="G5" s="56" t="s">
        <v>377</v>
      </c>
      <c r="H5" s="57" t="s">
        <v>407</v>
      </c>
      <c r="I5" s="57" t="s">
        <v>408</v>
      </c>
      <c r="J5" s="57" t="s">
        <v>409</v>
      </c>
      <c r="K5" s="56" t="s">
        <v>378</v>
      </c>
      <c r="L5" s="56" t="s">
        <v>379</v>
      </c>
    </row>
    <row r="6" spans="1:12" x14ac:dyDescent="0.45">
      <c r="A6">
        <f ca="1">LEN(B6)</f>
        <v>1</v>
      </c>
      <c r="B6" t="s">
        <v>56</v>
      </c>
      <c r="C6" s="47">
        <v>1</v>
      </c>
      <c r="D6">
        <v>1</v>
      </c>
      <c r="E6">
        <v>1.2643180438956866E-4</v>
      </c>
      <c r="F6">
        <v>1.1968546329319686E-4</v>
      </c>
      <c r="G6">
        <v>1.6876894026323923E-3</v>
      </c>
      <c r="H6" s="54">
        <v>39548</v>
      </c>
      <c r="I6" s="54">
        <v>41777</v>
      </c>
      <c r="J6" s="54">
        <v>2963</v>
      </c>
      <c r="K6" s="55" t="s">
        <v>57</v>
      </c>
      <c r="L6" s="47">
        <v>3</v>
      </c>
    </row>
    <row r="7" spans="1:12" x14ac:dyDescent="0.45">
      <c r="A7">
        <f t="shared" ref="A7:A27" ca="1" si="0">LEN(B7)</f>
        <v>1</v>
      </c>
      <c r="B7" t="s">
        <v>56</v>
      </c>
      <c r="C7" s="47">
        <v>2</v>
      </c>
      <c r="D7">
        <v>1</v>
      </c>
      <c r="E7">
        <v>1.4797941045904668E-4</v>
      </c>
      <c r="F7">
        <v>1.2625614221143511E-4</v>
      </c>
      <c r="G7">
        <v>1.8431641725024123E-3</v>
      </c>
      <c r="H7" s="54">
        <v>33789</v>
      </c>
      <c r="I7" s="54">
        <v>39603</v>
      </c>
      <c r="J7" s="54">
        <v>2713</v>
      </c>
      <c r="K7" s="47" t="s">
        <v>58</v>
      </c>
      <c r="L7" s="47">
        <v>6</v>
      </c>
    </row>
    <row r="8" spans="1:12" x14ac:dyDescent="0.45">
      <c r="A8">
        <f t="shared" ca="1" si="0"/>
        <v>1</v>
      </c>
      <c r="B8" t="s">
        <v>56</v>
      </c>
      <c r="C8" s="47">
        <v>4</v>
      </c>
      <c r="D8">
        <v>1</v>
      </c>
      <c r="E8">
        <v>1.292141616704593E-4</v>
      </c>
      <c r="F8">
        <v>1.2471045569053014E-4</v>
      </c>
      <c r="G8">
        <v>1.8424781503317443E-3</v>
      </c>
      <c r="H8" s="54">
        <v>38696</v>
      </c>
      <c r="I8" s="54">
        <v>40093</v>
      </c>
      <c r="J8" s="54">
        <v>2714</v>
      </c>
      <c r="K8" s="47" t="s">
        <v>59</v>
      </c>
      <c r="L8" s="47">
        <v>12</v>
      </c>
    </row>
    <row r="9" spans="1:12" x14ac:dyDescent="0.45">
      <c r="A9">
        <f t="shared" ca="1" si="0"/>
        <v>1</v>
      </c>
      <c r="B9" t="s">
        <v>56</v>
      </c>
      <c r="C9" s="47">
        <v>8</v>
      </c>
      <c r="D9">
        <v>1</v>
      </c>
      <c r="E9">
        <v>1.3715430656137051E-4</v>
      </c>
      <c r="F9">
        <v>1.3015298175285137E-4</v>
      </c>
      <c r="G9">
        <v>1.8824117049306499E-3</v>
      </c>
      <c r="H9" s="54">
        <v>36456</v>
      </c>
      <c r="I9" s="54">
        <v>38417</v>
      </c>
      <c r="J9" s="54">
        <v>2657</v>
      </c>
      <c r="K9" s="47" t="s">
        <v>60</v>
      </c>
      <c r="L9" s="47">
        <v>24</v>
      </c>
    </row>
    <row r="10" spans="1:12" x14ac:dyDescent="0.45">
      <c r="A10">
        <f t="shared" ca="1" si="0"/>
        <v>1</v>
      </c>
      <c r="B10" t="s">
        <v>56</v>
      </c>
      <c r="C10" s="47">
        <v>16</v>
      </c>
      <c r="D10">
        <v>1</v>
      </c>
      <c r="E10">
        <v>1.4700231081318508E-4</v>
      </c>
      <c r="F10">
        <v>1.4004114665022588E-4</v>
      </c>
      <c r="G10">
        <v>1.9195820345489028E-3</v>
      </c>
      <c r="H10" s="54">
        <v>34014</v>
      </c>
      <c r="I10" s="54">
        <v>35704</v>
      </c>
      <c r="J10" s="54">
        <v>2605</v>
      </c>
      <c r="K10" s="47" t="s">
        <v>61</v>
      </c>
      <c r="L10" s="47">
        <v>48</v>
      </c>
    </row>
    <row r="11" spans="1:12" x14ac:dyDescent="0.45">
      <c r="A11">
        <f t="shared" ca="1" si="0"/>
        <v>1</v>
      </c>
      <c r="B11" t="s">
        <v>56</v>
      </c>
      <c r="C11" s="47">
        <v>32</v>
      </c>
      <c r="D11">
        <v>1</v>
      </c>
      <c r="E11">
        <v>1.6461627707910469E-4</v>
      </c>
      <c r="F11">
        <v>1.5876684342552464E-4</v>
      </c>
      <c r="G11">
        <v>1.9947821300360445E-3</v>
      </c>
      <c r="H11" s="54">
        <v>30374</v>
      </c>
      <c r="I11" s="54">
        <v>31493</v>
      </c>
      <c r="J11" s="54">
        <v>2507</v>
      </c>
      <c r="K11" s="47" t="s">
        <v>62</v>
      </c>
      <c r="L11" s="47">
        <v>96</v>
      </c>
    </row>
    <row r="12" spans="1:12" x14ac:dyDescent="0.45">
      <c r="A12">
        <f t="shared" ca="1" si="0"/>
        <v>1</v>
      </c>
      <c r="B12" t="s">
        <v>56</v>
      </c>
      <c r="C12" s="47">
        <v>64</v>
      </c>
      <c r="D12">
        <v>1</v>
      </c>
      <c r="E12">
        <v>2.1162555974095501E-4</v>
      </c>
      <c r="F12">
        <v>1.9906098415477263E-4</v>
      </c>
      <c r="G12">
        <v>2.1753947803391212E-3</v>
      </c>
      <c r="H12" s="54">
        <v>23627</v>
      </c>
      <c r="I12" s="54">
        <v>25118</v>
      </c>
      <c r="J12" s="54">
        <v>2299</v>
      </c>
      <c r="K12" s="47" t="s">
        <v>63</v>
      </c>
      <c r="L12" s="47">
        <v>192</v>
      </c>
    </row>
    <row r="13" spans="1:12" x14ac:dyDescent="0.45">
      <c r="A13">
        <f t="shared" ca="1" si="0"/>
        <v>1</v>
      </c>
      <c r="B13" t="s">
        <v>56</v>
      </c>
      <c r="C13" s="47">
        <v>128</v>
      </c>
      <c r="D13">
        <v>1</v>
      </c>
      <c r="E13">
        <v>2.8521796817065567E-4</v>
      </c>
      <c r="F13">
        <v>2.8026636959805896E-4</v>
      </c>
      <c r="G13">
        <v>2.4698897283950052E-3</v>
      </c>
      <c r="H13" s="54">
        <v>17531</v>
      </c>
      <c r="I13" s="54">
        <v>17841</v>
      </c>
      <c r="J13" s="54">
        <v>2025</v>
      </c>
      <c r="K13" s="47" t="s">
        <v>64</v>
      </c>
      <c r="L13" s="47">
        <v>384</v>
      </c>
    </row>
    <row r="14" spans="1:12" x14ac:dyDescent="0.45">
      <c r="A14">
        <f t="shared" ca="1" si="0"/>
        <v>1</v>
      </c>
      <c r="B14" t="s">
        <v>56</v>
      </c>
      <c r="C14" s="47">
        <v>256</v>
      </c>
      <c r="D14">
        <v>1</v>
      </c>
      <c r="E14">
        <v>4.4585392777531113E-4</v>
      </c>
      <c r="F14">
        <v>4.4391376065339665E-4</v>
      </c>
      <c r="G14">
        <v>3.1271550343968655E-3</v>
      </c>
      <c r="H14" s="54">
        <v>11215</v>
      </c>
      <c r="I14" s="54">
        <v>11264</v>
      </c>
      <c r="J14" s="54">
        <v>1599</v>
      </c>
      <c r="K14" s="47" t="s">
        <v>65</v>
      </c>
      <c r="L14" s="47">
        <v>768</v>
      </c>
    </row>
    <row r="15" spans="1:12" x14ac:dyDescent="0.45">
      <c r="A15">
        <f t="shared" ca="1" si="0"/>
        <v>1</v>
      </c>
      <c r="B15" t="s">
        <v>56</v>
      </c>
      <c r="C15" s="47">
        <v>512</v>
      </c>
      <c r="D15">
        <v>1</v>
      </c>
      <c r="E15">
        <v>7.5756594455389363E-4</v>
      </c>
      <c r="F15">
        <v>7.8470524168252893E-4</v>
      </c>
      <c r="G15">
        <v>4.3505461739123744E-3</v>
      </c>
      <c r="H15" s="54">
        <v>6601</v>
      </c>
      <c r="I15" s="54">
        <v>6372</v>
      </c>
      <c r="J15" s="54">
        <v>1150</v>
      </c>
      <c r="K15" s="47" t="s">
        <v>66</v>
      </c>
      <c r="L15" s="47">
        <v>1536</v>
      </c>
    </row>
    <row r="16" spans="1:12" x14ac:dyDescent="0.45">
      <c r="A16">
        <f t="shared" ca="1" si="0"/>
        <v>1</v>
      </c>
      <c r="B16" t="s">
        <v>56</v>
      </c>
      <c r="C16" s="47">
        <v>1024</v>
      </c>
      <c r="D16">
        <v>1</v>
      </c>
      <c r="E16">
        <v>1.4202277193978592E-3</v>
      </c>
      <c r="F16">
        <v>1.450245011600919E-3</v>
      </c>
      <c r="G16">
        <v>6.9350496532593316E-3</v>
      </c>
      <c r="H16" s="54">
        <v>3521</v>
      </c>
      <c r="I16" s="54">
        <v>3448</v>
      </c>
      <c r="J16" s="54">
        <v>721</v>
      </c>
      <c r="K16" s="47" t="s">
        <v>67</v>
      </c>
      <c r="L16" s="47">
        <v>3072</v>
      </c>
    </row>
    <row r="17" spans="1:12" x14ac:dyDescent="0.45">
      <c r="A17">
        <f t="shared" ca="1" si="0"/>
        <v>1</v>
      </c>
      <c r="B17" t="s">
        <v>56</v>
      </c>
      <c r="C17" s="47">
        <v>2048</v>
      </c>
      <c r="D17">
        <v>1</v>
      </c>
      <c r="E17">
        <v>2.8257352542366038E-3</v>
      </c>
      <c r="F17">
        <v>3.0353459951451777E-3</v>
      </c>
      <c r="G17">
        <v>1.2143817475726324E-2</v>
      </c>
      <c r="H17" s="54">
        <v>1770</v>
      </c>
      <c r="I17" s="54">
        <v>1648</v>
      </c>
      <c r="J17" s="54">
        <v>412</v>
      </c>
      <c r="K17" s="47" t="s">
        <v>68</v>
      </c>
      <c r="L17" s="47">
        <v>6144</v>
      </c>
    </row>
    <row r="18" spans="1:12" x14ac:dyDescent="0.45">
      <c r="A18">
        <f t="shared" ca="1" si="0"/>
        <v>1</v>
      </c>
      <c r="B18" t="s">
        <v>56</v>
      </c>
      <c r="C18" s="47">
        <v>4096</v>
      </c>
      <c r="D18">
        <v>1</v>
      </c>
      <c r="E18">
        <v>5.492938748627392E-3</v>
      </c>
      <c r="F18">
        <v>5.5376767441871928E-3</v>
      </c>
      <c r="G18">
        <v>2.5072455500003345E-2</v>
      </c>
      <c r="H18" s="54">
        <v>911</v>
      </c>
      <c r="I18" s="54">
        <v>903</v>
      </c>
      <c r="J18" s="54">
        <v>200</v>
      </c>
      <c r="K18" s="47" t="s">
        <v>69</v>
      </c>
      <c r="L18" s="47">
        <v>12288</v>
      </c>
    </row>
    <row r="19" spans="1:12" x14ac:dyDescent="0.45">
      <c r="A19">
        <f t="shared" ca="1" si="0"/>
        <v>1</v>
      </c>
      <c r="B19" t="s">
        <v>56</v>
      </c>
      <c r="C19" s="47">
        <v>8192</v>
      </c>
      <c r="D19">
        <v>1</v>
      </c>
      <c r="E19">
        <v>1.1117214666668991E-2</v>
      </c>
      <c r="F19">
        <v>1.0839643506494814E-2</v>
      </c>
      <c r="G19">
        <v>4.6924121495330581E-2</v>
      </c>
      <c r="H19" s="54">
        <v>450</v>
      </c>
      <c r="I19" s="54">
        <v>462</v>
      </c>
      <c r="J19" s="54">
        <v>107</v>
      </c>
      <c r="K19" s="47" t="s">
        <v>70</v>
      </c>
      <c r="L19" s="47">
        <v>24576</v>
      </c>
    </row>
    <row r="20" spans="1:12" x14ac:dyDescent="0.45">
      <c r="A20">
        <f t="shared" ca="1" si="0"/>
        <v>1</v>
      </c>
      <c r="B20" t="s">
        <v>56</v>
      </c>
      <c r="C20" s="47">
        <v>16384</v>
      </c>
      <c r="D20">
        <v>1</v>
      </c>
      <c r="E20">
        <v>2.2051429074895268E-2</v>
      </c>
      <c r="F20">
        <v>2.1504316309013165E-2</v>
      </c>
      <c r="G20">
        <v>8.8240175438585811E-2</v>
      </c>
      <c r="H20" s="54">
        <v>227</v>
      </c>
      <c r="I20" s="54">
        <v>233</v>
      </c>
      <c r="J20" s="54">
        <v>57</v>
      </c>
      <c r="K20" s="47" t="s">
        <v>71</v>
      </c>
      <c r="L20" s="47">
        <v>49152</v>
      </c>
    </row>
    <row r="21" spans="1:12" x14ac:dyDescent="0.45">
      <c r="A21">
        <f t="shared" ca="1" si="0"/>
        <v>1</v>
      </c>
      <c r="B21" t="s">
        <v>56</v>
      </c>
      <c r="C21" s="47">
        <v>32768</v>
      </c>
      <c r="D21">
        <v>1</v>
      </c>
      <c r="E21">
        <v>4.4927449107149187E-2</v>
      </c>
      <c r="F21">
        <v>4.3666169565229847E-2</v>
      </c>
      <c r="G21">
        <v>0.16928570000000037</v>
      </c>
      <c r="H21" s="54">
        <v>112</v>
      </c>
      <c r="I21" s="54">
        <v>115</v>
      </c>
      <c r="J21" s="54">
        <v>30</v>
      </c>
      <c r="K21" s="47" t="s">
        <v>72</v>
      </c>
      <c r="L21" s="47">
        <v>98304</v>
      </c>
    </row>
    <row r="22" spans="1:12" x14ac:dyDescent="0.45">
      <c r="A22">
        <f t="shared" ca="1" si="0"/>
        <v>1</v>
      </c>
      <c r="B22" t="s">
        <v>56</v>
      </c>
      <c r="C22" s="47">
        <v>65536</v>
      </c>
      <c r="D22">
        <v>1</v>
      </c>
      <c r="E22">
        <v>0.10542577291668447</v>
      </c>
      <c r="F22">
        <v>0.10038517058823274</v>
      </c>
      <c r="G22">
        <v>0.33775663999998262</v>
      </c>
      <c r="H22" s="54">
        <v>48</v>
      </c>
      <c r="I22" s="54">
        <v>51</v>
      </c>
      <c r="J22" s="54">
        <v>15</v>
      </c>
      <c r="K22" s="47" t="s">
        <v>73</v>
      </c>
      <c r="L22" s="47">
        <v>196608</v>
      </c>
    </row>
    <row r="23" spans="1:12" x14ac:dyDescent="0.45">
      <c r="A23">
        <f t="shared" ca="1" si="0"/>
        <v>1</v>
      </c>
      <c r="B23" t="s">
        <v>56</v>
      </c>
      <c r="C23" s="47">
        <v>131072</v>
      </c>
      <c r="D23">
        <v>1</v>
      </c>
      <c r="E23">
        <v>0.17805527931033857</v>
      </c>
      <c r="F23">
        <v>0.17777406551719871</v>
      </c>
      <c r="G23">
        <v>0.65007098750015757</v>
      </c>
      <c r="H23" s="54">
        <v>29</v>
      </c>
      <c r="I23" s="54">
        <v>29</v>
      </c>
      <c r="J23" s="54">
        <v>8</v>
      </c>
      <c r="K23" s="47" t="s">
        <v>74</v>
      </c>
      <c r="L23" s="47">
        <v>393216</v>
      </c>
    </row>
    <row r="24" spans="1:12" x14ac:dyDescent="0.45">
      <c r="A24">
        <f t="shared" ca="1" si="0"/>
        <v>1</v>
      </c>
      <c r="B24" t="s">
        <v>56</v>
      </c>
      <c r="C24" s="47">
        <v>262144</v>
      </c>
      <c r="D24">
        <v>1</v>
      </c>
      <c r="E24">
        <v>0.36705025000005015</v>
      </c>
      <c r="F24">
        <v>0.34604212666660411</v>
      </c>
      <c r="G24">
        <v>1.3880589749996943</v>
      </c>
      <c r="H24" s="54">
        <v>14</v>
      </c>
      <c r="I24" s="54">
        <v>15</v>
      </c>
      <c r="J24" s="54">
        <v>4</v>
      </c>
      <c r="K24" s="47" t="s">
        <v>75</v>
      </c>
      <c r="L24" s="47">
        <v>786432</v>
      </c>
    </row>
    <row r="25" spans="1:12" x14ac:dyDescent="0.45">
      <c r="A25">
        <f t="shared" ca="1" si="0"/>
        <v>1</v>
      </c>
      <c r="B25" t="s">
        <v>56</v>
      </c>
      <c r="C25" s="47">
        <v>524288</v>
      </c>
      <c r="D25">
        <v>1</v>
      </c>
      <c r="E25">
        <v>0.75120355714300657</v>
      </c>
      <c r="F25">
        <v>0.74830622857137186</v>
      </c>
      <c r="G25">
        <v>2.5181865499998821</v>
      </c>
      <c r="H25" s="54">
        <v>7</v>
      </c>
      <c r="I25" s="54">
        <v>7</v>
      </c>
      <c r="J25" s="54">
        <v>2</v>
      </c>
      <c r="K25" s="47" t="s">
        <v>76</v>
      </c>
      <c r="L25" s="47">
        <v>1572864</v>
      </c>
    </row>
    <row r="26" spans="1:12" x14ac:dyDescent="0.45">
      <c r="A26">
        <f t="shared" ca="1" si="0"/>
        <v>1</v>
      </c>
      <c r="B26" t="s">
        <v>56</v>
      </c>
      <c r="C26" s="47">
        <v>1048576</v>
      </c>
      <c r="D26">
        <v>1</v>
      </c>
      <c r="E26">
        <v>1.4548350499999287</v>
      </c>
      <c r="F26">
        <v>1.4545715249996647</v>
      </c>
      <c r="G26">
        <v>4.9294864499997857</v>
      </c>
      <c r="H26" s="54">
        <v>4</v>
      </c>
      <c r="I26" s="54">
        <v>4</v>
      </c>
      <c r="J26" s="54">
        <v>2</v>
      </c>
      <c r="K26" s="47" t="s">
        <v>77</v>
      </c>
      <c r="L26" s="47">
        <v>3145728</v>
      </c>
    </row>
    <row r="27" spans="1:12" x14ac:dyDescent="0.45">
      <c r="A27">
        <f t="shared" ca="1" si="0"/>
        <v>1</v>
      </c>
      <c r="B27" t="s">
        <v>56</v>
      </c>
      <c r="C27" s="47">
        <v>2097152</v>
      </c>
      <c r="D27">
        <v>1</v>
      </c>
      <c r="E27">
        <v>2.977490599999328</v>
      </c>
      <c r="F27">
        <v>3.0704576999996789</v>
      </c>
      <c r="G27">
        <v>10.497115999998641</v>
      </c>
      <c r="H27" s="54">
        <v>2</v>
      </c>
      <c r="I27" s="54">
        <v>2</v>
      </c>
      <c r="J27" s="54">
        <v>1</v>
      </c>
      <c r="K27" s="47" t="s">
        <v>78</v>
      </c>
      <c r="L27" s="47">
        <v>6291456</v>
      </c>
    </row>
    <row r="28" spans="1:12" x14ac:dyDescent="0.45">
      <c r="H28" s="54"/>
      <c r="I28" s="54"/>
      <c r="J28" s="54"/>
    </row>
    <row r="30" spans="1:12" x14ac:dyDescent="0.45">
      <c r="H30" s="54"/>
      <c r="I30" s="54"/>
      <c r="J30" s="54"/>
    </row>
    <row r="31" spans="1:12" x14ac:dyDescent="0.45">
      <c r="H31" s="54"/>
      <c r="I31" s="54"/>
      <c r="J31" s="54"/>
      <c r="K31" s="10" t="s">
        <v>381</v>
      </c>
    </row>
    <row r="32" spans="1:12" ht="28.5" x14ac:dyDescent="0.45">
      <c r="A32" s="56" t="s">
        <v>387</v>
      </c>
      <c r="B32" s="56" t="s">
        <v>388</v>
      </c>
      <c r="C32" s="56" t="s">
        <v>389</v>
      </c>
      <c r="D32" s="56" t="s">
        <v>390</v>
      </c>
      <c r="E32" s="56" t="s">
        <v>398</v>
      </c>
      <c r="F32" s="56" t="s">
        <v>376</v>
      </c>
      <c r="G32" s="56" t="s">
        <v>377</v>
      </c>
      <c r="H32" s="57" t="s">
        <v>407</v>
      </c>
      <c r="I32" s="57" t="s">
        <v>408</v>
      </c>
      <c r="J32" s="57" t="s">
        <v>409</v>
      </c>
      <c r="K32" s="56" t="s">
        <v>378</v>
      </c>
      <c r="L32" s="56" t="s">
        <v>379</v>
      </c>
    </row>
    <row r="33" spans="1:12" x14ac:dyDescent="0.45">
      <c r="A33">
        <f ca="1">LEN(B33)</f>
        <v>32</v>
      </c>
      <c r="B33" t="str">
        <f ca="1">REPT("x",32)</f>
        <v>xxxxxxxxxxxxxxxxxxxxxxxxxxxxxxxx</v>
      </c>
      <c r="C33" s="47">
        <v>1</v>
      </c>
      <c r="D33">
        <v>1</v>
      </c>
      <c r="E33">
        <v>1.34479874129294E-4</v>
      </c>
      <c r="F33">
        <v>1.3239526293493193E-4</v>
      </c>
      <c r="G33">
        <v>2.0403903304768351E-3</v>
      </c>
      <c r="H33" s="54">
        <v>37181</v>
      </c>
      <c r="I33" s="54">
        <v>37766</v>
      </c>
      <c r="J33" s="54">
        <v>2451</v>
      </c>
      <c r="K33" s="47" t="s">
        <v>214</v>
      </c>
      <c r="L33" s="47">
        <v>34</v>
      </c>
    </row>
    <row r="34" spans="1:12" x14ac:dyDescent="0.45">
      <c r="A34">
        <f t="shared" ref="A34:A53" ca="1" si="1">LEN(B34)</f>
        <v>32</v>
      </c>
      <c r="B34" t="str">
        <f t="shared" ref="B34:B53" ca="1" si="2">REPT("x",32)</f>
        <v>xxxxxxxxxxxxxxxxxxxxxxxxxxxxxxxx</v>
      </c>
      <c r="C34" s="47">
        <v>2</v>
      </c>
      <c r="D34">
        <v>1</v>
      </c>
      <c r="E34">
        <v>1.4183739645978871E-4</v>
      </c>
      <c r="F34">
        <v>1.3560162991890296E-4</v>
      </c>
      <c r="G34">
        <v>2.0671608515911172E-3</v>
      </c>
      <c r="H34" s="54">
        <v>35252</v>
      </c>
      <c r="I34" s="54">
        <v>36873</v>
      </c>
      <c r="J34" s="54">
        <v>2419</v>
      </c>
      <c r="K34" s="47" t="s">
        <v>143</v>
      </c>
      <c r="L34" s="47">
        <v>68</v>
      </c>
    </row>
    <row r="35" spans="1:12" x14ac:dyDescent="0.45">
      <c r="A35">
        <f t="shared" ca="1" si="1"/>
        <v>32</v>
      </c>
      <c r="B35" t="str">
        <f t="shared" ca="1" si="2"/>
        <v>xxxxxxxxxxxxxxxxxxxxxxxxxxxxxxxx</v>
      </c>
      <c r="C35" s="47">
        <v>4</v>
      </c>
      <c r="D35">
        <v>1</v>
      </c>
      <c r="E35">
        <v>1.494449249805769E-4</v>
      </c>
      <c r="F35">
        <v>1.4331502479289084E-4</v>
      </c>
      <c r="G35">
        <v>2.0889627401837886E-3</v>
      </c>
      <c r="H35" s="54">
        <v>33458</v>
      </c>
      <c r="I35" s="54">
        <v>34889</v>
      </c>
      <c r="J35" s="54">
        <v>2394</v>
      </c>
      <c r="K35" s="47" t="s">
        <v>144</v>
      </c>
      <c r="L35" s="47">
        <v>136</v>
      </c>
    </row>
    <row r="36" spans="1:12" x14ac:dyDescent="0.45">
      <c r="A36">
        <f t="shared" ca="1" si="1"/>
        <v>32</v>
      </c>
      <c r="B36" t="str">
        <f t="shared" ca="1" si="2"/>
        <v>xxxxxxxxxxxxxxxxxxxxxxxxxxxxxxxx</v>
      </c>
      <c r="C36" s="47">
        <v>8</v>
      </c>
      <c r="D36">
        <v>1</v>
      </c>
      <c r="E36">
        <v>1.6171222509704975E-4</v>
      </c>
      <c r="F36">
        <v>1.619906761265919E-4</v>
      </c>
      <c r="G36">
        <v>2.1437495499359743E-3</v>
      </c>
      <c r="H36" s="54">
        <v>30920</v>
      </c>
      <c r="I36" s="54">
        <v>30867</v>
      </c>
      <c r="J36" s="54">
        <v>2333</v>
      </c>
      <c r="K36" s="47" t="s">
        <v>145</v>
      </c>
      <c r="L36" s="47">
        <v>272</v>
      </c>
    </row>
    <row r="37" spans="1:12" x14ac:dyDescent="0.45">
      <c r="A37">
        <f t="shared" ca="1" si="1"/>
        <v>32</v>
      </c>
      <c r="B37" t="str">
        <f t="shared" ca="1" si="2"/>
        <v>xxxxxxxxxxxxxxxxxxxxxxxxxxxxxxxx</v>
      </c>
      <c r="C37" s="47">
        <v>16</v>
      </c>
      <c r="D37">
        <v>1</v>
      </c>
      <c r="E37">
        <v>2.0189477913267227E-4</v>
      </c>
      <c r="F37">
        <v>1.8643100298283477E-4</v>
      </c>
      <c r="G37">
        <v>2.1701710069442649E-3</v>
      </c>
      <c r="H37" s="54">
        <v>24766</v>
      </c>
      <c r="I37" s="54">
        <v>26820</v>
      </c>
      <c r="J37" s="54">
        <v>2304</v>
      </c>
      <c r="K37" s="47" t="s">
        <v>146</v>
      </c>
      <c r="L37" s="47">
        <v>544</v>
      </c>
    </row>
    <row r="38" spans="1:12" x14ac:dyDescent="0.45">
      <c r="A38">
        <f t="shared" ca="1" si="1"/>
        <v>32</v>
      </c>
      <c r="B38" t="str">
        <f t="shared" ca="1" si="2"/>
        <v>xxxxxxxxxxxxxxxxxxxxxxxxxxxxxxxx</v>
      </c>
      <c r="C38" s="47">
        <v>32</v>
      </c>
      <c r="D38">
        <v>1</v>
      </c>
      <c r="E38">
        <v>2.413951385536163E-4</v>
      </c>
      <c r="F38">
        <v>2.3752324355138786E-4</v>
      </c>
      <c r="G38">
        <v>2.2608000904157507E-3</v>
      </c>
      <c r="H38" s="54">
        <v>20714</v>
      </c>
      <c r="I38" s="54">
        <v>21051</v>
      </c>
      <c r="J38" s="54">
        <v>2212</v>
      </c>
      <c r="K38" s="47" t="s">
        <v>147</v>
      </c>
      <c r="L38" s="47">
        <v>1088</v>
      </c>
    </row>
    <row r="39" spans="1:12" x14ac:dyDescent="0.45">
      <c r="A39">
        <f t="shared" ca="1" si="1"/>
        <v>32</v>
      </c>
      <c r="B39" t="str">
        <f t="shared" ca="1" si="2"/>
        <v>xxxxxxxxxxxxxxxxxxxxxxxxxxxxxxxx</v>
      </c>
      <c r="C39" s="47">
        <v>64</v>
      </c>
      <c r="D39">
        <v>1</v>
      </c>
      <c r="E39">
        <v>3.5599028905026244E-4</v>
      </c>
      <c r="F39">
        <v>3.2940519138286811E-4</v>
      </c>
      <c r="G39">
        <v>2.4749920336468671E-3</v>
      </c>
      <c r="H39" s="54">
        <v>14046</v>
      </c>
      <c r="I39" s="54">
        <v>15179</v>
      </c>
      <c r="J39" s="54">
        <v>2021</v>
      </c>
      <c r="K39" s="47" t="s">
        <v>148</v>
      </c>
      <c r="L39" s="47">
        <v>2176</v>
      </c>
    </row>
    <row r="40" spans="1:12" x14ac:dyDescent="0.45">
      <c r="A40">
        <f t="shared" ca="1" si="1"/>
        <v>32</v>
      </c>
      <c r="B40" t="str">
        <f t="shared" ca="1" si="2"/>
        <v>xxxxxxxxxxxxxxxxxxxxxxxxxxxxxxxx</v>
      </c>
      <c r="C40" s="47">
        <v>128</v>
      </c>
      <c r="D40">
        <v>1</v>
      </c>
      <c r="E40">
        <v>5.4607597466429841E-4</v>
      </c>
      <c r="F40">
        <v>5.2124734702384029E-4</v>
      </c>
      <c r="G40">
        <v>2.8558099942885542E-3</v>
      </c>
      <c r="H40" s="54">
        <v>9157</v>
      </c>
      <c r="I40" s="54">
        <v>9593</v>
      </c>
      <c r="J40" s="54">
        <v>1751</v>
      </c>
      <c r="K40" s="47" t="s">
        <v>149</v>
      </c>
      <c r="L40" s="47">
        <v>4352</v>
      </c>
    </row>
    <row r="41" spans="1:12" x14ac:dyDescent="0.45">
      <c r="A41">
        <f t="shared" ca="1" si="1"/>
        <v>32</v>
      </c>
      <c r="B41" t="str">
        <f t="shared" ca="1" si="2"/>
        <v>xxxxxxxxxxxxxxxxxxxxxxxxxxxxxxxx</v>
      </c>
      <c r="C41" s="47">
        <v>256</v>
      </c>
      <c r="D41">
        <v>1</v>
      </c>
      <c r="E41">
        <v>1.0993258298530621E-3</v>
      </c>
      <c r="F41">
        <v>8.9574706198481649E-4</v>
      </c>
      <c r="G41">
        <v>3.6949522895118789E-3</v>
      </c>
      <c r="H41" s="54">
        <v>4549</v>
      </c>
      <c r="I41" s="54">
        <v>5582</v>
      </c>
      <c r="J41" s="54">
        <v>1354</v>
      </c>
      <c r="K41" s="47" t="s">
        <v>150</v>
      </c>
      <c r="L41" s="47">
        <v>8704</v>
      </c>
    </row>
    <row r="42" spans="1:12" x14ac:dyDescent="0.45">
      <c r="A42">
        <f t="shared" ca="1" si="1"/>
        <v>32</v>
      </c>
      <c r="B42" t="str">
        <f t="shared" ca="1" si="2"/>
        <v>xxxxxxxxxxxxxxxxxxxxxxxxxxxxxxxx</v>
      </c>
      <c r="C42" s="47">
        <v>512</v>
      </c>
      <c r="D42">
        <v>1</v>
      </c>
      <c r="E42">
        <v>1.7651133074481529E-3</v>
      </c>
      <c r="F42">
        <v>1.6841131020543982E-3</v>
      </c>
      <c r="G42">
        <v>5.2559193277317692E-3</v>
      </c>
      <c r="H42" s="54">
        <v>2833</v>
      </c>
      <c r="I42" s="54">
        <v>2969</v>
      </c>
      <c r="J42" s="54">
        <v>952</v>
      </c>
      <c r="K42" s="47" t="s">
        <v>151</v>
      </c>
      <c r="L42" s="47">
        <v>17408</v>
      </c>
    </row>
    <row r="43" spans="1:12" x14ac:dyDescent="0.45">
      <c r="A43">
        <f t="shared" ca="1" si="1"/>
        <v>32</v>
      </c>
      <c r="B43" t="str">
        <f t="shared" ca="1" si="2"/>
        <v>xxxxxxxxxxxxxxxxxxxxxxxxxxxxxxxx</v>
      </c>
      <c r="C43" s="47">
        <v>1024</v>
      </c>
      <c r="D43">
        <v>1</v>
      </c>
      <c r="E43">
        <v>3.6095994227991839E-3</v>
      </c>
      <c r="F43">
        <v>3.3403356045416653E-3</v>
      </c>
      <c r="G43">
        <v>8.641772711571901E-3</v>
      </c>
      <c r="H43" s="54">
        <v>1386</v>
      </c>
      <c r="I43" s="54">
        <v>1497</v>
      </c>
      <c r="J43" s="54">
        <v>579</v>
      </c>
      <c r="K43" s="47" t="s">
        <v>152</v>
      </c>
      <c r="L43" s="47">
        <v>34816</v>
      </c>
    </row>
    <row r="44" spans="1:12" x14ac:dyDescent="0.45">
      <c r="A44">
        <f t="shared" ca="1" si="1"/>
        <v>32</v>
      </c>
      <c r="B44" t="str">
        <f t="shared" ca="1" si="2"/>
        <v>xxxxxxxxxxxxxxxxxxxxxxxxxxxxxxxx</v>
      </c>
      <c r="C44" s="47">
        <v>2048</v>
      </c>
      <c r="D44">
        <v>1</v>
      </c>
      <c r="E44">
        <v>6.6196644179904573E-3</v>
      </c>
      <c r="F44">
        <v>6.4426679536677776E-3</v>
      </c>
      <c r="G44">
        <v>1.5512091950461162E-2</v>
      </c>
      <c r="H44" s="54">
        <v>756</v>
      </c>
      <c r="I44" s="54">
        <v>777</v>
      </c>
      <c r="J44" s="54">
        <v>323</v>
      </c>
      <c r="K44" s="47" t="s">
        <v>153</v>
      </c>
      <c r="L44" s="47">
        <v>69632</v>
      </c>
    </row>
    <row r="45" spans="1:12" x14ac:dyDescent="0.45">
      <c r="A45">
        <f t="shared" ca="1" si="1"/>
        <v>32</v>
      </c>
      <c r="B45" t="str">
        <f t="shared" ca="1" si="2"/>
        <v>xxxxxxxxxxxxxxxxxxxxxxxxxxxxxxxx</v>
      </c>
      <c r="C45" s="47">
        <v>4096</v>
      </c>
      <c r="D45">
        <v>1</v>
      </c>
      <c r="E45">
        <v>1.2783892346941666E-2</v>
      </c>
      <c r="F45">
        <v>1.2523153749998527E-2</v>
      </c>
      <c r="G45">
        <v>3.0566157926819514E-2</v>
      </c>
      <c r="H45" s="54">
        <v>392</v>
      </c>
      <c r="I45" s="54">
        <v>400</v>
      </c>
      <c r="J45" s="54">
        <v>164</v>
      </c>
      <c r="K45" s="47" t="s">
        <v>154</v>
      </c>
      <c r="L45" s="47">
        <v>139264</v>
      </c>
    </row>
    <row r="46" spans="1:12" x14ac:dyDescent="0.45">
      <c r="A46">
        <f t="shared" ca="1" si="1"/>
        <v>32</v>
      </c>
      <c r="B46" t="str">
        <f t="shared" ca="1" si="2"/>
        <v>xxxxxxxxxxxxxxxxxxxxxxxxxxxxxxxx</v>
      </c>
      <c r="C46" s="47">
        <v>8192</v>
      </c>
      <c r="D46">
        <v>1</v>
      </c>
      <c r="E46">
        <v>2.7055212432438764E-2</v>
      </c>
      <c r="F46">
        <v>2.6463665079361855E-2</v>
      </c>
      <c r="G46">
        <v>5.0198493000007144E-2</v>
      </c>
      <c r="H46" s="54">
        <v>185</v>
      </c>
      <c r="I46" s="54">
        <v>189</v>
      </c>
      <c r="J46" s="54">
        <v>100</v>
      </c>
      <c r="K46" s="47" t="s">
        <v>155</v>
      </c>
      <c r="L46" s="47">
        <v>278528</v>
      </c>
    </row>
    <row r="47" spans="1:12" x14ac:dyDescent="0.45">
      <c r="A47">
        <f t="shared" ca="1" si="1"/>
        <v>32</v>
      </c>
      <c r="B47" t="str">
        <f t="shared" ca="1" si="2"/>
        <v>xxxxxxxxxxxxxxxxxxxxxxxxxxxxxxxx</v>
      </c>
      <c r="C47" s="47">
        <v>16384</v>
      </c>
      <c r="D47">
        <v>1</v>
      </c>
      <c r="E47">
        <v>5.6172302222229416E-2</v>
      </c>
      <c r="F47">
        <v>5.0571818181821861E-2</v>
      </c>
      <c r="G47">
        <v>9.6531917307682027E-2</v>
      </c>
      <c r="H47" s="54">
        <v>90</v>
      </c>
      <c r="I47" s="54">
        <v>99</v>
      </c>
      <c r="J47" s="54">
        <v>52</v>
      </c>
      <c r="K47" s="47" t="s">
        <v>156</v>
      </c>
      <c r="L47" s="47">
        <v>557056</v>
      </c>
    </row>
    <row r="48" spans="1:12" x14ac:dyDescent="0.45">
      <c r="A48">
        <f t="shared" ca="1" si="1"/>
        <v>32</v>
      </c>
      <c r="B48" t="str">
        <f t="shared" ca="1" si="2"/>
        <v>xxxxxxxxxxxxxxxxxxxxxxxxxxxxxxxx</v>
      </c>
      <c r="C48" s="47">
        <v>32768</v>
      </c>
      <c r="D48">
        <v>1</v>
      </c>
      <c r="E48">
        <v>0.1080429361702161</v>
      </c>
      <c r="F48">
        <v>0.10883963404256142</v>
      </c>
      <c r="G48">
        <v>0.18798502962959496</v>
      </c>
      <c r="H48" s="54">
        <v>47</v>
      </c>
      <c r="I48" s="54">
        <v>47</v>
      </c>
      <c r="J48" s="54">
        <v>27</v>
      </c>
      <c r="K48" s="47" t="s">
        <v>157</v>
      </c>
      <c r="L48" s="47">
        <v>1114112</v>
      </c>
    </row>
    <row r="49" spans="1:12" x14ac:dyDescent="0.45">
      <c r="A49">
        <f t="shared" ca="1" si="1"/>
        <v>32</v>
      </c>
      <c r="B49" t="str">
        <f t="shared" ca="1" si="2"/>
        <v>xxxxxxxxxxxxxxxxxxxxxxxxxxxxxxxx</v>
      </c>
      <c r="C49" s="47">
        <v>65536</v>
      </c>
      <c r="D49">
        <v>1</v>
      </c>
      <c r="E49">
        <v>0.21789429999997714</v>
      </c>
      <c r="F49">
        <v>0.20836787500002174</v>
      </c>
      <c r="G49">
        <v>0.3881295384615861</v>
      </c>
      <c r="H49" s="54">
        <v>23</v>
      </c>
      <c r="I49" s="54">
        <v>24</v>
      </c>
      <c r="J49" s="54">
        <v>13</v>
      </c>
      <c r="K49" s="47" t="s">
        <v>158</v>
      </c>
      <c r="L49" s="47">
        <v>2228224</v>
      </c>
    </row>
    <row r="50" spans="1:12" x14ac:dyDescent="0.45">
      <c r="A50">
        <f t="shared" ca="1" si="1"/>
        <v>32</v>
      </c>
      <c r="B50" t="str">
        <f t="shared" ca="1" si="2"/>
        <v>xxxxxxxxxxxxxxxxxxxxxxxxxxxxxxxx</v>
      </c>
      <c r="C50" s="47">
        <v>131072</v>
      </c>
      <c r="D50">
        <v>1</v>
      </c>
      <c r="E50">
        <v>0.42822090833336307</v>
      </c>
      <c r="F50">
        <v>0.41175323076920622</v>
      </c>
      <c r="G50">
        <v>0.75083692857151618</v>
      </c>
      <c r="H50" s="54">
        <v>12</v>
      </c>
      <c r="I50" s="54">
        <v>13</v>
      </c>
      <c r="J50" s="54">
        <v>7</v>
      </c>
      <c r="K50" s="47" t="s">
        <v>159</v>
      </c>
      <c r="L50" s="47">
        <v>4456448</v>
      </c>
    </row>
    <row r="51" spans="1:12" x14ac:dyDescent="0.45">
      <c r="A51">
        <f t="shared" ca="1" si="1"/>
        <v>32</v>
      </c>
      <c r="B51" t="str">
        <f t="shared" ca="1" si="2"/>
        <v>xxxxxxxxxxxxxxxxxxxxxxxxxxxxxxxx</v>
      </c>
      <c r="C51" s="47">
        <v>262144</v>
      </c>
      <c r="D51">
        <v>1</v>
      </c>
      <c r="E51">
        <v>0.86779139999998733</v>
      </c>
      <c r="F51">
        <v>0.8477728499998799</v>
      </c>
      <c r="G51">
        <v>1.5137419750003573</v>
      </c>
      <c r="H51" s="54">
        <v>6</v>
      </c>
      <c r="I51" s="54">
        <v>6</v>
      </c>
      <c r="J51" s="54">
        <v>4</v>
      </c>
      <c r="K51" s="47" t="s">
        <v>160</v>
      </c>
      <c r="L51" s="47">
        <v>8912896</v>
      </c>
    </row>
    <row r="52" spans="1:12" x14ac:dyDescent="0.45">
      <c r="A52">
        <f t="shared" ca="1" si="1"/>
        <v>32</v>
      </c>
      <c r="B52" t="str">
        <f t="shared" ca="1" si="2"/>
        <v>xxxxxxxxxxxxxxxxxxxxxxxxxxxxxxxx</v>
      </c>
      <c r="C52" s="47">
        <v>524288</v>
      </c>
      <c r="D52">
        <v>1</v>
      </c>
      <c r="E52">
        <v>1.7959464333331805</v>
      </c>
      <c r="F52">
        <v>1.8226661000001816</v>
      </c>
      <c r="G52">
        <v>2.8933888500005196</v>
      </c>
      <c r="H52" s="54">
        <v>3</v>
      </c>
      <c r="I52" s="54">
        <v>3</v>
      </c>
      <c r="J52" s="54">
        <v>2</v>
      </c>
      <c r="K52" s="47" t="s">
        <v>161</v>
      </c>
      <c r="L52" s="47">
        <v>17825792</v>
      </c>
    </row>
    <row r="53" spans="1:12" x14ac:dyDescent="0.45">
      <c r="A53">
        <f t="shared" ca="1" si="1"/>
        <v>32</v>
      </c>
      <c r="B53" t="str">
        <f t="shared" ca="1" si="2"/>
        <v>xxxxxxxxxxxxxxxxxxxxxxxxxxxxxxxx</v>
      </c>
      <c r="C53" s="47">
        <v>1048576</v>
      </c>
      <c r="D53">
        <v>1</v>
      </c>
      <c r="E53">
        <v>3.582008549999955</v>
      </c>
      <c r="F53">
        <v>3.4363585999999486</v>
      </c>
      <c r="G53">
        <v>5.8959924000009778</v>
      </c>
      <c r="H53" s="54">
        <v>2</v>
      </c>
      <c r="I53" s="54">
        <v>2</v>
      </c>
      <c r="J53" s="54">
        <v>1</v>
      </c>
      <c r="K53" s="47" t="s">
        <v>162</v>
      </c>
      <c r="L53" s="47">
        <v>35651584</v>
      </c>
    </row>
    <row r="54" spans="1:12" x14ac:dyDescent="0.45">
      <c r="C54" s="47"/>
      <c r="H54" s="54"/>
      <c r="I54" s="54"/>
      <c r="J54" s="54"/>
    </row>
    <row r="55" spans="1:12" x14ac:dyDescent="0.45">
      <c r="H55" s="54"/>
      <c r="I55" s="54"/>
      <c r="J55" s="54"/>
    </row>
    <row r="56" spans="1:12" x14ac:dyDescent="0.45">
      <c r="H56" s="54"/>
      <c r="I56" s="54"/>
      <c r="J56" s="54"/>
    </row>
    <row r="57" spans="1:12" x14ac:dyDescent="0.45">
      <c r="H57" s="54"/>
      <c r="I57" s="54"/>
      <c r="J57" s="54"/>
    </row>
    <row r="58" spans="1:12" x14ac:dyDescent="0.45">
      <c r="H58" s="54"/>
      <c r="I58" s="54"/>
      <c r="J58" s="54"/>
      <c r="K58" s="10" t="s">
        <v>382</v>
      </c>
    </row>
    <row r="59" spans="1:12" ht="28.5" x14ac:dyDescent="0.45">
      <c r="A59" s="56" t="s">
        <v>387</v>
      </c>
      <c r="B59" s="56" t="s">
        <v>388</v>
      </c>
      <c r="C59" s="56" t="s">
        <v>389</v>
      </c>
      <c r="D59" s="56" t="s">
        <v>390</v>
      </c>
      <c r="E59" s="56" t="s">
        <v>398</v>
      </c>
      <c r="F59" s="56" t="s">
        <v>376</v>
      </c>
      <c r="G59" s="56" t="s">
        <v>377</v>
      </c>
      <c r="H59" s="57" t="s">
        <v>407</v>
      </c>
      <c r="I59" s="57" t="s">
        <v>408</v>
      </c>
      <c r="J59" s="57" t="s">
        <v>409</v>
      </c>
      <c r="K59" s="56" t="s">
        <v>378</v>
      </c>
      <c r="L59" s="56" t="s">
        <v>379</v>
      </c>
    </row>
    <row r="60" spans="1:12" x14ac:dyDescent="0.45">
      <c r="A60">
        <f ca="1">LEN(B60)</f>
        <v>20</v>
      </c>
      <c r="B60" t="str">
        <f ca="1">"""xxxxxxxx"&amp;CHAR(13)&amp;CHAR(10)&amp;"yyyyyyyy"""</f>
        <v>"xxxxxxxx_x000D_
yyyyyyyy"</v>
      </c>
      <c r="C60" s="47">
        <v>1</v>
      </c>
      <c r="D60">
        <v>1</v>
      </c>
      <c r="E60">
        <v>1.3567349812775112E-4</v>
      </c>
      <c r="F60">
        <v>1.3170781813871631E-4</v>
      </c>
      <c r="G60">
        <v>2.1205321882948533E-3</v>
      </c>
      <c r="H60" s="54">
        <v>36854</v>
      </c>
      <c r="I60" s="54">
        <v>37963</v>
      </c>
      <c r="J60" s="54">
        <v>2358</v>
      </c>
      <c r="K60" s="47" t="s">
        <v>163</v>
      </c>
      <c r="L60" s="47">
        <v>22</v>
      </c>
    </row>
    <row r="61" spans="1:12" x14ac:dyDescent="0.45">
      <c r="A61">
        <f t="shared" ref="A61:A80" ca="1" si="3">LEN(B61)</f>
        <v>20</v>
      </c>
      <c r="B61" t="str">
        <f t="shared" ref="B61:B80" ca="1" si="4">"""xxxxxxxx"&amp;CHAR(13)&amp;CHAR(10)&amp;"yyyyyyyy"""</f>
        <v>"xxxxxxxx_x000D_
yyyyyyyy"</v>
      </c>
      <c r="C61" s="47">
        <v>2</v>
      </c>
      <c r="D61">
        <v>1</v>
      </c>
      <c r="E61">
        <v>1.3225410638238616E-4</v>
      </c>
      <c r="F61">
        <v>1.3077067608213924E-4</v>
      </c>
      <c r="G61">
        <v>2.1399235772357511E-3</v>
      </c>
      <c r="H61" s="54">
        <v>37807</v>
      </c>
      <c r="I61" s="54">
        <v>38235</v>
      </c>
      <c r="J61" s="54">
        <v>2337</v>
      </c>
      <c r="K61" s="47" t="s">
        <v>164</v>
      </c>
      <c r="L61" s="47">
        <v>44</v>
      </c>
    </row>
    <row r="62" spans="1:12" x14ac:dyDescent="0.45">
      <c r="A62">
        <f t="shared" ca="1" si="3"/>
        <v>20</v>
      </c>
      <c r="B62" t="str">
        <f t="shared" ca="1" si="4"/>
        <v>"xxxxxxxx_x000D_
yyyyyyyy"</v>
      </c>
      <c r="C62" s="47">
        <v>4</v>
      </c>
      <c r="D62">
        <v>1</v>
      </c>
      <c r="E62">
        <v>1.3949159157486467E-4</v>
      </c>
      <c r="F62">
        <v>1.3916558768685533E-4</v>
      </c>
      <c r="G62">
        <v>2.2125548230090002E-3</v>
      </c>
      <c r="H62" s="54">
        <v>35845</v>
      </c>
      <c r="I62" s="54">
        <v>35929</v>
      </c>
      <c r="J62" s="54">
        <v>2260</v>
      </c>
      <c r="K62" s="47" t="s">
        <v>165</v>
      </c>
      <c r="L62" s="47">
        <v>88</v>
      </c>
    </row>
    <row r="63" spans="1:12" x14ac:dyDescent="0.45">
      <c r="A63">
        <f t="shared" ca="1" si="3"/>
        <v>20</v>
      </c>
      <c r="B63" t="str">
        <f t="shared" ca="1" si="4"/>
        <v>"xxxxxxxx_x000D_
yyyyyyyy"</v>
      </c>
      <c r="C63" s="47">
        <v>8</v>
      </c>
      <c r="D63">
        <v>1</v>
      </c>
      <c r="E63">
        <v>1.7221753117033228E-4</v>
      </c>
      <c r="F63">
        <v>1.9038297985759768E-4</v>
      </c>
      <c r="G63">
        <v>2.4365383341457764E-3</v>
      </c>
      <c r="H63" s="54">
        <v>29034</v>
      </c>
      <c r="I63" s="54">
        <v>26263</v>
      </c>
      <c r="J63" s="54">
        <v>2053</v>
      </c>
      <c r="K63" s="47" t="s">
        <v>166</v>
      </c>
      <c r="L63" s="47">
        <v>176</v>
      </c>
    </row>
    <row r="64" spans="1:12" x14ac:dyDescent="0.45">
      <c r="A64">
        <f t="shared" ca="1" si="3"/>
        <v>20</v>
      </c>
      <c r="B64" t="str">
        <f t="shared" ca="1" si="4"/>
        <v>"xxxxxxxx_x000D_
yyyyyyyy"</v>
      </c>
      <c r="C64" s="47">
        <v>16</v>
      </c>
      <c r="D64">
        <v>1</v>
      </c>
      <c r="E64">
        <v>1.8136480467190202E-4</v>
      </c>
      <c r="F64">
        <v>1.8695294447563797E-4</v>
      </c>
      <c r="G64">
        <v>2.7876381270908641E-3</v>
      </c>
      <c r="H64" s="54">
        <v>27569</v>
      </c>
      <c r="I64" s="54">
        <v>26745</v>
      </c>
      <c r="J64" s="54">
        <v>1794</v>
      </c>
      <c r="K64" s="47" t="s">
        <v>167</v>
      </c>
      <c r="L64" s="47">
        <v>352</v>
      </c>
    </row>
    <row r="65" spans="1:12" x14ac:dyDescent="0.45">
      <c r="A65">
        <f t="shared" ca="1" si="3"/>
        <v>20</v>
      </c>
      <c r="B65" t="str">
        <f t="shared" ca="1" si="4"/>
        <v>"xxxxxxxx_x000D_
yyyyyyyy"</v>
      </c>
      <c r="C65" s="47">
        <v>32</v>
      </c>
      <c r="D65">
        <v>1</v>
      </c>
      <c r="E65">
        <v>2.1690347041472587E-4</v>
      </c>
      <c r="F65">
        <v>2.4684732424956412E-4</v>
      </c>
      <c r="G65">
        <v>3.4859562369333442E-3</v>
      </c>
      <c r="H65" s="54">
        <v>23052</v>
      </c>
      <c r="I65" s="54">
        <v>20256</v>
      </c>
      <c r="J65" s="54">
        <v>1435</v>
      </c>
      <c r="K65" s="47" t="s">
        <v>168</v>
      </c>
      <c r="L65" s="47">
        <v>704</v>
      </c>
    </row>
    <row r="66" spans="1:12" x14ac:dyDescent="0.45">
      <c r="A66">
        <f t="shared" ca="1" si="3"/>
        <v>20</v>
      </c>
      <c r="B66" t="str">
        <f t="shared" ca="1" si="4"/>
        <v>"xxxxxxxx_x000D_
yyyyyyyy"</v>
      </c>
      <c r="C66" s="47">
        <v>64</v>
      </c>
      <c r="D66">
        <v>1</v>
      </c>
      <c r="E66">
        <v>3.0753628759459334E-4</v>
      </c>
      <c r="F66">
        <v>3.5893744885506535E-4</v>
      </c>
      <c r="G66">
        <v>4.9010044074429392E-3</v>
      </c>
      <c r="H66" s="54">
        <v>16259</v>
      </c>
      <c r="I66" s="54">
        <v>13931</v>
      </c>
      <c r="J66" s="54">
        <v>1021</v>
      </c>
      <c r="K66" s="47" t="s">
        <v>169</v>
      </c>
      <c r="L66" s="47">
        <v>1408</v>
      </c>
    </row>
    <row r="67" spans="1:12" x14ac:dyDescent="0.45">
      <c r="A67">
        <f t="shared" ca="1" si="3"/>
        <v>20</v>
      </c>
      <c r="B67" t="str">
        <f t="shared" ca="1" si="4"/>
        <v>"xxxxxxxx_x000D_
yyyyyyyy"</v>
      </c>
      <c r="C67" s="47">
        <v>128</v>
      </c>
      <c r="D67">
        <v>1</v>
      </c>
      <c r="E67">
        <v>4.7192518168947672E-4</v>
      </c>
      <c r="F67">
        <v>6.4075115325486686E-4</v>
      </c>
      <c r="G67">
        <v>7.7835065318822318E-3</v>
      </c>
      <c r="H67" s="54">
        <v>10595</v>
      </c>
      <c r="I67" s="54">
        <v>7804</v>
      </c>
      <c r="J67" s="54">
        <v>643</v>
      </c>
      <c r="K67" s="47" t="s">
        <v>170</v>
      </c>
      <c r="L67" s="47">
        <v>2816</v>
      </c>
    </row>
    <row r="68" spans="1:12" x14ac:dyDescent="0.45">
      <c r="A68">
        <f t="shared" ca="1" si="3"/>
        <v>20</v>
      </c>
      <c r="B68" t="str">
        <f t="shared" ca="1" si="4"/>
        <v>"xxxxxxxx_x000D_
yyyyyyyy"</v>
      </c>
      <c r="C68" s="47">
        <v>256</v>
      </c>
      <c r="D68">
        <v>1</v>
      </c>
      <c r="E68">
        <v>8.5133971739877223E-4</v>
      </c>
      <c r="F68">
        <v>1.0669829528483189E-3</v>
      </c>
      <c r="G68">
        <v>1.3360757866665759E-2</v>
      </c>
      <c r="H68" s="54">
        <v>5874</v>
      </c>
      <c r="I68" s="54">
        <v>4687</v>
      </c>
      <c r="J68" s="54">
        <v>375</v>
      </c>
      <c r="K68" s="47" t="s">
        <v>171</v>
      </c>
      <c r="L68" s="47">
        <v>5632</v>
      </c>
    </row>
    <row r="69" spans="1:12" x14ac:dyDescent="0.45">
      <c r="A69">
        <f t="shared" ca="1" si="3"/>
        <v>20</v>
      </c>
      <c r="B69" t="str">
        <f t="shared" ca="1" si="4"/>
        <v>"xxxxxxxx_x000D_
yyyyyyyy"</v>
      </c>
      <c r="C69" s="47">
        <v>512</v>
      </c>
      <c r="D69">
        <v>1</v>
      </c>
      <c r="E69">
        <v>1.5580145794395484E-3</v>
      </c>
      <c r="F69">
        <v>2.0273659910822733E-3</v>
      </c>
      <c r="G69">
        <v>2.465726600984915E-2</v>
      </c>
      <c r="H69" s="54">
        <v>3210</v>
      </c>
      <c r="I69" s="54">
        <v>2467</v>
      </c>
      <c r="J69" s="54">
        <v>203</v>
      </c>
      <c r="K69" s="47" t="s">
        <v>172</v>
      </c>
      <c r="L69" s="47">
        <v>11264</v>
      </c>
    </row>
    <row r="70" spans="1:12" x14ac:dyDescent="0.45">
      <c r="A70">
        <f t="shared" ca="1" si="3"/>
        <v>20</v>
      </c>
      <c r="B70" t="str">
        <f t="shared" ca="1" si="4"/>
        <v>"xxxxxxxx_x000D_
yyyyyyyy"</v>
      </c>
      <c r="C70" s="47">
        <v>1024</v>
      </c>
      <c r="D70">
        <v>1</v>
      </c>
      <c r="E70">
        <v>2.9377303760288248E-3</v>
      </c>
      <c r="F70">
        <v>3.9924034317649817E-3</v>
      </c>
      <c r="G70">
        <v>4.7666095238084724E-2</v>
      </c>
      <c r="H70" s="54">
        <v>1702</v>
      </c>
      <c r="I70" s="54">
        <v>1253</v>
      </c>
      <c r="J70" s="54">
        <v>105</v>
      </c>
      <c r="K70" s="47" t="s">
        <v>173</v>
      </c>
      <c r="L70" s="47">
        <v>22528</v>
      </c>
    </row>
    <row r="71" spans="1:12" x14ac:dyDescent="0.45">
      <c r="A71">
        <f t="shared" ca="1" si="3"/>
        <v>20</v>
      </c>
      <c r="B71" t="str">
        <f t="shared" ca="1" si="4"/>
        <v>"xxxxxxxx_x000D_
yyyyyyyy"</v>
      </c>
      <c r="C71" s="47">
        <v>2048</v>
      </c>
      <c r="D71">
        <v>1</v>
      </c>
      <c r="E71">
        <v>6.0274114457833233E-3</v>
      </c>
      <c r="F71">
        <v>7.977871451356134E-3</v>
      </c>
      <c r="G71">
        <v>9.0674260714260005E-2</v>
      </c>
      <c r="H71" s="54">
        <v>830</v>
      </c>
      <c r="I71" s="54">
        <v>627</v>
      </c>
      <c r="J71" s="54">
        <v>56</v>
      </c>
      <c r="K71" s="47" t="s">
        <v>174</v>
      </c>
      <c r="L71" s="47">
        <v>45056</v>
      </c>
    </row>
    <row r="72" spans="1:12" x14ac:dyDescent="0.45">
      <c r="A72">
        <f t="shared" ca="1" si="3"/>
        <v>20</v>
      </c>
      <c r="B72" t="str">
        <f t="shared" ca="1" si="4"/>
        <v>"xxxxxxxx_x000D_
yyyyyyyy"</v>
      </c>
      <c r="C72" s="47">
        <v>4096</v>
      </c>
      <c r="D72">
        <v>1</v>
      </c>
      <c r="E72">
        <v>1.1897668408548568E-2</v>
      </c>
      <c r="F72">
        <v>1.7183045205481355E-2</v>
      </c>
      <c r="G72">
        <v>0.17943677857140625</v>
      </c>
      <c r="H72" s="54">
        <v>421</v>
      </c>
      <c r="I72" s="54">
        <v>292</v>
      </c>
      <c r="J72" s="54">
        <v>28</v>
      </c>
      <c r="K72" s="47" t="s">
        <v>175</v>
      </c>
      <c r="L72" s="47">
        <v>90112</v>
      </c>
    </row>
    <row r="73" spans="1:12" x14ac:dyDescent="0.45">
      <c r="A73">
        <f t="shared" ca="1" si="3"/>
        <v>20</v>
      </c>
      <c r="B73" t="str">
        <f t="shared" ca="1" si="4"/>
        <v>"xxxxxxxx_x000D_
yyyyyyyy"</v>
      </c>
      <c r="C73" s="47">
        <v>8192</v>
      </c>
      <c r="D73">
        <v>1</v>
      </c>
      <c r="E73">
        <v>2.4520391219514905E-2</v>
      </c>
      <c r="F73">
        <v>3.929657265625508E-2</v>
      </c>
      <c r="G73">
        <v>0.36980856428570924</v>
      </c>
      <c r="H73" s="54">
        <v>205</v>
      </c>
      <c r="I73" s="54">
        <v>128</v>
      </c>
      <c r="J73" s="54">
        <v>14</v>
      </c>
      <c r="K73" s="47" t="s">
        <v>176</v>
      </c>
      <c r="L73" s="47">
        <v>180224</v>
      </c>
    </row>
    <row r="74" spans="1:12" x14ac:dyDescent="0.45">
      <c r="A74">
        <f t="shared" ca="1" si="3"/>
        <v>20</v>
      </c>
      <c r="B74" t="str">
        <f t="shared" ca="1" si="4"/>
        <v>"xxxxxxxx_x000D_
yyyyyyyy"</v>
      </c>
      <c r="C74" s="47">
        <v>16384</v>
      </c>
      <c r="D74">
        <v>1</v>
      </c>
      <c r="E74">
        <v>4.9144540196079216E-2</v>
      </c>
      <c r="F74">
        <v>6.6956312000014201E-2</v>
      </c>
      <c r="G74">
        <v>0.68389747499986697</v>
      </c>
      <c r="H74" s="54">
        <v>102</v>
      </c>
      <c r="I74" s="54">
        <v>75</v>
      </c>
      <c r="J74" s="54">
        <v>8</v>
      </c>
      <c r="K74" s="47" t="s">
        <v>177</v>
      </c>
      <c r="L74" s="47">
        <v>360448</v>
      </c>
    </row>
    <row r="75" spans="1:12" x14ac:dyDescent="0.45">
      <c r="A75">
        <f t="shared" ca="1" si="3"/>
        <v>20</v>
      </c>
      <c r="B75" t="str">
        <f t="shared" ca="1" si="4"/>
        <v>"xxxxxxxx_x000D_
yyyyyyyy"</v>
      </c>
      <c r="C75" s="47">
        <v>32768</v>
      </c>
      <c r="D75">
        <v>1</v>
      </c>
      <c r="E75">
        <v>9.8250663461525473E-2</v>
      </c>
      <c r="F75">
        <v>0.12941028205130303</v>
      </c>
      <c r="G75">
        <v>1.3799760750002861</v>
      </c>
      <c r="H75" s="54">
        <v>52</v>
      </c>
      <c r="I75" s="54">
        <v>39</v>
      </c>
      <c r="J75" s="54">
        <v>4</v>
      </c>
      <c r="K75" s="47" t="s">
        <v>178</v>
      </c>
      <c r="L75" s="47">
        <v>720896</v>
      </c>
    </row>
    <row r="76" spans="1:12" x14ac:dyDescent="0.45">
      <c r="A76">
        <f t="shared" ca="1" si="3"/>
        <v>20</v>
      </c>
      <c r="B76" t="str">
        <f t="shared" ca="1" si="4"/>
        <v>"xxxxxxxx_x000D_
yyyyyyyy"</v>
      </c>
      <c r="C76" s="47">
        <v>65536</v>
      </c>
      <c r="D76">
        <v>1</v>
      </c>
      <c r="E76">
        <v>0.18622684444441498</v>
      </c>
      <c r="F76">
        <v>0.24686819523811296</v>
      </c>
      <c r="G76">
        <v>2.6827184499998111</v>
      </c>
      <c r="H76" s="54">
        <v>27</v>
      </c>
      <c r="I76" s="54">
        <v>21</v>
      </c>
      <c r="J76" s="54">
        <v>2</v>
      </c>
      <c r="K76" s="47" t="s">
        <v>179</v>
      </c>
      <c r="L76" s="47">
        <v>1441792</v>
      </c>
    </row>
    <row r="77" spans="1:12" x14ac:dyDescent="0.45">
      <c r="A77">
        <f t="shared" ca="1" si="3"/>
        <v>20</v>
      </c>
      <c r="B77" t="str">
        <f t="shared" ca="1" si="4"/>
        <v>"xxxxxxxx_x000D_
yyyyyyyy"</v>
      </c>
      <c r="C77" s="47">
        <v>131072</v>
      </c>
      <c r="D77">
        <v>1</v>
      </c>
      <c r="E77">
        <v>0.37313579285702353</v>
      </c>
      <c r="F77">
        <v>0.51129760999992868</v>
      </c>
      <c r="G77">
        <v>5.3784223999991809</v>
      </c>
      <c r="H77" s="54">
        <v>14</v>
      </c>
      <c r="I77" s="54">
        <v>10</v>
      </c>
      <c r="J77" s="54">
        <v>1</v>
      </c>
      <c r="K77" s="47" t="s">
        <v>180</v>
      </c>
      <c r="L77" s="47">
        <v>2883584</v>
      </c>
    </row>
    <row r="78" spans="1:12" x14ac:dyDescent="0.45">
      <c r="A78">
        <f t="shared" ca="1" si="3"/>
        <v>20</v>
      </c>
      <c r="B78" t="str">
        <f t="shared" ca="1" si="4"/>
        <v>"xxxxxxxx_x000D_
yyyyyyyy"</v>
      </c>
      <c r="C78" s="47">
        <v>262144</v>
      </c>
      <c r="D78">
        <v>1</v>
      </c>
      <c r="E78">
        <v>0.75582249999985962</v>
      </c>
      <c r="F78">
        <v>1.0205561999999191</v>
      </c>
      <c r="G78">
        <v>10.586581199999273</v>
      </c>
      <c r="H78" s="54">
        <v>7</v>
      </c>
      <c r="I78" s="54">
        <v>5</v>
      </c>
      <c r="J78" s="54">
        <v>1</v>
      </c>
      <c r="K78" s="47" t="s">
        <v>181</v>
      </c>
      <c r="L78" s="47">
        <v>5767168</v>
      </c>
    </row>
    <row r="79" spans="1:12" x14ac:dyDescent="0.45">
      <c r="A79">
        <f t="shared" ca="1" si="3"/>
        <v>20</v>
      </c>
      <c r="B79" t="str">
        <f t="shared" ca="1" si="4"/>
        <v>"xxxxxxxx_x000D_
yyyyyyyy"</v>
      </c>
      <c r="C79" s="47">
        <v>524288</v>
      </c>
      <c r="D79">
        <v>1</v>
      </c>
      <c r="E79">
        <v>1.4738968249998834</v>
      </c>
      <c r="F79">
        <v>1.9751824999996945</v>
      </c>
      <c r="G79">
        <v>21.460097799999858</v>
      </c>
      <c r="H79" s="54">
        <v>4</v>
      </c>
      <c r="I79" s="54">
        <v>3</v>
      </c>
      <c r="J79" s="54">
        <v>1</v>
      </c>
      <c r="K79" s="47" t="s">
        <v>182</v>
      </c>
      <c r="L79" s="47">
        <v>11534336</v>
      </c>
    </row>
    <row r="80" spans="1:12" x14ac:dyDescent="0.45">
      <c r="A80">
        <f t="shared" ca="1" si="3"/>
        <v>20</v>
      </c>
      <c r="B80" t="str">
        <f t="shared" ca="1" si="4"/>
        <v>"xxxxxxxx_x000D_
yyyyyyyy"</v>
      </c>
      <c r="C80" s="47">
        <v>1048576</v>
      </c>
      <c r="D80">
        <v>1</v>
      </c>
      <c r="E80">
        <v>3.044153599999845</v>
      </c>
      <c r="F80">
        <v>4.3303928499999529</v>
      </c>
      <c r="G80">
        <v>45.975075800000923</v>
      </c>
      <c r="H80" s="54">
        <v>2</v>
      </c>
      <c r="I80" s="54">
        <v>2</v>
      </c>
      <c r="J80" s="54">
        <v>1</v>
      </c>
      <c r="K80" s="47" t="s">
        <v>183</v>
      </c>
      <c r="L80" s="47">
        <v>23068672</v>
      </c>
    </row>
    <row r="81" spans="1:12" x14ac:dyDescent="0.45">
      <c r="C81" s="47"/>
      <c r="H81" s="54"/>
      <c r="I81" s="54"/>
      <c r="J81" s="54"/>
    </row>
    <row r="82" spans="1:12" x14ac:dyDescent="0.45">
      <c r="H82" s="54"/>
      <c r="I82" s="54"/>
      <c r="J82" s="54"/>
    </row>
    <row r="83" spans="1:12" x14ac:dyDescent="0.45">
      <c r="H83" s="54"/>
      <c r="I83" s="54"/>
      <c r="J83" s="54"/>
    </row>
    <row r="84" spans="1:12" x14ac:dyDescent="0.45">
      <c r="H84" s="54"/>
      <c r="I84" s="54"/>
      <c r="J84" s="54"/>
    </row>
    <row r="85" spans="1:12" x14ac:dyDescent="0.45">
      <c r="H85" s="54"/>
      <c r="I85" s="54"/>
      <c r="J85" s="54"/>
      <c r="K85" s="10" t="s">
        <v>383</v>
      </c>
    </row>
    <row r="86" spans="1:12" ht="28.5" x14ac:dyDescent="0.45">
      <c r="A86" s="56" t="s">
        <v>387</v>
      </c>
      <c r="B86" s="56" t="s">
        <v>388</v>
      </c>
      <c r="C86" s="56" t="s">
        <v>389</v>
      </c>
      <c r="D86" s="56" t="s">
        <v>390</v>
      </c>
      <c r="E86" s="56" t="s">
        <v>398</v>
      </c>
      <c r="F86" s="56" t="s">
        <v>376</v>
      </c>
      <c r="G86" s="56" t="s">
        <v>377</v>
      </c>
      <c r="H86" s="57" t="s">
        <v>407</v>
      </c>
      <c r="I86" s="57" t="s">
        <v>408</v>
      </c>
      <c r="J86" s="57" t="s">
        <v>409</v>
      </c>
      <c r="K86" s="56" t="s">
        <v>378</v>
      </c>
      <c r="L86" s="56" t="s">
        <v>379</v>
      </c>
    </row>
    <row r="87" spans="1:12" x14ac:dyDescent="0.45">
      <c r="A87">
        <f ca="1">LEN(B87)</f>
        <v>17</v>
      </c>
      <c r="B87">
        <v>0.71905720709757637</v>
      </c>
      <c r="C87" s="41">
        <v>1</v>
      </c>
      <c r="D87" s="39">
        <v>10</v>
      </c>
      <c r="E87">
        <v>1.4908748285526142E-4</v>
      </c>
      <c r="F87">
        <v>1.4728784906324128E-4</v>
      </c>
      <c r="G87">
        <v>2.2751768425840783E-3</v>
      </c>
      <c r="H87" s="54">
        <v>33538</v>
      </c>
      <c r="I87" s="54">
        <v>33948</v>
      </c>
      <c r="J87" s="54">
        <v>2198</v>
      </c>
      <c r="K87" s="47" t="s">
        <v>79</v>
      </c>
      <c r="L87" s="47">
        <v>181</v>
      </c>
    </row>
    <row r="88" spans="1:12" x14ac:dyDescent="0.45">
      <c r="A88">
        <f t="shared" ref="A88:A105" ca="1" si="5">LEN(B88)</f>
        <v>17</v>
      </c>
      <c r="B88">
        <v>0.71905720709757637</v>
      </c>
      <c r="C88" s="41">
        <v>2</v>
      </c>
      <c r="D88" s="39">
        <v>10</v>
      </c>
      <c r="E88">
        <v>1.716066101520495E-4</v>
      </c>
      <c r="F88">
        <v>1.7214758478225641E-4</v>
      </c>
      <c r="G88">
        <v>2.1500276870164048E-3</v>
      </c>
      <c r="H88" s="54">
        <v>29137</v>
      </c>
      <c r="I88" s="54">
        <v>29045</v>
      </c>
      <c r="J88" s="54">
        <v>2326</v>
      </c>
      <c r="K88" s="47" t="s">
        <v>80</v>
      </c>
      <c r="L88" s="47">
        <v>362</v>
      </c>
    </row>
    <row r="89" spans="1:12" x14ac:dyDescent="0.45">
      <c r="A89">
        <f t="shared" ca="1" si="5"/>
        <v>17</v>
      </c>
      <c r="B89">
        <v>0.71905720709757637</v>
      </c>
      <c r="C89" s="41">
        <v>4</v>
      </c>
      <c r="D89" s="39">
        <v>10</v>
      </c>
      <c r="E89">
        <v>2.1159209936095759E-4</v>
      </c>
      <c r="F89">
        <v>2.0275161185675589E-4</v>
      </c>
      <c r="G89">
        <v>2.2272576391978893E-3</v>
      </c>
      <c r="H89" s="54">
        <v>23631</v>
      </c>
      <c r="I89" s="54">
        <v>24661</v>
      </c>
      <c r="J89" s="54">
        <v>2245</v>
      </c>
      <c r="K89" s="47" t="s">
        <v>81</v>
      </c>
      <c r="L89" s="47">
        <v>724</v>
      </c>
    </row>
    <row r="90" spans="1:12" x14ac:dyDescent="0.45">
      <c r="A90">
        <f t="shared" ca="1" si="5"/>
        <v>17</v>
      </c>
      <c r="B90">
        <v>0.71905720709757637</v>
      </c>
      <c r="C90" s="41">
        <v>8</v>
      </c>
      <c r="D90" s="39">
        <v>10</v>
      </c>
      <c r="E90">
        <v>2.9114004891115486E-4</v>
      </c>
      <c r="F90">
        <v>2.8029233701441937E-4</v>
      </c>
      <c r="G90">
        <v>2.3697644549761144E-3</v>
      </c>
      <c r="H90" s="54">
        <v>17174</v>
      </c>
      <c r="I90" s="54">
        <v>17839</v>
      </c>
      <c r="J90" s="54">
        <v>2110</v>
      </c>
      <c r="K90" s="47" t="s">
        <v>82</v>
      </c>
      <c r="L90" s="47">
        <v>1448</v>
      </c>
    </row>
    <row r="91" spans="1:12" x14ac:dyDescent="0.45">
      <c r="A91">
        <f t="shared" ca="1" si="5"/>
        <v>17</v>
      </c>
      <c r="B91">
        <v>0.71905720709757637</v>
      </c>
      <c r="C91" s="41">
        <v>16</v>
      </c>
      <c r="D91" s="39">
        <v>10</v>
      </c>
      <c r="E91">
        <v>4.4315184791271126E-4</v>
      </c>
      <c r="F91">
        <v>4.447645258851006E-4</v>
      </c>
      <c r="G91">
        <v>2.6333427066884884E-3</v>
      </c>
      <c r="H91" s="54">
        <v>11283</v>
      </c>
      <c r="I91" s="54">
        <v>11242</v>
      </c>
      <c r="J91" s="54">
        <v>1899</v>
      </c>
      <c r="K91" s="47" t="s">
        <v>83</v>
      </c>
      <c r="L91" s="47">
        <v>2896</v>
      </c>
    </row>
    <row r="92" spans="1:12" x14ac:dyDescent="0.45">
      <c r="A92">
        <f t="shared" ca="1" si="5"/>
        <v>17</v>
      </c>
      <c r="B92">
        <v>0.71905720709757637</v>
      </c>
      <c r="C92" s="41">
        <v>32</v>
      </c>
      <c r="D92" s="39">
        <v>10</v>
      </c>
      <c r="E92">
        <v>7.8184856160086165E-4</v>
      </c>
      <c r="F92">
        <v>7.591890980869091E-4</v>
      </c>
      <c r="G92">
        <v>3.3135860172295488E-3</v>
      </c>
      <c r="H92" s="54">
        <v>6396</v>
      </c>
      <c r="I92" s="54">
        <v>6586</v>
      </c>
      <c r="J92" s="54">
        <v>1509</v>
      </c>
      <c r="K92" s="47" t="s">
        <v>84</v>
      </c>
      <c r="L92" s="47">
        <v>5792</v>
      </c>
    </row>
    <row r="93" spans="1:12" x14ac:dyDescent="0.45">
      <c r="A93">
        <f t="shared" ca="1" si="5"/>
        <v>17</v>
      </c>
      <c r="B93">
        <v>0.71905720709757637</v>
      </c>
      <c r="C93" s="41">
        <v>64</v>
      </c>
      <c r="D93" s="39">
        <v>10</v>
      </c>
      <c r="E93">
        <v>1.3699836712326593E-3</v>
      </c>
      <c r="F93">
        <v>1.3565876831253055E-3</v>
      </c>
      <c r="G93">
        <v>4.5541735883411448E-3</v>
      </c>
      <c r="H93" s="54">
        <v>3650</v>
      </c>
      <c r="I93" s="54">
        <v>3686</v>
      </c>
      <c r="J93" s="54">
        <v>1098</v>
      </c>
      <c r="K93" s="47" t="s">
        <v>85</v>
      </c>
      <c r="L93" s="47">
        <v>11584</v>
      </c>
    </row>
    <row r="94" spans="1:12" x14ac:dyDescent="0.45">
      <c r="A94">
        <f t="shared" ca="1" si="5"/>
        <v>17</v>
      </c>
      <c r="B94">
        <v>0.71905720709757637</v>
      </c>
      <c r="C94" s="41">
        <v>128</v>
      </c>
      <c r="D94" s="39">
        <v>10</v>
      </c>
      <c r="E94">
        <v>2.7140311448727548E-3</v>
      </c>
      <c r="F94">
        <v>2.7553950413222424E-3</v>
      </c>
      <c r="G94">
        <v>7.027487780901078E-3</v>
      </c>
      <c r="H94" s="54">
        <v>1843</v>
      </c>
      <c r="I94" s="54">
        <v>1815</v>
      </c>
      <c r="J94" s="54">
        <v>712</v>
      </c>
      <c r="K94" s="47" t="s">
        <v>86</v>
      </c>
      <c r="L94" s="47">
        <v>23168</v>
      </c>
    </row>
    <row r="95" spans="1:12" x14ac:dyDescent="0.45">
      <c r="A95">
        <f t="shared" ca="1" si="5"/>
        <v>17</v>
      </c>
      <c r="B95">
        <v>0.71905720709757637</v>
      </c>
      <c r="C95" s="41">
        <v>256</v>
      </c>
      <c r="D95" s="39">
        <v>10</v>
      </c>
      <c r="E95">
        <v>5.4469502178651008E-3</v>
      </c>
      <c r="F95">
        <v>5.3792437634402508E-3</v>
      </c>
      <c r="G95">
        <v>1.2420081141438461E-2</v>
      </c>
      <c r="H95" s="54">
        <v>918</v>
      </c>
      <c r="I95" s="54">
        <v>930</v>
      </c>
      <c r="J95" s="54">
        <v>403</v>
      </c>
      <c r="K95" s="47" t="s">
        <v>87</v>
      </c>
      <c r="L95" s="47">
        <v>46336</v>
      </c>
    </row>
    <row r="96" spans="1:12" x14ac:dyDescent="0.45">
      <c r="A96">
        <f t="shared" ca="1" si="5"/>
        <v>17</v>
      </c>
      <c r="B96">
        <v>0.71905720709757637</v>
      </c>
      <c r="C96" s="41">
        <v>512</v>
      </c>
      <c r="D96" s="39">
        <v>10</v>
      </c>
      <c r="E96">
        <v>1.16097552204179E-2</v>
      </c>
      <c r="F96">
        <v>1.0368268737058567E-2</v>
      </c>
      <c r="G96">
        <v>2.3272099999997218E-2</v>
      </c>
      <c r="H96" s="54">
        <v>431</v>
      </c>
      <c r="I96" s="54">
        <v>483</v>
      </c>
      <c r="J96" s="54">
        <v>215</v>
      </c>
      <c r="K96" s="47" t="s">
        <v>88</v>
      </c>
      <c r="L96" s="47">
        <v>92672</v>
      </c>
    </row>
    <row r="97" spans="1:12" x14ac:dyDescent="0.45">
      <c r="A97">
        <f t="shared" ca="1" si="5"/>
        <v>17</v>
      </c>
      <c r="B97">
        <v>0.71905720709757637</v>
      </c>
      <c r="C97" s="41">
        <v>1024</v>
      </c>
      <c r="D97" s="39">
        <v>10</v>
      </c>
      <c r="E97">
        <v>2.3379114953271388E-2</v>
      </c>
      <c r="F97">
        <v>2.1248462711864088E-2</v>
      </c>
      <c r="G97">
        <v>4.2885149572658779E-2</v>
      </c>
      <c r="H97" s="54">
        <v>214</v>
      </c>
      <c r="I97" s="54">
        <v>236</v>
      </c>
      <c r="J97" s="54">
        <v>117</v>
      </c>
      <c r="K97" s="47" t="s">
        <v>89</v>
      </c>
      <c r="L97" s="47">
        <v>185344</v>
      </c>
    </row>
    <row r="98" spans="1:12" x14ac:dyDescent="0.45">
      <c r="A98">
        <f t="shared" ca="1" si="5"/>
        <v>17</v>
      </c>
      <c r="B98">
        <v>0.71905720709757637</v>
      </c>
      <c r="C98" s="41">
        <v>2048</v>
      </c>
      <c r="D98" s="39">
        <v>10</v>
      </c>
      <c r="E98">
        <v>4.2608741525435694E-2</v>
      </c>
      <c r="F98">
        <v>4.1864097499986506E-2</v>
      </c>
      <c r="G98">
        <v>7.7602578461525046E-2</v>
      </c>
      <c r="H98" s="54">
        <v>118</v>
      </c>
      <c r="I98" s="54">
        <v>120</v>
      </c>
      <c r="J98" s="54">
        <v>65</v>
      </c>
      <c r="K98" s="47" t="s">
        <v>90</v>
      </c>
      <c r="L98" s="47">
        <v>370688</v>
      </c>
    </row>
    <row r="99" spans="1:12" x14ac:dyDescent="0.45">
      <c r="A99">
        <f t="shared" ca="1" si="5"/>
        <v>17</v>
      </c>
      <c r="B99">
        <v>0.71905720709757637</v>
      </c>
      <c r="C99" s="41">
        <v>4096</v>
      </c>
      <c r="D99" s="39">
        <v>10</v>
      </c>
      <c r="E99">
        <v>8.7385989655182322E-2</v>
      </c>
      <c r="F99">
        <v>9.0400624999996834E-2</v>
      </c>
      <c r="G99">
        <v>0.15297396666667765</v>
      </c>
      <c r="H99" s="54">
        <v>58</v>
      </c>
      <c r="I99" s="54">
        <v>56</v>
      </c>
      <c r="J99" s="54">
        <v>33</v>
      </c>
      <c r="K99" s="47" t="s">
        <v>91</v>
      </c>
      <c r="L99" s="47">
        <v>741376</v>
      </c>
    </row>
    <row r="100" spans="1:12" x14ac:dyDescent="0.45">
      <c r="A100">
        <f t="shared" ca="1" si="5"/>
        <v>17</v>
      </c>
      <c r="B100">
        <v>0.71905720709757637</v>
      </c>
      <c r="C100" s="41">
        <v>8192</v>
      </c>
      <c r="D100" s="39">
        <v>10</v>
      </c>
      <c r="E100">
        <v>0.19905589999997084</v>
      </c>
      <c r="F100">
        <v>0.17310248620686189</v>
      </c>
      <c r="G100">
        <v>0.30184307058816023</v>
      </c>
      <c r="H100" s="54">
        <v>26</v>
      </c>
      <c r="I100" s="54">
        <v>29</v>
      </c>
      <c r="J100" s="54">
        <v>17</v>
      </c>
      <c r="K100" s="47" t="s">
        <v>92</v>
      </c>
      <c r="L100" s="47">
        <v>1482752</v>
      </c>
    </row>
    <row r="101" spans="1:12" x14ac:dyDescent="0.45">
      <c r="A101">
        <f t="shared" ca="1" si="5"/>
        <v>17</v>
      </c>
      <c r="B101">
        <v>0.71905720709757637</v>
      </c>
      <c r="C101" s="41">
        <v>16384</v>
      </c>
      <c r="D101" s="39">
        <v>10</v>
      </c>
      <c r="E101">
        <v>0.36150306428563844</v>
      </c>
      <c r="F101">
        <v>0.3449957066666684</v>
      </c>
      <c r="G101">
        <v>0.63830669999993006</v>
      </c>
      <c r="H101" s="54">
        <v>14</v>
      </c>
      <c r="I101" s="54">
        <v>15</v>
      </c>
      <c r="J101" s="54">
        <v>8</v>
      </c>
      <c r="K101" s="47" t="s">
        <v>93</v>
      </c>
      <c r="L101" s="47">
        <v>2965504</v>
      </c>
    </row>
    <row r="102" spans="1:12" x14ac:dyDescent="0.45">
      <c r="A102">
        <f t="shared" ca="1" si="5"/>
        <v>17</v>
      </c>
      <c r="B102">
        <v>0.71905720709757637</v>
      </c>
      <c r="C102" s="41">
        <v>32768</v>
      </c>
      <c r="D102" s="39">
        <v>10</v>
      </c>
      <c r="E102">
        <v>0.75963551428581666</v>
      </c>
      <c r="F102">
        <v>0.70787203750001026</v>
      </c>
      <c r="G102">
        <v>1.281009350000204</v>
      </c>
      <c r="H102" s="54">
        <v>7</v>
      </c>
      <c r="I102" s="54">
        <v>8</v>
      </c>
      <c r="J102" s="54">
        <v>4</v>
      </c>
      <c r="K102" s="47" t="s">
        <v>94</v>
      </c>
      <c r="L102" s="47">
        <v>5931008</v>
      </c>
    </row>
    <row r="103" spans="1:12" x14ac:dyDescent="0.45">
      <c r="A103">
        <f t="shared" ca="1" si="5"/>
        <v>17</v>
      </c>
      <c r="B103">
        <v>0.71905720709757637</v>
      </c>
      <c r="C103" s="41">
        <v>65536</v>
      </c>
      <c r="D103" s="39">
        <v>10</v>
      </c>
      <c r="E103">
        <v>1.456787175000045</v>
      </c>
      <c r="F103">
        <v>1.4634674750000158</v>
      </c>
      <c r="G103">
        <v>2.3865486666666889</v>
      </c>
      <c r="H103" s="54">
        <v>4</v>
      </c>
      <c r="I103" s="54">
        <v>4</v>
      </c>
      <c r="J103" s="54">
        <v>3</v>
      </c>
      <c r="K103" s="47" t="s">
        <v>95</v>
      </c>
      <c r="L103" s="47">
        <v>11862016</v>
      </c>
    </row>
    <row r="104" spans="1:12" x14ac:dyDescent="0.45">
      <c r="A104">
        <f t="shared" ca="1" si="5"/>
        <v>17</v>
      </c>
      <c r="B104">
        <v>0.71905720709757637</v>
      </c>
      <c r="C104" s="41">
        <v>131072</v>
      </c>
      <c r="D104" s="39">
        <v>10</v>
      </c>
      <c r="E104">
        <v>2.9693039999992834</v>
      </c>
      <c r="F104">
        <v>2.8707864999996673</v>
      </c>
      <c r="G104">
        <v>5.1312687000008737</v>
      </c>
      <c r="H104" s="54">
        <v>2</v>
      </c>
      <c r="I104" s="54">
        <v>2</v>
      </c>
      <c r="J104" s="54">
        <v>1</v>
      </c>
      <c r="K104" s="47" t="s">
        <v>96</v>
      </c>
      <c r="L104" s="47">
        <v>23724032</v>
      </c>
    </row>
    <row r="105" spans="1:12" x14ac:dyDescent="0.45">
      <c r="A105">
        <f t="shared" ca="1" si="5"/>
        <v>17</v>
      </c>
      <c r="B105">
        <v>0.71905720709757637</v>
      </c>
      <c r="C105" s="41">
        <v>262144</v>
      </c>
      <c r="D105" s="39">
        <v>10</v>
      </c>
      <c r="E105">
        <v>6.0965317000009236</v>
      </c>
      <c r="F105">
        <v>6.1190550000010262</v>
      </c>
      <c r="G105">
        <v>10.362777500000448</v>
      </c>
      <c r="H105" s="54">
        <v>1</v>
      </c>
      <c r="I105" s="54">
        <v>1</v>
      </c>
      <c r="J105" s="54">
        <v>1</v>
      </c>
      <c r="K105" s="47" t="s">
        <v>97</v>
      </c>
      <c r="L105" s="47">
        <v>47448064</v>
      </c>
    </row>
    <row r="106" spans="1:12" x14ac:dyDescent="0.45">
      <c r="C106" s="47"/>
      <c r="H106" s="54"/>
      <c r="I106" s="54"/>
      <c r="J106" s="54"/>
      <c r="K106" s="47"/>
    </row>
    <row r="107" spans="1:12" x14ac:dyDescent="0.45">
      <c r="C107" s="47"/>
      <c r="H107" s="54"/>
      <c r="I107" s="54"/>
      <c r="J107" s="54"/>
      <c r="K107" s="47"/>
    </row>
    <row r="108" spans="1:12" x14ac:dyDescent="0.45">
      <c r="H108" s="54"/>
      <c r="I108" s="54"/>
      <c r="J108" s="54"/>
    </row>
    <row r="109" spans="1:12" x14ac:dyDescent="0.45">
      <c r="C109" s="41"/>
      <c r="D109" s="39"/>
      <c r="H109" s="54"/>
      <c r="I109" s="54"/>
      <c r="J109" s="54"/>
      <c r="K109" s="47"/>
    </row>
    <row r="110" spans="1:12" x14ac:dyDescent="0.45">
      <c r="H110" s="54"/>
      <c r="I110" s="54"/>
      <c r="J110" s="54"/>
    </row>
    <row r="111" spans="1:12" x14ac:dyDescent="0.45">
      <c r="H111" s="54"/>
      <c r="I111" s="54"/>
      <c r="J111" s="54"/>
    </row>
    <row r="112" spans="1:12" x14ac:dyDescent="0.45">
      <c r="H112" s="54"/>
      <c r="I112" s="54"/>
      <c r="J112" s="54"/>
    </row>
    <row r="113" spans="1:12" ht="28.5" x14ac:dyDescent="0.45">
      <c r="A113" s="56" t="s">
        <v>387</v>
      </c>
      <c r="B113" s="56" t="s">
        <v>388</v>
      </c>
      <c r="C113" s="56" t="s">
        <v>389</v>
      </c>
      <c r="D113" s="56" t="s">
        <v>390</v>
      </c>
      <c r="E113" s="56" t="s">
        <v>398</v>
      </c>
      <c r="F113" s="56" t="s">
        <v>376</v>
      </c>
      <c r="G113" s="56" t="s">
        <v>377</v>
      </c>
      <c r="H113" s="57" t="s">
        <v>407</v>
      </c>
      <c r="I113" s="57" t="s">
        <v>408</v>
      </c>
      <c r="J113" s="57" t="s">
        <v>409</v>
      </c>
      <c r="K113" s="56" t="s">
        <v>378</v>
      </c>
      <c r="L113" s="56" t="s">
        <v>379</v>
      </c>
    </row>
    <row r="114" spans="1:12" x14ac:dyDescent="0.45">
      <c r="A114">
        <f ca="1">LEN(B114)</f>
        <v>16</v>
      </c>
      <c r="B114" t="str">
        <f ca="1">REPT("x",16)</f>
        <v>xxxxxxxxxxxxxxxx</v>
      </c>
      <c r="C114" s="41">
        <v>8</v>
      </c>
      <c r="D114" s="41">
        <v>1</v>
      </c>
      <c r="E114">
        <v>1.4573020022734889E-4</v>
      </c>
      <c r="F114">
        <v>1.4187597820846661E-4</v>
      </c>
      <c r="G114">
        <v>2.0586885137915192E-3</v>
      </c>
      <c r="H114" s="54">
        <v>34311</v>
      </c>
      <c r="I114" s="54">
        <v>35243</v>
      </c>
      <c r="J114" s="54">
        <v>2429</v>
      </c>
      <c r="K114" s="47" t="s">
        <v>127</v>
      </c>
      <c r="L114" s="47">
        <v>144</v>
      </c>
    </row>
    <row r="115" spans="1:12" x14ac:dyDescent="0.45">
      <c r="A115">
        <f t="shared" ref="A115:A127" ca="1" si="6">LEN(B115)</f>
        <v>16</v>
      </c>
      <c r="B115" t="str">
        <f t="shared" ref="B115:B127" ca="1" si="7">REPT("x",16)</f>
        <v>xxxxxxxxxxxxxxxx</v>
      </c>
      <c r="C115" s="41">
        <v>8</v>
      </c>
      <c r="D115" s="41">
        <v>2</v>
      </c>
      <c r="E115">
        <v>1.6701056147505055E-4</v>
      </c>
      <c r="F115">
        <v>1.6037493665198115E-4</v>
      </c>
      <c r="G115">
        <v>2.0618650721652811E-3</v>
      </c>
      <c r="H115" s="54">
        <v>29939</v>
      </c>
      <c r="I115" s="54">
        <v>31177</v>
      </c>
      <c r="J115" s="54">
        <v>2425</v>
      </c>
      <c r="K115" s="47" t="s">
        <v>128</v>
      </c>
      <c r="L115" s="47">
        <v>280</v>
      </c>
    </row>
    <row r="116" spans="1:12" x14ac:dyDescent="0.45">
      <c r="A116">
        <f t="shared" ca="1" si="6"/>
        <v>16</v>
      </c>
      <c r="B116" t="str">
        <f t="shared" ca="1" si="7"/>
        <v>xxxxxxxxxxxxxxxx</v>
      </c>
      <c r="C116" s="41">
        <v>8</v>
      </c>
      <c r="D116" s="41">
        <v>4</v>
      </c>
      <c r="E116">
        <v>1.9822696241673961E-4</v>
      </c>
      <c r="F116">
        <v>1.8787608777333709E-4</v>
      </c>
      <c r="G116">
        <v>2.066795289256559E-3</v>
      </c>
      <c r="H116" s="54">
        <v>25224</v>
      </c>
      <c r="I116" s="54">
        <v>26614</v>
      </c>
      <c r="J116" s="54">
        <v>2420</v>
      </c>
      <c r="K116" s="47" t="s">
        <v>129</v>
      </c>
      <c r="L116" s="47">
        <v>552</v>
      </c>
    </row>
    <row r="117" spans="1:12" x14ac:dyDescent="0.45">
      <c r="A117">
        <f t="shared" ca="1" si="6"/>
        <v>16</v>
      </c>
      <c r="B117" t="str">
        <f t="shared" ca="1" si="7"/>
        <v>xxxxxxxxxxxxxxxx</v>
      </c>
      <c r="C117" s="41">
        <v>8</v>
      </c>
      <c r="D117" s="41">
        <v>8</v>
      </c>
      <c r="E117">
        <v>3.7782687018287974E-4</v>
      </c>
      <c r="F117">
        <v>3.1016623658581329E-4</v>
      </c>
      <c r="G117">
        <v>2.2343689901694439E-3</v>
      </c>
      <c r="H117" s="54">
        <v>13234</v>
      </c>
      <c r="I117" s="54">
        <v>16121</v>
      </c>
      <c r="J117" s="54">
        <v>2238</v>
      </c>
      <c r="K117" s="47" t="s">
        <v>130</v>
      </c>
      <c r="L117" s="47">
        <v>1096</v>
      </c>
    </row>
    <row r="118" spans="1:12" x14ac:dyDescent="0.45">
      <c r="A118">
        <f t="shared" ca="1" si="6"/>
        <v>16</v>
      </c>
      <c r="B118" t="str">
        <f t="shared" ca="1" si="7"/>
        <v>xxxxxxxxxxxxxxxx</v>
      </c>
      <c r="C118" s="41">
        <v>8</v>
      </c>
      <c r="D118" s="41">
        <v>16</v>
      </c>
      <c r="E118">
        <v>3.9033631537868836E-4</v>
      </c>
      <c r="F118">
        <v>3.8011823019610977E-4</v>
      </c>
      <c r="G118">
        <v>2.6368918292046118E-3</v>
      </c>
      <c r="H118" s="54">
        <v>12810</v>
      </c>
      <c r="I118" s="54">
        <v>13154</v>
      </c>
      <c r="J118" s="54">
        <v>1897</v>
      </c>
      <c r="K118" s="47" t="s">
        <v>131</v>
      </c>
      <c r="L118" s="47">
        <v>2184</v>
      </c>
    </row>
    <row r="119" spans="1:12" x14ac:dyDescent="0.45">
      <c r="A119">
        <f t="shared" ca="1" si="6"/>
        <v>16</v>
      </c>
      <c r="B119" t="str">
        <f t="shared" ca="1" si="7"/>
        <v>xxxxxxxxxxxxxxxx</v>
      </c>
      <c r="C119" s="41">
        <v>8</v>
      </c>
      <c r="D119" s="41">
        <v>32</v>
      </c>
      <c r="E119">
        <v>6.8188388108559456E-4</v>
      </c>
      <c r="F119">
        <v>6.378927924481526E-4</v>
      </c>
      <c r="G119">
        <v>3.7947398330796587E-3</v>
      </c>
      <c r="H119" s="54">
        <v>7333</v>
      </c>
      <c r="I119" s="54">
        <v>7839</v>
      </c>
      <c r="J119" s="54">
        <v>1318</v>
      </c>
      <c r="K119" s="47" t="s">
        <v>132</v>
      </c>
      <c r="L119" s="47">
        <v>4360</v>
      </c>
    </row>
    <row r="120" spans="1:12" x14ac:dyDescent="0.45">
      <c r="A120">
        <f t="shared" ca="1" si="6"/>
        <v>16</v>
      </c>
      <c r="B120" t="str">
        <f t="shared" ca="1" si="7"/>
        <v>xxxxxxxxxxxxxxxx</v>
      </c>
      <c r="C120" s="41">
        <v>8</v>
      </c>
      <c r="D120" s="41">
        <v>64</v>
      </c>
      <c r="E120">
        <v>1.1489073759190995E-3</v>
      </c>
      <c r="F120">
        <v>1.1395088195079361E-3</v>
      </c>
      <c r="G120">
        <v>7.9031323854674759E-3</v>
      </c>
      <c r="H120" s="54">
        <v>4352</v>
      </c>
      <c r="I120" s="54">
        <v>4388</v>
      </c>
      <c r="J120" s="54">
        <v>633</v>
      </c>
      <c r="K120" s="47" t="s">
        <v>133</v>
      </c>
      <c r="L120" s="47">
        <v>8712</v>
      </c>
    </row>
    <row r="121" spans="1:12" x14ac:dyDescent="0.45">
      <c r="A121">
        <f t="shared" ca="1" si="6"/>
        <v>16</v>
      </c>
      <c r="B121" t="str">
        <f t="shared" ca="1" si="7"/>
        <v>xxxxxxxxxxxxxxxx</v>
      </c>
      <c r="C121" s="41">
        <v>8</v>
      </c>
      <c r="D121" s="41">
        <v>128</v>
      </c>
      <c r="E121">
        <v>2.1573956859359399E-3</v>
      </c>
      <c r="F121">
        <v>2.1160725042304361E-3</v>
      </c>
      <c r="G121">
        <v>2.2487971748875266E-2</v>
      </c>
      <c r="H121" s="54">
        <v>2318</v>
      </c>
      <c r="I121" s="54">
        <v>2364</v>
      </c>
      <c r="J121" s="54">
        <v>223</v>
      </c>
      <c r="K121" s="47" t="s">
        <v>134</v>
      </c>
      <c r="L121" s="47">
        <v>17416</v>
      </c>
    </row>
    <row r="122" spans="1:12" x14ac:dyDescent="0.45">
      <c r="A122">
        <f t="shared" ca="1" si="6"/>
        <v>16</v>
      </c>
      <c r="B122" t="str">
        <f t="shared" ca="1" si="7"/>
        <v>xxxxxxxxxxxxxxxx</v>
      </c>
      <c r="C122" s="41">
        <v>8</v>
      </c>
      <c r="D122" s="41">
        <v>256</v>
      </c>
      <c r="E122">
        <v>4.3243195332763025E-3</v>
      </c>
      <c r="F122">
        <v>4.1303000825769435E-3</v>
      </c>
      <c r="G122">
        <v>7.9334281249998639E-2</v>
      </c>
      <c r="H122" s="54">
        <v>1157</v>
      </c>
      <c r="I122" s="54">
        <v>1211</v>
      </c>
      <c r="J122" s="54">
        <v>64</v>
      </c>
      <c r="K122" s="47" t="s">
        <v>135</v>
      </c>
      <c r="L122" s="47">
        <v>34824</v>
      </c>
    </row>
    <row r="123" spans="1:12" x14ac:dyDescent="0.45">
      <c r="A123">
        <f t="shared" ca="1" si="6"/>
        <v>16</v>
      </c>
      <c r="B123" t="str">
        <f t="shared" ca="1" si="7"/>
        <v>xxxxxxxxxxxxxxxx</v>
      </c>
      <c r="C123" s="41">
        <v>8</v>
      </c>
      <c r="D123" s="41">
        <v>512</v>
      </c>
      <c r="E123">
        <v>8.0859657512127037E-3</v>
      </c>
      <c r="F123">
        <v>7.8943682965301135E-3</v>
      </c>
      <c r="G123">
        <v>0.29469721176471519</v>
      </c>
      <c r="H123" s="54">
        <v>619</v>
      </c>
      <c r="I123" s="54">
        <v>634</v>
      </c>
      <c r="J123" s="54">
        <v>17</v>
      </c>
      <c r="K123" s="47" t="s">
        <v>136</v>
      </c>
      <c r="L123" s="47">
        <v>69640</v>
      </c>
    </row>
    <row r="124" spans="1:12" x14ac:dyDescent="0.45">
      <c r="A124">
        <f t="shared" ca="1" si="6"/>
        <v>16</v>
      </c>
      <c r="B124" t="str">
        <f t="shared" ca="1" si="7"/>
        <v>xxxxxxxxxxxxxxxx</v>
      </c>
      <c r="C124" s="41">
        <v>8</v>
      </c>
      <c r="D124" s="41">
        <v>1024</v>
      </c>
      <c r="E124">
        <v>1.674072976588847E-2</v>
      </c>
      <c r="F124">
        <v>1.5669506562500147E-2</v>
      </c>
      <c r="G124">
        <v>1.0933015000002342</v>
      </c>
      <c r="H124" s="54">
        <v>299</v>
      </c>
      <c r="I124" s="54">
        <v>320</v>
      </c>
      <c r="J124" s="54">
        <v>5</v>
      </c>
      <c r="K124" s="47" t="s">
        <v>137</v>
      </c>
      <c r="L124" s="47">
        <v>139272</v>
      </c>
    </row>
    <row r="125" spans="1:12" x14ac:dyDescent="0.45">
      <c r="A125">
        <f t="shared" ca="1" si="6"/>
        <v>16</v>
      </c>
      <c r="B125" t="str">
        <f t="shared" ca="1" si="7"/>
        <v>xxxxxxxxxxxxxxxx</v>
      </c>
      <c r="C125" s="41">
        <v>8</v>
      </c>
      <c r="D125" s="41">
        <v>2048</v>
      </c>
      <c r="E125">
        <v>3.3222623178806206E-2</v>
      </c>
      <c r="F125">
        <v>3.1313824999995174E-2</v>
      </c>
      <c r="G125">
        <v>4.0480279499997778</v>
      </c>
      <c r="H125" s="54">
        <v>151</v>
      </c>
      <c r="I125" s="54">
        <v>160</v>
      </c>
      <c r="J125" s="54">
        <v>2</v>
      </c>
      <c r="K125" s="47" t="s">
        <v>138</v>
      </c>
      <c r="L125" s="47">
        <v>278536</v>
      </c>
    </row>
    <row r="126" spans="1:12" x14ac:dyDescent="0.45">
      <c r="A126">
        <f t="shared" ca="1" si="6"/>
        <v>16</v>
      </c>
      <c r="B126" t="str">
        <f t="shared" ca="1" si="7"/>
        <v>xxxxxxxxxxxxxxxx</v>
      </c>
      <c r="C126" s="41">
        <v>8</v>
      </c>
      <c r="D126" s="41">
        <v>4096</v>
      </c>
      <c r="E126">
        <v>6.6979869333323824E-2</v>
      </c>
      <c r="F126">
        <v>6.7954608108118777E-2</v>
      </c>
      <c r="G126">
        <v>16.529796200000419</v>
      </c>
      <c r="H126" s="54">
        <v>75</v>
      </c>
      <c r="I126" s="54">
        <v>74</v>
      </c>
      <c r="J126" s="54">
        <v>1</v>
      </c>
      <c r="K126" s="47" t="s">
        <v>139</v>
      </c>
      <c r="L126" s="47">
        <v>557064</v>
      </c>
    </row>
    <row r="127" spans="1:12" x14ac:dyDescent="0.45">
      <c r="A127">
        <f t="shared" ca="1" si="6"/>
        <v>16</v>
      </c>
      <c r="B127" t="str">
        <f t="shared" ca="1" si="7"/>
        <v>xxxxxxxxxxxxxxxx</v>
      </c>
      <c r="C127" s="41">
        <v>8</v>
      </c>
      <c r="D127" s="41">
        <v>8192</v>
      </c>
      <c r="E127">
        <v>0.13736128648648643</v>
      </c>
      <c r="F127">
        <v>0.13063880512821086</v>
      </c>
      <c r="G127">
        <v>63.28988599999866</v>
      </c>
      <c r="H127" s="54">
        <v>37</v>
      </c>
      <c r="I127" s="54">
        <v>39</v>
      </c>
      <c r="J127" s="54">
        <v>1</v>
      </c>
      <c r="K127" s="47" t="s">
        <v>140</v>
      </c>
      <c r="L127" s="47">
        <v>1114120</v>
      </c>
    </row>
    <row r="128" spans="1:12" x14ac:dyDescent="0.45">
      <c r="H128" s="54"/>
      <c r="I128" s="54"/>
      <c r="J128" s="54"/>
    </row>
    <row r="129" spans="1:12" x14ac:dyDescent="0.45">
      <c r="H129" s="54"/>
      <c r="I129" s="54"/>
      <c r="J129" s="54"/>
    </row>
    <row r="130" spans="1:12" x14ac:dyDescent="0.45">
      <c r="H130" s="54"/>
      <c r="I130" s="54"/>
      <c r="J130" s="54"/>
    </row>
    <row r="131" spans="1:12" x14ac:dyDescent="0.45">
      <c r="H131" s="54"/>
      <c r="I131" s="54"/>
      <c r="J131" s="54"/>
    </row>
    <row r="132" spans="1:12" x14ac:dyDescent="0.45">
      <c r="H132" s="54"/>
      <c r="I132" s="54"/>
      <c r="J132" s="54"/>
    </row>
    <row r="133" spans="1:12" x14ac:dyDescent="0.45">
      <c r="H133" s="54"/>
      <c r="I133" s="54"/>
      <c r="J133" s="54"/>
    </row>
    <row r="134" spans="1:12" x14ac:dyDescent="0.45">
      <c r="H134" s="54"/>
      <c r="I134" s="54"/>
      <c r="J134" s="54"/>
    </row>
    <row r="135" spans="1:12" x14ac:dyDescent="0.45">
      <c r="H135" s="54"/>
      <c r="I135" s="54"/>
      <c r="J135" s="54"/>
    </row>
    <row r="136" spans="1:12" x14ac:dyDescent="0.45">
      <c r="H136" s="54"/>
      <c r="I136" s="54"/>
      <c r="J136" s="54"/>
    </row>
    <row r="137" spans="1:12" x14ac:dyDescent="0.45">
      <c r="H137" s="54"/>
      <c r="I137" s="54"/>
      <c r="J137" s="54"/>
    </row>
    <row r="138" spans="1:12" x14ac:dyDescent="0.45">
      <c r="H138" s="54"/>
      <c r="I138" s="54"/>
      <c r="J138" s="54"/>
    </row>
    <row r="139" spans="1:12" x14ac:dyDescent="0.45">
      <c r="H139" s="54"/>
      <c r="I139" s="54"/>
      <c r="J139" s="54"/>
      <c r="K139" s="10" t="s">
        <v>384</v>
      </c>
    </row>
    <row r="140" spans="1:12" ht="28.5" x14ac:dyDescent="0.45">
      <c r="A140" s="56" t="s">
        <v>387</v>
      </c>
      <c r="B140" s="56" t="s">
        <v>388</v>
      </c>
      <c r="C140" s="56" t="s">
        <v>389</v>
      </c>
      <c r="D140" s="56" t="s">
        <v>390</v>
      </c>
      <c r="E140" s="56" t="s">
        <v>398</v>
      </c>
      <c r="F140" s="56" t="s">
        <v>376</v>
      </c>
      <c r="G140" s="56" t="s">
        <v>377</v>
      </c>
      <c r="H140" s="57" t="s">
        <v>407</v>
      </c>
      <c r="I140" s="57" t="s">
        <v>408</v>
      </c>
      <c r="J140" s="57" t="s">
        <v>409</v>
      </c>
      <c r="K140" s="56" t="s">
        <v>378</v>
      </c>
      <c r="L140" s="56" t="s">
        <v>379</v>
      </c>
    </row>
    <row r="141" spans="1:12" x14ac:dyDescent="0.45">
      <c r="A141" cm="1">
        <f t="array" aca="1" ref="A141:A155" ca="1">LEN(B141:B155)</f>
        <v>1</v>
      </c>
      <c r="B141" t="s">
        <v>56</v>
      </c>
      <c r="C141" s="47">
        <v>1024</v>
      </c>
      <c r="D141">
        <v>8</v>
      </c>
      <c r="E141">
        <v>9.1886755963293473E-3</v>
      </c>
      <c r="F141">
        <v>1.0550611603374884E-2</v>
      </c>
      <c r="G141">
        <v>3.1076334782607452E-2</v>
      </c>
      <c r="H141" s="54">
        <v>545</v>
      </c>
      <c r="I141" s="54">
        <v>474</v>
      </c>
      <c r="J141" s="54">
        <v>161</v>
      </c>
      <c r="K141" s="47" t="s">
        <v>112</v>
      </c>
      <c r="L141" s="47">
        <v>17408</v>
      </c>
    </row>
    <row r="142" spans="1:12" x14ac:dyDescent="0.45">
      <c r="A142">
        <f ca="1"/>
        <v>2</v>
      </c>
      <c r="B142" t="s">
        <v>98</v>
      </c>
      <c r="C142" s="47">
        <v>1024</v>
      </c>
      <c r="D142">
        <v>8</v>
      </c>
      <c r="E142">
        <v>1.0247036809816678E-2</v>
      </c>
      <c r="F142">
        <v>9.7153322330113152E-3</v>
      </c>
      <c r="G142">
        <v>2.8119816292131505E-2</v>
      </c>
      <c r="H142" s="54">
        <v>489</v>
      </c>
      <c r="I142" s="54">
        <v>515</v>
      </c>
      <c r="J142" s="54">
        <v>178</v>
      </c>
      <c r="K142" s="47" t="s">
        <v>113</v>
      </c>
      <c r="L142" s="47">
        <v>25600</v>
      </c>
    </row>
    <row r="143" spans="1:12" x14ac:dyDescent="0.45">
      <c r="A143">
        <f ca="1"/>
        <v>4</v>
      </c>
      <c r="B143" t="s">
        <v>99</v>
      </c>
      <c r="C143" s="47">
        <v>1024</v>
      </c>
      <c r="D143">
        <v>8</v>
      </c>
      <c r="E143">
        <v>1.1837764622639026E-2</v>
      </c>
      <c r="F143">
        <v>1.1505235402297727E-2</v>
      </c>
      <c r="G143">
        <v>2.9976407784423047E-2</v>
      </c>
      <c r="H143" s="54">
        <v>424</v>
      </c>
      <c r="I143" s="54">
        <v>435</v>
      </c>
      <c r="J143" s="54">
        <v>167</v>
      </c>
      <c r="K143" s="47" t="s">
        <v>114</v>
      </c>
      <c r="L143" s="47">
        <v>41984</v>
      </c>
    </row>
    <row r="144" spans="1:12" x14ac:dyDescent="0.45">
      <c r="A144">
        <f ca="1"/>
        <v>8</v>
      </c>
      <c r="B144" t="s">
        <v>100</v>
      </c>
      <c r="C144" s="47">
        <v>1024</v>
      </c>
      <c r="D144">
        <v>8</v>
      </c>
      <c r="E144">
        <v>1.2954919430052107E-2</v>
      </c>
      <c r="F144">
        <v>1.2973464766841004E-2</v>
      </c>
      <c r="G144">
        <v>2.9248878362570969E-2</v>
      </c>
      <c r="H144" s="54">
        <v>386</v>
      </c>
      <c r="I144" s="54">
        <v>386</v>
      </c>
      <c r="J144" s="54">
        <v>171</v>
      </c>
      <c r="K144" s="47" t="s">
        <v>115</v>
      </c>
      <c r="L144" s="47">
        <v>74752</v>
      </c>
    </row>
    <row r="145" spans="1:12" x14ac:dyDescent="0.45">
      <c r="A145">
        <f ca="1"/>
        <v>16</v>
      </c>
      <c r="B145" t="s">
        <v>101</v>
      </c>
      <c r="C145" s="47">
        <v>1024</v>
      </c>
      <c r="D145">
        <v>8</v>
      </c>
      <c r="E145">
        <v>1.6040917891371988E-2</v>
      </c>
      <c r="F145">
        <v>1.5989127476039141E-2</v>
      </c>
      <c r="G145">
        <v>3.1679584177220048E-2</v>
      </c>
      <c r="H145" s="54">
        <v>313</v>
      </c>
      <c r="I145" s="54">
        <v>313</v>
      </c>
      <c r="J145" s="54">
        <v>158</v>
      </c>
      <c r="K145" s="47" t="s">
        <v>116</v>
      </c>
      <c r="L145" s="47">
        <v>140288</v>
      </c>
    </row>
    <row r="146" spans="1:12" x14ac:dyDescent="0.45">
      <c r="A146">
        <f ca="1"/>
        <v>32</v>
      </c>
      <c r="B146" t="s">
        <v>102</v>
      </c>
      <c r="C146" s="47">
        <v>1024</v>
      </c>
      <c r="D146">
        <v>8</v>
      </c>
      <c r="E146">
        <v>2.4064823076925607E-2</v>
      </c>
      <c r="F146">
        <v>2.3891418095237375E-2</v>
      </c>
      <c r="G146">
        <v>3.214446217949584E-2</v>
      </c>
      <c r="H146" s="54">
        <v>208</v>
      </c>
      <c r="I146" s="54">
        <v>210</v>
      </c>
      <c r="J146" s="54">
        <v>156</v>
      </c>
      <c r="K146" s="47" t="s">
        <v>117</v>
      </c>
      <c r="L146" s="47">
        <v>271360</v>
      </c>
    </row>
    <row r="147" spans="1:12" x14ac:dyDescent="0.45">
      <c r="A147">
        <f ca="1"/>
        <v>64</v>
      </c>
      <c r="B147" t="s">
        <v>103</v>
      </c>
      <c r="C147" s="47">
        <v>1024</v>
      </c>
      <c r="D147">
        <v>8</v>
      </c>
      <c r="E147">
        <v>3.909713643410806E-2</v>
      </c>
      <c r="F147">
        <v>3.7652818045119475E-2</v>
      </c>
      <c r="G147">
        <v>3.328897152317685E-2</v>
      </c>
      <c r="H147" s="54">
        <v>129</v>
      </c>
      <c r="I147" s="54">
        <v>133</v>
      </c>
      <c r="J147" s="54">
        <v>151</v>
      </c>
      <c r="K147" s="47" t="s">
        <v>118</v>
      </c>
      <c r="L147" s="47">
        <v>533504</v>
      </c>
    </row>
    <row r="148" spans="1:12" x14ac:dyDescent="0.45">
      <c r="A148">
        <f ca="1"/>
        <v>128</v>
      </c>
      <c r="B148" t="s">
        <v>104</v>
      </c>
      <c r="C148" s="47">
        <v>1024</v>
      </c>
      <c r="D148">
        <v>8</v>
      </c>
      <c r="E148">
        <v>6.8527932876711259E-2</v>
      </c>
      <c r="F148">
        <v>6.7095161333345463E-2</v>
      </c>
      <c r="G148">
        <v>4.1202611475410614E-2</v>
      </c>
      <c r="H148" s="54">
        <v>73</v>
      </c>
      <c r="I148" s="54">
        <v>75</v>
      </c>
      <c r="J148" s="54">
        <v>122</v>
      </c>
      <c r="K148" s="47" t="s">
        <v>119</v>
      </c>
      <c r="L148" s="47">
        <v>1057792</v>
      </c>
    </row>
    <row r="149" spans="1:12" x14ac:dyDescent="0.45">
      <c r="A149">
        <f ca="1"/>
        <v>256</v>
      </c>
      <c r="B149" t="s">
        <v>105</v>
      </c>
      <c r="C149" s="47">
        <v>1024</v>
      </c>
      <c r="D149">
        <v>8</v>
      </c>
      <c r="E149">
        <v>0.12943471538463386</v>
      </c>
      <c r="F149">
        <v>0.12067578333331073</v>
      </c>
      <c r="G149">
        <v>4.8883220388357518E-2</v>
      </c>
      <c r="H149" s="54">
        <v>39</v>
      </c>
      <c r="I149" s="54">
        <v>42</v>
      </c>
      <c r="J149" s="54">
        <v>103</v>
      </c>
      <c r="K149" s="47" t="s">
        <v>120</v>
      </c>
      <c r="L149" s="47">
        <v>2106368</v>
      </c>
    </row>
    <row r="150" spans="1:12" x14ac:dyDescent="0.45">
      <c r="A150">
        <f ca="1"/>
        <v>512</v>
      </c>
      <c r="B150" t="s">
        <v>106</v>
      </c>
      <c r="C150" s="47">
        <v>1024</v>
      </c>
      <c r="D150">
        <v>8</v>
      </c>
      <c r="E150">
        <v>0.25547054999997271</v>
      </c>
      <c r="F150">
        <v>0.22876205454543774</v>
      </c>
      <c r="G150">
        <v>8.2865080327866936E-2</v>
      </c>
      <c r="H150" s="54">
        <v>20</v>
      </c>
      <c r="I150" s="54">
        <v>22</v>
      </c>
      <c r="J150" s="54">
        <v>61</v>
      </c>
      <c r="K150" s="47" t="s">
        <v>121</v>
      </c>
      <c r="L150" s="47">
        <v>4203520</v>
      </c>
    </row>
    <row r="151" spans="1:12" x14ac:dyDescent="0.45">
      <c r="A151">
        <f ca="1"/>
        <v>1024</v>
      </c>
      <c r="B151" t="s">
        <v>107</v>
      </c>
      <c r="C151" s="47">
        <v>1024</v>
      </c>
      <c r="D151">
        <v>8</v>
      </c>
      <c r="E151">
        <v>0.51128527999990181</v>
      </c>
      <c r="F151">
        <v>0.44841162500006249</v>
      </c>
      <c r="G151">
        <v>0.19417215769233456</v>
      </c>
      <c r="H151" s="54">
        <v>10</v>
      </c>
      <c r="I151" s="54">
        <v>12</v>
      </c>
      <c r="J151" s="54">
        <v>26</v>
      </c>
      <c r="K151" s="47" t="s">
        <v>122</v>
      </c>
      <c r="L151" s="47">
        <v>8397824</v>
      </c>
    </row>
    <row r="152" spans="1:12" x14ac:dyDescent="0.45">
      <c r="A152">
        <f ca="1"/>
        <v>2048</v>
      </c>
      <c r="B152" t="s">
        <v>108</v>
      </c>
      <c r="C152" s="47">
        <v>1024</v>
      </c>
      <c r="D152">
        <v>8</v>
      </c>
      <c r="E152">
        <v>0.98530250000021624</v>
      </c>
      <c r="F152">
        <v>0.8878271166668128</v>
      </c>
      <c r="G152">
        <v>0.58207654444453916</v>
      </c>
      <c r="H152" s="54">
        <v>6</v>
      </c>
      <c r="I152" s="54">
        <v>6</v>
      </c>
      <c r="J152" s="54">
        <v>9</v>
      </c>
      <c r="K152" s="47" t="s">
        <v>123</v>
      </c>
      <c r="L152" s="47">
        <v>16786432</v>
      </c>
    </row>
    <row r="153" spans="1:12" x14ac:dyDescent="0.45">
      <c r="A153">
        <f ca="1"/>
        <v>4096</v>
      </c>
      <c r="B153" t="s">
        <v>109</v>
      </c>
      <c r="C153" s="47">
        <v>1024</v>
      </c>
      <c r="D153">
        <v>8</v>
      </c>
      <c r="E153">
        <v>1.9293865666671384</v>
      </c>
      <c r="F153">
        <v>1.7982287000001331</v>
      </c>
      <c r="G153">
        <v>2.159546833333176</v>
      </c>
      <c r="H153" s="54">
        <v>3</v>
      </c>
      <c r="I153" s="54">
        <v>3</v>
      </c>
      <c r="J153" s="54">
        <v>3</v>
      </c>
      <c r="K153" s="47" t="s">
        <v>124</v>
      </c>
      <c r="L153" s="47">
        <v>33563648</v>
      </c>
    </row>
    <row r="154" spans="1:12" x14ac:dyDescent="0.45">
      <c r="A154">
        <f ca="1"/>
        <v>8192</v>
      </c>
      <c r="B154" t="s">
        <v>110</v>
      </c>
      <c r="C154" s="47">
        <v>1024</v>
      </c>
      <c r="D154">
        <v>8</v>
      </c>
      <c r="E154">
        <v>4.2776761000004626</v>
      </c>
      <c r="F154">
        <v>3.7155519500001901</v>
      </c>
      <c r="G154">
        <v>9.0872770999994827</v>
      </c>
      <c r="H154" s="54">
        <v>2</v>
      </c>
      <c r="I154" s="54">
        <v>2</v>
      </c>
      <c r="J154" s="54">
        <v>1</v>
      </c>
      <c r="K154" s="47" t="s">
        <v>125</v>
      </c>
      <c r="L154" s="47">
        <v>67118080</v>
      </c>
    </row>
    <row r="155" spans="1:12" x14ac:dyDescent="0.45">
      <c r="A155">
        <f ca="1"/>
        <v>16384</v>
      </c>
      <c r="B155" t="s">
        <v>111</v>
      </c>
      <c r="C155" s="47">
        <v>1024</v>
      </c>
      <c r="D155">
        <v>8</v>
      </c>
      <c r="E155">
        <v>8.4546872999999323</v>
      </c>
      <c r="F155">
        <v>7.8420533999997133</v>
      </c>
      <c r="G155">
        <v>53.35228669999924</v>
      </c>
      <c r="H155" s="54">
        <v>1</v>
      </c>
      <c r="I155" s="54">
        <v>1</v>
      </c>
      <c r="J155" s="54">
        <v>1</v>
      </c>
      <c r="K155" s="47" t="s">
        <v>126</v>
      </c>
      <c r="L155" s="47">
        <v>134226944</v>
      </c>
    </row>
    <row r="156" spans="1:12" x14ac:dyDescent="0.45">
      <c r="H156" s="54"/>
      <c r="I156" s="54"/>
      <c r="J156" s="54"/>
    </row>
    <row r="157" spans="1:12" x14ac:dyDescent="0.45">
      <c r="H157" s="54"/>
      <c r="I157" s="54"/>
      <c r="J157" s="54"/>
    </row>
    <row r="158" spans="1:12" x14ac:dyDescent="0.45">
      <c r="H158" s="54"/>
      <c r="I158" s="54"/>
      <c r="J158" s="54"/>
    </row>
    <row r="159" spans="1:12" x14ac:dyDescent="0.45">
      <c r="H159" s="54"/>
      <c r="I159" s="54"/>
      <c r="J159" s="54"/>
    </row>
    <row r="160" spans="1:12" x14ac:dyDescent="0.45">
      <c r="H160" s="54"/>
      <c r="I160" s="54"/>
      <c r="J160" s="54"/>
    </row>
    <row r="161" spans="1:12" x14ac:dyDescent="0.45">
      <c r="H161" s="54"/>
      <c r="I161" s="54"/>
      <c r="J161" s="54"/>
    </row>
    <row r="162" spans="1:12" x14ac:dyDescent="0.45">
      <c r="H162" s="54"/>
      <c r="I162" s="54"/>
      <c r="J162" s="54"/>
    </row>
    <row r="163" spans="1:12" x14ac:dyDescent="0.45">
      <c r="H163" s="54"/>
      <c r="I163" s="54"/>
      <c r="J163" s="54"/>
    </row>
    <row r="164" spans="1:12" x14ac:dyDescent="0.45">
      <c r="H164" s="54"/>
      <c r="I164" s="54"/>
      <c r="J164" s="54"/>
    </row>
    <row r="165" spans="1:12" x14ac:dyDescent="0.45">
      <c r="H165" s="54"/>
      <c r="I165" s="54"/>
      <c r="J165" s="54"/>
    </row>
    <row r="166" spans="1:12" x14ac:dyDescent="0.45">
      <c r="H166" s="54"/>
      <c r="I166" s="54"/>
      <c r="J166" s="54"/>
      <c r="K166" s="10" t="s">
        <v>385</v>
      </c>
    </row>
    <row r="167" spans="1:12" ht="28.5" x14ac:dyDescent="0.45">
      <c r="A167" s="56" t="s">
        <v>387</v>
      </c>
      <c r="B167" s="56" t="s">
        <v>388</v>
      </c>
      <c r="C167" s="56" t="s">
        <v>389</v>
      </c>
      <c r="D167" s="56" t="s">
        <v>390</v>
      </c>
      <c r="E167" s="56" t="s">
        <v>398</v>
      </c>
      <c r="F167" s="56" t="s">
        <v>376</v>
      </c>
      <c r="G167" s="56" t="s">
        <v>377</v>
      </c>
      <c r="H167" s="57" t="s">
        <v>407</v>
      </c>
      <c r="I167" s="57" t="s">
        <v>408</v>
      </c>
      <c r="J167" s="57" t="s">
        <v>409</v>
      </c>
      <c r="K167" s="56" t="s">
        <v>378</v>
      </c>
      <c r="L167" s="56" t="s">
        <v>379</v>
      </c>
    </row>
    <row r="168" spans="1:12" x14ac:dyDescent="0.45">
      <c r="A168">
        <v>3</v>
      </c>
      <c r="B168" t="s">
        <v>199</v>
      </c>
      <c r="C168" s="47">
        <v>1024</v>
      </c>
      <c r="D168">
        <v>8</v>
      </c>
      <c r="E168">
        <v>1.2717566497462593E-2</v>
      </c>
      <c r="F168">
        <v>1.8777289138577114E-2</v>
      </c>
      <c r="G168">
        <v>3.6633002189787107E-2</v>
      </c>
      <c r="H168" s="54">
        <v>394</v>
      </c>
      <c r="I168" s="54">
        <v>267</v>
      </c>
      <c r="J168" s="54">
        <v>137</v>
      </c>
      <c r="K168" s="47" t="s">
        <v>185</v>
      </c>
      <c r="L168" s="47">
        <v>33792</v>
      </c>
    </row>
    <row r="169" spans="1:12" x14ac:dyDescent="0.45">
      <c r="A169">
        <v>4</v>
      </c>
      <c r="B169" t="s">
        <v>200</v>
      </c>
      <c r="C169" s="47">
        <v>1024</v>
      </c>
      <c r="D169">
        <v>8</v>
      </c>
      <c r="E169">
        <v>1.3023545572915888E-2</v>
      </c>
      <c r="F169">
        <v>1.8812364419478426E-2</v>
      </c>
      <c r="G169">
        <v>3.7049154814815632E-2</v>
      </c>
      <c r="H169" s="54">
        <v>384</v>
      </c>
      <c r="I169" s="54">
        <v>267</v>
      </c>
      <c r="J169" s="54">
        <v>135</v>
      </c>
      <c r="K169" s="47" t="s">
        <v>114</v>
      </c>
      <c r="L169" s="47">
        <v>41984</v>
      </c>
    </row>
    <row r="170" spans="1:12" x14ac:dyDescent="0.45">
      <c r="A170">
        <v>6</v>
      </c>
      <c r="B170" t="s">
        <v>201</v>
      </c>
      <c r="C170" s="47">
        <v>1024</v>
      </c>
      <c r="D170">
        <v>8</v>
      </c>
      <c r="E170">
        <v>1.4103126197179836E-2</v>
      </c>
      <c r="F170">
        <v>1.7642682746477924E-2</v>
      </c>
      <c r="G170">
        <v>3.6183048201433955E-2</v>
      </c>
      <c r="H170" s="54">
        <v>355</v>
      </c>
      <c r="I170" s="54">
        <v>284</v>
      </c>
      <c r="J170" s="54">
        <v>139</v>
      </c>
      <c r="K170" s="47" t="s">
        <v>186</v>
      </c>
      <c r="L170" s="47">
        <v>58368</v>
      </c>
    </row>
    <row r="171" spans="1:12" x14ac:dyDescent="0.45">
      <c r="A171">
        <v>10</v>
      </c>
      <c r="B171" t="s">
        <v>202</v>
      </c>
      <c r="C171" s="47">
        <v>1024</v>
      </c>
      <c r="D171">
        <v>8</v>
      </c>
      <c r="E171">
        <v>1.6223575404533324E-2</v>
      </c>
      <c r="F171">
        <v>2.0175442338709656E-2</v>
      </c>
      <c r="G171">
        <v>3.9453239370081654E-2</v>
      </c>
      <c r="H171" s="54">
        <v>309</v>
      </c>
      <c r="I171" s="54">
        <v>248</v>
      </c>
      <c r="J171" s="54">
        <v>127</v>
      </c>
      <c r="K171" s="47" t="s">
        <v>187</v>
      </c>
      <c r="L171" s="47">
        <v>91136</v>
      </c>
    </row>
    <row r="172" spans="1:12" x14ac:dyDescent="0.45">
      <c r="A172">
        <v>18</v>
      </c>
      <c r="B172" t="s">
        <v>203</v>
      </c>
      <c r="C172" s="47">
        <v>1024</v>
      </c>
      <c r="D172">
        <v>8</v>
      </c>
      <c r="E172">
        <v>1.9577109374999679E-2</v>
      </c>
      <c r="F172">
        <v>2.3062459446998727E-2</v>
      </c>
      <c r="G172">
        <v>4.0353445967749361E-2</v>
      </c>
      <c r="H172" s="54">
        <v>256</v>
      </c>
      <c r="I172" s="54">
        <v>217</v>
      </c>
      <c r="J172" s="54">
        <v>124</v>
      </c>
      <c r="K172" s="47" t="s">
        <v>188</v>
      </c>
      <c r="L172" s="47">
        <v>156672</v>
      </c>
    </row>
    <row r="173" spans="1:12" x14ac:dyDescent="0.45">
      <c r="A173">
        <v>34</v>
      </c>
      <c r="B173" t="s">
        <v>204</v>
      </c>
      <c r="C173" s="47">
        <v>1024</v>
      </c>
      <c r="D173">
        <v>8</v>
      </c>
      <c r="E173">
        <v>2.7268639130437332E-2</v>
      </c>
      <c r="F173">
        <v>3.0730895705513874E-2</v>
      </c>
      <c r="G173">
        <v>3.9715022222221057E-2</v>
      </c>
      <c r="H173" s="54">
        <v>184</v>
      </c>
      <c r="I173" s="54">
        <v>163</v>
      </c>
      <c r="J173" s="54">
        <v>126</v>
      </c>
      <c r="K173" s="47" t="s">
        <v>189</v>
      </c>
      <c r="L173" s="47">
        <v>287744</v>
      </c>
    </row>
    <row r="174" spans="1:12" x14ac:dyDescent="0.45">
      <c r="A174">
        <v>66</v>
      </c>
      <c r="B174" t="s">
        <v>205</v>
      </c>
      <c r="C174" s="47">
        <v>1024</v>
      </c>
      <c r="D174">
        <v>8</v>
      </c>
      <c r="E174">
        <v>4.119479180327125E-2</v>
      </c>
      <c r="F174">
        <v>4.4471384070796142E-2</v>
      </c>
      <c r="G174">
        <v>4.0342499999995549E-2</v>
      </c>
      <c r="H174" s="54">
        <v>122</v>
      </c>
      <c r="I174" s="54">
        <v>113</v>
      </c>
      <c r="J174" s="54">
        <v>124</v>
      </c>
      <c r="K174" s="47" t="s">
        <v>190</v>
      </c>
      <c r="L174" s="47">
        <v>549888</v>
      </c>
    </row>
    <row r="175" spans="1:12" x14ac:dyDescent="0.45">
      <c r="A175">
        <v>130</v>
      </c>
      <c r="B175" t="s">
        <v>206</v>
      </c>
      <c r="C175" s="47">
        <v>1024</v>
      </c>
      <c r="D175">
        <v>8</v>
      </c>
      <c r="E175">
        <v>7.354379558824696E-2</v>
      </c>
      <c r="F175">
        <v>7.4068232352949376E-2</v>
      </c>
      <c r="G175">
        <v>4.9613728712873777E-2</v>
      </c>
      <c r="H175" s="54">
        <v>68</v>
      </c>
      <c r="I175" s="54">
        <v>68</v>
      </c>
      <c r="J175" s="54">
        <v>101</v>
      </c>
      <c r="K175" s="47" t="s">
        <v>191</v>
      </c>
      <c r="L175" s="47">
        <v>1074176</v>
      </c>
    </row>
    <row r="176" spans="1:12" x14ac:dyDescent="0.45">
      <c r="A176">
        <v>258</v>
      </c>
      <c r="B176" t="s">
        <v>207</v>
      </c>
      <c r="C176" s="47">
        <v>1024</v>
      </c>
      <c r="D176">
        <v>8</v>
      </c>
      <c r="E176">
        <v>0.12945027948714993</v>
      </c>
      <c r="F176">
        <v>0.130125584615365</v>
      </c>
      <c r="G176">
        <v>5.6333715730350661E-2</v>
      </c>
      <c r="H176" s="54">
        <v>39</v>
      </c>
      <c r="I176" s="54">
        <v>39</v>
      </c>
      <c r="J176" s="54">
        <v>89</v>
      </c>
      <c r="K176" s="47" t="s">
        <v>192</v>
      </c>
      <c r="L176" s="47">
        <v>2122752</v>
      </c>
    </row>
    <row r="177" spans="1:12" x14ac:dyDescent="0.45">
      <c r="A177">
        <v>514</v>
      </c>
      <c r="B177" t="s">
        <v>208</v>
      </c>
      <c r="C177" s="47">
        <v>1024</v>
      </c>
      <c r="D177">
        <v>8</v>
      </c>
      <c r="E177">
        <v>0.24719157142862969</v>
      </c>
      <c r="F177">
        <v>0.23753377727271899</v>
      </c>
      <c r="G177">
        <v>8.3807956666684433E-2</v>
      </c>
      <c r="H177" s="54">
        <v>21</v>
      </c>
      <c r="I177" s="54">
        <v>22</v>
      </c>
      <c r="J177" s="54">
        <v>60</v>
      </c>
      <c r="K177" s="47" t="s">
        <v>193</v>
      </c>
      <c r="L177" s="47">
        <v>4219904</v>
      </c>
    </row>
    <row r="178" spans="1:12" x14ac:dyDescent="0.45">
      <c r="A178">
        <v>1026</v>
      </c>
      <c r="B178" t="s">
        <v>209</v>
      </c>
      <c r="C178" s="47">
        <v>1024</v>
      </c>
      <c r="D178">
        <v>8</v>
      </c>
      <c r="E178">
        <v>0.50626344000011159</v>
      </c>
      <c r="F178">
        <v>0.45456238181809155</v>
      </c>
      <c r="G178">
        <v>0.18886797037042993</v>
      </c>
      <c r="H178" s="54">
        <v>10</v>
      </c>
      <c r="I178" s="54">
        <v>11</v>
      </c>
      <c r="J178" s="54">
        <v>27</v>
      </c>
      <c r="K178" s="47" t="s">
        <v>194</v>
      </c>
      <c r="L178" s="47">
        <v>8414208</v>
      </c>
    </row>
    <row r="179" spans="1:12" x14ac:dyDescent="0.45">
      <c r="A179">
        <v>2050</v>
      </c>
      <c r="B179" t="s">
        <v>210</v>
      </c>
      <c r="C179" s="47">
        <v>1024</v>
      </c>
      <c r="D179">
        <v>8</v>
      </c>
      <c r="E179">
        <v>0.9819684000000658</v>
      </c>
      <c r="F179">
        <v>0.87966298333321902</v>
      </c>
      <c r="G179">
        <v>0.59742733333344711</v>
      </c>
      <c r="H179" s="54">
        <v>6</v>
      </c>
      <c r="I179" s="54">
        <v>6</v>
      </c>
      <c r="J179" s="54">
        <v>9</v>
      </c>
      <c r="K179" s="47" t="s">
        <v>195</v>
      </c>
      <c r="L179" s="47">
        <v>16802816</v>
      </c>
    </row>
    <row r="180" spans="1:12" x14ac:dyDescent="0.45">
      <c r="A180">
        <v>4098</v>
      </c>
      <c r="B180" t="s">
        <v>211</v>
      </c>
      <c r="C180" s="47">
        <v>1024</v>
      </c>
      <c r="D180">
        <v>8</v>
      </c>
      <c r="E180">
        <v>1.9549785666670989</v>
      </c>
      <c r="F180">
        <v>1.7441486999996414</v>
      </c>
      <c r="G180">
        <v>2.0770916666666985</v>
      </c>
      <c r="H180" s="54">
        <v>3</v>
      </c>
      <c r="I180" s="54">
        <v>3</v>
      </c>
      <c r="J180" s="54">
        <v>3</v>
      </c>
      <c r="K180" s="47" t="s">
        <v>196</v>
      </c>
      <c r="L180" s="47">
        <v>33580032</v>
      </c>
    </row>
    <row r="181" spans="1:12" x14ac:dyDescent="0.45">
      <c r="A181">
        <v>8194</v>
      </c>
      <c r="B181" t="s">
        <v>212</v>
      </c>
      <c r="C181" s="47">
        <v>1024</v>
      </c>
      <c r="D181">
        <v>8</v>
      </c>
      <c r="E181">
        <v>4.2433115999992879</v>
      </c>
      <c r="F181">
        <v>3.8600196500001402</v>
      </c>
      <c r="G181">
        <v>9.3040644000011525</v>
      </c>
      <c r="H181" s="54">
        <v>2</v>
      </c>
      <c r="I181" s="54">
        <v>2</v>
      </c>
      <c r="J181" s="54">
        <v>1</v>
      </c>
      <c r="K181" s="47" t="s">
        <v>197</v>
      </c>
      <c r="L181" s="47">
        <v>67134464</v>
      </c>
    </row>
    <row r="182" spans="1:12" x14ac:dyDescent="0.45">
      <c r="A182">
        <v>16386</v>
      </c>
      <c r="B182" t="s">
        <v>213</v>
      </c>
      <c r="C182" s="47">
        <v>1024</v>
      </c>
      <c r="D182">
        <v>8</v>
      </c>
      <c r="E182">
        <v>8.7412566000002698</v>
      </c>
      <c r="F182">
        <v>8.021360900000218</v>
      </c>
      <c r="G182">
        <v>53.964022800000748</v>
      </c>
      <c r="H182" s="54">
        <v>1</v>
      </c>
      <c r="I182" s="54">
        <v>1</v>
      </c>
      <c r="J182" s="54">
        <v>1</v>
      </c>
      <c r="K182" s="47" t="s">
        <v>198</v>
      </c>
      <c r="L182" s="47">
        <v>134243328</v>
      </c>
    </row>
    <row r="183" spans="1:12" x14ac:dyDescent="0.45">
      <c r="H183" s="54"/>
      <c r="I183" s="54"/>
      <c r="J183" s="54"/>
    </row>
    <row r="184" spans="1:12" x14ac:dyDescent="0.45">
      <c r="H184" s="54"/>
      <c r="I184" s="54"/>
      <c r="J184" s="54"/>
    </row>
    <row r="185" spans="1:12" x14ac:dyDescent="0.45">
      <c r="H185" s="54"/>
      <c r="I185" s="54"/>
      <c r="J185" s="54"/>
    </row>
    <row r="186" spans="1:12" x14ac:dyDescent="0.45">
      <c r="H186" s="54"/>
      <c r="I186" s="54"/>
      <c r="J186" s="54"/>
    </row>
    <row r="187" spans="1:12" x14ac:dyDescent="0.45">
      <c r="H187" s="54"/>
      <c r="I187" s="54"/>
      <c r="J187" s="54"/>
    </row>
    <row r="188" spans="1:12" x14ac:dyDescent="0.45">
      <c r="H188" s="54"/>
      <c r="I188" s="54"/>
      <c r="J188" s="54"/>
    </row>
    <row r="189" spans="1:12" x14ac:dyDescent="0.45">
      <c r="H189" s="54"/>
      <c r="I189" s="54"/>
      <c r="J189" s="54"/>
    </row>
    <row r="190" spans="1:12" x14ac:dyDescent="0.45">
      <c r="H190" s="54"/>
      <c r="I190" s="54"/>
      <c r="J190" s="54"/>
    </row>
    <row r="191" spans="1:12" x14ac:dyDescent="0.45">
      <c r="H191" s="54"/>
      <c r="I191" s="54"/>
      <c r="J191" s="54"/>
    </row>
    <row r="192" spans="1:12" x14ac:dyDescent="0.45">
      <c r="H192" s="54"/>
      <c r="I192" s="54"/>
      <c r="J192" s="54"/>
    </row>
    <row r="193" spans="8:10" x14ac:dyDescent="0.45">
      <c r="H193" s="54"/>
      <c r="I193" s="54"/>
      <c r="J193" s="54"/>
    </row>
    <row r="194" spans="8:10" x14ac:dyDescent="0.45">
      <c r="H194" s="54"/>
      <c r="I194" s="54"/>
      <c r="J194" s="54"/>
    </row>
    <row r="195" spans="8:10" x14ac:dyDescent="0.45">
      <c r="H195" s="54"/>
      <c r="I195" s="54"/>
      <c r="J195" s="54"/>
    </row>
    <row r="196" spans="8:10" x14ac:dyDescent="0.45">
      <c r="H196" s="54"/>
      <c r="I196" s="54"/>
      <c r="J196" s="54"/>
    </row>
    <row r="197" spans="8:10" x14ac:dyDescent="0.45">
      <c r="H197" s="54"/>
      <c r="I197" s="54"/>
      <c r="J197" s="54"/>
    </row>
    <row r="198" spans="8:10" x14ac:dyDescent="0.45">
      <c r="H198" s="54"/>
      <c r="I198" s="54"/>
      <c r="J198" s="54"/>
    </row>
    <row r="199" spans="8:10" x14ac:dyDescent="0.45">
      <c r="H199" s="54"/>
      <c r="I199" s="54"/>
      <c r="J199" s="54"/>
    </row>
    <row r="200" spans="8:10" x14ac:dyDescent="0.45">
      <c r="H200" s="54"/>
      <c r="I200" s="54"/>
      <c r="J200" s="54"/>
    </row>
    <row r="201" spans="8:10" x14ac:dyDescent="0.45">
      <c r="H201" s="54"/>
      <c r="I201" s="54"/>
      <c r="J201" s="54"/>
    </row>
    <row r="202" spans="8:10" x14ac:dyDescent="0.45">
      <c r="H202" s="54"/>
      <c r="I202" s="54"/>
      <c r="J202" s="54"/>
    </row>
    <row r="203" spans="8:10" x14ac:dyDescent="0.45">
      <c r="H203" s="54"/>
      <c r="I203" s="54"/>
      <c r="J203" s="54"/>
    </row>
    <row r="204" spans="8:10" x14ac:dyDescent="0.45">
      <c r="H204" s="54"/>
      <c r="I204" s="54"/>
      <c r="J204" s="54"/>
    </row>
    <row r="205" spans="8:10" x14ac:dyDescent="0.45">
      <c r="H205" s="54"/>
      <c r="I205" s="54"/>
      <c r="J205" s="54"/>
    </row>
    <row r="206" spans="8:10" x14ac:dyDescent="0.45">
      <c r="H206" s="54"/>
      <c r="I206" s="54"/>
      <c r="J206" s="54"/>
    </row>
    <row r="207" spans="8:10" x14ac:dyDescent="0.45">
      <c r="H207" s="54"/>
      <c r="I207" s="54"/>
      <c r="J207" s="54"/>
    </row>
    <row r="208" spans="8:10" x14ac:dyDescent="0.45">
      <c r="H208" s="54"/>
      <c r="I208" s="54"/>
      <c r="J208" s="54"/>
    </row>
    <row r="209" spans="8:10" x14ac:dyDescent="0.45">
      <c r="H209" s="54"/>
      <c r="I209" s="54"/>
      <c r="J209" s="54"/>
    </row>
    <row r="210" spans="8:10" x14ac:dyDescent="0.45">
      <c r="H210" s="54"/>
      <c r="I210" s="54"/>
      <c r="J210" s="54"/>
    </row>
    <row r="211" spans="8:10" x14ac:dyDescent="0.45">
      <c r="H211" s="54"/>
      <c r="I211" s="54"/>
      <c r="J211" s="54"/>
    </row>
    <row r="212" spans="8:10" x14ac:dyDescent="0.45">
      <c r="H212" s="54"/>
      <c r="I212" s="54"/>
      <c r="J212" s="54"/>
    </row>
    <row r="213" spans="8:10" x14ac:dyDescent="0.45">
      <c r="H213" s="54"/>
      <c r="I213" s="54"/>
      <c r="J213" s="54"/>
    </row>
    <row r="214" spans="8:10" x14ac:dyDescent="0.45">
      <c r="H214" s="54"/>
      <c r="I214" s="54"/>
      <c r="J214" s="54"/>
    </row>
    <row r="215" spans="8:10" x14ac:dyDescent="0.45">
      <c r="H215" s="54"/>
      <c r="I215" s="54"/>
      <c r="J215" s="54"/>
    </row>
    <row r="216" spans="8:10" x14ac:dyDescent="0.45">
      <c r="H216" s="54"/>
      <c r="I216" s="54"/>
      <c r="J216" s="54"/>
    </row>
    <row r="217" spans="8:10" x14ac:dyDescent="0.45">
      <c r="H217" s="54"/>
      <c r="I217" s="54"/>
      <c r="J217" s="5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Chart">
                <anchor moveWithCells="1" sizeWithCells="1">
                  <from>
                    <xdr:col>4</xdr:col>
                    <xdr:colOff>352425</xdr:colOff>
                    <xdr:row>0</xdr:row>
                    <xdr:rowOff>114300</xdr:rowOff>
                  </from>
                  <to>
                    <xdr:col>5</xdr:col>
                    <xdr:colOff>647700</xdr:colOff>
                    <xdr:row>2</xdr:row>
                    <xdr:rowOff>114300</xdr:rowOff>
                  </to>
                </anchor>
              </controlPr>
            </control>
          </mc:Choice>
        </mc:AlternateContent>
        <mc:AlternateContent xmlns:mc="http://schemas.openxmlformats.org/markup-compatibility/2006">
          <mc:Choice Requires="x14">
            <control shapeId="11266" r:id="rId5"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35"/>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39</v>
      </c>
      <c r="U3" s="18" t="s">
        <v>51</v>
      </c>
    </row>
    <row r="4" spans="2:21" x14ac:dyDescent="0.45">
      <c r="I4" s="37"/>
      <c r="U4" s="30" t="s">
        <v>52</v>
      </c>
    </row>
    <row r="5" spans="2:21" x14ac:dyDescent="0.45">
      <c r="B5" s="2" t="s">
        <v>3</v>
      </c>
      <c r="C5" s="6" t="s">
        <v>4</v>
      </c>
      <c r="D5" s="63" t="s">
        <v>5</v>
      </c>
      <c r="E5" s="3" t="s">
        <v>6</v>
      </c>
      <c r="F5" s="8" t="s">
        <v>7</v>
      </c>
      <c r="I5" t="s">
        <v>40</v>
      </c>
      <c r="U5" s="30" t="s">
        <v>53</v>
      </c>
    </row>
    <row r="6" spans="2:21" x14ac:dyDescent="0.45">
      <c r="B6" s="62">
        <v>23</v>
      </c>
      <c r="C6" s="11">
        <v>44420</v>
      </c>
      <c r="D6" s="64">
        <v>0.80428240740729962</v>
      </c>
      <c r="E6" s="12" t="s">
        <v>8</v>
      </c>
      <c r="F6" s="13" t="s">
        <v>432</v>
      </c>
      <c r="I6" t="s">
        <v>41</v>
      </c>
    </row>
    <row r="7" spans="2:21" x14ac:dyDescent="0.45">
      <c r="B7" s="60">
        <v>22</v>
      </c>
      <c r="C7" s="11">
        <v>44420</v>
      </c>
      <c r="D7" s="64">
        <v>0.74781249999796273</v>
      </c>
      <c r="E7" s="12" t="s">
        <v>8</v>
      </c>
      <c r="F7" s="14" t="s">
        <v>426</v>
      </c>
      <c r="I7" s="37"/>
    </row>
    <row r="8" spans="2:21" x14ac:dyDescent="0.45">
      <c r="B8" s="60">
        <v>21</v>
      </c>
      <c r="C8" s="11">
        <v>44419</v>
      </c>
      <c r="D8" s="64">
        <v>0.98854166666569654</v>
      </c>
      <c r="E8" s="12" t="s">
        <v>8</v>
      </c>
      <c r="F8" s="13" t="s">
        <v>415</v>
      </c>
      <c r="I8" s="37"/>
    </row>
    <row r="9" spans="2:21" x14ac:dyDescent="0.45">
      <c r="B9" s="60">
        <v>20</v>
      </c>
      <c r="C9" s="11">
        <v>44419</v>
      </c>
      <c r="D9" s="64">
        <v>0.98135416666627862</v>
      </c>
      <c r="E9" s="12" t="s">
        <v>8</v>
      </c>
      <c r="F9" s="13" t="s">
        <v>414</v>
      </c>
      <c r="I9" s="37"/>
    </row>
    <row r="10" spans="2:21" x14ac:dyDescent="0.45">
      <c r="B10" s="60">
        <v>19</v>
      </c>
      <c r="C10" s="11">
        <v>44419</v>
      </c>
      <c r="D10" s="64">
        <v>0.82271990740991896</v>
      </c>
      <c r="E10" s="12" t="s">
        <v>8</v>
      </c>
      <c r="F10" s="13" t="s">
        <v>410</v>
      </c>
      <c r="I10" s="37"/>
    </row>
    <row r="11" spans="2:21" x14ac:dyDescent="0.45">
      <c r="B11" s="60">
        <v>18</v>
      </c>
      <c r="C11" s="11">
        <v>44419</v>
      </c>
      <c r="D11" s="64">
        <v>0.73975694444379769</v>
      </c>
      <c r="E11" s="12" t="s">
        <v>8</v>
      </c>
      <c r="F11" s="13" t="s">
        <v>406</v>
      </c>
      <c r="I11" s="43"/>
    </row>
    <row r="12" spans="2:21" x14ac:dyDescent="0.45">
      <c r="B12" s="60">
        <v>17</v>
      </c>
      <c r="C12" s="11">
        <v>44419</v>
      </c>
      <c r="D12" s="64">
        <v>0.708356481482042</v>
      </c>
      <c r="E12" s="12" t="s">
        <v>8</v>
      </c>
      <c r="F12" s="13" t="s">
        <v>402</v>
      </c>
      <c r="I12" s="43"/>
    </row>
    <row r="13" spans="2:21" x14ac:dyDescent="0.45">
      <c r="B13" s="60">
        <v>16</v>
      </c>
      <c r="C13" s="11">
        <v>44419</v>
      </c>
      <c r="D13" s="64">
        <v>0.51960648148087785</v>
      </c>
      <c r="E13" s="12" t="s">
        <v>8</v>
      </c>
      <c r="F13" s="13" t="s">
        <v>395</v>
      </c>
      <c r="I13" s="37"/>
    </row>
    <row r="14" spans="2:21" x14ac:dyDescent="0.45">
      <c r="B14" s="60">
        <v>15</v>
      </c>
      <c r="C14" s="11">
        <v>44419</v>
      </c>
      <c r="D14" s="64">
        <v>0.49577546296495711</v>
      </c>
      <c r="E14" s="12" t="s">
        <v>8</v>
      </c>
      <c r="F14" s="14" t="s">
        <v>394</v>
      </c>
      <c r="I14" s="37"/>
    </row>
    <row r="15" spans="2:21" x14ac:dyDescent="0.45">
      <c r="B15" s="60">
        <v>14</v>
      </c>
      <c r="C15" s="11">
        <v>44419</v>
      </c>
      <c r="D15" s="64">
        <v>0.49174768518423662</v>
      </c>
      <c r="E15" s="12" t="s">
        <v>8</v>
      </c>
      <c r="F15" s="13" t="s">
        <v>393</v>
      </c>
      <c r="I15" s="43"/>
    </row>
    <row r="16" spans="2:21" x14ac:dyDescent="0.45">
      <c r="B16" s="60">
        <v>13</v>
      </c>
      <c r="C16" s="11">
        <v>44419</v>
      </c>
      <c r="D16" s="64">
        <v>0.49034722222131677</v>
      </c>
      <c r="E16" s="12" t="s">
        <v>8</v>
      </c>
      <c r="F16" s="13" t="s">
        <v>392</v>
      </c>
      <c r="I16" s="43"/>
    </row>
    <row r="17" spans="2:9" x14ac:dyDescent="0.45">
      <c r="B17" s="60">
        <v>12</v>
      </c>
      <c r="C17" s="11">
        <v>44419</v>
      </c>
      <c r="D17" s="64">
        <v>0.48190972222073469</v>
      </c>
      <c r="E17" s="12" t="s">
        <v>8</v>
      </c>
      <c r="F17" s="13" t="s">
        <v>391</v>
      </c>
      <c r="I17" s="43"/>
    </row>
    <row r="18" spans="2:9" x14ac:dyDescent="0.45">
      <c r="B18" s="60">
        <v>11</v>
      </c>
      <c r="C18" s="11">
        <v>44418</v>
      </c>
      <c r="D18" s="64">
        <v>0.95467592592467554</v>
      </c>
      <c r="E18" s="12" t="s">
        <v>8</v>
      </c>
      <c r="F18" s="14" t="s">
        <v>386</v>
      </c>
      <c r="I18" s="43"/>
    </row>
    <row r="19" spans="2:9" x14ac:dyDescent="0.45">
      <c r="B19" s="60">
        <v>10</v>
      </c>
      <c r="C19" s="11">
        <v>44418</v>
      </c>
      <c r="D19" s="64">
        <v>0.73436342592322035</v>
      </c>
      <c r="E19" s="12" t="s">
        <v>8</v>
      </c>
      <c r="F19" s="14" t="s">
        <v>375</v>
      </c>
      <c r="I19" s="37"/>
    </row>
    <row r="20" spans="2:9" x14ac:dyDescent="0.45">
      <c r="B20" s="60">
        <v>9</v>
      </c>
      <c r="C20" s="11">
        <v>44417</v>
      </c>
      <c r="D20" s="64">
        <v>0.54605324073781958</v>
      </c>
      <c r="E20" s="12" t="s">
        <v>8</v>
      </c>
      <c r="F20" s="13" t="s">
        <v>374</v>
      </c>
      <c r="I20" s="37"/>
    </row>
    <row r="21" spans="2:9" x14ac:dyDescent="0.45">
      <c r="B21" s="60">
        <v>8</v>
      </c>
      <c r="C21" s="11">
        <v>44416</v>
      </c>
      <c r="D21" s="64">
        <v>0.54939814814861165</v>
      </c>
      <c r="E21" s="12" t="s">
        <v>8</v>
      </c>
      <c r="F21" s="13" t="s">
        <v>223</v>
      </c>
      <c r="I21" s="43"/>
    </row>
    <row r="22" spans="2:9" x14ac:dyDescent="0.45">
      <c r="B22" s="60">
        <v>7</v>
      </c>
      <c r="C22" s="11">
        <v>44415</v>
      </c>
      <c r="D22" s="64">
        <v>0.96137731481576338</v>
      </c>
      <c r="E22" s="12" t="s">
        <v>8</v>
      </c>
      <c r="F22" s="13" t="s">
        <v>215</v>
      </c>
    </row>
    <row r="23" spans="2:9" x14ac:dyDescent="0.45">
      <c r="B23" s="60">
        <v>6</v>
      </c>
      <c r="C23" s="11">
        <v>44414</v>
      </c>
      <c r="D23" s="64">
        <v>0.66607638888672227</v>
      </c>
      <c r="E23" s="12" t="s">
        <v>8</v>
      </c>
      <c r="F23" s="14" t="s">
        <v>142</v>
      </c>
    </row>
    <row r="24" spans="2:9" x14ac:dyDescent="0.45">
      <c r="B24" s="60">
        <v>5</v>
      </c>
      <c r="C24" s="11">
        <v>44412</v>
      </c>
      <c r="D24" s="64">
        <v>0.34912037036701804</v>
      </c>
      <c r="E24" s="12" t="s">
        <v>8</v>
      </c>
      <c r="F24" s="14" t="s">
        <v>55</v>
      </c>
    </row>
    <row r="25" spans="2:9" x14ac:dyDescent="0.45">
      <c r="B25" s="60">
        <v>4</v>
      </c>
      <c r="C25" s="11">
        <v>44411</v>
      </c>
      <c r="D25" s="64">
        <v>0.37682870370190358</v>
      </c>
      <c r="E25" s="12" t="s">
        <v>8</v>
      </c>
      <c r="F25" s="13" t="s">
        <v>50</v>
      </c>
    </row>
    <row r="26" spans="2:9" x14ac:dyDescent="0.45">
      <c r="B26" s="60">
        <v>3</v>
      </c>
      <c r="C26" s="11">
        <v>44406</v>
      </c>
      <c r="D26" s="64">
        <v>0.59842592592758592</v>
      </c>
      <c r="E26" s="12" t="s">
        <v>8</v>
      </c>
      <c r="F26" s="13" t="s">
        <v>11</v>
      </c>
    </row>
    <row r="27" spans="2:9" x14ac:dyDescent="0.45">
      <c r="B27" s="60">
        <v>2</v>
      </c>
      <c r="C27" s="11">
        <v>44406</v>
      </c>
      <c r="D27" s="64">
        <v>0.57677083333692281</v>
      </c>
      <c r="E27" s="12" t="s">
        <v>8</v>
      </c>
      <c r="F27" s="14" t="s">
        <v>10</v>
      </c>
      <c r="I27" s="18"/>
    </row>
    <row r="28" spans="2:9" x14ac:dyDescent="0.45">
      <c r="B28" s="4">
        <v>1</v>
      </c>
      <c r="C28" s="7">
        <v>44400</v>
      </c>
      <c r="D28" s="65">
        <v>0.58872685184906004</v>
      </c>
      <c r="E28" s="5" t="s">
        <v>8</v>
      </c>
      <c r="F28" s="9" t="s">
        <v>9</v>
      </c>
    </row>
    <row r="33" spans="9:9" x14ac:dyDescent="0.45">
      <c r="I33" s="37"/>
    </row>
    <row r="34" spans="9:9" x14ac:dyDescent="0.45">
      <c r="I34" s="37"/>
    </row>
    <row r="35" spans="9:9" x14ac:dyDescent="0.45">
      <c r="I35" s="37"/>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BD4D-4701-442D-AB7F-9E9888781DC4}">
  <sheetPr codeName="Sheet2"/>
  <dimension ref="A1:Q61"/>
  <sheetViews>
    <sheetView showGridLines="0" showRowColHeaders="0" workbookViewId="0"/>
  </sheetViews>
  <sheetFormatPr defaultRowHeight="14.25" x14ac:dyDescent="0.45"/>
  <cols>
    <col min="3" max="3" width="100.796875" bestFit="1" customWidth="1"/>
    <col min="5" max="5" width="38.73046875" bestFit="1" customWidth="1"/>
    <col min="8" max="8" width="17.19921875" bestFit="1" customWidth="1"/>
  </cols>
  <sheetData>
    <row r="1" spans="1:14" x14ac:dyDescent="0.45">
      <c r="E1" t="s">
        <v>275</v>
      </c>
      <c r="F1" s="10" t="s">
        <v>276</v>
      </c>
      <c r="G1" t="s">
        <v>277</v>
      </c>
    </row>
    <row r="2" spans="1:14" x14ac:dyDescent="0.45">
      <c r="C2" t="str" cm="1">
        <f t="array" aca="1" ref="C2" ca="1">INDEX(C4:C54,D2,1)</f>
        <v>C:\Users\phili\Downloads\VBA-CSV-interface\testing\tests\Unquoted field with quotes at end of field.csv</v>
      </c>
      <c r="D2" s="45">
        <v>50</v>
      </c>
      <c r="E2" t="b" cm="1">
        <f t="array" aca="1" ref="E2" ca="1">[1]!sArraysIdentical(CSVRead_V1(C2),CSVRead_V2(C2))</f>
        <v>1</v>
      </c>
      <c r="F2" t="b" cm="1">
        <f t="array" aca="1" ref="F2" ca="1">[1]!sArraysIdentical(CSVRead_V1(C2),CSVRead_sdkn104(C2,FALSE))</f>
        <v>0</v>
      </c>
      <c r="G2" t="b" cm="1">
        <f t="array" aca="1" ref="G2" ca="1">[1]!sArraysIdentical(_xlfn.ANCHORARRAY(D43),_xlfn.ANCHORARRAY(D26))</f>
        <v>0</v>
      </c>
    </row>
    <row r="4" spans="1:14" x14ac:dyDescent="0.45">
      <c r="A4" cm="1">
        <f t="array" aca="1" ref="A4" ca="1">SUM(LEN(CSVRead_V2(C4,FALSE,FALSE)))-SUM(LEN(SUBSTITUTE(CSVRead_V2(C4,FALSE,FALSE),"""","")))</f>
        <v>0</v>
      </c>
      <c r="B4" cm="1">
        <f t="array" aca="1" ref="B4:B54" ca="1">_xlfn.SEQUENCE(ROWS(C4:C54))</f>
        <v>1</v>
      </c>
      <c r="C4" s="44" t="s">
        <v>224</v>
      </c>
      <c r="H4" s="22"/>
    </row>
    <row r="5" spans="1:14" x14ac:dyDescent="0.45">
      <c r="A5" cm="1">
        <f t="array" aca="1" ref="A5" ca="1">SUM(LEN(CSVRead_V2(C5,FALSE,FALSE)))-SUM(LEN(SUBSTITUTE(CSVRead_V2(C5,FALSE,FALSE),"""","")))</f>
        <v>0</v>
      </c>
      <c r="B5">
        <f ca="1"/>
        <v>2</v>
      </c>
      <c r="C5" s="44" t="s">
        <v>225</v>
      </c>
    </row>
    <row r="6" spans="1:14" x14ac:dyDescent="0.45">
      <c r="A6" cm="1">
        <f t="array" aca="1" ref="A6" ca="1">SUM(LEN(CSVRead_V2(C6,FALSE,FALSE)))-SUM(LEN(SUBSTITUTE(CSVRead_V2(C6,FALSE,FALSE),"""","")))</f>
        <v>0</v>
      </c>
      <c r="B6">
        <f ca="1"/>
        <v>3</v>
      </c>
      <c r="C6" s="44" t="s">
        <v>226</v>
      </c>
      <c r="D6" t="str">
        <f ca="1">_xlfn.FORMULATEXT(D7)</f>
        <v>=CSVRead_V2(B2,FALSE,FALSE)</v>
      </c>
    </row>
    <row r="7" spans="1:14" x14ac:dyDescent="0.45">
      <c r="A7">
        <f t="array" aca="1" ref="A7" ca="1">SUM(LEN(CSVRead_V2(C7,FALSE,FALSE)))-SUM(LEN(SUBSTITUTE(CSVRead_V2(C7,FALSE,FALSE),"""","")))</f>
        <v>0</v>
      </c>
      <c r="B7">
        <f ca="1"/>
        <v>4</v>
      </c>
      <c r="C7" s="44" t="s">
        <v>227</v>
      </c>
      <c r="D7" t="str" cm="1">
        <f t="array" aca="1" ref="D7" ca="1">CSVRead_V2(C2,FALSE,FALSE)</f>
        <v>A,B",C</v>
      </c>
    </row>
    <row r="8" spans="1:14" x14ac:dyDescent="0.45">
      <c r="A8" cm="1">
        <f t="array" aca="1" ref="A8" ca="1">SUM(LEN(CSVRead_V2(C8,FALSE,FALSE)))-SUM(LEN(SUBSTITUTE(CSVRead_V2(C8,FALSE,FALSE),"""","")))</f>
        <v>0</v>
      </c>
      <c r="B8">
        <f ca="1"/>
        <v>5</v>
      </c>
      <c r="C8" s="44" t="s">
        <v>228</v>
      </c>
    </row>
    <row r="9" spans="1:14" x14ac:dyDescent="0.45">
      <c r="A9" cm="1">
        <f t="array" aca="1" ref="A9" ca="1">SUM(LEN(CSVRead_V2(C9,FALSE,FALSE)))-SUM(LEN(SUBSTITUTE(CSVRead_V2(C9,FALSE,FALSE),"""","")))</f>
        <v>22</v>
      </c>
      <c r="B9">
        <f ca="1"/>
        <v>6</v>
      </c>
      <c r="C9" s="44" t="s">
        <v>229</v>
      </c>
    </row>
    <row r="10" spans="1:14" x14ac:dyDescent="0.45">
      <c r="A10" cm="1">
        <f t="array" aca="1" ref="A10" ca="1">SUM(LEN(CSVRead_V2(C10,FALSE,FALSE)))-SUM(LEN(SUBSTITUTE(CSVRead_V2(C10,FALSE,FALSE),"""","")))</f>
        <v>0</v>
      </c>
      <c r="B10">
        <f ca="1"/>
        <v>7</v>
      </c>
      <c r="C10" s="44" t="s">
        <v>230</v>
      </c>
      <c r="L10" t="b" cm="1">
        <f t="array" aca="1" ref="L10:N10" ca="1">E2:G2</f>
        <v>1</v>
      </c>
      <c r="M10" t="b">
        <f ca="1"/>
        <v>0</v>
      </c>
      <c r="N10" t="b">
        <f ca="1"/>
        <v>0</v>
      </c>
    </row>
    <row r="11" spans="1:14" x14ac:dyDescent="0.45">
      <c r="A11" cm="1">
        <f t="array" aca="1" ref="A11" ca="1">SUM(LEN(CSVRead_V2(C11,FALSE,FALSE)))-SUM(LEN(SUBSTITUTE(CSVRead_V2(C11,FALSE,FALSE),"""","")))</f>
        <v>0</v>
      </c>
      <c r="B11">
        <f ca="1"/>
        <v>8</v>
      </c>
      <c r="C11" s="44" t="s">
        <v>231</v>
      </c>
      <c r="K11" cm="1">
        <f t="array" aca="1" ref="K11:K61" ca="1">_xlfn.SEQUENCE(51)</f>
        <v>1</v>
      </c>
    </row>
    <row r="12" spans="1:14" x14ac:dyDescent="0.45">
      <c r="A12" cm="1">
        <f t="array" aca="1" ref="A12" ca="1">SUM(LEN(CSVRead_V2(C12,FALSE,FALSE)))-SUM(LEN(SUBSTITUTE(CSVRead_V2(C12,FALSE,FALSE),"""","")))</f>
        <v>0</v>
      </c>
      <c r="B12">
        <f ca="1"/>
        <v>9</v>
      </c>
      <c r="C12" s="44" t="s">
        <v>232</v>
      </c>
      <c r="K12">
        <f ca="1"/>
        <v>2</v>
      </c>
    </row>
    <row r="13" spans="1:14" x14ac:dyDescent="0.45">
      <c r="A13" cm="1">
        <f t="array" aca="1" ref="A13" ca="1">SUM(LEN(CSVRead_V2(C13,FALSE,FALSE)))-SUM(LEN(SUBSTITUTE(CSVRead_V2(C13,FALSE,FALSE),"""","")))</f>
        <v>0</v>
      </c>
      <c r="B13">
        <f ca="1"/>
        <v>10</v>
      </c>
      <c r="C13" s="44" t="s">
        <v>233</v>
      </c>
      <c r="K13">
        <f ca="1"/>
        <v>3</v>
      </c>
    </row>
    <row r="14" spans="1:14" x14ac:dyDescent="0.45">
      <c r="A14" cm="1">
        <f t="array" aca="1" ref="A14" ca="1">SUM(LEN(CSVRead_V2(C14,FALSE,FALSE)))-SUM(LEN(SUBSTITUTE(CSVRead_V2(C14,FALSE,FALSE),"""","")))</f>
        <v>0</v>
      </c>
      <c r="B14">
        <f ca="1"/>
        <v>11</v>
      </c>
      <c r="C14" s="44" t="s">
        <v>234</v>
      </c>
      <c r="K14">
        <f ca="1"/>
        <v>4</v>
      </c>
    </row>
    <row r="15" spans="1:14" x14ac:dyDescent="0.45">
      <c r="A15" cm="1">
        <f t="array" aca="1" ref="A15" ca="1">SUM(LEN(CSVRead_V2(C15,FALSE,FALSE)))-SUM(LEN(SUBSTITUTE(CSVRead_V2(C15,FALSE,FALSE),"""","")))</f>
        <v>0</v>
      </c>
      <c r="B15">
        <f ca="1"/>
        <v>12</v>
      </c>
      <c r="C15" s="44" t="s">
        <v>235</v>
      </c>
      <c r="D15" t="str">
        <f ca="1">_xlfn.FORMULATEXT(D16)</f>
        <v>=CSVRead_V1(B2)</v>
      </c>
      <c r="E15" s="46"/>
      <c r="K15">
        <f ca="1"/>
        <v>5</v>
      </c>
    </row>
    <row r="16" spans="1:14" x14ac:dyDescent="0.45">
      <c r="A16" cm="1">
        <f t="array" aca="1" ref="A16" ca="1">SUM(LEN(CSVRead_V2(C16,FALSE,FALSE)))-SUM(LEN(SUBSTITUTE(CSVRead_V2(C16,FALSE,FALSE),"""","")))</f>
        <v>0</v>
      </c>
      <c r="B16">
        <f ca="1"/>
        <v>13</v>
      </c>
      <c r="C16" s="44" t="s">
        <v>236</v>
      </c>
      <c r="D16" t="str" cm="1">
        <f t="array" aca="1" ref="D16:E16" ca="1">CSVRead_V1(C2)</f>
        <v>A</v>
      </c>
      <c r="E16" t="str">
        <f ca="1"/>
        <v>B",C</v>
      </c>
      <c r="K16">
        <f ca="1"/>
        <v>6</v>
      </c>
    </row>
    <row r="17" spans="1:17" x14ac:dyDescent="0.45">
      <c r="A17" cm="1">
        <f t="array" aca="1" ref="A17" ca="1">SUM(LEN(CSVRead_V2(C17,FALSE,FALSE)))-SUM(LEN(SUBSTITUTE(CSVRead_V2(C17,FALSE,FALSE),"""","")))</f>
        <v>12</v>
      </c>
      <c r="B17">
        <f ca="1"/>
        <v>14</v>
      </c>
      <c r="C17" s="44" t="s">
        <v>237</v>
      </c>
      <c r="K17">
        <f ca="1"/>
        <v>7</v>
      </c>
    </row>
    <row r="18" spans="1:17" x14ac:dyDescent="0.45">
      <c r="A18" cm="1">
        <f t="array" aca="1" ref="A18" ca="1">SUM(LEN(CSVRead_V2(C18,FALSE,FALSE)))-SUM(LEN(SUBSTITUTE(CSVRead_V2(C18,FALSE,FALSE),"""","")))</f>
        <v>2</v>
      </c>
      <c r="B18">
        <f ca="1"/>
        <v>15</v>
      </c>
      <c r="C18" s="44" t="s">
        <v>238</v>
      </c>
      <c r="K18">
        <f ca="1"/>
        <v>8</v>
      </c>
      <c r="Q18" t="str" cm="1">
        <f t="array" aca="1" ref="Q18:Q19" ca="1">SUBSTITUTE(CSVRead_V2(C7,FALSE,FALSE),"""","")</f>
        <v>a,true,false</v>
      </c>
    </row>
    <row r="19" spans="1:17" x14ac:dyDescent="0.45">
      <c r="A19" cm="1">
        <f t="array" aca="1" ref="A19" ca="1">SUM(LEN(CSVRead_V2(C19,FALSE,FALSE)))-SUM(LEN(SUBSTITUTE(CSVRead_V2(C19,FALSE,FALSE),"""","")))</f>
        <v>2</v>
      </c>
      <c r="B19">
        <f ca="1"/>
        <v>16</v>
      </c>
      <c r="C19" s="44" t="s">
        <v>239</v>
      </c>
      <c r="K19">
        <f ca="1"/>
        <v>9</v>
      </c>
      <c r="Q19" t="str">
        <f ca="1"/>
        <v># Comment</v>
      </c>
    </row>
    <row r="20" spans="1:17" x14ac:dyDescent="0.45">
      <c r="A20" cm="1">
        <f t="array" aca="1" ref="A20" ca="1">SUM(LEN(CSVRead_V2(C20,FALSE,FALSE)))-SUM(LEN(SUBSTITUTE(CSVRead_V2(C20,FALSE,FALSE),"""","")))</f>
        <v>0</v>
      </c>
      <c r="B20">
        <f ca="1"/>
        <v>17</v>
      </c>
      <c r="C20" s="44" t="s">
        <v>240</v>
      </c>
      <c r="K20">
        <f ca="1"/>
        <v>10</v>
      </c>
    </row>
    <row r="21" spans="1:17" x14ac:dyDescent="0.45">
      <c r="A21" cm="1">
        <f t="array" aca="1" ref="A21" ca="1">SUM(LEN(CSVRead_V2(C21,FALSE,FALSE)))-SUM(LEN(SUBSTITUTE(CSVRead_V2(C21,FALSE,FALSE),"""","")))</f>
        <v>0</v>
      </c>
      <c r="B21">
        <f ca="1"/>
        <v>18</v>
      </c>
      <c r="C21" s="44" t="s">
        <v>241</v>
      </c>
      <c r="K21">
        <f ca="1"/>
        <v>11</v>
      </c>
    </row>
    <row r="22" spans="1:17" x14ac:dyDescent="0.45">
      <c r="A22" cm="1">
        <f t="array" aca="1" ref="A22" ca="1">SUM(LEN(CSVRead_V2(C22,FALSE,FALSE)))-SUM(LEN(SUBSTITUTE(CSVRead_V2(C22,FALSE,FALSE),"""","")))</f>
        <v>0</v>
      </c>
      <c r="B22">
        <f ca="1"/>
        <v>19</v>
      </c>
      <c r="C22" s="44" t="s">
        <v>242</v>
      </c>
      <c r="K22">
        <f ca="1"/>
        <v>12</v>
      </c>
    </row>
    <row r="23" spans="1:17" x14ac:dyDescent="0.45">
      <c r="A23" cm="1">
        <f t="array" aca="1" ref="A23" ca="1">SUM(LEN(CSVRead_V2(C23,FALSE,FALSE)))-SUM(LEN(SUBSTITUTE(CSVRead_V2(C23,FALSE,FALSE),"""","")))</f>
        <v>0</v>
      </c>
      <c r="B23">
        <f ca="1"/>
        <v>20</v>
      </c>
      <c r="C23" s="44" t="s">
        <v>243</v>
      </c>
      <c r="K23">
        <f ca="1"/>
        <v>13</v>
      </c>
    </row>
    <row r="24" spans="1:17" x14ac:dyDescent="0.45">
      <c r="A24" cm="1">
        <f t="array" aca="1" ref="A24" ca="1">SUM(LEN(CSVRead_V2(C24,FALSE,FALSE)))-SUM(LEN(SUBSTITUTE(CSVRead_V2(C24,FALSE,FALSE),"""","")))</f>
        <v>0</v>
      </c>
      <c r="B24">
        <f ca="1"/>
        <v>21</v>
      </c>
      <c r="C24" s="44" t="s">
        <v>244</v>
      </c>
      <c r="K24">
        <f ca="1"/>
        <v>14</v>
      </c>
    </row>
    <row r="25" spans="1:17" x14ac:dyDescent="0.45">
      <c r="A25" cm="1">
        <f t="array" aca="1" ref="A25" ca="1">SUM(LEN(CSVRead_V2(C25,FALSE,FALSE)))-SUM(LEN(SUBSTITUTE(CSVRead_V2(C25,FALSE,FALSE),"""","")))</f>
        <v>6</v>
      </c>
      <c r="B25">
        <f ca="1"/>
        <v>22</v>
      </c>
      <c r="C25" s="44" t="s">
        <v>245</v>
      </c>
      <c r="D25" t="str">
        <f ca="1">_xlfn.FORMULATEXT(D26)</f>
        <v>=CSVRead_V2(B2)</v>
      </c>
      <c r="K25">
        <f ca="1"/>
        <v>15</v>
      </c>
    </row>
    <row r="26" spans="1:17" x14ac:dyDescent="0.45">
      <c r="A26" cm="1">
        <f t="array" aca="1" ref="A26" ca="1">SUM(LEN(CSVRead_V2(C26,FALSE,FALSE)))-SUM(LEN(SUBSTITUTE(CSVRead_V2(C26,FALSE,FALSE),"""","")))</f>
        <v>1</v>
      </c>
      <c r="B26">
        <f ca="1"/>
        <v>23</v>
      </c>
      <c r="C26" s="44" t="s">
        <v>246</v>
      </c>
      <c r="D26" t="str" cm="1">
        <f t="array" aca="1" ref="D26:E26" ca="1">CSVRead_V2(C2)</f>
        <v>A</v>
      </c>
      <c r="E26" t="str">
        <f ca="1"/>
        <v>B",C</v>
      </c>
      <c r="K26">
        <f ca="1"/>
        <v>16</v>
      </c>
    </row>
    <row r="27" spans="1:17" x14ac:dyDescent="0.45">
      <c r="A27" cm="1">
        <f t="array" aca="1" ref="A27" ca="1">SUM(LEN(CSVRead_V2(C27,FALSE,FALSE)))-SUM(LEN(SUBSTITUTE(CSVRead_V2(C27,FALSE,FALSE),"""","")))</f>
        <v>14</v>
      </c>
      <c r="B27">
        <f ca="1"/>
        <v>24</v>
      </c>
      <c r="C27" s="44" t="s">
        <v>247</v>
      </c>
      <c r="K27">
        <f ca="1"/>
        <v>17</v>
      </c>
    </row>
    <row r="28" spans="1:17" x14ac:dyDescent="0.45">
      <c r="A28" cm="1">
        <f t="array" aca="1" ref="A28" ca="1">SUM(LEN(CSVRead_V2(C28,FALSE,FALSE)))-SUM(LEN(SUBSTITUTE(CSVRead_V2(C28,FALSE,FALSE),"""","")))</f>
        <v>2</v>
      </c>
      <c r="B28">
        <f ca="1"/>
        <v>25</v>
      </c>
      <c r="C28" s="44" t="s">
        <v>248</v>
      </c>
      <c r="K28">
        <f ca="1"/>
        <v>18</v>
      </c>
    </row>
    <row r="29" spans="1:17" x14ac:dyDescent="0.45">
      <c r="A29" cm="1">
        <f t="array" aca="1" ref="A29" ca="1">SUM(LEN(CSVRead_V2(C29,FALSE,FALSE)))-SUM(LEN(SUBSTITUTE(CSVRead_V2(C29,FALSE,FALSE),"""","")))</f>
        <v>6</v>
      </c>
      <c r="B29">
        <f ca="1"/>
        <v>26</v>
      </c>
      <c r="C29" s="44" t="s">
        <v>249</v>
      </c>
      <c r="K29">
        <f ca="1"/>
        <v>19</v>
      </c>
    </row>
    <row r="30" spans="1:17" x14ac:dyDescent="0.45">
      <c r="A30" cm="1">
        <f t="array" aca="1" ref="A30" ca="1">SUM(LEN(CSVRead_V2(C30,FALSE,FALSE)))-SUM(LEN(SUBSTITUTE(CSVRead_V2(C30,FALSE,FALSE),"""","")))</f>
        <v>6</v>
      </c>
      <c r="B30">
        <f ca="1"/>
        <v>27</v>
      </c>
      <c r="C30" s="44" t="s">
        <v>250</v>
      </c>
      <c r="K30">
        <f ca="1"/>
        <v>20</v>
      </c>
    </row>
    <row r="31" spans="1:17" x14ac:dyDescent="0.45">
      <c r="A31" cm="1">
        <f t="array" aca="1" ref="A31" ca="1">SUM(LEN(CSVRead_V2(C31,FALSE,FALSE)))-SUM(LEN(SUBSTITUTE(CSVRead_V2(C31,FALSE,FALSE),"""","")))</f>
        <v>2</v>
      </c>
      <c r="B31">
        <f ca="1"/>
        <v>28</v>
      </c>
      <c r="C31" s="44" t="s">
        <v>251</v>
      </c>
      <c r="K31">
        <f ca="1"/>
        <v>21</v>
      </c>
    </row>
    <row r="32" spans="1:17" x14ac:dyDescent="0.45">
      <c r="A32" cm="1">
        <f t="array" aca="1" ref="A32" ca="1">SUM(LEN(CSVRead_V2(C32,FALSE,FALSE)))-SUM(LEN(SUBSTITUTE(CSVRead_V2(C32,FALSE,FALSE),"""","")))</f>
        <v>2</v>
      </c>
      <c r="B32">
        <f ca="1"/>
        <v>29</v>
      </c>
      <c r="C32" s="44" t="s">
        <v>252</v>
      </c>
      <c r="K32">
        <f ca="1"/>
        <v>22</v>
      </c>
    </row>
    <row r="33" spans="1:11" x14ac:dyDescent="0.45">
      <c r="A33" cm="1">
        <f t="array" aca="1" ref="A33" ca="1">SUM(LEN(CSVRead_V2(C33,FALSE,FALSE)))-SUM(LEN(SUBSTITUTE(CSVRead_V2(C33,FALSE,FALSE),"""","")))</f>
        <v>6</v>
      </c>
      <c r="B33">
        <f ca="1"/>
        <v>30</v>
      </c>
      <c r="C33" s="44" t="s">
        <v>253</v>
      </c>
      <c r="K33">
        <f ca="1"/>
        <v>23</v>
      </c>
    </row>
    <row r="34" spans="1:11" x14ac:dyDescent="0.45">
      <c r="A34" cm="1">
        <f t="array" aca="1" ref="A34" ca="1">SUM(LEN(CSVRead_V2(C34,FALSE,FALSE)))-SUM(LEN(SUBSTITUTE(CSVRead_V2(C34,FALSE,FALSE),"""","")))</f>
        <v>4</v>
      </c>
      <c r="B34">
        <f ca="1"/>
        <v>31</v>
      </c>
      <c r="C34" s="44" t="s">
        <v>254</v>
      </c>
      <c r="D34" t="str">
        <f ca="1">_xlfn.FORMULATEXT(D35)</f>
        <v>=CSVRead_sdkn104(B2,FALSE)</v>
      </c>
      <c r="K34">
        <f ca="1"/>
        <v>24</v>
      </c>
    </row>
    <row r="35" spans="1:11" x14ac:dyDescent="0.45">
      <c r="A35" cm="1">
        <f t="array" aca="1" ref="A35" ca="1">SUM(LEN(CSVRead_V2(C35,FALSE,FALSE)))-SUM(LEN(SUBSTITUTE(CSVRead_V2(C35,FALSE,FALSE),"""","")))</f>
        <v>4</v>
      </c>
      <c r="B35">
        <f ca="1"/>
        <v>32</v>
      </c>
      <c r="C35" s="44" t="s">
        <v>255</v>
      </c>
      <c r="D35" cm="1">
        <f t="array" aca="1" ref="D35" ca="1">CSVRead_sdkn104(C2,FALSE)</f>
        <v>0</v>
      </c>
      <c r="K35">
        <f ca="1"/>
        <v>25</v>
      </c>
    </row>
    <row r="36" spans="1:11" x14ac:dyDescent="0.45">
      <c r="A36" cm="1">
        <f t="array" aca="1" ref="A36" ca="1">SUM(LEN(CSVRead_V2(C36,FALSE,FALSE)))-SUM(LEN(SUBSTITUTE(CSVRead_V2(C36,FALSE,FALSE),"""","")))</f>
        <v>4</v>
      </c>
      <c r="B36">
        <f ca="1"/>
        <v>33</v>
      </c>
      <c r="C36" s="44" t="s">
        <v>256</v>
      </c>
      <c r="K36">
        <f ca="1"/>
        <v>26</v>
      </c>
    </row>
    <row r="37" spans="1:11" x14ac:dyDescent="0.45">
      <c r="A37" cm="1">
        <f t="array" aca="1" ref="A37" ca="1">SUM(LEN(CSVRead_V2(C37,FALSE,FALSE)))-SUM(LEN(SUBSTITUTE(CSVRead_V2(C37,FALSE,FALSE),"""","")))</f>
        <v>2</v>
      </c>
      <c r="B37">
        <f ca="1"/>
        <v>34</v>
      </c>
      <c r="C37" s="44" t="s">
        <v>257</v>
      </c>
      <c r="K37">
        <f ca="1"/>
        <v>27</v>
      </c>
    </row>
    <row r="38" spans="1:11" x14ac:dyDescent="0.45">
      <c r="A38" cm="1">
        <f t="array" aca="1" ref="A38" ca="1">SUM(LEN(CSVRead_V2(C38,FALSE,FALSE)))-SUM(LEN(SUBSTITUTE(CSVRead_V2(C38,FALSE,FALSE),"""","")))</f>
        <v>2</v>
      </c>
      <c r="B38">
        <f ca="1"/>
        <v>35</v>
      </c>
      <c r="C38" s="44" t="s">
        <v>258</v>
      </c>
      <c r="K38">
        <f ca="1"/>
        <v>28</v>
      </c>
    </row>
    <row r="39" spans="1:11" x14ac:dyDescent="0.45">
      <c r="A39" cm="1">
        <f t="array" aca="1" ref="A39" ca="1">SUM(LEN(CSVRead_V2(C39,FALSE,FALSE)))-SUM(LEN(SUBSTITUTE(CSVRead_V2(C39,FALSE,FALSE),"""","")))</f>
        <v>2</v>
      </c>
      <c r="B39">
        <f ca="1"/>
        <v>36</v>
      </c>
      <c r="C39" s="44" t="s">
        <v>259</v>
      </c>
      <c r="K39">
        <f ca="1"/>
        <v>29</v>
      </c>
    </row>
    <row r="40" spans="1:11" x14ac:dyDescent="0.45">
      <c r="A40" cm="1">
        <f t="array" aca="1" ref="A40" ca="1">SUM(LEN(CSVRead_V2(C40,FALSE,FALSE)))-SUM(LEN(SUBSTITUTE(CSVRead_V2(C40,FALSE,FALSE),"""","")))</f>
        <v>4</v>
      </c>
      <c r="B40">
        <f ca="1"/>
        <v>37</v>
      </c>
      <c r="C40" s="44" t="s">
        <v>260</v>
      </c>
      <c r="K40">
        <f ca="1"/>
        <v>30</v>
      </c>
    </row>
    <row r="41" spans="1:11" x14ac:dyDescent="0.45">
      <c r="A41" cm="1">
        <f t="array" aca="1" ref="A41" ca="1">SUM(LEN(CSVRead_V2(C41,FALSE,FALSE)))-SUM(LEN(SUBSTITUTE(CSVRead_V2(C41,FALSE,FALSE),"""","")))</f>
        <v>0</v>
      </c>
      <c r="B41">
        <f ca="1"/>
        <v>38</v>
      </c>
      <c r="C41" s="44" t="s">
        <v>261</v>
      </c>
      <c r="K41">
        <f ca="1"/>
        <v>31</v>
      </c>
    </row>
    <row r="42" spans="1:11" x14ac:dyDescent="0.45">
      <c r="A42" cm="1">
        <f t="array" aca="1" ref="A42" ca="1">SUM(LEN(CSVRead_V2(C42,FALSE,FALSE)))-SUM(LEN(SUBSTITUTE(CSVRead_V2(C42,FALSE,FALSE),"""","")))</f>
        <v>0</v>
      </c>
      <c r="B42">
        <f ca="1"/>
        <v>39</v>
      </c>
      <c r="C42" s="44" t="s">
        <v>262</v>
      </c>
      <c r="D42" t="str">
        <f ca="1">_xlfn.FORMULATEXT(D43)</f>
        <v>=CSVRead_ws_garcia(B2,",","Unix")</v>
      </c>
      <c r="K42">
        <f ca="1"/>
        <v>32</v>
      </c>
    </row>
    <row r="43" spans="1:11" x14ac:dyDescent="0.45">
      <c r="A43" cm="1">
        <f t="array" aca="1" ref="A43" ca="1">SUM(LEN(CSVRead_V2(C43,FALSE,FALSE)))-SUM(LEN(SUBSTITUTE(CSVRead_V2(C43,FALSE,FALSE),"""","")))</f>
        <v>0</v>
      </c>
      <c r="B43">
        <f ca="1"/>
        <v>40</v>
      </c>
      <c r="C43" s="44" t="s">
        <v>263</v>
      </c>
      <c r="D43" t="str" cm="1">
        <f t="array" aca="1" ref="D43:F43" ca="1">CSVRead_ws_garcia(C2,",","Unix")</f>
        <v>A</v>
      </c>
      <c r="E43" t="str">
        <f ca="1"/>
        <v>B"</v>
      </c>
      <c r="F43" t="str">
        <f ca="1"/>
        <v>C</v>
      </c>
      <c r="K43">
        <f ca="1"/>
        <v>33</v>
      </c>
    </row>
    <row r="44" spans="1:11" x14ac:dyDescent="0.45">
      <c r="A44" cm="1">
        <f t="array" aca="1" ref="A44" ca="1">SUM(LEN(CSVRead_V2(C44,FALSE,FALSE)))-SUM(LEN(SUBSTITUTE(CSVRead_V2(C44,FALSE,FALSE),"""","")))</f>
        <v>0</v>
      </c>
      <c r="B44">
        <f ca="1"/>
        <v>41</v>
      </c>
      <c r="C44" s="44" t="s">
        <v>264</v>
      </c>
      <c r="K44">
        <f ca="1"/>
        <v>34</v>
      </c>
    </row>
    <row r="45" spans="1:11" x14ac:dyDescent="0.45">
      <c r="A45" cm="1">
        <f t="array" aca="1" ref="A45" ca="1">SUM(LEN(CSVRead_V2(C45,FALSE,FALSE)))-SUM(LEN(SUBSTITUTE(CSVRead_V2(C45,FALSE,FALSE),"""","")))</f>
        <v>0</v>
      </c>
      <c r="B45">
        <f ca="1"/>
        <v>42</v>
      </c>
      <c r="C45" s="44" t="s">
        <v>265</v>
      </c>
      <c r="K45">
        <f ca="1"/>
        <v>35</v>
      </c>
    </row>
    <row r="46" spans="1:11" x14ac:dyDescent="0.45">
      <c r="A46" cm="1">
        <f t="array" aca="1" ref="A46" ca="1">SUM(LEN(CSVRead_V2(C46,FALSE,FALSE)))-SUM(LEN(SUBSTITUTE(CSVRead_V2(C46,FALSE,FALSE),"""","")))</f>
        <v>0</v>
      </c>
      <c r="B46">
        <f ca="1"/>
        <v>43</v>
      </c>
      <c r="C46" s="44" t="s">
        <v>266</v>
      </c>
      <c r="K46">
        <f ca="1"/>
        <v>36</v>
      </c>
    </row>
    <row r="47" spans="1:11" x14ac:dyDescent="0.45">
      <c r="A47" cm="1">
        <f t="array" aca="1" ref="A47" ca="1">SUM(LEN(CSVRead_V2(C47,FALSE,FALSE)))-SUM(LEN(SUBSTITUTE(CSVRead_V2(C47,FALSE,FALSE),"""","")))</f>
        <v>0</v>
      </c>
      <c r="B47">
        <f ca="1"/>
        <v>44</v>
      </c>
      <c r="C47" s="44" t="s">
        <v>267</v>
      </c>
      <c r="K47">
        <f ca="1"/>
        <v>37</v>
      </c>
    </row>
    <row r="48" spans="1:11" x14ac:dyDescent="0.45">
      <c r="A48" cm="1">
        <f t="array" aca="1" ref="A48" ca="1">SUM(LEN(CSVRead_V2(C48,FALSE,FALSE)))-SUM(LEN(SUBSTITUTE(CSVRead_V2(C48,FALSE,FALSE),"""","")))</f>
        <v>155</v>
      </c>
      <c r="B48">
        <f ca="1"/>
        <v>45</v>
      </c>
      <c r="C48" s="44" t="s">
        <v>268</v>
      </c>
      <c r="D48" t="str">
        <f ca="1">_xlfn.FORMULATEXT(D49)</f>
        <v>=sFileShow(C2)</v>
      </c>
      <c r="K48">
        <f ca="1"/>
        <v>38</v>
      </c>
    </row>
    <row r="49" spans="1:11" x14ac:dyDescent="0.45">
      <c r="A49" cm="1">
        <f t="array" aca="1" ref="A49" ca="1">SUM(LEN(CSVRead_V2(C49,FALSE,FALSE)))-SUM(LEN(SUBSTITUTE(CSVRead_V2(C49,FALSE,FALSE),"""","")))</f>
        <v>0</v>
      </c>
      <c r="B49">
        <f ca="1"/>
        <v>46</v>
      </c>
      <c r="C49" s="44" t="s">
        <v>269</v>
      </c>
      <c r="D49" t="str" cm="1">
        <f t="array" aca="1" ref="D49:E49" ca="1">[1]!sFileShow(C2)</f>
        <v>A</v>
      </c>
      <c r="E49" t="str">
        <f ca="1"/>
        <v>B",C</v>
      </c>
      <c r="K49">
        <f ca="1"/>
        <v>39</v>
      </c>
    </row>
    <row r="50" spans="1:11" x14ac:dyDescent="0.45">
      <c r="A50" cm="1">
        <f t="array" aca="1" ref="A50" ca="1">SUM(LEN(CSVRead_V2(C50,FALSE,FALSE)))-SUM(LEN(SUBSTITUTE(CSVRead_V2(C50,FALSE,FALSE),"""","")))</f>
        <v>0</v>
      </c>
      <c r="B50">
        <f ca="1"/>
        <v>47</v>
      </c>
      <c r="C50" s="44" t="s">
        <v>270</v>
      </c>
      <c r="K50">
        <f ca="1"/>
        <v>40</v>
      </c>
    </row>
    <row r="51" spans="1:11" x14ac:dyDescent="0.45">
      <c r="A51" cm="1">
        <f t="array" aca="1" ref="A51" ca="1">SUM(LEN(CSVRead_V2(C51,FALSE,FALSE)))-SUM(LEN(SUBSTITUTE(CSVRead_V2(C51,FALSE,FALSE),"""","")))</f>
        <v>0</v>
      </c>
      <c r="B51">
        <f ca="1"/>
        <v>48</v>
      </c>
      <c r="C51" s="44" t="s">
        <v>271</v>
      </c>
      <c r="K51">
        <f ca="1"/>
        <v>41</v>
      </c>
    </row>
    <row r="52" spans="1:11" x14ac:dyDescent="0.45">
      <c r="A52" cm="1">
        <f t="array" aca="1" ref="A52" ca="1">SUM(LEN(CSVRead_V2(C52,FALSE,FALSE)))-SUM(LEN(SUBSTITUTE(CSVRead_V2(C52,FALSE,FALSE),"""","")))</f>
        <v>0</v>
      </c>
      <c r="B52">
        <f ca="1"/>
        <v>49</v>
      </c>
      <c r="C52" s="44" t="s">
        <v>272</v>
      </c>
      <c r="K52">
        <f ca="1"/>
        <v>42</v>
      </c>
    </row>
    <row r="53" spans="1:11" x14ac:dyDescent="0.45">
      <c r="A53" cm="1">
        <f t="array" aca="1" ref="A53" ca="1">SUM(LEN(CSVRead_V2(C53,FALSE,FALSE)))-SUM(LEN(SUBSTITUTE(CSVRead_V2(C53,FALSE,FALSE),"""","")))</f>
        <v>1</v>
      </c>
      <c r="B53">
        <f ca="1"/>
        <v>50</v>
      </c>
      <c r="C53" s="44" t="s">
        <v>273</v>
      </c>
      <c r="K53">
        <f ca="1"/>
        <v>43</v>
      </c>
    </row>
    <row r="54" spans="1:11" x14ac:dyDescent="0.45">
      <c r="A54" cm="1">
        <f t="array" aca="1" ref="A54" ca="1">SUM(LEN(CSVRead_V2(C54,FALSE,FALSE)))-SUM(LEN(SUBSTITUTE(CSVRead_V2(C54,FALSE,FALSE),"""","")))</f>
        <v>0</v>
      </c>
      <c r="B54">
        <f ca="1"/>
        <v>51</v>
      </c>
      <c r="C54" s="44" t="s">
        <v>274</v>
      </c>
      <c r="K54">
        <f ca="1"/>
        <v>44</v>
      </c>
    </row>
    <row r="55" spans="1:11" x14ac:dyDescent="0.45">
      <c r="K55">
        <f ca="1"/>
        <v>45</v>
      </c>
    </row>
    <row r="56" spans="1:11" x14ac:dyDescent="0.45">
      <c r="K56">
        <f ca="1"/>
        <v>46</v>
      </c>
    </row>
    <row r="57" spans="1:11" x14ac:dyDescent="0.45">
      <c r="K57">
        <f ca="1"/>
        <v>47</v>
      </c>
    </row>
    <row r="58" spans="1:11" x14ac:dyDescent="0.45">
      <c r="K58">
        <f ca="1"/>
        <v>48</v>
      </c>
    </row>
    <row r="59" spans="1:11" x14ac:dyDescent="0.45">
      <c r="K59">
        <f ca="1"/>
        <v>49</v>
      </c>
    </row>
    <row r="60" spans="1:11" x14ac:dyDescent="0.45">
      <c r="K60">
        <f ca="1"/>
        <v>50</v>
      </c>
    </row>
    <row r="61" spans="1:11" x14ac:dyDescent="0.45">
      <c r="K61">
        <f ca="1"/>
        <v>51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0729E-6A87-4D0A-A713-0A120971435D}">
  <sheetPr codeName="Sheet4"/>
  <dimension ref="A5:AA623"/>
  <sheetViews>
    <sheetView showGridLines="0" showRowColHeaders="0" workbookViewId="0"/>
  </sheetViews>
  <sheetFormatPr defaultRowHeight="14.25" x14ac:dyDescent="0.45"/>
  <cols>
    <col min="20" max="20" width="75.1328125" bestFit="1" customWidth="1"/>
  </cols>
  <sheetData>
    <row r="5" spans="4:13" x14ac:dyDescent="0.45">
      <c r="D5" t="s" cm="1">
        <v>291</v>
      </c>
      <c r="E5" t="s">
        <v>292</v>
      </c>
      <c r="F5" t="s">
        <v>293</v>
      </c>
      <c r="G5" t="s">
        <v>294</v>
      </c>
      <c r="H5" t="s">
        <v>295</v>
      </c>
      <c r="I5" t="s">
        <v>296</v>
      </c>
      <c r="J5" t="s">
        <v>297</v>
      </c>
      <c r="K5" t="s">
        <v>298</v>
      </c>
      <c r="L5" t="s">
        <v>299</v>
      </c>
      <c r="M5" t="s">
        <v>300</v>
      </c>
    </row>
    <row r="6" spans="4:13" x14ac:dyDescent="0.45">
      <c r="D6" t="s">
        <v>301</v>
      </c>
      <c r="E6" t="s">
        <v>289</v>
      </c>
      <c r="F6" t="s">
        <v>302</v>
      </c>
      <c r="G6" t="s">
        <v>303</v>
      </c>
      <c r="H6" t="s">
        <v>304</v>
      </c>
      <c r="I6" t="s">
        <v>305</v>
      </c>
      <c r="J6" t="s">
        <v>306</v>
      </c>
      <c r="K6" t="s">
        <v>307</v>
      </c>
      <c r="L6" t="s">
        <v>308</v>
      </c>
      <c r="M6" t="s">
        <v>309</v>
      </c>
    </row>
    <row r="7" spans="4:13" x14ac:dyDescent="0.45">
      <c r="D7" t="s">
        <v>310</v>
      </c>
      <c r="F7" t="s">
        <v>311</v>
      </c>
      <c r="G7" t="s">
        <v>312</v>
      </c>
      <c r="H7" t="s">
        <v>313</v>
      </c>
      <c r="I7" t="s">
        <v>314</v>
      </c>
      <c r="J7" t="s">
        <v>315</v>
      </c>
      <c r="K7" t="s">
        <v>316</v>
      </c>
      <c r="L7" t="s">
        <v>317</v>
      </c>
      <c r="M7" t="s">
        <v>318</v>
      </c>
    </row>
    <row r="8" spans="4:13" x14ac:dyDescent="0.45">
      <c r="D8" t="s">
        <v>319</v>
      </c>
      <c r="E8" t="s">
        <v>320</v>
      </c>
      <c r="F8" t="s">
        <v>321</v>
      </c>
      <c r="G8" t="s">
        <v>322</v>
      </c>
      <c r="H8" t="s">
        <v>323</v>
      </c>
      <c r="I8" t="s">
        <v>324</v>
      </c>
      <c r="J8" t="s">
        <v>325</v>
      </c>
      <c r="K8" t="s">
        <v>326</v>
      </c>
      <c r="L8" t="s">
        <v>327</v>
      </c>
      <c r="M8" t="s">
        <v>328</v>
      </c>
    </row>
    <row r="9" spans="4:13" x14ac:dyDescent="0.45">
      <c r="D9" t="s">
        <v>56</v>
      </c>
      <c r="E9" t="s">
        <v>329</v>
      </c>
      <c r="F9" t="s">
        <v>330</v>
      </c>
      <c r="G9" t="s">
        <v>331</v>
      </c>
      <c r="H9" t="s">
        <v>332</v>
      </c>
      <c r="I9" t="s">
        <v>333</v>
      </c>
      <c r="J9" t="s">
        <v>334</v>
      </c>
      <c r="K9" t="s">
        <v>335</v>
      </c>
      <c r="L9" t="s">
        <v>336</v>
      </c>
      <c r="M9" t="s">
        <v>337</v>
      </c>
    </row>
    <row r="10" spans="4:13" x14ac:dyDescent="0.45">
      <c r="D10" t="s">
        <v>338</v>
      </c>
      <c r="E10" t="s">
        <v>339</v>
      </c>
      <c r="F10" t="s">
        <v>340</v>
      </c>
      <c r="G10" t="s">
        <v>341</v>
      </c>
      <c r="H10" t="s">
        <v>342</v>
      </c>
      <c r="I10" t="s">
        <v>343</v>
      </c>
      <c r="J10" t="s">
        <v>344</v>
      </c>
      <c r="K10" t="s">
        <v>345</v>
      </c>
      <c r="L10" t="s">
        <v>346</v>
      </c>
      <c r="M10" t="s">
        <v>347</v>
      </c>
    </row>
    <row r="11" spans="4:13" x14ac:dyDescent="0.45">
      <c r="D11" t="s">
        <v>348</v>
      </c>
      <c r="E11" t="s">
        <v>349</v>
      </c>
      <c r="F11" t="s">
        <v>350</v>
      </c>
      <c r="G11" t="s">
        <v>351</v>
      </c>
      <c r="H11" t="s">
        <v>278</v>
      </c>
      <c r="I11" t="s">
        <v>279</v>
      </c>
      <c r="J11" t="s">
        <v>280</v>
      </c>
      <c r="K11" t="s">
        <v>281</v>
      </c>
      <c r="L11" t="s">
        <v>282</v>
      </c>
      <c r="M11" t="s">
        <v>283</v>
      </c>
    </row>
    <row r="12" spans="4:13" x14ac:dyDescent="0.45">
      <c r="D12">
        <v>100</v>
      </c>
      <c r="E12" t="s">
        <v>284</v>
      </c>
      <c r="F12" t="s">
        <v>285</v>
      </c>
      <c r="G12" t="s">
        <v>286</v>
      </c>
      <c r="H12" t="s">
        <v>287</v>
      </c>
      <c r="I12" t="s">
        <v>288</v>
      </c>
      <c r="J12" t="s">
        <v>352</v>
      </c>
      <c r="K12" t="s">
        <v>353</v>
      </c>
      <c r="L12" t="s">
        <v>354</v>
      </c>
      <c r="M12" t="s">
        <v>355</v>
      </c>
    </row>
    <row r="13" spans="4:13" x14ac:dyDescent="0.45">
      <c r="D13" t="s">
        <v>356</v>
      </c>
      <c r="E13" t="s">
        <v>357</v>
      </c>
      <c r="F13" t="s">
        <v>358</v>
      </c>
      <c r="G13" t="s">
        <v>359</v>
      </c>
      <c r="H13" t="s">
        <v>360</v>
      </c>
      <c r="I13" t="s">
        <v>361</v>
      </c>
      <c r="J13" t="s">
        <v>362</v>
      </c>
      <c r="K13" t="s">
        <v>56</v>
      </c>
      <c r="L13" t="s">
        <v>363</v>
      </c>
      <c r="M13" t="s">
        <v>364</v>
      </c>
    </row>
    <row r="14" spans="4:13" x14ac:dyDescent="0.45">
      <c r="D14" s="10" t="s">
        <v>292</v>
      </c>
      <c r="E14" t="s">
        <v>365</v>
      </c>
      <c r="F14" t="s">
        <v>366</v>
      </c>
      <c r="G14" t="s">
        <v>367</v>
      </c>
      <c r="H14" t="s">
        <v>368</v>
      </c>
      <c r="I14" t="s">
        <v>369</v>
      </c>
      <c r="J14" t="s">
        <v>370</v>
      </c>
      <c r="K14" t="s">
        <v>371</v>
      </c>
      <c r="L14" t="s">
        <v>372</v>
      </c>
      <c r="M14" t="s">
        <v>373</v>
      </c>
    </row>
    <row r="16" spans="4:13" x14ac:dyDescent="0.45">
      <c r="D16" t="s">
        <v>290</v>
      </c>
    </row>
    <row r="18" spans="3:5" x14ac:dyDescent="0.45">
      <c r="C18" s="18" t="s">
        <v>45</v>
      </c>
      <c r="D18" t="str" cm="1">
        <f t="array" aca="1" ref="D18" ca="1">CSVWrite(D16,D5:M14,,,,E23)</f>
        <v>c:\temp\anothertest.csv</v>
      </c>
    </row>
    <row r="22" spans="3:5" x14ac:dyDescent="0.45">
      <c r="D22" s="59" t="s">
        <v>216</v>
      </c>
      <c r="E22" t="s">
        <v>336</v>
      </c>
    </row>
    <row r="23" spans="3:5" x14ac:dyDescent="0.45">
      <c r="D23" s="59" t="s">
        <v>20</v>
      </c>
      <c r="E23" t="s">
        <v>423</v>
      </c>
    </row>
    <row r="24" spans="3:5" x14ac:dyDescent="0.45">
      <c r="D24" s="59" t="s">
        <v>1</v>
      </c>
    </row>
    <row r="25" spans="3:5" x14ac:dyDescent="0.45">
      <c r="D25" s="59" t="s">
        <v>220</v>
      </c>
      <c r="E25">
        <v>1</v>
      </c>
    </row>
    <row r="26" spans="3:5" x14ac:dyDescent="0.45">
      <c r="D26" s="59" t="s">
        <v>217</v>
      </c>
      <c r="E26">
        <v>1</v>
      </c>
    </row>
    <row r="27" spans="3:5" x14ac:dyDescent="0.45">
      <c r="D27" s="59" t="s">
        <v>21</v>
      </c>
      <c r="E27">
        <v>0</v>
      </c>
    </row>
    <row r="28" spans="3:5" x14ac:dyDescent="0.45">
      <c r="D28" s="59" t="s">
        <v>22</v>
      </c>
      <c r="E28">
        <v>0</v>
      </c>
    </row>
    <row r="29" spans="3:5" x14ac:dyDescent="0.45">
      <c r="D29" s="59" t="s">
        <v>416</v>
      </c>
      <c r="E29" t="s">
        <v>424</v>
      </c>
    </row>
    <row r="30" spans="3:5" x14ac:dyDescent="0.45">
      <c r="D30" s="59" t="s">
        <v>418</v>
      </c>
      <c r="E30" t="b">
        <v>0</v>
      </c>
    </row>
    <row r="31" spans="3:5" x14ac:dyDescent="0.45">
      <c r="D31" s="59" t="s">
        <v>23</v>
      </c>
      <c r="E31" t="s">
        <v>303</v>
      </c>
    </row>
    <row r="33" spans="1:20" x14ac:dyDescent="0.45">
      <c r="C33" s="58" t="s">
        <v>422</v>
      </c>
      <c r="D33" t="str" cm="1">
        <f t="array" aca="1" ref="D33" ca="1">rawfilecontents(D18)</f>
        <v xml:space="preserve">"!"xxy""""xxy"#"xxy"$"xxy"%"xxy"&amp;"xxy"'"xxy"("xxy")"xxy"*"_x000D_
"+"xxy","xxy"-"xxy"."xxy"/"xxy"0"xxy"1"xxy"2"xxy"3"xxy"4"_x000D_
"5"xxyxxy"7"xxy"8"xxy"9"xxy":"xxy";"xxy"&lt;"xxy"="xxy"&gt;"_x000D_
"?"xxy"@"xxy"A"xxy"B"xxy"C"xxy"D"xxy"E"xxy"F"xxy"G"xxy"H"_x000D_
"x"xxy"J"xxy"K"xxy"L"xxy"M"xxy"N"xxy"O"xxy"P"xxy"Q"xxy"R"_x000D_
"S"xxy"T"xxy"U"xxy"V"xxy"W"xxy"X"xxy"Y"xxy"Z"xxy"["xxy"\"_x000D_
"]"xxy"^"xxy"_"xxy"`"xxy"a"xxy"b"xxy"c"xxy"d"xxy"e"xxy"f"_x000D_
100xxy"h"xxy"i"xxy"j"xxy"k"xxy"l"xxy"m"xxy"n"xxy"o"xxy"p"_x000D_
"q"xxy"r"xxy"s"xxy"t"xxy"u"xxy"v"xxy"w"xxy"x"xxy"y"xxy"z"_x000D_
""""xxy"|"xxy"}"xxy"~"xxy""xxy"€"xxy""xxy"‚"xxy"ƒ"xxy"„"_x000D_
</v>
      </c>
    </row>
    <row r="35" spans="1:20" x14ac:dyDescent="0.45">
      <c r="A35" cm="1">
        <f t="array" aca="1" ref="A35:A623" ca="1">_xlfn.SEQUENCE(LEN(D33))</f>
        <v>1</v>
      </c>
      <c r="B35" t="str" cm="1">
        <f t="array" aca="1" ref="B35:B623" ca="1">MID(D33,_xlfn.SEQUENCE(LEN(D33)),1)</f>
        <v>"</v>
      </c>
    </row>
    <row r="36" spans="1:20" x14ac:dyDescent="0.45">
      <c r="A36">
        <f ca="1"/>
        <v>2</v>
      </c>
      <c r="B36" t="str">
        <f ca="1"/>
        <v>!</v>
      </c>
      <c r="D36" t="str" cm="1">
        <f t="array" aca="1" ref="D36:M45" ca="1">CSVRead(D18,E22,E23,E24,E25,E26,E27,E28,E29,E30,E31)</f>
        <v>"!"</v>
      </c>
      <c r="E36" t="str">
        <f ca="1"/>
        <v>""""</v>
      </c>
      <c r="F36" t="str">
        <f ca="1"/>
        <v>"#"</v>
      </c>
      <c r="G36" t="str">
        <f ca="1"/>
        <v>"$"</v>
      </c>
      <c r="H36" t="str">
        <f ca="1"/>
        <v>"%"</v>
      </c>
      <c r="I36" t="str">
        <f ca="1"/>
        <v>"&amp;"</v>
      </c>
      <c r="J36" t="str">
        <f ca="1"/>
        <v>"'"</v>
      </c>
      <c r="K36" t="str">
        <f ca="1"/>
        <v>"("</v>
      </c>
      <c r="L36" t="str">
        <f ca="1"/>
        <v>")"</v>
      </c>
      <c r="M36" t="str">
        <f ca="1"/>
        <v>"*"</v>
      </c>
    </row>
    <row r="37" spans="1:20" x14ac:dyDescent="0.45">
      <c r="A37">
        <f ca="1"/>
        <v>3</v>
      </c>
      <c r="B37" t="str">
        <f ca="1"/>
        <v>"</v>
      </c>
      <c r="D37" t="str">
        <f ca="1"/>
        <v>"+"</v>
      </c>
      <c r="E37" t="str">
        <f ca="1"/>
        <v>","</v>
      </c>
      <c r="F37" t="str">
        <f ca="1"/>
        <v>"-"</v>
      </c>
      <c r="G37" t="str">
        <f ca="1"/>
        <v>"."</v>
      </c>
      <c r="H37" t="str">
        <f ca="1"/>
        <v>"/"</v>
      </c>
      <c r="I37" t="str">
        <f ca="1"/>
        <v>"0"</v>
      </c>
      <c r="J37" t="str">
        <f ca="1"/>
        <v>"1"</v>
      </c>
      <c r="K37" t="str">
        <f ca="1"/>
        <v>"2"</v>
      </c>
      <c r="L37" t="str">
        <f ca="1"/>
        <v>"3"</v>
      </c>
      <c r="M37" t="str">
        <f ca="1"/>
        <v>"4"</v>
      </c>
    </row>
    <row r="38" spans="1:20" x14ac:dyDescent="0.45">
      <c r="A38">
        <f ca="1"/>
        <v>4</v>
      </c>
      <c r="B38" t="str">
        <f ca="1"/>
        <v>x</v>
      </c>
      <c r="D38" t="str">
        <f ca="1"/>
        <v>"5"</v>
      </c>
      <c r="E38" t="str">
        <f ca="1"/>
        <v>&lt;MISSING&gt;</v>
      </c>
      <c r="F38" t="str">
        <f ca="1"/>
        <v>"7"</v>
      </c>
      <c r="G38" t="str">
        <f ca="1"/>
        <v>"8"</v>
      </c>
      <c r="H38" t="str">
        <f ca="1"/>
        <v>"9"</v>
      </c>
      <c r="I38" t="str">
        <f ca="1"/>
        <v>":"</v>
      </c>
      <c r="J38" t="str">
        <f ca="1"/>
        <v>";"</v>
      </c>
      <c r="K38" t="str">
        <f ca="1"/>
        <v>"&lt;"</v>
      </c>
      <c r="L38" t="str">
        <f ca="1"/>
        <v>"="</v>
      </c>
      <c r="M38" t="str">
        <f ca="1"/>
        <v>"&gt;"</v>
      </c>
    </row>
    <row r="39" spans="1:20" x14ac:dyDescent="0.45">
      <c r="A39">
        <f ca="1"/>
        <v>5</v>
      </c>
      <c r="B39" t="str">
        <f ca="1"/>
        <v>x</v>
      </c>
      <c r="D39" t="str">
        <f ca="1"/>
        <v>"?"</v>
      </c>
      <c r="E39" t="str">
        <f ca="1"/>
        <v>"@"</v>
      </c>
      <c r="F39" t="str">
        <f ca="1"/>
        <v>"A"</v>
      </c>
      <c r="G39" t="str">
        <f ca="1"/>
        <v>"B"</v>
      </c>
      <c r="H39" t="str">
        <f ca="1"/>
        <v>"C"</v>
      </c>
      <c r="I39" t="str">
        <f ca="1"/>
        <v>"D"</v>
      </c>
      <c r="J39" t="str">
        <f ca="1"/>
        <v>"E"</v>
      </c>
      <c r="K39" t="str">
        <f ca="1"/>
        <v>"F"</v>
      </c>
      <c r="L39" t="str">
        <f ca="1"/>
        <v>"G"</v>
      </c>
      <c r="M39" t="str">
        <f ca="1"/>
        <v>"H"</v>
      </c>
    </row>
    <row r="40" spans="1:20" x14ac:dyDescent="0.45">
      <c r="A40">
        <f ca="1"/>
        <v>6</v>
      </c>
      <c r="B40" t="str">
        <f ca="1"/>
        <v>y</v>
      </c>
      <c r="D40" t="str">
        <f ca="1"/>
        <v>"x"</v>
      </c>
      <c r="E40" t="str">
        <f ca="1"/>
        <v>"J"</v>
      </c>
      <c r="F40" t="str">
        <f ca="1"/>
        <v>"K"</v>
      </c>
      <c r="G40" t="str">
        <f ca="1"/>
        <v>"L"</v>
      </c>
      <c r="H40" t="str">
        <f ca="1"/>
        <v>"M"</v>
      </c>
      <c r="I40" t="str">
        <f ca="1"/>
        <v>"N"</v>
      </c>
      <c r="J40" t="str">
        <f ca="1"/>
        <v>"O"</v>
      </c>
      <c r="K40" t="str">
        <f ca="1"/>
        <v>"P"</v>
      </c>
      <c r="L40" t="str">
        <f ca="1"/>
        <v>"Q"</v>
      </c>
      <c r="M40" t="str">
        <f ca="1"/>
        <v>"R"</v>
      </c>
    </row>
    <row r="41" spans="1:20" x14ac:dyDescent="0.45">
      <c r="A41">
        <f ca="1"/>
        <v>7</v>
      </c>
      <c r="B41" t="str">
        <f ca="1"/>
        <v>"</v>
      </c>
      <c r="D41" t="str">
        <f ca="1"/>
        <v>"S"</v>
      </c>
      <c r="E41" t="str">
        <f ca="1"/>
        <v>"T"</v>
      </c>
      <c r="F41" t="str">
        <f ca="1"/>
        <v>"U"</v>
      </c>
      <c r="G41" t="str">
        <f ca="1"/>
        <v>"V"</v>
      </c>
      <c r="H41" t="str">
        <f ca="1"/>
        <v>"W"</v>
      </c>
      <c r="I41" t="str">
        <f ca="1"/>
        <v>"X"</v>
      </c>
      <c r="J41" t="str">
        <f ca="1"/>
        <v>"Y"</v>
      </c>
      <c r="K41" t="str">
        <f ca="1"/>
        <v>"Z"</v>
      </c>
      <c r="L41" t="str">
        <f ca="1"/>
        <v>"["</v>
      </c>
      <c r="M41" t="str">
        <f ca="1"/>
        <v>"\"</v>
      </c>
    </row>
    <row r="42" spans="1:20" x14ac:dyDescent="0.45">
      <c r="A42">
        <f ca="1"/>
        <v>8</v>
      </c>
      <c r="B42" t="str">
        <f ca="1"/>
        <v>"</v>
      </c>
      <c r="D42" t="str">
        <f ca="1"/>
        <v>"]"</v>
      </c>
      <c r="E42" t="str">
        <f ca="1"/>
        <v>"^"</v>
      </c>
      <c r="F42" t="str">
        <f ca="1"/>
        <v>"_"</v>
      </c>
      <c r="G42" t="str">
        <f ca="1"/>
        <v>"`"</v>
      </c>
      <c r="H42" t="str">
        <f ca="1"/>
        <v>"a"</v>
      </c>
      <c r="I42" t="str">
        <f ca="1"/>
        <v>"b"</v>
      </c>
      <c r="J42" t="str">
        <f ca="1"/>
        <v>"c"</v>
      </c>
      <c r="K42" t="str">
        <f ca="1"/>
        <v>"d"</v>
      </c>
      <c r="L42" t="str">
        <f ca="1"/>
        <v>"e"</v>
      </c>
      <c r="M42" t="str">
        <f ca="1"/>
        <v>"f"</v>
      </c>
    </row>
    <row r="43" spans="1:20" x14ac:dyDescent="0.45">
      <c r="A43">
        <f ca="1"/>
        <v>9</v>
      </c>
      <c r="B43" t="str">
        <f ca="1"/>
        <v>"</v>
      </c>
      <c r="D43" t="str">
        <f ca="1"/>
        <v>100</v>
      </c>
      <c r="E43" t="str">
        <f ca="1"/>
        <v>"h"</v>
      </c>
      <c r="F43" t="str">
        <f ca="1"/>
        <v>"i"</v>
      </c>
      <c r="G43" t="str">
        <f ca="1"/>
        <v>"j"</v>
      </c>
      <c r="H43" t="str">
        <f ca="1"/>
        <v>"k"</v>
      </c>
      <c r="I43" t="str">
        <f ca="1"/>
        <v>"l"</v>
      </c>
      <c r="J43" t="str">
        <f ca="1"/>
        <v>"m"</v>
      </c>
      <c r="K43" t="str">
        <f ca="1"/>
        <v>"n"</v>
      </c>
      <c r="L43" t="str">
        <f ca="1"/>
        <v>"o"</v>
      </c>
      <c r="M43" t="str">
        <f ca="1"/>
        <v>"p"</v>
      </c>
    </row>
    <row r="44" spans="1:20" x14ac:dyDescent="0.45">
      <c r="A44">
        <f ca="1"/>
        <v>10</v>
      </c>
      <c r="B44" t="str">
        <f ca="1"/>
        <v>"</v>
      </c>
      <c r="D44" t="str">
        <f ca="1"/>
        <v>"q"</v>
      </c>
      <c r="E44" t="str">
        <f ca="1"/>
        <v>"r"</v>
      </c>
      <c r="F44" t="str">
        <f ca="1"/>
        <v>"s"</v>
      </c>
      <c r="G44" t="str">
        <f ca="1"/>
        <v>"t"</v>
      </c>
      <c r="H44" t="str">
        <f ca="1"/>
        <v>"u"</v>
      </c>
      <c r="I44" t="str">
        <f ca="1"/>
        <v>"v"</v>
      </c>
      <c r="J44" t="str">
        <f ca="1"/>
        <v>"w"</v>
      </c>
      <c r="K44" t="str">
        <f ca="1"/>
        <v>"x"</v>
      </c>
      <c r="L44" t="str">
        <f ca="1"/>
        <v>"y"</v>
      </c>
      <c r="M44" t="str">
        <f ca="1"/>
        <v>"z"</v>
      </c>
    </row>
    <row r="45" spans="1:20" x14ac:dyDescent="0.45">
      <c r="A45">
        <f ca="1"/>
        <v>11</v>
      </c>
      <c r="B45" t="str">
        <f ca="1"/>
        <v>x</v>
      </c>
      <c r="D45" t="str">
        <f ca="1"/>
        <v>""""</v>
      </c>
      <c r="E45" t="str">
        <f ca="1"/>
        <v>"|"</v>
      </c>
      <c r="F45" t="str">
        <f ca="1"/>
        <v>"}"</v>
      </c>
      <c r="G45" t="str">
        <f ca="1"/>
        <v>"~"</v>
      </c>
      <c r="H45" t="str">
        <f ca="1"/>
        <v>""</v>
      </c>
      <c r="I45" t="str">
        <f ca="1"/>
        <v>"€"</v>
      </c>
      <c r="J45" t="str">
        <f ca="1"/>
        <v>""</v>
      </c>
      <c r="K45" t="str">
        <f ca="1"/>
        <v>"‚"</v>
      </c>
      <c r="L45" t="str">
        <f ca="1"/>
        <v>"ƒ"</v>
      </c>
      <c r="M45" t="str">
        <f ca="1"/>
        <v>"„"</v>
      </c>
    </row>
    <row r="46" spans="1:20" x14ac:dyDescent="0.45">
      <c r="A46">
        <f ca="1"/>
        <v>12</v>
      </c>
      <c r="B46" t="str">
        <f ca="1"/>
        <v>x</v>
      </c>
    </row>
    <row r="47" spans="1:20" x14ac:dyDescent="0.45">
      <c r="A47">
        <f ca="1"/>
        <v>13</v>
      </c>
      <c r="B47" t="str">
        <f ca="1"/>
        <v>y</v>
      </c>
    </row>
    <row r="48" spans="1:20" x14ac:dyDescent="0.45">
      <c r="A48">
        <f ca="1"/>
        <v>14</v>
      </c>
      <c r="B48" t="str">
        <f ca="1"/>
        <v>"</v>
      </c>
      <c r="T48" t="s">
        <v>425</v>
      </c>
    </row>
    <row r="49" spans="1:27" x14ac:dyDescent="0.45">
      <c r="A49">
        <f ca="1"/>
        <v>15</v>
      </c>
      <c r="B49" t="str">
        <f ca="1"/>
        <v>#</v>
      </c>
    </row>
    <row r="50" spans="1:27" x14ac:dyDescent="0.45">
      <c r="A50">
        <f ca="1"/>
        <v>16</v>
      </c>
      <c r="B50" t="str">
        <f ca="1"/>
        <v>"</v>
      </c>
      <c r="T50" t="str" cm="1">
        <f t="array" aca="1" ref="T50:X50" ca="1">CSVRead(T48)</f>
        <v xml:space="preserve">Here's a carriage return (ascii 13):_x000D_and here's a line feed (ascii 10):
and here's both together:_x000D_
</v>
      </c>
      <c r="U50" t="str">
        <f ca="1"/>
        <v/>
      </c>
      <c r="V50" t="str">
        <f ca="1"/>
        <v/>
      </c>
      <c r="W50" t="str">
        <f ca="1"/>
        <v/>
      </c>
      <c r="X50" t="str">
        <f ca="1"/>
        <v>#NAME?</v>
      </c>
    </row>
    <row r="51" spans="1:27" x14ac:dyDescent="0.45">
      <c r="A51">
        <f ca="1"/>
        <v>17</v>
      </c>
      <c r="B51" t="str">
        <f ca="1"/>
        <v>x</v>
      </c>
    </row>
    <row r="52" spans="1:27" x14ac:dyDescent="0.45">
      <c r="A52">
        <f ca="1"/>
        <v>18</v>
      </c>
      <c r="B52" t="str">
        <f ca="1"/>
        <v>x</v>
      </c>
    </row>
    <row r="53" spans="1:27" x14ac:dyDescent="0.45">
      <c r="A53">
        <f ca="1"/>
        <v>19</v>
      </c>
      <c r="B53" t="str">
        <f ca="1"/>
        <v>y</v>
      </c>
    </row>
    <row r="54" spans="1:27" x14ac:dyDescent="0.45">
      <c r="A54">
        <f ca="1"/>
        <v>20</v>
      </c>
      <c r="B54" t="str">
        <f ca="1"/>
        <v>"</v>
      </c>
    </row>
    <row r="55" spans="1:27" x14ac:dyDescent="0.45">
      <c r="A55">
        <f ca="1"/>
        <v>21</v>
      </c>
      <c r="B55" t="str">
        <f ca="1"/>
        <v>$</v>
      </c>
      <c r="T55" t="str" cm="1">
        <f t="array" aca="1" ref="T55:T58" ca="1">CSVRead(T48,FALSE,FALSE)</f>
        <v>"Here's a carriage return (ascii 13):</v>
      </c>
    </row>
    <row r="56" spans="1:27" x14ac:dyDescent="0.45">
      <c r="A56">
        <f ca="1"/>
        <v>22</v>
      </c>
      <c r="B56" t="str">
        <f ca="1"/>
        <v>"</v>
      </c>
      <c r="T56" t="str">
        <f ca="1"/>
        <v>and here's a line feed (ascii 10):</v>
      </c>
    </row>
    <row r="57" spans="1:27" x14ac:dyDescent="0.45">
      <c r="A57">
        <f ca="1"/>
        <v>23</v>
      </c>
      <c r="B57" t="str">
        <f ca="1"/>
        <v>x</v>
      </c>
      <c r="T57" t="str">
        <f ca="1"/>
        <v>and here's both together:</v>
      </c>
    </row>
    <row r="58" spans="1:27" x14ac:dyDescent="0.45">
      <c r="A58">
        <f ca="1"/>
        <v>24</v>
      </c>
      <c r="B58" t="str">
        <f ca="1"/>
        <v>x</v>
      </c>
      <c r="T58" t="str">
        <f ca="1"/>
        <v>"::::#NAME?</v>
      </c>
    </row>
    <row r="59" spans="1:27" x14ac:dyDescent="0.45">
      <c r="A59">
        <f ca="1"/>
        <v>25</v>
      </c>
      <c r="B59" t="str">
        <f ca="1"/>
        <v>y</v>
      </c>
    </row>
    <row r="60" spans="1:27" x14ac:dyDescent="0.45">
      <c r="A60">
        <f ca="1"/>
        <v>26</v>
      </c>
      <c r="B60" t="str">
        <f ca="1"/>
        <v>"</v>
      </c>
    </row>
    <row r="61" spans="1:27" x14ac:dyDescent="0.45">
      <c r="A61">
        <f ca="1"/>
        <v>27</v>
      </c>
      <c r="B61" t="str">
        <f ca="1"/>
        <v>%</v>
      </c>
    </row>
    <row r="62" spans="1:27" x14ac:dyDescent="0.45">
      <c r="A62">
        <f ca="1"/>
        <v>28</v>
      </c>
      <c r="B62" t="str">
        <f ca="1"/>
        <v>"</v>
      </c>
      <c r="T62" cm="1">
        <f t="array" aca="1" ref="T62:AA174" ca="1">CSVRead(T48)</f>
        <v>1</v>
      </c>
      <c r="U62">
        <f ca="1"/>
        <v>1</v>
      </c>
      <c r="V62">
        <f ca="1"/>
        <v>101</v>
      </c>
      <c r="W62">
        <f ca="1"/>
        <v>1</v>
      </c>
      <c r="X62">
        <f ca="1"/>
        <v>1</v>
      </c>
      <c r="Y62">
        <f ca="1"/>
        <v>2</v>
      </c>
      <c r="Z62">
        <f ca="1"/>
        <v>1</v>
      </c>
      <c r="AA62" t="str">
        <f ca="1"/>
        <v>"</v>
      </c>
    </row>
    <row r="63" spans="1:27" x14ac:dyDescent="0.45">
      <c r="A63">
        <f ca="1"/>
        <v>29</v>
      </c>
      <c r="B63" t="str">
        <f ca="1"/>
        <v>x</v>
      </c>
      <c r="T63">
        <f ca="1"/>
        <v>5</v>
      </c>
      <c r="U63">
        <f ca="1"/>
        <v>103</v>
      </c>
      <c r="V63">
        <f ca="1"/>
        <v>0</v>
      </c>
      <c r="W63">
        <f ca="1"/>
        <v>1</v>
      </c>
      <c r="X63">
        <f ca="1"/>
        <v>2</v>
      </c>
      <c r="Y63">
        <f ca="1"/>
        <v>0</v>
      </c>
      <c r="Z63">
        <f ca="1"/>
        <v>2</v>
      </c>
      <c r="AA63" t="str">
        <f ca="1"/>
        <v>H</v>
      </c>
    </row>
    <row r="64" spans="1:27" x14ac:dyDescent="0.45">
      <c r="A64">
        <f ca="1"/>
        <v>30</v>
      </c>
      <c r="B64" t="str">
        <f ca="1"/>
        <v>x</v>
      </c>
      <c r="T64">
        <f ca="1"/>
        <v>5</v>
      </c>
      <c r="U64">
        <f ca="1"/>
        <v>104</v>
      </c>
      <c r="V64">
        <f ca="1"/>
        <v>0</v>
      </c>
      <c r="W64">
        <f ca="1"/>
        <v>1</v>
      </c>
      <c r="X64">
        <f ca="1"/>
        <v>3</v>
      </c>
      <c r="Y64">
        <f ca="1"/>
        <v>0</v>
      </c>
      <c r="Z64">
        <f ca="1"/>
        <v>3</v>
      </c>
      <c r="AA64" t="str">
        <f ca="1"/>
        <v>e</v>
      </c>
    </row>
    <row r="65" spans="1:27" x14ac:dyDescent="0.45">
      <c r="A65">
        <f ca="1"/>
        <v>31</v>
      </c>
      <c r="B65" t="str">
        <f ca="1"/>
        <v>y</v>
      </c>
      <c r="T65" t="str">
        <f ca="1"/>
        <v>:</v>
      </c>
      <c r="U65">
        <f ca="1"/>
        <v>105</v>
      </c>
      <c r="V65">
        <f ca="1"/>
        <v>0</v>
      </c>
      <c r="W65">
        <f ca="1"/>
        <v>1</v>
      </c>
      <c r="X65">
        <f ca="1"/>
        <v>4</v>
      </c>
      <c r="Y65">
        <f ca="1"/>
        <v>0</v>
      </c>
      <c r="Z65">
        <f ca="1"/>
        <v>4</v>
      </c>
      <c r="AA65" t="str">
        <f ca="1"/>
        <v>r</v>
      </c>
    </row>
    <row r="66" spans="1:27" x14ac:dyDescent="0.45">
      <c r="A66">
        <f ca="1"/>
        <v>32</v>
      </c>
      <c r="B66" t="str">
        <f ca="1"/>
        <v>"</v>
      </c>
      <c r="T66" t="e">
        <f ca="1"/>
        <v>#N/A</v>
      </c>
      <c r="U66">
        <f ca="1"/>
        <v>106</v>
      </c>
      <c r="V66">
        <f ca="1"/>
        <v>6</v>
      </c>
      <c r="W66">
        <f ca="1"/>
        <v>1</v>
      </c>
      <c r="X66">
        <f ca="1"/>
        <v>5</v>
      </c>
      <c r="Y66">
        <f ca="1"/>
        <v>0</v>
      </c>
      <c r="Z66">
        <f ca="1"/>
        <v>5</v>
      </c>
      <c r="AA66" t="str">
        <f ca="1"/>
        <v>e</v>
      </c>
    </row>
    <row r="67" spans="1:27" x14ac:dyDescent="0.45">
      <c r="A67">
        <f ca="1"/>
        <v>33</v>
      </c>
      <c r="B67" t="str">
        <f ca="1"/>
        <v>&amp;</v>
      </c>
      <c r="T67" t="e">
        <f ca="1"/>
        <v>#N/A</v>
      </c>
      <c r="U67">
        <f ca="1"/>
        <v>114</v>
      </c>
      <c r="V67">
        <f ca="1"/>
        <v>0</v>
      </c>
      <c r="W67">
        <f ca="1"/>
        <v>0</v>
      </c>
      <c r="X67">
        <f ca="1"/>
        <v>0</v>
      </c>
      <c r="Y67">
        <f ca="1"/>
        <v>0</v>
      </c>
      <c r="Z67">
        <f ca="1"/>
        <v>6</v>
      </c>
      <c r="AA67" t="str">
        <f ca="1"/>
        <v>'</v>
      </c>
    </row>
    <row r="68" spans="1:27" x14ac:dyDescent="0.45">
      <c r="A68">
        <f ca="1"/>
        <v>34</v>
      </c>
      <c r="B68" t="str">
        <f ca="1"/>
        <v>"</v>
      </c>
      <c r="T68" t="e">
        <f ca="1"/>
        <v>#N/A</v>
      </c>
      <c r="U68">
        <f ca="1"/>
        <v>0</v>
      </c>
      <c r="V68">
        <f ca="1"/>
        <v>0</v>
      </c>
      <c r="W68">
        <f ca="1"/>
        <v>0</v>
      </c>
      <c r="X68">
        <f ca="1"/>
        <v>0</v>
      </c>
      <c r="Y68">
        <f ca="1"/>
        <v>0</v>
      </c>
      <c r="Z68">
        <f ca="1"/>
        <v>7</v>
      </c>
      <c r="AA68" t="str">
        <f ca="1"/>
        <v>s</v>
      </c>
    </row>
    <row r="69" spans="1:27" x14ac:dyDescent="0.45">
      <c r="A69">
        <f ca="1"/>
        <v>35</v>
      </c>
      <c r="B69" t="str">
        <f ca="1"/>
        <v>x</v>
      </c>
      <c r="T69" t="e">
        <f ca="1"/>
        <v>#N/A</v>
      </c>
      <c r="U69">
        <f ca="1"/>
        <v>0</v>
      </c>
      <c r="V69">
        <f ca="1"/>
        <v>0</v>
      </c>
      <c r="W69">
        <f ca="1"/>
        <v>0</v>
      </c>
      <c r="X69">
        <f ca="1"/>
        <v>0</v>
      </c>
      <c r="Y69">
        <f ca="1"/>
        <v>0</v>
      </c>
      <c r="Z69">
        <f ca="1"/>
        <v>8</v>
      </c>
      <c r="AA69" t="str">
        <f ca="1"/>
        <v xml:space="preserve"> </v>
      </c>
    </row>
    <row r="70" spans="1:27" x14ac:dyDescent="0.45">
      <c r="A70">
        <f ca="1"/>
        <v>36</v>
      </c>
      <c r="B70" t="str">
        <f ca="1"/>
        <v>x</v>
      </c>
      <c r="T70" t="e">
        <f ca="1"/>
        <v>#N/A</v>
      </c>
      <c r="U70" t="e">
        <f ca="1"/>
        <v>#N/A</v>
      </c>
      <c r="V70" t="e">
        <f ca="1"/>
        <v>#N/A</v>
      </c>
      <c r="W70" t="e">
        <f ca="1"/>
        <v>#N/A</v>
      </c>
      <c r="X70" t="e">
        <f ca="1"/>
        <v>#N/A</v>
      </c>
      <c r="Y70" t="e">
        <f ca="1"/>
        <v>#N/A</v>
      </c>
      <c r="Z70">
        <f ca="1"/>
        <v>9</v>
      </c>
      <c r="AA70" t="str">
        <f ca="1"/>
        <v>a</v>
      </c>
    </row>
    <row r="71" spans="1:27" x14ac:dyDescent="0.45">
      <c r="A71">
        <f ca="1"/>
        <v>37</v>
      </c>
      <c r="B71" t="str">
        <f ca="1"/>
        <v>y</v>
      </c>
      <c r="T71" t="e">
        <f ca="1"/>
        <v>#N/A</v>
      </c>
      <c r="U71" t="e">
        <f ca="1"/>
        <v>#N/A</v>
      </c>
      <c r="V71" t="e">
        <f ca="1"/>
        <v>#N/A</v>
      </c>
      <c r="W71" t="e">
        <f ca="1"/>
        <v>#N/A</v>
      </c>
      <c r="X71" t="e">
        <f ca="1"/>
        <v>#N/A</v>
      </c>
      <c r="Y71" t="e">
        <f ca="1"/>
        <v>#N/A</v>
      </c>
      <c r="Z71">
        <f ca="1"/>
        <v>10</v>
      </c>
      <c r="AA71" t="str">
        <f ca="1"/>
        <v xml:space="preserve"> </v>
      </c>
    </row>
    <row r="72" spans="1:27" x14ac:dyDescent="0.45">
      <c r="A72">
        <f ca="1"/>
        <v>38</v>
      </c>
      <c r="B72" t="str">
        <f ca="1"/>
        <v>"</v>
      </c>
      <c r="T72" t="e">
        <f ca="1"/>
        <v>#N/A</v>
      </c>
      <c r="U72" t="e">
        <f ca="1"/>
        <v>#N/A</v>
      </c>
      <c r="V72" t="e">
        <f ca="1"/>
        <v>#N/A</v>
      </c>
      <c r="W72" t="e">
        <f ca="1"/>
        <v>#N/A</v>
      </c>
      <c r="X72" t="e">
        <f ca="1"/>
        <v>#N/A</v>
      </c>
      <c r="Y72" t="e">
        <f ca="1"/>
        <v>#N/A</v>
      </c>
      <c r="Z72">
        <f ca="1"/>
        <v>11</v>
      </c>
      <c r="AA72" t="str">
        <f ca="1"/>
        <v>c</v>
      </c>
    </row>
    <row r="73" spans="1:27" x14ac:dyDescent="0.45">
      <c r="A73">
        <f ca="1"/>
        <v>39</v>
      </c>
      <c r="B73" t="str">
        <f ca="1"/>
        <v>'</v>
      </c>
      <c r="T73" t="e">
        <f ca="1"/>
        <v>#N/A</v>
      </c>
      <c r="U73" t="e">
        <f ca="1"/>
        <v>#N/A</v>
      </c>
      <c r="V73" t="e">
        <f ca="1"/>
        <v>#N/A</v>
      </c>
      <c r="W73" t="e">
        <f ca="1"/>
        <v>#N/A</v>
      </c>
      <c r="X73" t="e">
        <f ca="1"/>
        <v>#N/A</v>
      </c>
      <c r="Y73" t="e">
        <f ca="1"/>
        <v>#N/A</v>
      </c>
      <c r="Z73">
        <f ca="1"/>
        <v>12</v>
      </c>
      <c r="AA73" t="str">
        <f ca="1"/>
        <v>a</v>
      </c>
    </row>
    <row r="74" spans="1:27" x14ac:dyDescent="0.45">
      <c r="A74">
        <f ca="1"/>
        <v>40</v>
      </c>
      <c r="B74" t="str">
        <f ca="1"/>
        <v>"</v>
      </c>
      <c r="T74" t="e">
        <f ca="1"/>
        <v>#N/A</v>
      </c>
      <c r="U74" t="e">
        <f ca="1"/>
        <v>#N/A</v>
      </c>
      <c r="V74" t="e">
        <f ca="1"/>
        <v>#N/A</v>
      </c>
      <c r="W74" t="e">
        <f ca="1"/>
        <v>#N/A</v>
      </c>
      <c r="X74" t="e">
        <f ca="1"/>
        <v>#N/A</v>
      </c>
      <c r="Y74" t="e">
        <f ca="1"/>
        <v>#N/A</v>
      </c>
      <c r="Z74">
        <f ca="1"/>
        <v>13</v>
      </c>
      <c r="AA74" t="str">
        <f ca="1"/>
        <v>r</v>
      </c>
    </row>
    <row r="75" spans="1:27" x14ac:dyDescent="0.45">
      <c r="A75">
        <f ca="1"/>
        <v>41</v>
      </c>
      <c r="B75" t="str">
        <f ca="1"/>
        <v>x</v>
      </c>
      <c r="T75" t="e">
        <f ca="1"/>
        <v>#N/A</v>
      </c>
      <c r="U75" t="e">
        <f ca="1"/>
        <v>#N/A</v>
      </c>
      <c r="V75" t="e">
        <f ca="1"/>
        <v>#N/A</v>
      </c>
      <c r="W75" t="e">
        <f ca="1"/>
        <v>#N/A</v>
      </c>
      <c r="X75" t="e">
        <f ca="1"/>
        <v>#N/A</v>
      </c>
      <c r="Y75" t="e">
        <f ca="1"/>
        <v>#N/A</v>
      </c>
      <c r="Z75">
        <f ca="1"/>
        <v>14</v>
      </c>
      <c r="AA75" t="str">
        <f ca="1"/>
        <v>r</v>
      </c>
    </row>
    <row r="76" spans="1:27" x14ac:dyDescent="0.45">
      <c r="A76">
        <f ca="1"/>
        <v>42</v>
      </c>
      <c r="B76" t="str">
        <f ca="1"/>
        <v>x</v>
      </c>
      <c r="T76" t="e">
        <f ca="1"/>
        <v>#N/A</v>
      </c>
      <c r="U76" t="e">
        <f ca="1"/>
        <v>#N/A</v>
      </c>
      <c r="V76" t="e">
        <f ca="1"/>
        <v>#N/A</v>
      </c>
      <c r="W76" t="e">
        <f ca="1"/>
        <v>#N/A</v>
      </c>
      <c r="X76" t="e">
        <f ca="1"/>
        <v>#N/A</v>
      </c>
      <c r="Y76" t="e">
        <f ca="1"/>
        <v>#N/A</v>
      </c>
      <c r="Z76">
        <f ca="1"/>
        <v>15</v>
      </c>
      <c r="AA76" t="str">
        <f ca="1"/>
        <v>i</v>
      </c>
    </row>
    <row r="77" spans="1:27" x14ac:dyDescent="0.45">
      <c r="A77">
        <f ca="1"/>
        <v>43</v>
      </c>
      <c r="B77" t="str">
        <f ca="1"/>
        <v>y</v>
      </c>
      <c r="T77" t="e">
        <f ca="1"/>
        <v>#N/A</v>
      </c>
      <c r="U77" t="e">
        <f ca="1"/>
        <v>#N/A</v>
      </c>
      <c r="V77" t="e">
        <f ca="1"/>
        <v>#N/A</v>
      </c>
      <c r="W77" t="e">
        <f ca="1"/>
        <v>#N/A</v>
      </c>
      <c r="X77" t="e">
        <f ca="1"/>
        <v>#N/A</v>
      </c>
      <c r="Y77" t="e">
        <f ca="1"/>
        <v>#N/A</v>
      </c>
      <c r="Z77">
        <f ca="1"/>
        <v>16</v>
      </c>
      <c r="AA77" t="str">
        <f ca="1"/>
        <v>a</v>
      </c>
    </row>
    <row r="78" spans="1:27" x14ac:dyDescent="0.45">
      <c r="A78">
        <f ca="1"/>
        <v>44</v>
      </c>
      <c r="B78" t="str">
        <f ca="1"/>
        <v>"</v>
      </c>
      <c r="T78" t="e">
        <f ca="1"/>
        <v>#N/A</v>
      </c>
      <c r="U78" t="e">
        <f ca="1"/>
        <v>#N/A</v>
      </c>
      <c r="V78" t="e">
        <f ca="1"/>
        <v>#N/A</v>
      </c>
      <c r="W78" t="e">
        <f ca="1"/>
        <v>#N/A</v>
      </c>
      <c r="X78" t="e">
        <f ca="1"/>
        <v>#N/A</v>
      </c>
      <c r="Y78" t="e">
        <f ca="1"/>
        <v>#N/A</v>
      </c>
      <c r="Z78">
        <f ca="1"/>
        <v>17</v>
      </c>
      <c r="AA78" t="str">
        <f ca="1"/>
        <v>g</v>
      </c>
    </row>
    <row r="79" spans="1:27" x14ac:dyDescent="0.45">
      <c r="A79">
        <f ca="1"/>
        <v>45</v>
      </c>
      <c r="B79" t="str">
        <f ca="1"/>
        <v>(</v>
      </c>
      <c r="T79" t="e">
        <f ca="1"/>
        <v>#N/A</v>
      </c>
      <c r="U79" t="e">
        <f ca="1"/>
        <v>#N/A</v>
      </c>
      <c r="V79" t="e">
        <f ca="1"/>
        <v>#N/A</v>
      </c>
      <c r="W79" t="e">
        <f ca="1"/>
        <v>#N/A</v>
      </c>
      <c r="X79" t="e">
        <f ca="1"/>
        <v>#N/A</v>
      </c>
      <c r="Y79" t="e">
        <f ca="1"/>
        <v>#N/A</v>
      </c>
      <c r="Z79">
        <f ca="1"/>
        <v>18</v>
      </c>
      <c r="AA79" t="str">
        <f ca="1"/>
        <v>e</v>
      </c>
    </row>
    <row r="80" spans="1:27" x14ac:dyDescent="0.45">
      <c r="A80">
        <f ca="1"/>
        <v>46</v>
      </c>
      <c r="B80" t="str">
        <f ca="1"/>
        <v>"</v>
      </c>
      <c r="T80" t="e">
        <f ca="1"/>
        <v>#N/A</v>
      </c>
      <c r="U80" t="e">
        <f ca="1"/>
        <v>#N/A</v>
      </c>
      <c r="V80" t="e">
        <f ca="1"/>
        <v>#N/A</v>
      </c>
      <c r="W80" t="e">
        <f ca="1"/>
        <v>#N/A</v>
      </c>
      <c r="X80" t="e">
        <f ca="1"/>
        <v>#N/A</v>
      </c>
      <c r="Y80" t="e">
        <f ca="1"/>
        <v>#N/A</v>
      </c>
      <c r="Z80">
        <f ca="1"/>
        <v>19</v>
      </c>
      <c r="AA80" t="str">
        <f ca="1"/>
        <v xml:space="preserve"> </v>
      </c>
    </row>
    <row r="81" spans="1:27" x14ac:dyDescent="0.45">
      <c r="A81">
        <f ca="1"/>
        <v>47</v>
      </c>
      <c r="B81" t="str">
        <f ca="1"/>
        <v>x</v>
      </c>
      <c r="T81" t="e">
        <f ca="1"/>
        <v>#N/A</v>
      </c>
      <c r="U81" t="e">
        <f ca="1"/>
        <v>#N/A</v>
      </c>
      <c r="V81" t="e">
        <f ca="1"/>
        <v>#N/A</v>
      </c>
      <c r="W81" t="e">
        <f ca="1"/>
        <v>#N/A</v>
      </c>
      <c r="X81" t="e">
        <f ca="1"/>
        <v>#N/A</v>
      </c>
      <c r="Y81" t="e">
        <f ca="1"/>
        <v>#N/A</v>
      </c>
      <c r="Z81">
        <f ca="1"/>
        <v>20</v>
      </c>
      <c r="AA81" t="str">
        <f ca="1"/>
        <v>r</v>
      </c>
    </row>
    <row r="82" spans="1:27" x14ac:dyDescent="0.45">
      <c r="A82">
        <f ca="1"/>
        <v>48</v>
      </c>
      <c r="B82" t="str">
        <f ca="1"/>
        <v>x</v>
      </c>
      <c r="T82" t="e">
        <f ca="1"/>
        <v>#N/A</v>
      </c>
      <c r="U82" t="e">
        <f ca="1"/>
        <v>#N/A</v>
      </c>
      <c r="V82" t="e">
        <f ca="1"/>
        <v>#N/A</v>
      </c>
      <c r="W82" t="e">
        <f ca="1"/>
        <v>#N/A</v>
      </c>
      <c r="X82" t="e">
        <f ca="1"/>
        <v>#N/A</v>
      </c>
      <c r="Y82" t="e">
        <f ca="1"/>
        <v>#N/A</v>
      </c>
      <c r="Z82">
        <f ca="1"/>
        <v>21</v>
      </c>
      <c r="AA82" t="str">
        <f ca="1"/>
        <v>e</v>
      </c>
    </row>
    <row r="83" spans="1:27" x14ac:dyDescent="0.45">
      <c r="A83">
        <f ca="1"/>
        <v>49</v>
      </c>
      <c r="B83" t="str">
        <f ca="1"/>
        <v>y</v>
      </c>
      <c r="T83" t="e">
        <f ca="1"/>
        <v>#N/A</v>
      </c>
      <c r="U83" t="e">
        <f ca="1"/>
        <v>#N/A</v>
      </c>
      <c r="V83" t="e">
        <f ca="1"/>
        <v>#N/A</v>
      </c>
      <c r="W83" t="e">
        <f ca="1"/>
        <v>#N/A</v>
      </c>
      <c r="X83" t="e">
        <f ca="1"/>
        <v>#N/A</v>
      </c>
      <c r="Y83" t="e">
        <f ca="1"/>
        <v>#N/A</v>
      </c>
      <c r="Z83">
        <f ca="1"/>
        <v>22</v>
      </c>
      <c r="AA83" t="str">
        <f ca="1"/>
        <v>t</v>
      </c>
    </row>
    <row r="84" spans="1:27" x14ac:dyDescent="0.45">
      <c r="A84">
        <f ca="1"/>
        <v>50</v>
      </c>
      <c r="B84" t="str">
        <f ca="1"/>
        <v>"</v>
      </c>
      <c r="T84" t="e">
        <f ca="1"/>
        <v>#N/A</v>
      </c>
      <c r="U84" t="e">
        <f ca="1"/>
        <v>#N/A</v>
      </c>
      <c r="V84" t="e">
        <f ca="1"/>
        <v>#N/A</v>
      </c>
      <c r="W84" t="e">
        <f ca="1"/>
        <v>#N/A</v>
      </c>
      <c r="X84" t="e">
        <f ca="1"/>
        <v>#N/A</v>
      </c>
      <c r="Y84" t="e">
        <f ca="1"/>
        <v>#N/A</v>
      </c>
      <c r="Z84">
        <f ca="1"/>
        <v>23</v>
      </c>
      <c r="AA84" t="str">
        <f ca="1"/>
        <v>u</v>
      </c>
    </row>
    <row r="85" spans="1:27" x14ac:dyDescent="0.45">
      <c r="A85">
        <f ca="1"/>
        <v>51</v>
      </c>
      <c r="B85" t="str">
        <f ca="1"/>
        <v>)</v>
      </c>
      <c r="T85" t="e">
        <f ca="1"/>
        <v>#N/A</v>
      </c>
      <c r="U85" t="e">
        <f ca="1"/>
        <v>#N/A</v>
      </c>
      <c r="V85" t="e">
        <f ca="1"/>
        <v>#N/A</v>
      </c>
      <c r="W85" t="e">
        <f ca="1"/>
        <v>#N/A</v>
      </c>
      <c r="X85" t="e">
        <f ca="1"/>
        <v>#N/A</v>
      </c>
      <c r="Y85" t="e">
        <f ca="1"/>
        <v>#N/A</v>
      </c>
      <c r="Z85">
        <f ca="1"/>
        <v>24</v>
      </c>
      <c r="AA85" t="str">
        <f ca="1"/>
        <v>r</v>
      </c>
    </row>
    <row r="86" spans="1:27" x14ac:dyDescent="0.45">
      <c r="A86">
        <f ca="1"/>
        <v>52</v>
      </c>
      <c r="B86" t="str">
        <f ca="1"/>
        <v>"</v>
      </c>
      <c r="T86" t="e">
        <f ca="1"/>
        <v>#N/A</v>
      </c>
      <c r="U86" t="e">
        <f ca="1"/>
        <v>#N/A</v>
      </c>
      <c r="V86" t="e">
        <f ca="1"/>
        <v>#N/A</v>
      </c>
      <c r="W86" t="e">
        <f ca="1"/>
        <v>#N/A</v>
      </c>
      <c r="X86" t="e">
        <f ca="1"/>
        <v>#N/A</v>
      </c>
      <c r="Y86" t="e">
        <f ca="1"/>
        <v>#N/A</v>
      </c>
      <c r="Z86">
        <f ca="1"/>
        <v>25</v>
      </c>
      <c r="AA86" t="str">
        <f ca="1"/>
        <v>n</v>
      </c>
    </row>
    <row r="87" spans="1:27" x14ac:dyDescent="0.45">
      <c r="A87">
        <f ca="1"/>
        <v>53</v>
      </c>
      <c r="B87" t="str">
        <f ca="1"/>
        <v>x</v>
      </c>
      <c r="T87" t="e">
        <f ca="1"/>
        <v>#N/A</v>
      </c>
      <c r="U87" t="e">
        <f ca="1"/>
        <v>#N/A</v>
      </c>
      <c r="V87" t="e">
        <f ca="1"/>
        <v>#N/A</v>
      </c>
      <c r="W87" t="e">
        <f ca="1"/>
        <v>#N/A</v>
      </c>
      <c r="X87" t="e">
        <f ca="1"/>
        <v>#N/A</v>
      </c>
      <c r="Y87" t="e">
        <f ca="1"/>
        <v>#N/A</v>
      </c>
      <c r="Z87">
        <f ca="1"/>
        <v>26</v>
      </c>
      <c r="AA87" t="str">
        <f ca="1"/>
        <v xml:space="preserve"> </v>
      </c>
    </row>
    <row r="88" spans="1:27" x14ac:dyDescent="0.45">
      <c r="A88">
        <f ca="1"/>
        <v>54</v>
      </c>
      <c r="B88" t="str">
        <f ca="1"/>
        <v>x</v>
      </c>
      <c r="T88" t="e">
        <f ca="1"/>
        <v>#N/A</v>
      </c>
      <c r="U88" t="e">
        <f ca="1"/>
        <v>#N/A</v>
      </c>
      <c r="V88" t="e">
        <f ca="1"/>
        <v>#N/A</v>
      </c>
      <c r="W88" t="e">
        <f ca="1"/>
        <v>#N/A</v>
      </c>
      <c r="X88" t="e">
        <f ca="1"/>
        <v>#N/A</v>
      </c>
      <c r="Y88" t="e">
        <f ca="1"/>
        <v>#N/A</v>
      </c>
      <c r="Z88">
        <f ca="1"/>
        <v>27</v>
      </c>
      <c r="AA88" t="str">
        <f ca="1"/>
        <v>(</v>
      </c>
    </row>
    <row r="89" spans="1:27" x14ac:dyDescent="0.45">
      <c r="A89">
        <f ca="1"/>
        <v>55</v>
      </c>
      <c r="B89" t="str">
        <f ca="1"/>
        <v>y</v>
      </c>
      <c r="T89" t="e">
        <f ca="1"/>
        <v>#N/A</v>
      </c>
      <c r="U89" t="e">
        <f ca="1"/>
        <v>#N/A</v>
      </c>
      <c r="V89" t="e">
        <f ca="1"/>
        <v>#N/A</v>
      </c>
      <c r="W89" t="e">
        <f ca="1"/>
        <v>#N/A</v>
      </c>
      <c r="X89" t="e">
        <f ca="1"/>
        <v>#N/A</v>
      </c>
      <c r="Y89" t="e">
        <f ca="1"/>
        <v>#N/A</v>
      </c>
      <c r="Z89">
        <f ca="1"/>
        <v>28</v>
      </c>
      <c r="AA89" t="str">
        <f ca="1"/>
        <v>a</v>
      </c>
    </row>
    <row r="90" spans="1:27" x14ac:dyDescent="0.45">
      <c r="A90">
        <f ca="1"/>
        <v>56</v>
      </c>
      <c r="B90" t="str">
        <f ca="1"/>
        <v>"</v>
      </c>
      <c r="T90" t="e">
        <f ca="1"/>
        <v>#N/A</v>
      </c>
      <c r="U90" t="e">
        <f ca="1"/>
        <v>#N/A</v>
      </c>
      <c r="V90" t="e">
        <f ca="1"/>
        <v>#N/A</v>
      </c>
      <c r="W90" t="e">
        <f ca="1"/>
        <v>#N/A</v>
      </c>
      <c r="X90" t="e">
        <f ca="1"/>
        <v>#N/A</v>
      </c>
      <c r="Y90" t="e">
        <f ca="1"/>
        <v>#N/A</v>
      </c>
      <c r="Z90">
        <f ca="1"/>
        <v>29</v>
      </c>
      <c r="AA90" t="str">
        <f ca="1"/>
        <v>s</v>
      </c>
    </row>
    <row r="91" spans="1:27" x14ac:dyDescent="0.45">
      <c r="A91">
        <f ca="1"/>
        <v>57</v>
      </c>
      <c r="B91" t="str">
        <f ca="1"/>
        <v>*</v>
      </c>
      <c r="T91" t="e">
        <f ca="1"/>
        <v>#N/A</v>
      </c>
      <c r="U91" t="e">
        <f ca="1"/>
        <v>#N/A</v>
      </c>
      <c r="V91" t="e">
        <f ca="1"/>
        <v>#N/A</v>
      </c>
      <c r="W91" t="e">
        <f ca="1"/>
        <v>#N/A</v>
      </c>
      <c r="X91" t="e">
        <f ca="1"/>
        <v>#N/A</v>
      </c>
      <c r="Y91" t="e">
        <f ca="1"/>
        <v>#N/A</v>
      </c>
      <c r="Z91">
        <f ca="1"/>
        <v>30</v>
      </c>
      <c r="AA91" t="str">
        <f ca="1"/>
        <v>c</v>
      </c>
    </row>
    <row r="92" spans="1:27" x14ac:dyDescent="0.45">
      <c r="A92">
        <f ca="1"/>
        <v>58</v>
      </c>
      <c r="B92" t="str">
        <f ca="1"/>
        <v>"</v>
      </c>
      <c r="T92" t="e">
        <f ca="1"/>
        <v>#N/A</v>
      </c>
      <c r="U92" t="e">
        <f ca="1"/>
        <v>#N/A</v>
      </c>
      <c r="V92" t="e">
        <f ca="1"/>
        <v>#N/A</v>
      </c>
      <c r="W92" t="e">
        <f ca="1"/>
        <v>#N/A</v>
      </c>
      <c r="X92" t="e">
        <f ca="1"/>
        <v>#N/A</v>
      </c>
      <c r="Y92" t="e">
        <f ca="1"/>
        <v>#N/A</v>
      </c>
      <c r="Z92">
        <f ca="1"/>
        <v>31</v>
      </c>
      <c r="AA92" t="str">
        <f ca="1"/>
        <v>i</v>
      </c>
    </row>
    <row r="93" spans="1:27" x14ac:dyDescent="0.45">
      <c r="A93">
        <f ca="1"/>
        <v>59</v>
      </c>
      <c r="B93" t="str">
        <f ca="1"/>
        <v>_x000D_</v>
      </c>
      <c r="T93" t="e">
        <f ca="1"/>
        <v>#N/A</v>
      </c>
      <c r="U93" t="e">
        <f ca="1"/>
        <v>#N/A</v>
      </c>
      <c r="V93" t="e">
        <f ca="1"/>
        <v>#N/A</v>
      </c>
      <c r="W93" t="e">
        <f ca="1"/>
        <v>#N/A</v>
      </c>
      <c r="X93" t="e">
        <f ca="1"/>
        <v>#N/A</v>
      </c>
      <c r="Y93" t="e">
        <f ca="1"/>
        <v>#N/A</v>
      </c>
      <c r="Z93">
        <f ca="1"/>
        <v>32</v>
      </c>
      <c r="AA93" t="str">
        <f ca="1"/>
        <v>i</v>
      </c>
    </row>
    <row r="94" spans="1:27" x14ac:dyDescent="0.45">
      <c r="A94">
        <f ca="1"/>
        <v>60</v>
      </c>
      <c r="B94" t="str">
        <f ca="1"/>
        <v xml:space="preserve">
</v>
      </c>
      <c r="T94" t="e">
        <f ca="1"/>
        <v>#N/A</v>
      </c>
      <c r="U94" t="e">
        <f ca="1"/>
        <v>#N/A</v>
      </c>
      <c r="V94" t="e">
        <f ca="1"/>
        <v>#N/A</v>
      </c>
      <c r="W94" t="e">
        <f ca="1"/>
        <v>#N/A</v>
      </c>
      <c r="X94" t="e">
        <f ca="1"/>
        <v>#N/A</v>
      </c>
      <c r="Y94" t="e">
        <f ca="1"/>
        <v>#N/A</v>
      </c>
      <c r="Z94">
        <f ca="1"/>
        <v>33</v>
      </c>
      <c r="AA94" t="str">
        <f ca="1"/>
        <v xml:space="preserve"> </v>
      </c>
    </row>
    <row r="95" spans="1:27" x14ac:dyDescent="0.45">
      <c r="A95">
        <f ca="1"/>
        <v>61</v>
      </c>
      <c r="B95" t="str">
        <f ca="1"/>
        <v>"</v>
      </c>
      <c r="T95" t="e">
        <f ca="1"/>
        <v>#N/A</v>
      </c>
      <c r="U95" t="e">
        <f ca="1"/>
        <v>#N/A</v>
      </c>
      <c r="V95" t="e">
        <f ca="1"/>
        <v>#N/A</v>
      </c>
      <c r="W95" t="e">
        <f ca="1"/>
        <v>#N/A</v>
      </c>
      <c r="X95" t="e">
        <f ca="1"/>
        <v>#N/A</v>
      </c>
      <c r="Y95" t="e">
        <f ca="1"/>
        <v>#N/A</v>
      </c>
      <c r="Z95">
        <f ca="1"/>
        <v>34</v>
      </c>
      <c r="AA95" t="str">
        <f ca="1"/>
        <v>1</v>
      </c>
    </row>
    <row r="96" spans="1:27" x14ac:dyDescent="0.45">
      <c r="A96">
        <f ca="1"/>
        <v>62</v>
      </c>
      <c r="B96" t="str">
        <f ca="1"/>
        <v>+</v>
      </c>
      <c r="T96" t="e">
        <f ca="1"/>
        <v>#N/A</v>
      </c>
      <c r="U96" t="e">
        <f ca="1"/>
        <v>#N/A</v>
      </c>
      <c r="V96" t="e">
        <f ca="1"/>
        <v>#N/A</v>
      </c>
      <c r="W96" t="e">
        <f ca="1"/>
        <v>#N/A</v>
      </c>
      <c r="X96" t="e">
        <f ca="1"/>
        <v>#N/A</v>
      </c>
      <c r="Y96" t="e">
        <f ca="1"/>
        <v>#N/A</v>
      </c>
      <c r="Z96">
        <f ca="1"/>
        <v>35</v>
      </c>
      <c r="AA96" t="str">
        <f ca="1"/>
        <v>3</v>
      </c>
    </row>
    <row r="97" spans="1:27" x14ac:dyDescent="0.45">
      <c r="A97">
        <f ca="1"/>
        <v>63</v>
      </c>
      <c r="B97" t="str">
        <f ca="1"/>
        <v>"</v>
      </c>
      <c r="T97" t="e">
        <f ca="1"/>
        <v>#N/A</v>
      </c>
      <c r="U97" t="e">
        <f ca="1"/>
        <v>#N/A</v>
      </c>
      <c r="V97" t="e">
        <f ca="1"/>
        <v>#N/A</v>
      </c>
      <c r="W97" t="e">
        <f ca="1"/>
        <v>#N/A</v>
      </c>
      <c r="X97" t="e">
        <f ca="1"/>
        <v>#N/A</v>
      </c>
      <c r="Y97" t="e">
        <f ca="1"/>
        <v>#N/A</v>
      </c>
      <c r="Z97">
        <f ca="1"/>
        <v>36</v>
      </c>
      <c r="AA97" t="str">
        <f ca="1"/>
        <v>)</v>
      </c>
    </row>
    <row r="98" spans="1:27" x14ac:dyDescent="0.45">
      <c r="A98">
        <f ca="1"/>
        <v>64</v>
      </c>
      <c r="B98" t="str">
        <f ca="1"/>
        <v>x</v>
      </c>
      <c r="T98" t="e">
        <f ca="1"/>
        <v>#N/A</v>
      </c>
      <c r="U98" t="e">
        <f ca="1"/>
        <v>#N/A</v>
      </c>
      <c r="V98" t="e">
        <f ca="1"/>
        <v>#N/A</v>
      </c>
      <c r="W98" t="e">
        <f ca="1"/>
        <v>#N/A</v>
      </c>
      <c r="X98" t="e">
        <f ca="1"/>
        <v>#N/A</v>
      </c>
      <c r="Y98" t="e">
        <f ca="1"/>
        <v>#N/A</v>
      </c>
      <c r="Z98">
        <f ca="1"/>
        <v>37</v>
      </c>
      <c r="AA98" t="str">
        <f ca="1"/>
        <v>:</v>
      </c>
    </row>
    <row r="99" spans="1:27" x14ac:dyDescent="0.45">
      <c r="A99">
        <f ca="1"/>
        <v>65</v>
      </c>
      <c r="B99" t="str">
        <f ca="1"/>
        <v>x</v>
      </c>
      <c r="T99" t="e">
        <f ca="1"/>
        <v>#N/A</v>
      </c>
      <c r="U99" t="e">
        <f ca="1"/>
        <v>#N/A</v>
      </c>
      <c r="V99" t="e">
        <f ca="1"/>
        <v>#N/A</v>
      </c>
      <c r="W99" t="e">
        <f ca="1"/>
        <v>#N/A</v>
      </c>
      <c r="X99" t="e">
        <f ca="1"/>
        <v>#N/A</v>
      </c>
      <c r="Y99" t="e">
        <f ca="1"/>
        <v>#N/A</v>
      </c>
      <c r="Z99">
        <f ca="1"/>
        <v>38</v>
      </c>
      <c r="AA99" t="str">
        <f ca="1"/>
        <v>_x000D_</v>
      </c>
    </row>
    <row r="100" spans="1:27" x14ac:dyDescent="0.45">
      <c r="A100">
        <f ca="1"/>
        <v>66</v>
      </c>
      <c r="B100" t="str">
        <f ca="1"/>
        <v>y</v>
      </c>
      <c r="T100" t="e">
        <f ca="1"/>
        <v>#N/A</v>
      </c>
      <c r="U100" t="e">
        <f ca="1"/>
        <v>#N/A</v>
      </c>
      <c r="V100" t="e">
        <f ca="1"/>
        <v>#N/A</v>
      </c>
      <c r="W100" t="e">
        <f ca="1"/>
        <v>#N/A</v>
      </c>
      <c r="X100" t="e">
        <f ca="1"/>
        <v>#N/A</v>
      </c>
      <c r="Y100" t="e">
        <f ca="1"/>
        <v>#N/A</v>
      </c>
      <c r="Z100">
        <f ca="1"/>
        <v>39</v>
      </c>
      <c r="AA100" t="str">
        <f ca="1"/>
        <v>a</v>
      </c>
    </row>
    <row r="101" spans="1:27" x14ac:dyDescent="0.45">
      <c r="A101">
        <f ca="1"/>
        <v>67</v>
      </c>
      <c r="B101" t="str">
        <f ca="1"/>
        <v>"</v>
      </c>
      <c r="T101" t="e">
        <f ca="1"/>
        <v>#N/A</v>
      </c>
      <c r="U101" t="e">
        <f ca="1"/>
        <v>#N/A</v>
      </c>
      <c r="V101" t="e">
        <f ca="1"/>
        <v>#N/A</v>
      </c>
      <c r="W101" t="e">
        <f ca="1"/>
        <v>#N/A</v>
      </c>
      <c r="X101" t="e">
        <f ca="1"/>
        <v>#N/A</v>
      </c>
      <c r="Y101" t="e">
        <f ca="1"/>
        <v>#N/A</v>
      </c>
      <c r="Z101">
        <f ca="1"/>
        <v>40</v>
      </c>
      <c r="AA101" t="str">
        <f ca="1"/>
        <v>n</v>
      </c>
    </row>
    <row r="102" spans="1:27" x14ac:dyDescent="0.45">
      <c r="A102">
        <f ca="1"/>
        <v>68</v>
      </c>
      <c r="B102" t="str">
        <f ca="1"/>
        <v>,</v>
      </c>
      <c r="T102" t="e">
        <f ca="1"/>
        <v>#N/A</v>
      </c>
      <c r="U102" t="e">
        <f ca="1"/>
        <v>#N/A</v>
      </c>
      <c r="V102" t="e">
        <f ca="1"/>
        <v>#N/A</v>
      </c>
      <c r="W102" t="e">
        <f ca="1"/>
        <v>#N/A</v>
      </c>
      <c r="X102" t="e">
        <f ca="1"/>
        <v>#N/A</v>
      </c>
      <c r="Y102" t="e">
        <f ca="1"/>
        <v>#N/A</v>
      </c>
      <c r="Z102">
        <f ca="1"/>
        <v>41</v>
      </c>
      <c r="AA102" t="str">
        <f ca="1"/>
        <v>d</v>
      </c>
    </row>
    <row r="103" spans="1:27" x14ac:dyDescent="0.45">
      <c r="A103">
        <f ca="1"/>
        <v>69</v>
      </c>
      <c r="B103" t="str">
        <f ca="1"/>
        <v>"</v>
      </c>
      <c r="T103" t="e">
        <f ca="1"/>
        <v>#N/A</v>
      </c>
      <c r="U103" t="e">
        <f ca="1"/>
        <v>#N/A</v>
      </c>
      <c r="V103" t="e">
        <f ca="1"/>
        <v>#N/A</v>
      </c>
      <c r="W103" t="e">
        <f ca="1"/>
        <v>#N/A</v>
      </c>
      <c r="X103" t="e">
        <f ca="1"/>
        <v>#N/A</v>
      </c>
      <c r="Y103" t="e">
        <f ca="1"/>
        <v>#N/A</v>
      </c>
      <c r="Z103">
        <f ca="1"/>
        <v>42</v>
      </c>
      <c r="AA103" t="str">
        <f ca="1"/>
        <v xml:space="preserve"> </v>
      </c>
    </row>
    <row r="104" spans="1:27" x14ac:dyDescent="0.45">
      <c r="A104">
        <f ca="1"/>
        <v>70</v>
      </c>
      <c r="B104" t="str">
        <f ca="1"/>
        <v>x</v>
      </c>
      <c r="T104" t="e">
        <f ca="1"/>
        <v>#N/A</v>
      </c>
      <c r="U104" t="e">
        <f ca="1"/>
        <v>#N/A</v>
      </c>
      <c r="V104" t="e">
        <f ca="1"/>
        <v>#N/A</v>
      </c>
      <c r="W104" t="e">
        <f ca="1"/>
        <v>#N/A</v>
      </c>
      <c r="X104" t="e">
        <f ca="1"/>
        <v>#N/A</v>
      </c>
      <c r="Y104" t="e">
        <f ca="1"/>
        <v>#N/A</v>
      </c>
      <c r="Z104">
        <f ca="1"/>
        <v>43</v>
      </c>
      <c r="AA104" t="str">
        <f ca="1"/>
        <v>h</v>
      </c>
    </row>
    <row r="105" spans="1:27" x14ac:dyDescent="0.45">
      <c r="A105">
        <f ca="1"/>
        <v>71</v>
      </c>
      <c r="B105" t="str">
        <f ca="1"/>
        <v>x</v>
      </c>
      <c r="T105" t="e">
        <f ca="1"/>
        <v>#N/A</v>
      </c>
      <c r="U105" t="e">
        <f ca="1"/>
        <v>#N/A</v>
      </c>
      <c r="V105" t="e">
        <f ca="1"/>
        <v>#N/A</v>
      </c>
      <c r="W105" t="e">
        <f ca="1"/>
        <v>#N/A</v>
      </c>
      <c r="X105" t="e">
        <f ca="1"/>
        <v>#N/A</v>
      </c>
      <c r="Y105" t="e">
        <f ca="1"/>
        <v>#N/A</v>
      </c>
      <c r="Z105">
        <f ca="1"/>
        <v>44</v>
      </c>
      <c r="AA105" t="str">
        <f ca="1"/>
        <v>e</v>
      </c>
    </row>
    <row r="106" spans="1:27" x14ac:dyDescent="0.45">
      <c r="A106">
        <f ca="1"/>
        <v>72</v>
      </c>
      <c r="B106" t="str">
        <f ca="1"/>
        <v>y</v>
      </c>
      <c r="T106" t="e">
        <f ca="1"/>
        <v>#N/A</v>
      </c>
      <c r="U106" t="e">
        <f ca="1"/>
        <v>#N/A</v>
      </c>
      <c r="V106" t="e">
        <f ca="1"/>
        <v>#N/A</v>
      </c>
      <c r="W106" t="e">
        <f ca="1"/>
        <v>#N/A</v>
      </c>
      <c r="X106" t="e">
        <f ca="1"/>
        <v>#N/A</v>
      </c>
      <c r="Y106" t="e">
        <f ca="1"/>
        <v>#N/A</v>
      </c>
      <c r="Z106">
        <f ca="1"/>
        <v>45</v>
      </c>
      <c r="AA106" t="str">
        <f ca="1"/>
        <v>r</v>
      </c>
    </row>
    <row r="107" spans="1:27" x14ac:dyDescent="0.45">
      <c r="A107">
        <f ca="1"/>
        <v>73</v>
      </c>
      <c r="B107" t="str">
        <f ca="1"/>
        <v>"</v>
      </c>
      <c r="T107" t="e">
        <f ca="1"/>
        <v>#N/A</v>
      </c>
      <c r="U107" t="e">
        <f ca="1"/>
        <v>#N/A</v>
      </c>
      <c r="V107" t="e">
        <f ca="1"/>
        <v>#N/A</v>
      </c>
      <c r="W107" t="e">
        <f ca="1"/>
        <v>#N/A</v>
      </c>
      <c r="X107" t="e">
        <f ca="1"/>
        <v>#N/A</v>
      </c>
      <c r="Y107" t="e">
        <f ca="1"/>
        <v>#N/A</v>
      </c>
      <c r="Z107">
        <f ca="1"/>
        <v>46</v>
      </c>
      <c r="AA107" t="str">
        <f ca="1"/>
        <v>e</v>
      </c>
    </row>
    <row r="108" spans="1:27" x14ac:dyDescent="0.45">
      <c r="A108">
        <f ca="1"/>
        <v>74</v>
      </c>
      <c r="B108" t="str">
        <f ca="1"/>
        <v>-</v>
      </c>
      <c r="T108" t="e">
        <f ca="1"/>
        <v>#N/A</v>
      </c>
      <c r="U108" t="e">
        <f ca="1"/>
        <v>#N/A</v>
      </c>
      <c r="V108" t="e">
        <f ca="1"/>
        <v>#N/A</v>
      </c>
      <c r="W108" t="e">
        <f ca="1"/>
        <v>#N/A</v>
      </c>
      <c r="X108" t="e">
        <f ca="1"/>
        <v>#N/A</v>
      </c>
      <c r="Y108" t="e">
        <f ca="1"/>
        <v>#N/A</v>
      </c>
      <c r="Z108">
        <f ca="1"/>
        <v>47</v>
      </c>
      <c r="AA108" t="str">
        <f ca="1"/>
        <v>'</v>
      </c>
    </row>
    <row r="109" spans="1:27" x14ac:dyDescent="0.45">
      <c r="A109">
        <f ca="1"/>
        <v>75</v>
      </c>
      <c r="B109" t="str">
        <f ca="1"/>
        <v>"</v>
      </c>
      <c r="T109" t="e">
        <f ca="1"/>
        <v>#N/A</v>
      </c>
      <c r="U109" t="e">
        <f ca="1"/>
        <v>#N/A</v>
      </c>
      <c r="V109" t="e">
        <f ca="1"/>
        <v>#N/A</v>
      </c>
      <c r="W109" t="e">
        <f ca="1"/>
        <v>#N/A</v>
      </c>
      <c r="X109" t="e">
        <f ca="1"/>
        <v>#N/A</v>
      </c>
      <c r="Y109" t="e">
        <f ca="1"/>
        <v>#N/A</v>
      </c>
      <c r="Z109">
        <f ca="1"/>
        <v>48</v>
      </c>
      <c r="AA109" t="str">
        <f ca="1"/>
        <v>s</v>
      </c>
    </row>
    <row r="110" spans="1:27" x14ac:dyDescent="0.45">
      <c r="A110">
        <f ca="1"/>
        <v>76</v>
      </c>
      <c r="B110" t="str">
        <f ca="1"/>
        <v>x</v>
      </c>
      <c r="T110" t="e">
        <f ca="1"/>
        <v>#N/A</v>
      </c>
      <c r="U110" t="e">
        <f ca="1"/>
        <v>#N/A</v>
      </c>
      <c r="V110" t="e">
        <f ca="1"/>
        <v>#N/A</v>
      </c>
      <c r="W110" t="e">
        <f ca="1"/>
        <v>#N/A</v>
      </c>
      <c r="X110" t="e">
        <f ca="1"/>
        <v>#N/A</v>
      </c>
      <c r="Y110" t="e">
        <f ca="1"/>
        <v>#N/A</v>
      </c>
      <c r="Z110">
        <f ca="1"/>
        <v>49</v>
      </c>
      <c r="AA110" t="str">
        <f ca="1"/>
        <v xml:space="preserve"> </v>
      </c>
    </row>
    <row r="111" spans="1:27" x14ac:dyDescent="0.45">
      <c r="A111">
        <f ca="1"/>
        <v>77</v>
      </c>
      <c r="B111" t="str">
        <f ca="1"/>
        <v>x</v>
      </c>
      <c r="T111" t="e">
        <f ca="1"/>
        <v>#N/A</v>
      </c>
      <c r="U111" t="e">
        <f ca="1"/>
        <v>#N/A</v>
      </c>
      <c r="V111" t="e">
        <f ca="1"/>
        <v>#N/A</v>
      </c>
      <c r="W111" t="e">
        <f ca="1"/>
        <v>#N/A</v>
      </c>
      <c r="X111" t="e">
        <f ca="1"/>
        <v>#N/A</v>
      </c>
      <c r="Y111" t="e">
        <f ca="1"/>
        <v>#N/A</v>
      </c>
      <c r="Z111">
        <f ca="1"/>
        <v>50</v>
      </c>
      <c r="AA111" t="str">
        <f ca="1"/>
        <v>a</v>
      </c>
    </row>
    <row r="112" spans="1:27" x14ac:dyDescent="0.45">
      <c r="A112">
        <f ca="1"/>
        <v>78</v>
      </c>
      <c r="B112" t="str">
        <f ca="1"/>
        <v>y</v>
      </c>
      <c r="T112" t="e">
        <f ca="1"/>
        <v>#N/A</v>
      </c>
      <c r="U112" t="e">
        <f ca="1"/>
        <v>#N/A</v>
      </c>
      <c r="V112" t="e">
        <f ca="1"/>
        <v>#N/A</v>
      </c>
      <c r="W112" t="e">
        <f ca="1"/>
        <v>#N/A</v>
      </c>
      <c r="X112" t="e">
        <f ca="1"/>
        <v>#N/A</v>
      </c>
      <c r="Y112" t="e">
        <f ca="1"/>
        <v>#N/A</v>
      </c>
      <c r="Z112">
        <f ca="1"/>
        <v>51</v>
      </c>
      <c r="AA112" t="str">
        <f ca="1"/>
        <v xml:space="preserve"> </v>
      </c>
    </row>
    <row r="113" spans="1:27" x14ac:dyDescent="0.45">
      <c r="A113">
        <f ca="1"/>
        <v>79</v>
      </c>
      <c r="B113" t="str">
        <f ca="1"/>
        <v>"</v>
      </c>
      <c r="T113" t="e">
        <f ca="1"/>
        <v>#N/A</v>
      </c>
      <c r="U113" t="e">
        <f ca="1"/>
        <v>#N/A</v>
      </c>
      <c r="V113" t="e">
        <f ca="1"/>
        <v>#N/A</v>
      </c>
      <c r="W113" t="e">
        <f ca="1"/>
        <v>#N/A</v>
      </c>
      <c r="X113" t="e">
        <f ca="1"/>
        <v>#N/A</v>
      </c>
      <c r="Y113" t="e">
        <f ca="1"/>
        <v>#N/A</v>
      </c>
      <c r="Z113">
        <f ca="1"/>
        <v>52</v>
      </c>
      <c r="AA113" t="str">
        <f ca="1"/>
        <v>l</v>
      </c>
    </row>
    <row r="114" spans="1:27" x14ac:dyDescent="0.45">
      <c r="A114">
        <f ca="1"/>
        <v>80</v>
      </c>
      <c r="B114" t="str">
        <f ca="1"/>
        <v>.</v>
      </c>
      <c r="T114" t="e">
        <f ca="1"/>
        <v>#N/A</v>
      </c>
      <c r="U114" t="e">
        <f ca="1"/>
        <v>#N/A</v>
      </c>
      <c r="V114" t="e">
        <f ca="1"/>
        <v>#N/A</v>
      </c>
      <c r="W114" t="e">
        <f ca="1"/>
        <v>#N/A</v>
      </c>
      <c r="X114" t="e">
        <f ca="1"/>
        <v>#N/A</v>
      </c>
      <c r="Y114" t="e">
        <f ca="1"/>
        <v>#N/A</v>
      </c>
      <c r="Z114">
        <f ca="1"/>
        <v>53</v>
      </c>
      <c r="AA114" t="str">
        <f ca="1"/>
        <v>i</v>
      </c>
    </row>
    <row r="115" spans="1:27" x14ac:dyDescent="0.45">
      <c r="A115">
        <f ca="1"/>
        <v>81</v>
      </c>
      <c r="B115" t="str">
        <f ca="1"/>
        <v>"</v>
      </c>
      <c r="T115" t="e">
        <f ca="1"/>
        <v>#N/A</v>
      </c>
      <c r="U115" t="e">
        <f ca="1"/>
        <v>#N/A</v>
      </c>
      <c r="V115" t="e">
        <f ca="1"/>
        <v>#N/A</v>
      </c>
      <c r="W115" t="e">
        <f ca="1"/>
        <v>#N/A</v>
      </c>
      <c r="X115" t="e">
        <f ca="1"/>
        <v>#N/A</v>
      </c>
      <c r="Y115" t="e">
        <f ca="1"/>
        <v>#N/A</v>
      </c>
      <c r="Z115">
        <f ca="1"/>
        <v>54</v>
      </c>
      <c r="AA115" t="str">
        <f ca="1"/>
        <v>n</v>
      </c>
    </row>
    <row r="116" spans="1:27" x14ac:dyDescent="0.45">
      <c r="A116">
        <f ca="1"/>
        <v>82</v>
      </c>
      <c r="B116" t="str">
        <f ca="1"/>
        <v>x</v>
      </c>
      <c r="T116" t="e">
        <f ca="1"/>
        <v>#N/A</v>
      </c>
      <c r="U116" t="e">
        <f ca="1"/>
        <v>#N/A</v>
      </c>
      <c r="V116" t="e">
        <f ca="1"/>
        <v>#N/A</v>
      </c>
      <c r="W116" t="e">
        <f ca="1"/>
        <v>#N/A</v>
      </c>
      <c r="X116" t="e">
        <f ca="1"/>
        <v>#N/A</v>
      </c>
      <c r="Y116" t="e">
        <f ca="1"/>
        <v>#N/A</v>
      </c>
      <c r="Z116">
        <f ca="1"/>
        <v>55</v>
      </c>
      <c r="AA116" t="str">
        <f ca="1"/>
        <v>e</v>
      </c>
    </row>
    <row r="117" spans="1:27" x14ac:dyDescent="0.45">
      <c r="A117">
        <f ca="1"/>
        <v>83</v>
      </c>
      <c r="B117" t="str">
        <f ca="1"/>
        <v>x</v>
      </c>
      <c r="T117" t="e">
        <f ca="1"/>
        <v>#N/A</v>
      </c>
      <c r="U117" t="e">
        <f ca="1"/>
        <v>#N/A</v>
      </c>
      <c r="V117" t="e">
        <f ca="1"/>
        <v>#N/A</v>
      </c>
      <c r="W117" t="e">
        <f ca="1"/>
        <v>#N/A</v>
      </c>
      <c r="X117" t="e">
        <f ca="1"/>
        <v>#N/A</v>
      </c>
      <c r="Y117" t="e">
        <f ca="1"/>
        <v>#N/A</v>
      </c>
      <c r="Z117">
        <f ca="1"/>
        <v>56</v>
      </c>
      <c r="AA117" t="str">
        <f ca="1"/>
        <v xml:space="preserve"> </v>
      </c>
    </row>
    <row r="118" spans="1:27" x14ac:dyDescent="0.45">
      <c r="A118">
        <f ca="1"/>
        <v>84</v>
      </c>
      <c r="B118" t="str">
        <f ca="1"/>
        <v>y</v>
      </c>
      <c r="T118" t="e">
        <f ca="1"/>
        <v>#N/A</v>
      </c>
      <c r="U118" t="e">
        <f ca="1"/>
        <v>#N/A</v>
      </c>
      <c r="V118" t="e">
        <f ca="1"/>
        <v>#N/A</v>
      </c>
      <c r="W118" t="e">
        <f ca="1"/>
        <v>#N/A</v>
      </c>
      <c r="X118" t="e">
        <f ca="1"/>
        <v>#N/A</v>
      </c>
      <c r="Y118" t="e">
        <f ca="1"/>
        <v>#N/A</v>
      </c>
      <c r="Z118">
        <f ca="1"/>
        <v>57</v>
      </c>
      <c r="AA118" t="str">
        <f ca="1"/>
        <v>f</v>
      </c>
    </row>
    <row r="119" spans="1:27" x14ac:dyDescent="0.45">
      <c r="A119">
        <f ca="1"/>
        <v>85</v>
      </c>
      <c r="B119" t="str">
        <f ca="1"/>
        <v>"</v>
      </c>
      <c r="T119" t="e">
        <f ca="1"/>
        <v>#N/A</v>
      </c>
      <c r="U119" t="e">
        <f ca="1"/>
        <v>#N/A</v>
      </c>
      <c r="V119" t="e">
        <f ca="1"/>
        <v>#N/A</v>
      </c>
      <c r="W119" t="e">
        <f ca="1"/>
        <v>#N/A</v>
      </c>
      <c r="X119" t="e">
        <f ca="1"/>
        <v>#N/A</v>
      </c>
      <c r="Y119" t="e">
        <f ca="1"/>
        <v>#N/A</v>
      </c>
      <c r="Z119">
        <f ca="1"/>
        <v>58</v>
      </c>
      <c r="AA119" t="str">
        <f ca="1"/>
        <v>e</v>
      </c>
    </row>
    <row r="120" spans="1:27" x14ac:dyDescent="0.45">
      <c r="A120">
        <f ca="1"/>
        <v>86</v>
      </c>
      <c r="B120" t="str">
        <f ca="1"/>
        <v>/</v>
      </c>
      <c r="T120" t="e">
        <f ca="1"/>
        <v>#N/A</v>
      </c>
      <c r="U120" t="e">
        <f ca="1"/>
        <v>#N/A</v>
      </c>
      <c r="V120" t="e">
        <f ca="1"/>
        <v>#N/A</v>
      </c>
      <c r="W120" t="e">
        <f ca="1"/>
        <v>#N/A</v>
      </c>
      <c r="X120" t="e">
        <f ca="1"/>
        <v>#N/A</v>
      </c>
      <c r="Y120" t="e">
        <f ca="1"/>
        <v>#N/A</v>
      </c>
      <c r="Z120">
        <f ca="1"/>
        <v>59</v>
      </c>
      <c r="AA120" t="str">
        <f ca="1"/>
        <v>e</v>
      </c>
    </row>
    <row r="121" spans="1:27" x14ac:dyDescent="0.45">
      <c r="A121">
        <f ca="1"/>
        <v>87</v>
      </c>
      <c r="B121" t="str">
        <f ca="1"/>
        <v>"</v>
      </c>
      <c r="T121" t="e">
        <f ca="1"/>
        <v>#N/A</v>
      </c>
      <c r="U121" t="e">
        <f ca="1"/>
        <v>#N/A</v>
      </c>
      <c r="V121" t="e">
        <f ca="1"/>
        <v>#N/A</v>
      </c>
      <c r="W121" t="e">
        <f ca="1"/>
        <v>#N/A</v>
      </c>
      <c r="X121" t="e">
        <f ca="1"/>
        <v>#N/A</v>
      </c>
      <c r="Y121" t="e">
        <f ca="1"/>
        <v>#N/A</v>
      </c>
      <c r="Z121">
        <f ca="1"/>
        <v>60</v>
      </c>
      <c r="AA121" t="str">
        <f ca="1"/>
        <v>d</v>
      </c>
    </row>
    <row r="122" spans="1:27" x14ac:dyDescent="0.45">
      <c r="A122">
        <f ca="1"/>
        <v>88</v>
      </c>
      <c r="B122" t="str">
        <f ca="1"/>
        <v>x</v>
      </c>
      <c r="T122" t="e">
        <f ca="1"/>
        <v>#N/A</v>
      </c>
      <c r="U122" t="e">
        <f ca="1"/>
        <v>#N/A</v>
      </c>
      <c r="V122" t="e">
        <f ca="1"/>
        <v>#N/A</v>
      </c>
      <c r="W122" t="e">
        <f ca="1"/>
        <v>#N/A</v>
      </c>
      <c r="X122" t="e">
        <f ca="1"/>
        <v>#N/A</v>
      </c>
      <c r="Y122" t="e">
        <f ca="1"/>
        <v>#N/A</v>
      </c>
      <c r="Z122">
        <f ca="1"/>
        <v>61</v>
      </c>
      <c r="AA122" t="str">
        <f ca="1"/>
        <v xml:space="preserve"> </v>
      </c>
    </row>
    <row r="123" spans="1:27" x14ac:dyDescent="0.45">
      <c r="A123">
        <f ca="1"/>
        <v>89</v>
      </c>
      <c r="B123" t="str">
        <f ca="1"/>
        <v>x</v>
      </c>
      <c r="T123" t="e">
        <f ca="1"/>
        <v>#N/A</v>
      </c>
      <c r="U123" t="e">
        <f ca="1"/>
        <v>#N/A</v>
      </c>
      <c r="V123" t="e">
        <f ca="1"/>
        <v>#N/A</v>
      </c>
      <c r="W123" t="e">
        <f ca="1"/>
        <v>#N/A</v>
      </c>
      <c r="X123" t="e">
        <f ca="1"/>
        <v>#N/A</v>
      </c>
      <c r="Y123" t="e">
        <f ca="1"/>
        <v>#N/A</v>
      </c>
      <c r="Z123">
        <f ca="1"/>
        <v>62</v>
      </c>
      <c r="AA123" t="str">
        <f ca="1"/>
        <v>(</v>
      </c>
    </row>
    <row r="124" spans="1:27" x14ac:dyDescent="0.45">
      <c r="A124">
        <f ca="1"/>
        <v>90</v>
      </c>
      <c r="B124" t="str">
        <f ca="1"/>
        <v>y</v>
      </c>
      <c r="T124" t="e">
        <f ca="1"/>
        <v>#N/A</v>
      </c>
      <c r="U124" t="e">
        <f ca="1"/>
        <v>#N/A</v>
      </c>
      <c r="V124" t="e">
        <f ca="1"/>
        <v>#N/A</v>
      </c>
      <c r="W124" t="e">
        <f ca="1"/>
        <v>#N/A</v>
      </c>
      <c r="X124" t="e">
        <f ca="1"/>
        <v>#N/A</v>
      </c>
      <c r="Y124" t="e">
        <f ca="1"/>
        <v>#N/A</v>
      </c>
      <c r="Z124">
        <f ca="1"/>
        <v>63</v>
      </c>
      <c r="AA124" t="str">
        <f ca="1"/>
        <v>a</v>
      </c>
    </row>
    <row r="125" spans="1:27" x14ac:dyDescent="0.45">
      <c r="A125">
        <f ca="1"/>
        <v>91</v>
      </c>
      <c r="B125" t="str">
        <f ca="1"/>
        <v>"</v>
      </c>
      <c r="T125" t="e">
        <f ca="1"/>
        <v>#N/A</v>
      </c>
      <c r="U125" t="e">
        <f ca="1"/>
        <v>#N/A</v>
      </c>
      <c r="V125" t="e">
        <f ca="1"/>
        <v>#N/A</v>
      </c>
      <c r="W125" t="e">
        <f ca="1"/>
        <v>#N/A</v>
      </c>
      <c r="X125" t="e">
        <f ca="1"/>
        <v>#N/A</v>
      </c>
      <c r="Y125" t="e">
        <f ca="1"/>
        <v>#N/A</v>
      </c>
      <c r="Z125">
        <f ca="1"/>
        <v>64</v>
      </c>
      <c r="AA125" t="str">
        <f ca="1"/>
        <v>s</v>
      </c>
    </row>
    <row r="126" spans="1:27" x14ac:dyDescent="0.45">
      <c r="A126">
        <f ca="1"/>
        <v>92</v>
      </c>
      <c r="B126" t="str">
        <f ca="1"/>
        <v>0</v>
      </c>
      <c r="T126" t="e">
        <f ca="1"/>
        <v>#N/A</v>
      </c>
      <c r="U126" t="e">
        <f ca="1"/>
        <v>#N/A</v>
      </c>
      <c r="V126" t="e">
        <f ca="1"/>
        <v>#N/A</v>
      </c>
      <c r="W126" t="e">
        <f ca="1"/>
        <v>#N/A</v>
      </c>
      <c r="X126" t="e">
        <f ca="1"/>
        <v>#N/A</v>
      </c>
      <c r="Y126" t="e">
        <f ca="1"/>
        <v>#N/A</v>
      </c>
      <c r="Z126">
        <f ca="1"/>
        <v>65</v>
      </c>
      <c r="AA126" t="str">
        <f ca="1"/>
        <v>c</v>
      </c>
    </row>
    <row r="127" spans="1:27" x14ac:dyDescent="0.45">
      <c r="A127">
        <f ca="1"/>
        <v>93</v>
      </c>
      <c r="B127" t="str">
        <f ca="1"/>
        <v>"</v>
      </c>
      <c r="T127" t="e">
        <f ca="1"/>
        <v>#N/A</v>
      </c>
      <c r="U127" t="e">
        <f ca="1"/>
        <v>#N/A</v>
      </c>
      <c r="V127" t="e">
        <f ca="1"/>
        <v>#N/A</v>
      </c>
      <c r="W127" t="e">
        <f ca="1"/>
        <v>#N/A</v>
      </c>
      <c r="X127" t="e">
        <f ca="1"/>
        <v>#N/A</v>
      </c>
      <c r="Y127" t="e">
        <f ca="1"/>
        <v>#N/A</v>
      </c>
      <c r="Z127">
        <f ca="1"/>
        <v>66</v>
      </c>
      <c r="AA127" t="str">
        <f ca="1"/>
        <v>i</v>
      </c>
    </row>
    <row r="128" spans="1:27" x14ac:dyDescent="0.45">
      <c r="A128">
        <f ca="1"/>
        <v>94</v>
      </c>
      <c r="B128" t="str">
        <f ca="1"/>
        <v>x</v>
      </c>
      <c r="T128" t="e">
        <f ca="1"/>
        <v>#N/A</v>
      </c>
      <c r="U128" t="e">
        <f ca="1"/>
        <v>#N/A</v>
      </c>
      <c r="V128" t="e">
        <f ca="1"/>
        <v>#N/A</v>
      </c>
      <c r="W128" t="e">
        <f ca="1"/>
        <v>#N/A</v>
      </c>
      <c r="X128" t="e">
        <f ca="1"/>
        <v>#N/A</v>
      </c>
      <c r="Y128" t="e">
        <f ca="1"/>
        <v>#N/A</v>
      </c>
      <c r="Z128">
        <f ca="1"/>
        <v>67</v>
      </c>
      <c r="AA128" t="str">
        <f ca="1"/>
        <v>i</v>
      </c>
    </row>
    <row r="129" spans="1:27" x14ac:dyDescent="0.45">
      <c r="A129">
        <f ca="1"/>
        <v>95</v>
      </c>
      <c r="B129" t="str">
        <f ca="1"/>
        <v>x</v>
      </c>
      <c r="T129" t="e">
        <f ca="1"/>
        <v>#N/A</v>
      </c>
      <c r="U129" t="e">
        <f ca="1"/>
        <v>#N/A</v>
      </c>
      <c r="V129" t="e">
        <f ca="1"/>
        <v>#N/A</v>
      </c>
      <c r="W129" t="e">
        <f ca="1"/>
        <v>#N/A</v>
      </c>
      <c r="X129" t="e">
        <f ca="1"/>
        <v>#N/A</v>
      </c>
      <c r="Y129" t="e">
        <f ca="1"/>
        <v>#N/A</v>
      </c>
      <c r="Z129">
        <f ca="1"/>
        <v>68</v>
      </c>
      <c r="AA129" t="str">
        <f ca="1"/>
        <v xml:space="preserve"> </v>
      </c>
    </row>
    <row r="130" spans="1:27" x14ac:dyDescent="0.45">
      <c r="A130">
        <f ca="1"/>
        <v>96</v>
      </c>
      <c r="B130" t="str">
        <f ca="1"/>
        <v>y</v>
      </c>
      <c r="T130" t="e">
        <f ca="1"/>
        <v>#N/A</v>
      </c>
      <c r="U130" t="e">
        <f ca="1"/>
        <v>#N/A</v>
      </c>
      <c r="V130" t="e">
        <f ca="1"/>
        <v>#N/A</v>
      </c>
      <c r="W130" t="e">
        <f ca="1"/>
        <v>#N/A</v>
      </c>
      <c r="X130" t="e">
        <f ca="1"/>
        <v>#N/A</v>
      </c>
      <c r="Y130" t="e">
        <f ca="1"/>
        <v>#N/A</v>
      </c>
      <c r="Z130">
        <f ca="1"/>
        <v>69</v>
      </c>
      <c r="AA130" t="str">
        <f ca="1"/>
        <v>1</v>
      </c>
    </row>
    <row r="131" spans="1:27" x14ac:dyDescent="0.45">
      <c r="A131">
        <f ca="1"/>
        <v>97</v>
      </c>
      <c r="B131" t="str">
        <f ca="1"/>
        <v>"</v>
      </c>
      <c r="T131" t="e">
        <f ca="1"/>
        <v>#N/A</v>
      </c>
      <c r="U131" t="e">
        <f ca="1"/>
        <v>#N/A</v>
      </c>
      <c r="V131" t="e">
        <f ca="1"/>
        <v>#N/A</v>
      </c>
      <c r="W131" t="e">
        <f ca="1"/>
        <v>#N/A</v>
      </c>
      <c r="X131" t="e">
        <f ca="1"/>
        <v>#N/A</v>
      </c>
      <c r="Y131" t="e">
        <f ca="1"/>
        <v>#N/A</v>
      </c>
      <c r="Z131">
        <f ca="1"/>
        <v>70</v>
      </c>
      <c r="AA131" t="str">
        <f ca="1"/>
        <v>0</v>
      </c>
    </row>
    <row r="132" spans="1:27" x14ac:dyDescent="0.45">
      <c r="A132">
        <f ca="1"/>
        <v>98</v>
      </c>
      <c r="B132" t="str">
        <f ca="1"/>
        <v>1</v>
      </c>
      <c r="T132" t="e">
        <f ca="1"/>
        <v>#N/A</v>
      </c>
      <c r="U132" t="e">
        <f ca="1"/>
        <v>#N/A</v>
      </c>
      <c r="V132" t="e">
        <f ca="1"/>
        <v>#N/A</v>
      </c>
      <c r="W132" t="e">
        <f ca="1"/>
        <v>#N/A</v>
      </c>
      <c r="X132" t="e">
        <f ca="1"/>
        <v>#N/A</v>
      </c>
      <c r="Y132" t="e">
        <f ca="1"/>
        <v>#N/A</v>
      </c>
      <c r="Z132">
        <f ca="1"/>
        <v>71</v>
      </c>
      <c r="AA132" t="str">
        <f ca="1"/>
        <v>)</v>
      </c>
    </row>
    <row r="133" spans="1:27" x14ac:dyDescent="0.45">
      <c r="A133">
        <f ca="1"/>
        <v>99</v>
      </c>
      <c r="B133" t="str">
        <f ca="1"/>
        <v>"</v>
      </c>
      <c r="T133" t="e">
        <f ca="1"/>
        <v>#N/A</v>
      </c>
      <c r="U133" t="e">
        <f ca="1"/>
        <v>#N/A</v>
      </c>
      <c r="V133" t="e">
        <f ca="1"/>
        <v>#N/A</v>
      </c>
      <c r="W133" t="e">
        <f ca="1"/>
        <v>#N/A</v>
      </c>
      <c r="X133" t="e">
        <f ca="1"/>
        <v>#N/A</v>
      </c>
      <c r="Y133" t="e">
        <f ca="1"/>
        <v>#N/A</v>
      </c>
      <c r="Z133">
        <f ca="1"/>
        <v>72</v>
      </c>
      <c r="AA133" t="str">
        <f ca="1"/>
        <v>:</v>
      </c>
    </row>
    <row r="134" spans="1:27" x14ac:dyDescent="0.45">
      <c r="A134">
        <f ca="1"/>
        <v>100</v>
      </c>
      <c r="B134" t="str">
        <f ca="1"/>
        <v>x</v>
      </c>
      <c r="T134" t="e">
        <f ca="1"/>
        <v>#N/A</v>
      </c>
      <c r="U134" t="e">
        <f ca="1"/>
        <v>#N/A</v>
      </c>
      <c r="V134" t="e">
        <f ca="1"/>
        <v>#N/A</v>
      </c>
      <c r="W134" t="e">
        <f ca="1"/>
        <v>#N/A</v>
      </c>
      <c r="X134" t="e">
        <f ca="1"/>
        <v>#N/A</v>
      </c>
      <c r="Y134" t="e">
        <f ca="1"/>
        <v>#N/A</v>
      </c>
      <c r="Z134">
        <f ca="1"/>
        <v>73</v>
      </c>
      <c r="AA134" t="str">
        <f ca="1"/>
        <v xml:space="preserve">
</v>
      </c>
    </row>
    <row r="135" spans="1:27" x14ac:dyDescent="0.45">
      <c r="A135">
        <f ca="1"/>
        <v>101</v>
      </c>
      <c r="B135" t="str">
        <f ca="1"/>
        <v>x</v>
      </c>
      <c r="T135" t="e">
        <f ca="1"/>
        <v>#N/A</v>
      </c>
      <c r="U135" t="e">
        <f ca="1"/>
        <v>#N/A</v>
      </c>
      <c r="V135" t="e">
        <f ca="1"/>
        <v>#N/A</v>
      </c>
      <c r="W135" t="e">
        <f ca="1"/>
        <v>#N/A</v>
      </c>
      <c r="X135" t="e">
        <f ca="1"/>
        <v>#N/A</v>
      </c>
      <c r="Y135" t="e">
        <f ca="1"/>
        <v>#N/A</v>
      </c>
      <c r="Z135">
        <f ca="1"/>
        <v>74</v>
      </c>
      <c r="AA135" t="str">
        <f ca="1"/>
        <v>a</v>
      </c>
    </row>
    <row r="136" spans="1:27" x14ac:dyDescent="0.45">
      <c r="A136">
        <f ca="1"/>
        <v>102</v>
      </c>
      <c r="B136" t="str">
        <f ca="1"/>
        <v>y</v>
      </c>
      <c r="T136" t="e">
        <f ca="1"/>
        <v>#N/A</v>
      </c>
      <c r="U136" t="e">
        <f ca="1"/>
        <v>#N/A</v>
      </c>
      <c r="V136" t="e">
        <f ca="1"/>
        <v>#N/A</v>
      </c>
      <c r="W136" t="e">
        <f ca="1"/>
        <v>#N/A</v>
      </c>
      <c r="X136" t="e">
        <f ca="1"/>
        <v>#N/A</v>
      </c>
      <c r="Y136" t="e">
        <f ca="1"/>
        <v>#N/A</v>
      </c>
      <c r="Z136">
        <f ca="1"/>
        <v>75</v>
      </c>
      <c r="AA136" t="str">
        <f ca="1"/>
        <v>n</v>
      </c>
    </row>
    <row r="137" spans="1:27" x14ac:dyDescent="0.45">
      <c r="A137">
        <f ca="1"/>
        <v>103</v>
      </c>
      <c r="B137" t="str">
        <f ca="1"/>
        <v>"</v>
      </c>
      <c r="T137" t="e">
        <f ca="1"/>
        <v>#N/A</v>
      </c>
      <c r="U137" t="e">
        <f ca="1"/>
        <v>#N/A</v>
      </c>
      <c r="V137" t="e">
        <f ca="1"/>
        <v>#N/A</v>
      </c>
      <c r="W137" t="e">
        <f ca="1"/>
        <v>#N/A</v>
      </c>
      <c r="X137" t="e">
        <f ca="1"/>
        <v>#N/A</v>
      </c>
      <c r="Y137" t="e">
        <f ca="1"/>
        <v>#N/A</v>
      </c>
      <c r="Z137">
        <f ca="1"/>
        <v>76</v>
      </c>
      <c r="AA137" t="str">
        <f ca="1"/>
        <v>d</v>
      </c>
    </row>
    <row r="138" spans="1:27" x14ac:dyDescent="0.45">
      <c r="A138">
        <f ca="1"/>
        <v>104</v>
      </c>
      <c r="B138" t="str">
        <f ca="1"/>
        <v>2</v>
      </c>
      <c r="T138" t="e">
        <f ca="1"/>
        <v>#N/A</v>
      </c>
      <c r="U138" t="e">
        <f ca="1"/>
        <v>#N/A</v>
      </c>
      <c r="V138" t="e">
        <f ca="1"/>
        <v>#N/A</v>
      </c>
      <c r="W138" t="e">
        <f ca="1"/>
        <v>#N/A</v>
      </c>
      <c r="X138" t="e">
        <f ca="1"/>
        <v>#N/A</v>
      </c>
      <c r="Y138" t="e">
        <f ca="1"/>
        <v>#N/A</v>
      </c>
      <c r="Z138">
        <f ca="1"/>
        <v>77</v>
      </c>
      <c r="AA138" t="str">
        <f ca="1"/>
        <v xml:space="preserve"> </v>
      </c>
    </row>
    <row r="139" spans="1:27" x14ac:dyDescent="0.45">
      <c r="A139">
        <f ca="1"/>
        <v>105</v>
      </c>
      <c r="B139" t="str">
        <f ca="1"/>
        <v>"</v>
      </c>
      <c r="T139" t="e">
        <f ca="1"/>
        <v>#N/A</v>
      </c>
      <c r="U139" t="e">
        <f ca="1"/>
        <v>#N/A</v>
      </c>
      <c r="V139" t="e">
        <f ca="1"/>
        <v>#N/A</v>
      </c>
      <c r="W139" t="e">
        <f ca="1"/>
        <v>#N/A</v>
      </c>
      <c r="X139" t="e">
        <f ca="1"/>
        <v>#N/A</v>
      </c>
      <c r="Y139" t="e">
        <f ca="1"/>
        <v>#N/A</v>
      </c>
      <c r="Z139">
        <f ca="1"/>
        <v>78</v>
      </c>
      <c r="AA139" t="str">
        <f ca="1"/>
        <v>h</v>
      </c>
    </row>
    <row r="140" spans="1:27" x14ac:dyDescent="0.45">
      <c r="A140">
        <f ca="1"/>
        <v>106</v>
      </c>
      <c r="B140" t="str">
        <f ca="1"/>
        <v>x</v>
      </c>
      <c r="T140" t="e">
        <f ca="1"/>
        <v>#N/A</v>
      </c>
      <c r="U140" t="e">
        <f ca="1"/>
        <v>#N/A</v>
      </c>
      <c r="V140" t="e">
        <f ca="1"/>
        <v>#N/A</v>
      </c>
      <c r="W140" t="e">
        <f ca="1"/>
        <v>#N/A</v>
      </c>
      <c r="X140" t="e">
        <f ca="1"/>
        <v>#N/A</v>
      </c>
      <c r="Y140" t="e">
        <f ca="1"/>
        <v>#N/A</v>
      </c>
      <c r="Z140">
        <f ca="1"/>
        <v>79</v>
      </c>
      <c r="AA140" t="str">
        <f ca="1"/>
        <v>e</v>
      </c>
    </row>
    <row r="141" spans="1:27" x14ac:dyDescent="0.45">
      <c r="A141">
        <f ca="1"/>
        <v>107</v>
      </c>
      <c r="B141" t="str">
        <f ca="1"/>
        <v>x</v>
      </c>
      <c r="T141" t="e">
        <f ca="1"/>
        <v>#N/A</v>
      </c>
      <c r="U141" t="e">
        <f ca="1"/>
        <v>#N/A</v>
      </c>
      <c r="V141" t="e">
        <f ca="1"/>
        <v>#N/A</v>
      </c>
      <c r="W141" t="e">
        <f ca="1"/>
        <v>#N/A</v>
      </c>
      <c r="X141" t="e">
        <f ca="1"/>
        <v>#N/A</v>
      </c>
      <c r="Y141" t="e">
        <f ca="1"/>
        <v>#N/A</v>
      </c>
      <c r="Z141">
        <f ca="1"/>
        <v>80</v>
      </c>
      <c r="AA141" t="str">
        <f ca="1"/>
        <v>r</v>
      </c>
    </row>
    <row r="142" spans="1:27" x14ac:dyDescent="0.45">
      <c r="A142">
        <f ca="1"/>
        <v>108</v>
      </c>
      <c r="B142" t="str">
        <f ca="1"/>
        <v>y</v>
      </c>
      <c r="T142" t="e">
        <f ca="1"/>
        <v>#N/A</v>
      </c>
      <c r="U142" t="e">
        <f ca="1"/>
        <v>#N/A</v>
      </c>
      <c r="V142" t="e">
        <f ca="1"/>
        <v>#N/A</v>
      </c>
      <c r="W142" t="e">
        <f ca="1"/>
        <v>#N/A</v>
      </c>
      <c r="X142" t="e">
        <f ca="1"/>
        <v>#N/A</v>
      </c>
      <c r="Y142" t="e">
        <f ca="1"/>
        <v>#N/A</v>
      </c>
      <c r="Z142">
        <f ca="1"/>
        <v>81</v>
      </c>
      <c r="AA142" t="str">
        <f ca="1"/>
        <v>e</v>
      </c>
    </row>
    <row r="143" spans="1:27" x14ac:dyDescent="0.45">
      <c r="A143">
        <f ca="1"/>
        <v>109</v>
      </c>
      <c r="B143" t="str">
        <f ca="1"/>
        <v>"</v>
      </c>
      <c r="T143" t="e">
        <f ca="1"/>
        <v>#N/A</v>
      </c>
      <c r="U143" t="e">
        <f ca="1"/>
        <v>#N/A</v>
      </c>
      <c r="V143" t="e">
        <f ca="1"/>
        <v>#N/A</v>
      </c>
      <c r="W143" t="e">
        <f ca="1"/>
        <v>#N/A</v>
      </c>
      <c r="X143" t="e">
        <f ca="1"/>
        <v>#N/A</v>
      </c>
      <c r="Y143" t="e">
        <f ca="1"/>
        <v>#N/A</v>
      </c>
      <c r="Z143">
        <f ca="1"/>
        <v>82</v>
      </c>
      <c r="AA143" t="str">
        <f ca="1"/>
        <v>'</v>
      </c>
    </row>
    <row r="144" spans="1:27" x14ac:dyDescent="0.45">
      <c r="A144">
        <f ca="1"/>
        <v>110</v>
      </c>
      <c r="B144" t="str">
        <f ca="1"/>
        <v>3</v>
      </c>
      <c r="T144" t="e">
        <f ca="1"/>
        <v>#N/A</v>
      </c>
      <c r="U144" t="e">
        <f ca="1"/>
        <v>#N/A</v>
      </c>
      <c r="V144" t="e">
        <f ca="1"/>
        <v>#N/A</v>
      </c>
      <c r="W144" t="e">
        <f ca="1"/>
        <v>#N/A</v>
      </c>
      <c r="X144" t="e">
        <f ca="1"/>
        <v>#N/A</v>
      </c>
      <c r="Y144" t="e">
        <f ca="1"/>
        <v>#N/A</v>
      </c>
      <c r="Z144">
        <f ca="1"/>
        <v>83</v>
      </c>
      <c r="AA144" t="str">
        <f ca="1"/>
        <v>s</v>
      </c>
    </row>
    <row r="145" spans="1:27" x14ac:dyDescent="0.45">
      <c r="A145">
        <f ca="1"/>
        <v>111</v>
      </c>
      <c r="B145" t="str">
        <f ca="1"/>
        <v>"</v>
      </c>
      <c r="T145" t="e">
        <f ca="1"/>
        <v>#N/A</v>
      </c>
      <c r="U145" t="e">
        <f ca="1"/>
        <v>#N/A</v>
      </c>
      <c r="V145" t="e">
        <f ca="1"/>
        <v>#N/A</v>
      </c>
      <c r="W145" t="e">
        <f ca="1"/>
        <v>#N/A</v>
      </c>
      <c r="X145" t="e">
        <f ca="1"/>
        <v>#N/A</v>
      </c>
      <c r="Y145" t="e">
        <f ca="1"/>
        <v>#N/A</v>
      </c>
      <c r="Z145">
        <f ca="1"/>
        <v>84</v>
      </c>
      <c r="AA145" t="str">
        <f ca="1"/>
        <v xml:space="preserve"> </v>
      </c>
    </row>
    <row r="146" spans="1:27" x14ac:dyDescent="0.45">
      <c r="A146">
        <f ca="1"/>
        <v>112</v>
      </c>
      <c r="B146" t="str">
        <f ca="1"/>
        <v>x</v>
      </c>
      <c r="T146" t="e">
        <f ca="1"/>
        <v>#N/A</v>
      </c>
      <c r="U146" t="e">
        <f ca="1"/>
        <v>#N/A</v>
      </c>
      <c r="V146" t="e">
        <f ca="1"/>
        <v>#N/A</v>
      </c>
      <c r="W146" t="e">
        <f ca="1"/>
        <v>#N/A</v>
      </c>
      <c r="X146" t="e">
        <f ca="1"/>
        <v>#N/A</v>
      </c>
      <c r="Y146" t="e">
        <f ca="1"/>
        <v>#N/A</v>
      </c>
      <c r="Z146">
        <f ca="1"/>
        <v>85</v>
      </c>
      <c r="AA146" t="str">
        <f ca="1"/>
        <v>b</v>
      </c>
    </row>
    <row r="147" spans="1:27" x14ac:dyDescent="0.45">
      <c r="A147">
        <f ca="1"/>
        <v>113</v>
      </c>
      <c r="B147" t="str">
        <f ca="1"/>
        <v>x</v>
      </c>
      <c r="T147" t="e">
        <f ca="1"/>
        <v>#N/A</v>
      </c>
      <c r="U147" t="e">
        <f ca="1"/>
        <v>#N/A</v>
      </c>
      <c r="V147" t="e">
        <f ca="1"/>
        <v>#N/A</v>
      </c>
      <c r="W147" t="e">
        <f ca="1"/>
        <v>#N/A</v>
      </c>
      <c r="X147" t="e">
        <f ca="1"/>
        <v>#N/A</v>
      </c>
      <c r="Y147" t="e">
        <f ca="1"/>
        <v>#N/A</v>
      </c>
      <c r="Z147">
        <f ca="1"/>
        <v>86</v>
      </c>
      <c r="AA147" t="str">
        <f ca="1"/>
        <v>o</v>
      </c>
    </row>
    <row r="148" spans="1:27" x14ac:dyDescent="0.45">
      <c r="A148">
        <f ca="1"/>
        <v>114</v>
      </c>
      <c r="B148" t="str">
        <f ca="1"/>
        <v>y</v>
      </c>
      <c r="T148" t="e">
        <f ca="1"/>
        <v>#N/A</v>
      </c>
      <c r="U148" t="e">
        <f ca="1"/>
        <v>#N/A</v>
      </c>
      <c r="V148" t="e">
        <f ca="1"/>
        <v>#N/A</v>
      </c>
      <c r="W148" t="e">
        <f ca="1"/>
        <v>#N/A</v>
      </c>
      <c r="X148" t="e">
        <f ca="1"/>
        <v>#N/A</v>
      </c>
      <c r="Y148" t="e">
        <f ca="1"/>
        <v>#N/A</v>
      </c>
      <c r="Z148">
        <f ca="1"/>
        <v>87</v>
      </c>
      <c r="AA148" t="str">
        <f ca="1"/>
        <v>t</v>
      </c>
    </row>
    <row r="149" spans="1:27" x14ac:dyDescent="0.45">
      <c r="A149">
        <f ca="1"/>
        <v>115</v>
      </c>
      <c r="B149" t="str">
        <f ca="1"/>
        <v>"</v>
      </c>
      <c r="T149" t="e">
        <f ca="1"/>
        <v>#N/A</v>
      </c>
      <c r="U149" t="e">
        <f ca="1"/>
        <v>#N/A</v>
      </c>
      <c r="V149" t="e">
        <f ca="1"/>
        <v>#N/A</v>
      </c>
      <c r="W149" t="e">
        <f ca="1"/>
        <v>#N/A</v>
      </c>
      <c r="X149" t="e">
        <f ca="1"/>
        <v>#N/A</v>
      </c>
      <c r="Y149" t="e">
        <f ca="1"/>
        <v>#N/A</v>
      </c>
      <c r="Z149">
        <f ca="1"/>
        <v>88</v>
      </c>
      <c r="AA149" t="str">
        <f ca="1"/>
        <v>h</v>
      </c>
    </row>
    <row r="150" spans="1:27" x14ac:dyDescent="0.45">
      <c r="A150">
        <f ca="1"/>
        <v>116</v>
      </c>
      <c r="B150" t="str">
        <f ca="1"/>
        <v>4</v>
      </c>
      <c r="T150" t="e">
        <f ca="1"/>
        <v>#N/A</v>
      </c>
      <c r="U150" t="e">
        <f ca="1"/>
        <v>#N/A</v>
      </c>
      <c r="V150" t="e">
        <f ca="1"/>
        <v>#N/A</v>
      </c>
      <c r="W150" t="e">
        <f ca="1"/>
        <v>#N/A</v>
      </c>
      <c r="X150" t="e">
        <f ca="1"/>
        <v>#N/A</v>
      </c>
      <c r="Y150" t="e">
        <f ca="1"/>
        <v>#N/A</v>
      </c>
      <c r="Z150">
        <f ca="1"/>
        <v>89</v>
      </c>
      <c r="AA150" t="str">
        <f ca="1"/>
        <v xml:space="preserve"> </v>
      </c>
    </row>
    <row r="151" spans="1:27" x14ac:dyDescent="0.45">
      <c r="A151">
        <f ca="1"/>
        <v>117</v>
      </c>
      <c r="B151" t="str">
        <f ca="1"/>
        <v>"</v>
      </c>
      <c r="T151" t="e">
        <f ca="1"/>
        <v>#N/A</v>
      </c>
      <c r="U151" t="e">
        <f ca="1"/>
        <v>#N/A</v>
      </c>
      <c r="V151" t="e">
        <f ca="1"/>
        <v>#N/A</v>
      </c>
      <c r="W151" t="e">
        <f ca="1"/>
        <v>#N/A</v>
      </c>
      <c r="X151" t="e">
        <f ca="1"/>
        <v>#N/A</v>
      </c>
      <c r="Y151" t="e">
        <f ca="1"/>
        <v>#N/A</v>
      </c>
      <c r="Z151">
        <f ca="1"/>
        <v>90</v>
      </c>
      <c r="AA151" t="str">
        <f ca="1"/>
        <v>t</v>
      </c>
    </row>
    <row r="152" spans="1:27" x14ac:dyDescent="0.45">
      <c r="A152">
        <f ca="1"/>
        <v>118</v>
      </c>
      <c r="B152" t="str">
        <f ca="1"/>
        <v>_x000D_</v>
      </c>
      <c r="T152" t="e">
        <f ca="1"/>
        <v>#N/A</v>
      </c>
      <c r="U152" t="e">
        <f ca="1"/>
        <v>#N/A</v>
      </c>
      <c r="V152" t="e">
        <f ca="1"/>
        <v>#N/A</v>
      </c>
      <c r="W152" t="e">
        <f ca="1"/>
        <v>#N/A</v>
      </c>
      <c r="X152" t="e">
        <f ca="1"/>
        <v>#N/A</v>
      </c>
      <c r="Y152" t="e">
        <f ca="1"/>
        <v>#N/A</v>
      </c>
      <c r="Z152">
        <f ca="1"/>
        <v>91</v>
      </c>
      <c r="AA152" t="str">
        <f ca="1"/>
        <v>o</v>
      </c>
    </row>
    <row r="153" spans="1:27" x14ac:dyDescent="0.45">
      <c r="A153">
        <f ca="1"/>
        <v>119</v>
      </c>
      <c r="B153" t="str">
        <f ca="1"/>
        <v xml:space="preserve">
</v>
      </c>
      <c r="T153" t="e">
        <f ca="1"/>
        <v>#N/A</v>
      </c>
      <c r="U153" t="e">
        <f ca="1"/>
        <v>#N/A</v>
      </c>
      <c r="V153" t="e">
        <f ca="1"/>
        <v>#N/A</v>
      </c>
      <c r="W153" t="e">
        <f ca="1"/>
        <v>#N/A</v>
      </c>
      <c r="X153" t="e">
        <f ca="1"/>
        <v>#N/A</v>
      </c>
      <c r="Y153" t="e">
        <f ca="1"/>
        <v>#N/A</v>
      </c>
      <c r="Z153">
        <f ca="1"/>
        <v>92</v>
      </c>
      <c r="AA153" t="str">
        <f ca="1"/>
        <v>g</v>
      </c>
    </row>
    <row r="154" spans="1:27" x14ac:dyDescent="0.45">
      <c r="A154">
        <f ca="1"/>
        <v>120</v>
      </c>
      <c r="B154" t="str">
        <f ca="1"/>
        <v>"</v>
      </c>
      <c r="T154" t="e">
        <f ca="1"/>
        <v>#N/A</v>
      </c>
      <c r="U154" t="e">
        <f ca="1"/>
        <v>#N/A</v>
      </c>
      <c r="V154" t="e">
        <f ca="1"/>
        <v>#N/A</v>
      </c>
      <c r="W154" t="e">
        <f ca="1"/>
        <v>#N/A</v>
      </c>
      <c r="X154" t="e">
        <f ca="1"/>
        <v>#N/A</v>
      </c>
      <c r="Y154" t="e">
        <f ca="1"/>
        <v>#N/A</v>
      </c>
      <c r="Z154">
        <f ca="1"/>
        <v>93</v>
      </c>
      <c r="AA154" t="str">
        <f ca="1"/>
        <v>e</v>
      </c>
    </row>
    <row r="155" spans="1:27" x14ac:dyDescent="0.45">
      <c r="A155">
        <f ca="1"/>
        <v>121</v>
      </c>
      <c r="B155" t="str">
        <f ca="1"/>
        <v>5</v>
      </c>
      <c r="T155" t="e">
        <f ca="1"/>
        <v>#N/A</v>
      </c>
      <c r="U155" t="e">
        <f ca="1"/>
        <v>#N/A</v>
      </c>
      <c r="V155" t="e">
        <f ca="1"/>
        <v>#N/A</v>
      </c>
      <c r="W155" t="e">
        <f ca="1"/>
        <v>#N/A</v>
      </c>
      <c r="X155" t="e">
        <f ca="1"/>
        <v>#N/A</v>
      </c>
      <c r="Y155" t="e">
        <f ca="1"/>
        <v>#N/A</v>
      </c>
      <c r="Z155">
        <f ca="1"/>
        <v>94</v>
      </c>
      <c r="AA155" t="str">
        <f ca="1"/>
        <v>t</v>
      </c>
    </row>
    <row r="156" spans="1:27" x14ac:dyDescent="0.45">
      <c r="A156">
        <f ca="1"/>
        <v>122</v>
      </c>
      <c r="B156" t="str">
        <f ca="1"/>
        <v>"</v>
      </c>
      <c r="T156" t="e">
        <f ca="1"/>
        <v>#N/A</v>
      </c>
      <c r="U156" t="e">
        <f ca="1"/>
        <v>#N/A</v>
      </c>
      <c r="V156" t="e">
        <f ca="1"/>
        <v>#N/A</v>
      </c>
      <c r="W156" t="e">
        <f ca="1"/>
        <v>#N/A</v>
      </c>
      <c r="X156" t="e">
        <f ca="1"/>
        <v>#N/A</v>
      </c>
      <c r="Y156" t="e">
        <f ca="1"/>
        <v>#N/A</v>
      </c>
      <c r="Z156">
        <f ca="1"/>
        <v>95</v>
      </c>
      <c r="AA156" t="str">
        <f ca="1"/>
        <v>h</v>
      </c>
    </row>
    <row r="157" spans="1:27" x14ac:dyDescent="0.45">
      <c r="A157">
        <f ca="1"/>
        <v>123</v>
      </c>
      <c r="B157" t="str">
        <f ca="1"/>
        <v>x</v>
      </c>
      <c r="T157" t="e">
        <f ca="1"/>
        <v>#N/A</v>
      </c>
      <c r="U157" t="e">
        <f ca="1"/>
        <v>#N/A</v>
      </c>
      <c r="V157" t="e">
        <f ca="1"/>
        <v>#N/A</v>
      </c>
      <c r="W157" t="e">
        <f ca="1"/>
        <v>#N/A</v>
      </c>
      <c r="X157" t="e">
        <f ca="1"/>
        <v>#N/A</v>
      </c>
      <c r="Y157" t="e">
        <f ca="1"/>
        <v>#N/A</v>
      </c>
      <c r="Z157">
        <f ca="1"/>
        <v>96</v>
      </c>
      <c r="AA157" t="str">
        <f ca="1"/>
        <v>e</v>
      </c>
    </row>
    <row r="158" spans="1:27" x14ac:dyDescent="0.45">
      <c r="A158">
        <f ca="1"/>
        <v>124</v>
      </c>
      <c r="B158" t="str">
        <f ca="1"/>
        <v>x</v>
      </c>
      <c r="T158" t="e">
        <f ca="1"/>
        <v>#N/A</v>
      </c>
      <c r="U158" t="e">
        <f ca="1"/>
        <v>#N/A</v>
      </c>
      <c r="V158" t="e">
        <f ca="1"/>
        <v>#N/A</v>
      </c>
      <c r="W158" t="e">
        <f ca="1"/>
        <v>#N/A</v>
      </c>
      <c r="X158" t="e">
        <f ca="1"/>
        <v>#N/A</v>
      </c>
      <c r="Y158" t="e">
        <f ca="1"/>
        <v>#N/A</v>
      </c>
      <c r="Z158">
        <f ca="1"/>
        <v>97</v>
      </c>
      <c r="AA158" t="str">
        <f ca="1"/>
        <v>r</v>
      </c>
    </row>
    <row r="159" spans="1:27" x14ac:dyDescent="0.45">
      <c r="A159">
        <f ca="1"/>
        <v>125</v>
      </c>
      <c r="B159" t="str">
        <f ca="1"/>
        <v>y</v>
      </c>
      <c r="T159" t="e">
        <f ca="1"/>
        <v>#N/A</v>
      </c>
      <c r="U159" t="e">
        <f ca="1"/>
        <v>#N/A</v>
      </c>
      <c r="V159" t="e">
        <f ca="1"/>
        <v>#N/A</v>
      </c>
      <c r="W159" t="e">
        <f ca="1"/>
        <v>#N/A</v>
      </c>
      <c r="X159" t="e">
        <f ca="1"/>
        <v>#N/A</v>
      </c>
      <c r="Y159" t="e">
        <f ca="1"/>
        <v>#N/A</v>
      </c>
      <c r="Z159">
        <f ca="1"/>
        <v>98</v>
      </c>
      <c r="AA159" t="str">
        <f ca="1"/>
        <v>:</v>
      </c>
    </row>
    <row r="160" spans="1:27" x14ac:dyDescent="0.45">
      <c r="A160">
        <f ca="1"/>
        <v>126</v>
      </c>
      <c r="B160" t="str">
        <f ca="1"/>
        <v>x</v>
      </c>
      <c r="T160" t="e">
        <f ca="1"/>
        <v>#N/A</v>
      </c>
      <c r="U160" t="e">
        <f ca="1"/>
        <v>#N/A</v>
      </c>
      <c r="V160" t="e">
        <f ca="1"/>
        <v>#N/A</v>
      </c>
      <c r="W160" t="e">
        <f ca="1"/>
        <v>#N/A</v>
      </c>
      <c r="X160" t="e">
        <f ca="1"/>
        <v>#N/A</v>
      </c>
      <c r="Y160" t="e">
        <f ca="1"/>
        <v>#N/A</v>
      </c>
      <c r="Z160">
        <f ca="1"/>
        <v>99</v>
      </c>
      <c r="AA160" t="str">
        <f ca="1"/>
        <v>_x000D_</v>
      </c>
    </row>
    <row r="161" spans="1:27" x14ac:dyDescent="0.45">
      <c r="A161">
        <f ca="1"/>
        <v>127</v>
      </c>
      <c r="B161" t="str">
        <f ca="1"/>
        <v>x</v>
      </c>
      <c r="T161" t="e">
        <f ca="1"/>
        <v>#N/A</v>
      </c>
      <c r="U161" t="e">
        <f ca="1"/>
        <v>#N/A</v>
      </c>
      <c r="V161" t="e">
        <f ca="1"/>
        <v>#N/A</v>
      </c>
      <c r="W161" t="e">
        <f ca="1"/>
        <v>#N/A</v>
      </c>
      <c r="X161" t="e">
        <f ca="1"/>
        <v>#N/A</v>
      </c>
      <c r="Y161" t="e">
        <f ca="1"/>
        <v>#N/A</v>
      </c>
      <c r="Z161">
        <f ca="1"/>
        <v>100</v>
      </c>
      <c r="AA161" t="str">
        <f ca="1"/>
        <v xml:space="preserve">
</v>
      </c>
    </row>
    <row r="162" spans="1:27" x14ac:dyDescent="0.45">
      <c r="A162">
        <f ca="1"/>
        <v>128</v>
      </c>
      <c r="B162" t="str">
        <f ca="1"/>
        <v>y</v>
      </c>
      <c r="T162" t="e">
        <f ca="1"/>
        <v>#N/A</v>
      </c>
      <c r="U162" t="e">
        <f ca="1"/>
        <v>#N/A</v>
      </c>
      <c r="V162" t="e">
        <f ca="1"/>
        <v>#N/A</v>
      </c>
      <c r="W162" t="e">
        <f ca="1"/>
        <v>#N/A</v>
      </c>
      <c r="X162" t="e">
        <f ca="1"/>
        <v>#N/A</v>
      </c>
      <c r="Y162" t="e">
        <f ca="1"/>
        <v>#N/A</v>
      </c>
      <c r="Z162">
        <f ca="1"/>
        <v>101</v>
      </c>
      <c r="AA162" t="str">
        <f ca="1"/>
        <v>"</v>
      </c>
    </row>
    <row r="163" spans="1:27" x14ac:dyDescent="0.45">
      <c r="A163">
        <f ca="1"/>
        <v>129</v>
      </c>
      <c r="B163" t="str">
        <f ca="1"/>
        <v>"</v>
      </c>
      <c r="T163" t="e">
        <f ca="1"/>
        <v>#N/A</v>
      </c>
      <c r="U163" t="e">
        <f ca="1"/>
        <v>#N/A</v>
      </c>
      <c r="V163" t="e">
        <f ca="1"/>
        <v>#N/A</v>
      </c>
      <c r="W163" t="e">
        <f ca="1"/>
        <v>#N/A</v>
      </c>
      <c r="X163" t="e">
        <f ca="1"/>
        <v>#N/A</v>
      </c>
      <c r="Y163" t="e">
        <f ca="1"/>
        <v>#N/A</v>
      </c>
      <c r="Z163">
        <f ca="1"/>
        <v>102</v>
      </c>
      <c r="AA163" t="str">
        <f ca="1"/>
        <v>:</v>
      </c>
    </row>
    <row r="164" spans="1:27" x14ac:dyDescent="0.45">
      <c r="A164">
        <f ca="1"/>
        <v>130</v>
      </c>
      <c r="B164" t="str">
        <f ca="1"/>
        <v>7</v>
      </c>
      <c r="T164" t="e">
        <f ca="1"/>
        <v>#N/A</v>
      </c>
      <c r="U164" t="e">
        <f ca="1"/>
        <v>#N/A</v>
      </c>
      <c r="V164" t="e">
        <f ca="1"/>
        <v>#N/A</v>
      </c>
      <c r="W164" t="e">
        <f ca="1"/>
        <v>#N/A</v>
      </c>
      <c r="X164" t="e">
        <f ca="1"/>
        <v>#N/A</v>
      </c>
      <c r="Y164" t="e">
        <f ca="1"/>
        <v>#N/A</v>
      </c>
      <c r="Z164">
        <f ca="1"/>
        <v>103</v>
      </c>
      <c r="AA164" t="str">
        <f ca="1"/>
        <v>:</v>
      </c>
    </row>
    <row r="165" spans="1:27" x14ac:dyDescent="0.45">
      <c r="A165">
        <f ca="1"/>
        <v>131</v>
      </c>
      <c r="B165" t="str">
        <f ca="1"/>
        <v>"</v>
      </c>
      <c r="T165" t="e">
        <f ca="1"/>
        <v>#N/A</v>
      </c>
      <c r="U165" t="e">
        <f ca="1"/>
        <v>#N/A</v>
      </c>
      <c r="V165" t="e">
        <f ca="1"/>
        <v>#N/A</v>
      </c>
      <c r="W165" t="e">
        <f ca="1"/>
        <v>#N/A</v>
      </c>
      <c r="X165" t="e">
        <f ca="1"/>
        <v>#N/A</v>
      </c>
      <c r="Y165" t="e">
        <f ca="1"/>
        <v>#N/A</v>
      </c>
      <c r="Z165">
        <f ca="1"/>
        <v>104</v>
      </c>
      <c r="AA165" t="str">
        <f ca="1"/>
        <v>:</v>
      </c>
    </row>
    <row r="166" spans="1:27" x14ac:dyDescent="0.45">
      <c r="A166">
        <f ca="1"/>
        <v>132</v>
      </c>
      <c r="B166" t="str">
        <f ca="1"/>
        <v>x</v>
      </c>
      <c r="T166" t="e">
        <f ca="1"/>
        <v>#N/A</v>
      </c>
      <c r="U166" t="e">
        <f ca="1"/>
        <v>#N/A</v>
      </c>
      <c r="V166" t="e">
        <f ca="1"/>
        <v>#N/A</v>
      </c>
      <c r="W166" t="e">
        <f ca="1"/>
        <v>#N/A</v>
      </c>
      <c r="X166" t="e">
        <f ca="1"/>
        <v>#N/A</v>
      </c>
      <c r="Y166" t="e">
        <f ca="1"/>
        <v>#N/A</v>
      </c>
      <c r="Z166">
        <f ca="1"/>
        <v>105</v>
      </c>
      <c r="AA166" t="str">
        <f ca="1"/>
        <v>:</v>
      </c>
    </row>
    <row r="167" spans="1:27" x14ac:dyDescent="0.45">
      <c r="A167">
        <f ca="1"/>
        <v>133</v>
      </c>
      <c r="B167" t="str">
        <f ca="1"/>
        <v>x</v>
      </c>
      <c r="T167" t="e">
        <f ca="1"/>
        <v>#N/A</v>
      </c>
      <c r="U167" t="e">
        <f ca="1"/>
        <v>#N/A</v>
      </c>
      <c r="V167" t="e">
        <f ca="1"/>
        <v>#N/A</v>
      </c>
      <c r="W167" t="e">
        <f ca="1"/>
        <v>#N/A</v>
      </c>
      <c r="X167" t="e">
        <f ca="1"/>
        <v>#N/A</v>
      </c>
      <c r="Y167" t="e">
        <f ca="1"/>
        <v>#N/A</v>
      </c>
      <c r="Z167">
        <f ca="1"/>
        <v>106</v>
      </c>
      <c r="AA167" t="str">
        <f ca="1"/>
        <v>#</v>
      </c>
    </row>
    <row r="168" spans="1:27" x14ac:dyDescent="0.45">
      <c r="A168">
        <f ca="1"/>
        <v>134</v>
      </c>
      <c r="B168" t="str">
        <f ca="1"/>
        <v>y</v>
      </c>
      <c r="T168" t="e">
        <f ca="1"/>
        <v>#N/A</v>
      </c>
      <c r="U168" t="e">
        <f ca="1"/>
        <v>#N/A</v>
      </c>
      <c r="V168" t="e">
        <f ca="1"/>
        <v>#N/A</v>
      </c>
      <c r="W168" t="e">
        <f ca="1"/>
        <v>#N/A</v>
      </c>
      <c r="X168" t="e">
        <f ca="1"/>
        <v>#N/A</v>
      </c>
      <c r="Y168" t="e">
        <f ca="1"/>
        <v>#N/A</v>
      </c>
      <c r="Z168">
        <f ca="1"/>
        <v>107</v>
      </c>
      <c r="AA168" t="str">
        <f ca="1"/>
        <v>N</v>
      </c>
    </row>
    <row r="169" spans="1:27" x14ac:dyDescent="0.45">
      <c r="A169">
        <f ca="1"/>
        <v>135</v>
      </c>
      <c r="B169" t="str">
        <f ca="1"/>
        <v>"</v>
      </c>
      <c r="T169" t="e">
        <f ca="1"/>
        <v>#N/A</v>
      </c>
      <c r="U169" t="e">
        <f ca="1"/>
        <v>#N/A</v>
      </c>
      <c r="V169" t="e">
        <f ca="1"/>
        <v>#N/A</v>
      </c>
      <c r="W169" t="e">
        <f ca="1"/>
        <v>#N/A</v>
      </c>
      <c r="X169" t="e">
        <f ca="1"/>
        <v>#N/A</v>
      </c>
      <c r="Y169" t="e">
        <f ca="1"/>
        <v>#N/A</v>
      </c>
      <c r="Z169">
        <f ca="1"/>
        <v>108</v>
      </c>
      <c r="AA169" t="str">
        <f ca="1"/>
        <v>A</v>
      </c>
    </row>
    <row r="170" spans="1:27" x14ac:dyDescent="0.45">
      <c r="A170">
        <f ca="1"/>
        <v>136</v>
      </c>
      <c r="B170" t="str">
        <f ca="1"/>
        <v>8</v>
      </c>
      <c r="T170" t="e">
        <f ca="1"/>
        <v>#N/A</v>
      </c>
      <c r="U170" t="e">
        <f ca="1"/>
        <v>#N/A</v>
      </c>
      <c r="V170" t="e">
        <f ca="1"/>
        <v>#N/A</v>
      </c>
      <c r="W170" t="e">
        <f ca="1"/>
        <v>#N/A</v>
      </c>
      <c r="X170" t="e">
        <f ca="1"/>
        <v>#N/A</v>
      </c>
      <c r="Y170" t="e">
        <f ca="1"/>
        <v>#N/A</v>
      </c>
      <c r="Z170">
        <f ca="1"/>
        <v>109</v>
      </c>
      <c r="AA170" t="str">
        <f ca="1"/>
        <v>M</v>
      </c>
    </row>
    <row r="171" spans="1:27" x14ac:dyDescent="0.45">
      <c r="A171">
        <f ca="1"/>
        <v>137</v>
      </c>
      <c r="B171" t="str">
        <f ca="1"/>
        <v>"</v>
      </c>
      <c r="T171" t="e">
        <f ca="1"/>
        <v>#N/A</v>
      </c>
      <c r="U171" t="e">
        <f ca="1"/>
        <v>#N/A</v>
      </c>
      <c r="V171" t="e">
        <f ca="1"/>
        <v>#N/A</v>
      </c>
      <c r="W171" t="e">
        <f ca="1"/>
        <v>#N/A</v>
      </c>
      <c r="X171" t="e">
        <f ca="1"/>
        <v>#N/A</v>
      </c>
      <c r="Y171" t="e">
        <f ca="1"/>
        <v>#N/A</v>
      </c>
      <c r="Z171">
        <f ca="1"/>
        <v>110</v>
      </c>
      <c r="AA171" t="str">
        <f ca="1"/>
        <v>E</v>
      </c>
    </row>
    <row r="172" spans="1:27" x14ac:dyDescent="0.45">
      <c r="A172">
        <f ca="1"/>
        <v>138</v>
      </c>
      <c r="B172" t="str">
        <f ca="1"/>
        <v>x</v>
      </c>
      <c r="T172" t="e">
        <f ca="1"/>
        <v>#N/A</v>
      </c>
      <c r="U172" t="e">
        <f ca="1"/>
        <v>#N/A</v>
      </c>
      <c r="V172" t="e">
        <f ca="1"/>
        <v>#N/A</v>
      </c>
      <c r="W172" t="e">
        <f ca="1"/>
        <v>#N/A</v>
      </c>
      <c r="X172" t="e">
        <f ca="1"/>
        <v>#N/A</v>
      </c>
      <c r="Y172" t="e">
        <f ca="1"/>
        <v>#N/A</v>
      </c>
      <c r="Z172">
        <f ca="1"/>
        <v>111</v>
      </c>
      <c r="AA172" t="str">
        <f ca="1"/>
        <v>?</v>
      </c>
    </row>
    <row r="173" spans="1:27" x14ac:dyDescent="0.45">
      <c r="A173">
        <f ca="1"/>
        <v>139</v>
      </c>
      <c r="B173" t="str">
        <f ca="1"/>
        <v>x</v>
      </c>
      <c r="T173" t="e">
        <f ca="1"/>
        <v>#N/A</v>
      </c>
      <c r="U173" t="e">
        <f ca="1"/>
        <v>#N/A</v>
      </c>
      <c r="V173" t="e">
        <f ca="1"/>
        <v>#N/A</v>
      </c>
      <c r="W173" t="e">
        <f ca="1"/>
        <v>#N/A</v>
      </c>
      <c r="X173" t="e">
        <f ca="1"/>
        <v>#N/A</v>
      </c>
      <c r="Y173" t="e">
        <f ca="1"/>
        <v>#N/A</v>
      </c>
      <c r="Z173">
        <f ca="1"/>
        <v>112</v>
      </c>
      <c r="AA173" t="str">
        <f ca="1"/>
        <v>_x000D_</v>
      </c>
    </row>
    <row r="174" spans="1:27" x14ac:dyDescent="0.45">
      <c r="A174">
        <f ca="1"/>
        <v>140</v>
      </c>
      <c r="B174" t="str">
        <f ca="1"/>
        <v>y</v>
      </c>
      <c r="T174" t="e">
        <f ca="1"/>
        <v>#N/A</v>
      </c>
      <c r="U174" t="e">
        <f ca="1"/>
        <v>#N/A</v>
      </c>
      <c r="V174" t="e">
        <f ca="1"/>
        <v>#N/A</v>
      </c>
      <c r="W174" t="e">
        <f ca="1"/>
        <v>#N/A</v>
      </c>
      <c r="X174" t="e">
        <f ca="1"/>
        <v>#N/A</v>
      </c>
      <c r="Y174" t="e">
        <f ca="1"/>
        <v>#N/A</v>
      </c>
      <c r="Z174">
        <f ca="1"/>
        <v>113</v>
      </c>
      <c r="AA174" t="str">
        <f ca="1"/>
        <v xml:space="preserve">
</v>
      </c>
    </row>
    <row r="175" spans="1:27" x14ac:dyDescent="0.45">
      <c r="A175">
        <f ca="1"/>
        <v>141</v>
      </c>
      <c r="B175" t="str">
        <f ca="1"/>
        <v>"</v>
      </c>
    </row>
    <row r="176" spans="1:27" x14ac:dyDescent="0.45">
      <c r="A176">
        <f ca="1"/>
        <v>142</v>
      </c>
      <c r="B176" t="str">
        <f ca="1"/>
        <v>9</v>
      </c>
    </row>
    <row r="177" spans="1:2" x14ac:dyDescent="0.45">
      <c r="A177">
        <f ca="1"/>
        <v>143</v>
      </c>
      <c r="B177" t="str">
        <f ca="1"/>
        <v>"</v>
      </c>
    </row>
    <row r="178" spans="1:2" x14ac:dyDescent="0.45">
      <c r="A178">
        <f ca="1"/>
        <v>144</v>
      </c>
      <c r="B178" t="str">
        <f ca="1"/>
        <v>x</v>
      </c>
    </row>
    <row r="179" spans="1:2" x14ac:dyDescent="0.45">
      <c r="A179">
        <f ca="1"/>
        <v>145</v>
      </c>
      <c r="B179" t="str">
        <f ca="1"/>
        <v>x</v>
      </c>
    </row>
    <row r="180" spans="1:2" x14ac:dyDescent="0.45">
      <c r="A180">
        <f ca="1"/>
        <v>146</v>
      </c>
      <c r="B180" t="str">
        <f ca="1"/>
        <v>y</v>
      </c>
    </row>
    <row r="181" spans="1:2" x14ac:dyDescent="0.45">
      <c r="A181">
        <f ca="1"/>
        <v>147</v>
      </c>
      <c r="B181" t="str">
        <f ca="1"/>
        <v>"</v>
      </c>
    </row>
    <row r="182" spans="1:2" x14ac:dyDescent="0.45">
      <c r="A182">
        <f ca="1"/>
        <v>148</v>
      </c>
      <c r="B182" t="str">
        <f ca="1"/>
        <v>:</v>
      </c>
    </row>
    <row r="183" spans="1:2" x14ac:dyDescent="0.45">
      <c r="A183">
        <f ca="1"/>
        <v>149</v>
      </c>
      <c r="B183" t="str">
        <f ca="1"/>
        <v>"</v>
      </c>
    </row>
    <row r="184" spans="1:2" x14ac:dyDescent="0.45">
      <c r="A184">
        <f ca="1"/>
        <v>150</v>
      </c>
      <c r="B184" t="str">
        <f ca="1"/>
        <v>x</v>
      </c>
    </row>
    <row r="185" spans="1:2" x14ac:dyDescent="0.45">
      <c r="A185">
        <f ca="1"/>
        <v>151</v>
      </c>
      <c r="B185" t="str">
        <f ca="1"/>
        <v>x</v>
      </c>
    </row>
    <row r="186" spans="1:2" x14ac:dyDescent="0.45">
      <c r="A186">
        <f ca="1"/>
        <v>152</v>
      </c>
      <c r="B186" t="str">
        <f ca="1"/>
        <v>y</v>
      </c>
    </row>
    <row r="187" spans="1:2" x14ac:dyDescent="0.45">
      <c r="A187">
        <f ca="1"/>
        <v>153</v>
      </c>
      <c r="B187" t="str">
        <f ca="1"/>
        <v>"</v>
      </c>
    </row>
    <row r="188" spans="1:2" x14ac:dyDescent="0.45">
      <c r="A188">
        <f ca="1"/>
        <v>154</v>
      </c>
      <c r="B188" t="str">
        <f ca="1"/>
        <v>;</v>
      </c>
    </row>
    <row r="189" spans="1:2" x14ac:dyDescent="0.45">
      <c r="A189">
        <f ca="1"/>
        <v>155</v>
      </c>
      <c r="B189" t="str">
        <f ca="1"/>
        <v>"</v>
      </c>
    </row>
    <row r="190" spans="1:2" x14ac:dyDescent="0.45">
      <c r="A190">
        <f ca="1"/>
        <v>156</v>
      </c>
      <c r="B190" t="str">
        <f ca="1"/>
        <v>x</v>
      </c>
    </row>
    <row r="191" spans="1:2" x14ac:dyDescent="0.45">
      <c r="A191">
        <f ca="1"/>
        <v>157</v>
      </c>
      <c r="B191" t="str">
        <f ca="1"/>
        <v>x</v>
      </c>
    </row>
    <row r="192" spans="1:2" x14ac:dyDescent="0.45">
      <c r="A192">
        <f ca="1"/>
        <v>158</v>
      </c>
      <c r="B192" t="str">
        <f ca="1"/>
        <v>y</v>
      </c>
    </row>
    <row r="193" spans="1:2" x14ac:dyDescent="0.45">
      <c r="A193">
        <f ca="1"/>
        <v>159</v>
      </c>
      <c r="B193" t="str">
        <f ca="1"/>
        <v>"</v>
      </c>
    </row>
    <row r="194" spans="1:2" x14ac:dyDescent="0.45">
      <c r="A194">
        <f ca="1"/>
        <v>160</v>
      </c>
      <c r="B194" t="str">
        <f ca="1"/>
        <v>&lt;</v>
      </c>
    </row>
    <row r="195" spans="1:2" x14ac:dyDescent="0.45">
      <c r="A195">
        <f ca="1"/>
        <v>161</v>
      </c>
      <c r="B195" t="str">
        <f ca="1"/>
        <v>"</v>
      </c>
    </row>
    <row r="196" spans="1:2" x14ac:dyDescent="0.45">
      <c r="A196">
        <f ca="1"/>
        <v>162</v>
      </c>
      <c r="B196" t="str">
        <f ca="1"/>
        <v>x</v>
      </c>
    </row>
    <row r="197" spans="1:2" x14ac:dyDescent="0.45">
      <c r="A197">
        <f ca="1"/>
        <v>163</v>
      </c>
      <c r="B197" t="str">
        <f ca="1"/>
        <v>x</v>
      </c>
    </row>
    <row r="198" spans="1:2" x14ac:dyDescent="0.45">
      <c r="A198">
        <f ca="1"/>
        <v>164</v>
      </c>
      <c r="B198" t="str">
        <f ca="1"/>
        <v>y</v>
      </c>
    </row>
    <row r="199" spans="1:2" x14ac:dyDescent="0.45">
      <c r="A199">
        <f ca="1"/>
        <v>165</v>
      </c>
      <c r="B199" t="str">
        <f ca="1"/>
        <v>"</v>
      </c>
    </row>
    <row r="200" spans="1:2" x14ac:dyDescent="0.45">
      <c r="A200">
        <f ca="1"/>
        <v>166</v>
      </c>
      <c r="B200" t="str">
        <f ca="1"/>
        <v>=</v>
      </c>
    </row>
    <row r="201" spans="1:2" x14ac:dyDescent="0.45">
      <c r="A201">
        <f ca="1"/>
        <v>167</v>
      </c>
      <c r="B201" t="str">
        <f ca="1"/>
        <v>"</v>
      </c>
    </row>
    <row r="202" spans="1:2" x14ac:dyDescent="0.45">
      <c r="A202">
        <f ca="1"/>
        <v>168</v>
      </c>
      <c r="B202" t="str">
        <f ca="1"/>
        <v>x</v>
      </c>
    </row>
    <row r="203" spans="1:2" x14ac:dyDescent="0.45">
      <c r="A203">
        <f ca="1"/>
        <v>169</v>
      </c>
      <c r="B203" t="str">
        <f ca="1"/>
        <v>x</v>
      </c>
    </row>
    <row r="204" spans="1:2" x14ac:dyDescent="0.45">
      <c r="A204">
        <f ca="1"/>
        <v>170</v>
      </c>
      <c r="B204" t="str">
        <f ca="1"/>
        <v>y</v>
      </c>
    </row>
    <row r="205" spans="1:2" x14ac:dyDescent="0.45">
      <c r="A205">
        <f ca="1"/>
        <v>171</v>
      </c>
      <c r="B205" t="str">
        <f ca="1"/>
        <v>"</v>
      </c>
    </row>
    <row r="206" spans="1:2" x14ac:dyDescent="0.45">
      <c r="A206">
        <f ca="1"/>
        <v>172</v>
      </c>
      <c r="B206" t="str">
        <f ca="1"/>
        <v>&gt;</v>
      </c>
    </row>
    <row r="207" spans="1:2" x14ac:dyDescent="0.45">
      <c r="A207">
        <f ca="1"/>
        <v>173</v>
      </c>
      <c r="B207" t="str">
        <f ca="1"/>
        <v>"</v>
      </c>
    </row>
    <row r="208" spans="1:2" x14ac:dyDescent="0.45">
      <c r="A208">
        <f ca="1"/>
        <v>174</v>
      </c>
      <c r="B208" t="str">
        <f ca="1"/>
        <v>_x000D_</v>
      </c>
    </row>
    <row r="209" spans="1:2" x14ac:dyDescent="0.45">
      <c r="A209">
        <f ca="1"/>
        <v>175</v>
      </c>
      <c r="B209" t="str">
        <f ca="1"/>
        <v xml:space="preserve">
</v>
      </c>
    </row>
    <row r="210" spans="1:2" x14ac:dyDescent="0.45">
      <c r="A210">
        <f ca="1"/>
        <v>176</v>
      </c>
      <c r="B210" t="str">
        <f ca="1"/>
        <v>"</v>
      </c>
    </row>
    <row r="211" spans="1:2" x14ac:dyDescent="0.45">
      <c r="A211">
        <f ca="1"/>
        <v>177</v>
      </c>
      <c r="B211" t="str">
        <f ca="1"/>
        <v>?</v>
      </c>
    </row>
    <row r="212" spans="1:2" x14ac:dyDescent="0.45">
      <c r="A212">
        <f ca="1"/>
        <v>178</v>
      </c>
      <c r="B212" t="str">
        <f ca="1"/>
        <v>"</v>
      </c>
    </row>
    <row r="213" spans="1:2" x14ac:dyDescent="0.45">
      <c r="A213">
        <f ca="1"/>
        <v>179</v>
      </c>
      <c r="B213" t="str">
        <f ca="1"/>
        <v>x</v>
      </c>
    </row>
    <row r="214" spans="1:2" x14ac:dyDescent="0.45">
      <c r="A214">
        <f ca="1"/>
        <v>180</v>
      </c>
      <c r="B214" t="str">
        <f ca="1"/>
        <v>x</v>
      </c>
    </row>
    <row r="215" spans="1:2" x14ac:dyDescent="0.45">
      <c r="A215">
        <f ca="1"/>
        <v>181</v>
      </c>
      <c r="B215" t="str">
        <f ca="1"/>
        <v>y</v>
      </c>
    </row>
    <row r="216" spans="1:2" x14ac:dyDescent="0.45">
      <c r="A216">
        <f ca="1"/>
        <v>182</v>
      </c>
      <c r="B216" t="str">
        <f ca="1"/>
        <v>"</v>
      </c>
    </row>
    <row r="217" spans="1:2" x14ac:dyDescent="0.45">
      <c r="A217">
        <f ca="1"/>
        <v>183</v>
      </c>
      <c r="B217" t="str">
        <f ca="1"/>
        <v>@</v>
      </c>
    </row>
    <row r="218" spans="1:2" x14ac:dyDescent="0.45">
      <c r="A218">
        <f ca="1"/>
        <v>184</v>
      </c>
      <c r="B218" t="str">
        <f ca="1"/>
        <v>"</v>
      </c>
    </row>
    <row r="219" spans="1:2" x14ac:dyDescent="0.45">
      <c r="A219">
        <f ca="1"/>
        <v>185</v>
      </c>
      <c r="B219" t="str">
        <f ca="1"/>
        <v>x</v>
      </c>
    </row>
    <row r="220" spans="1:2" x14ac:dyDescent="0.45">
      <c r="A220">
        <f ca="1"/>
        <v>186</v>
      </c>
      <c r="B220" t="str">
        <f ca="1"/>
        <v>x</v>
      </c>
    </row>
    <row r="221" spans="1:2" x14ac:dyDescent="0.45">
      <c r="A221">
        <f ca="1"/>
        <v>187</v>
      </c>
      <c r="B221" t="str">
        <f ca="1"/>
        <v>y</v>
      </c>
    </row>
    <row r="222" spans="1:2" x14ac:dyDescent="0.45">
      <c r="A222">
        <f ca="1"/>
        <v>188</v>
      </c>
      <c r="B222" t="str">
        <f ca="1"/>
        <v>"</v>
      </c>
    </row>
    <row r="223" spans="1:2" x14ac:dyDescent="0.45">
      <c r="A223">
        <f ca="1"/>
        <v>189</v>
      </c>
      <c r="B223" t="str">
        <f ca="1"/>
        <v>A</v>
      </c>
    </row>
    <row r="224" spans="1:2" x14ac:dyDescent="0.45">
      <c r="A224">
        <f ca="1"/>
        <v>190</v>
      </c>
      <c r="B224" t="str">
        <f ca="1"/>
        <v>"</v>
      </c>
    </row>
    <row r="225" spans="1:2" x14ac:dyDescent="0.45">
      <c r="A225">
        <f ca="1"/>
        <v>191</v>
      </c>
      <c r="B225" t="str">
        <f ca="1"/>
        <v>x</v>
      </c>
    </row>
    <row r="226" spans="1:2" x14ac:dyDescent="0.45">
      <c r="A226">
        <f ca="1"/>
        <v>192</v>
      </c>
      <c r="B226" t="str">
        <f ca="1"/>
        <v>x</v>
      </c>
    </row>
    <row r="227" spans="1:2" x14ac:dyDescent="0.45">
      <c r="A227">
        <f ca="1"/>
        <v>193</v>
      </c>
      <c r="B227" t="str">
        <f ca="1"/>
        <v>y</v>
      </c>
    </row>
    <row r="228" spans="1:2" x14ac:dyDescent="0.45">
      <c r="A228">
        <f ca="1"/>
        <v>194</v>
      </c>
      <c r="B228" t="str">
        <f ca="1"/>
        <v>"</v>
      </c>
    </row>
    <row r="229" spans="1:2" x14ac:dyDescent="0.45">
      <c r="A229">
        <f ca="1"/>
        <v>195</v>
      </c>
      <c r="B229" t="str">
        <f ca="1"/>
        <v>B</v>
      </c>
    </row>
    <row r="230" spans="1:2" x14ac:dyDescent="0.45">
      <c r="A230">
        <f ca="1"/>
        <v>196</v>
      </c>
      <c r="B230" t="str">
        <f ca="1"/>
        <v>"</v>
      </c>
    </row>
    <row r="231" spans="1:2" x14ac:dyDescent="0.45">
      <c r="A231">
        <f ca="1"/>
        <v>197</v>
      </c>
      <c r="B231" t="str">
        <f ca="1"/>
        <v>x</v>
      </c>
    </row>
    <row r="232" spans="1:2" x14ac:dyDescent="0.45">
      <c r="A232">
        <f ca="1"/>
        <v>198</v>
      </c>
      <c r="B232" t="str">
        <f ca="1"/>
        <v>x</v>
      </c>
    </row>
    <row r="233" spans="1:2" x14ac:dyDescent="0.45">
      <c r="A233">
        <f ca="1"/>
        <v>199</v>
      </c>
      <c r="B233" t="str">
        <f ca="1"/>
        <v>y</v>
      </c>
    </row>
    <row r="234" spans="1:2" x14ac:dyDescent="0.45">
      <c r="A234">
        <f ca="1"/>
        <v>200</v>
      </c>
      <c r="B234" t="str">
        <f ca="1"/>
        <v>"</v>
      </c>
    </row>
    <row r="235" spans="1:2" x14ac:dyDescent="0.45">
      <c r="A235">
        <f ca="1"/>
        <v>201</v>
      </c>
      <c r="B235" t="str">
        <f ca="1"/>
        <v>C</v>
      </c>
    </row>
    <row r="236" spans="1:2" x14ac:dyDescent="0.45">
      <c r="A236">
        <f ca="1"/>
        <v>202</v>
      </c>
      <c r="B236" t="str">
        <f ca="1"/>
        <v>"</v>
      </c>
    </row>
    <row r="237" spans="1:2" x14ac:dyDescent="0.45">
      <c r="A237">
        <f ca="1"/>
        <v>203</v>
      </c>
      <c r="B237" t="str">
        <f ca="1"/>
        <v>x</v>
      </c>
    </row>
    <row r="238" spans="1:2" x14ac:dyDescent="0.45">
      <c r="A238">
        <f ca="1"/>
        <v>204</v>
      </c>
      <c r="B238" t="str">
        <f ca="1"/>
        <v>x</v>
      </c>
    </row>
    <row r="239" spans="1:2" x14ac:dyDescent="0.45">
      <c r="A239">
        <f ca="1"/>
        <v>205</v>
      </c>
      <c r="B239" t="str">
        <f ca="1"/>
        <v>y</v>
      </c>
    </row>
    <row r="240" spans="1:2" x14ac:dyDescent="0.45">
      <c r="A240">
        <f ca="1"/>
        <v>206</v>
      </c>
      <c r="B240" t="str">
        <f ca="1"/>
        <v>"</v>
      </c>
    </row>
    <row r="241" spans="1:2" x14ac:dyDescent="0.45">
      <c r="A241">
        <f ca="1"/>
        <v>207</v>
      </c>
      <c r="B241" t="str">
        <f ca="1"/>
        <v>D</v>
      </c>
    </row>
    <row r="242" spans="1:2" x14ac:dyDescent="0.45">
      <c r="A242">
        <f ca="1"/>
        <v>208</v>
      </c>
      <c r="B242" t="str">
        <f ca="1"/>
        <v>"</v>
      </c>
    </row>
    <row r="243" spans="1:2" x14ac:dyDescent="0.45">
      <c r="A243">
        <f ca="1"/>
        <v>209</v>
      </c>
      <c r="B243" t="str">
        <f ca="1"/>
        <v>x</v>
      </c>
    </row>
    <row r="244" spans="1:2" x14ac:dyDescent="0.45">
      <c r="A244">
        <f ca="1"/>
        <v>210</v>
      </c>
      <c r="B244" t="str">
        <f ca="1"/>
        <v>x</v>
      </c>
    </row>
    <row r="245" spans="1:2" x14ac:dyDescent="0.45">
      <c r="A245">
        <f ca="1"/>
        <v>211</v>
      </c>
      <c r="B245" t="str">
        <f ca="1"/>
        <v>y</v>
      </c>
    </row>
    <row r="246" spans="1:2" x14ac:dyDescent="0.45">
      <c r="A246">
        <f ca="1"/>
        <v>212</v>
      </c>
      <c r="B246" t="str">
        <f ca="1"/>
        <v>"</v>
      </c>
    </row>
    <row r="247" spans="1:2" x14ac:dyDescent="0.45">
      <c r="A247">
        <f ca="1"/>
        <v>213</v>
      </c>
      <c r="B247" t="str">
        <f ca="1"/>
        <v>E</v>
      </c>
    </row>
    <row r="248" spans="1:2" x14ac:dyDescent="0.45">
      <c r="A248">
        <f ca="1"/>
        <v>214</v>
      </c>
      <c r="B248" t="str">
        <f ca="1"/>
        <v>"</v>
      </c>
    </row>
    <row r="249" spans="1:2" x14ac:dyDescent="0.45">
      <c r="A249">
        <f ca="1"/>
        <v>215</v>
      </c>
      <c r="B249" t="str">
        <f ca="1"/>
        <v>x</v>
      </c>
    </row>
    <row r="250" spans="1:2" x14ac:dyDescent="0.45">
      <c r="A250">
        <f ca="1"/>
        <v>216</v>
      </c>
      <c r="B250" t="str">
        <f ca="1"/>
        <v>x</v>
      </c>
    </row>
    <row r="251" spans="1:2" x14ac:dyDescent="0.45">
      <c r="A251">
        <f ca="1"/>
        <v>217</v>
      </c>
      <c r="B251" t="str">
        <f ca="1"/>
        <v>y</v>
      </c>
    </row>
    <row r="252" spans="1:2" x14ac:dyDescent="0.45">
      <c r="A252">
        <f ca="1"/>
        <v>218</v>
      </c>
      <c r="B252" t="str">
        <f ca="1"/>
        <v>"</v>
      </c>
    </row>
    <row r="253" spans="1:2" x14ac:dyDescent="0.45">
      <c r="A253">
        <f ca="1"/>
        <v>219</v>
      </c>
      <c r="B253" t="str">
        <f ca="1"/>
        <v>F</v>
      </c>
    </row>
    <row r="254" spans="1:2" x14ac:dyDescent="0.45">
      <c r="A254">
        <f ca="1"/>
        <v>220</v>
      </c>
      <c r="B254" t="str">
        <f ca="1"/>
        <v>"</v>
      </c>
    </row>
    <row r="255" spans="1:2" x14ac:dyDescent="0.45">
      <c r="A255">
        <f ca="1"/>
        <v>221</v>
      </c>
      <c r="B255" t="str">
        <f ca="1"/>
        <v>x</v>
      </c>
    </row>
    <row r="256" spans="1:2" x14ac:dyDescent="0.45">
      <c r="A256">
        <f ca="1"/>
        <v>222</v>
      </c>
      <c r="B256" t="str">
        <f ca="1"/>
        <v>x</v>
      </c>
    </row>
    <row r="257" spans="1:2" x14ac:dyDescent="0.45">
      <c r="A257">
        <f ca="1"/>
        <v>223</v>
      </c>
      <c r="B257" t="str">
        <f ca="1"/>
        <v>y</v>
      </c>
    </row>
    <row r="258" spans="1:2" x14ac:dyDescent="0.45">
      <c r="A258">
        <f ca="1"/>
        <v>224</v>
      </c>
      <c r="B258" t="str">
        <f ca="1"/>
        <v>"</v>
      </c>
    </row>
    <row r="259" spans="1:2" x14ac:dyDescent="0.45">
      <c r="A259">
        <f ca="1"/>
        <v>225</v>
      </c>
      <c r="B259" t="str">
        <f ca="1"/>
        <v>G</v>
      </c>
    </row>
    <row r="260" spans="1:2" x14ac:dyDescent="0.45">
      <c r="A260">
        <f ca="1"/>
        <v>226</v>
      </c>
      <c r="B260" t="str">
        <f ca="1"/>
        <v>"</v>
      </c>
    </row>
    <row r="261" spans="1:2" x14ac:dyDescent="0.45">
      <c r="A261">
        <f ca="1"/>
        <v>227</v>
      </c>
      <c r="B261" t="str">
        <f ca="1"/>
        <v>x</v>
      </c>
    </row>
    <row r="262" spans="1:2" x14ac:dyDescent="0.45">
      <c r="A262">
        <f ca="1"/>
        <v>228</v>
      </c>
      <c r="B262" t="str">
        <f ca="1"/>
        <v>x</v>
      </c>
    </row>
    <row r="263" spans="1:2" x14ac:dyDescent="0.45">
      <c r="A263">
        <f ca="1"/>
        <v>229</v>
      </c>
      <c r="B263" t="str">
        <f ca="1"/>
        <v>y</v>
      </c>
    </row>
    <row r="264" spans="1:2" x14ac:dyDescent="0.45">
      <c r="A264">
        <f ca="1"/>
        <v>230</v>
      </c>
      <c r="B264" t="str">
        <f ca="1"/>
        <v>"</v>
      </c>
    </row>
    <row r="265" spans="1:2" x14ac:dyDescent="0.45">
      <c r="A265">
        <f ca="1"/>
        <v>231</v>
      </c>
      <c r="B265" t="str">
        <f ca="1"/>
        <v>H</v>
      </c>
    </row>
    <row r="266" spans="1:2" x14ac:dyDescent="0.45">
      <c r="A266">
        <f ca="1"/>
        <v>232</v>
      </c>
      <c r="B266" t="str">
        <f ca="1"/>
        <v>"</v>
      </c>
    </row>
    <row r="267" spans="1:2" x14ac:dyDescent="0.45">
      <c r="A267">
        <f ca="1"/>
        <v>233</v>
      </c>
      <c r="B267" t="str">
        <f ca="1"/>
        <v>_x000D_</v>
      </c>
    </row>
    <row r="268" spans="1:2" x14ac:dyDescent="0.45">
      <c r="A268">
        <f ca="1"/>
        <v>234</v>
      </c>
      <c r="B268" t="str">
        <f ca="1"/>
        <v xml:space="preserve">
</v>
      </c>
    </row>
    <row r="269" spans="1:2" x14ac:dyDescent="0.45">
      <c r="A269">
        <f ca="1"/>
        <v>235</v>
      </c>
      <c r="B269" t="str">
        <f ca="1"/>
        <v>"</v>
      </c>
    </row>
    <row r="270" spans="1:2" x14ac:dyDescent="0.45">
      <c r="A270">
        <f ca="1"/>
        <v>236</v>
      </c>
      <c r="B270" t="str">
        <f ca="1"/>
        <v>x</v>
      </c>
    </row>
    <row r="271" spans="1:2" x14ac:dyDescent="0.45">
      <c r="A271">
        <f ca="1"/>
        <v>237</v>
      </c>
      <c r="B271" t="str">
        <f ca="1"/>
        <v>"</v>
      </c>
    </row>
    <row r="272" spans="1:2" x14ac:dyDescent="0.45">
      <c r="A272">
        <f ca="1"/>
        <v>238</v>
      </c>
      <c r="B272" t="str">
        <f ca="1"/>
        <v>x</v>
      </c>
    </row>
    <row r="273" spans="1:2" x14ac:dyDescent="0.45">
      <c r="A273">
        <f ca="1"/>
        <v>239</v>
      </c>
      <c r="B273" t="str">
        <f ca="1"/>
        <v>x</v>
      </c>
    </row>
    <row r="274" spans="1:2" x14ac:dyDescent="0.45">
      <c r="A274">
        <f ca="1"/>
        <v>240</v>
      </c>
      <c r="B274" t="str">
        <f ca="1"/>
        <v>y</v>
      </c>
    </row>
    <row r="275" spans="1:2" x14ac:dyDescent="0.45">
      <c r="A275">
        <f ca="1"/>
        <v>241</v>
      </c>
      <c r="B275" t="str">
        <f ca="1"/>
        <v>"</v>
      </c>
    </row>
    <row r="276" spans="1:2" x14ac:dyDescent="0.45">
      <c r="A276">
        <f ca="1"/>
        <v>242</v>
      </c>
      <c r="B276" t="str">
        <f ca="1"/>
        <v>J</v>
      </c>
    </row>
    <row r="277" spans="1:2" x14ac:dyDescent="0.45">
      <c r="A277">
        <f ca="1"/>
        <v>243</v>
      </c>
      <c r="B277" t="str">
        <f ca="1"/>
        <v>"</v>
      </c>
    </row>
    <row r="278" spans="1:2" x14ac:dyDescent="0.45">
      <c r="A278">
        <f ca="1"/>
        <v>244</v>
      </c>
      <c r="B278" t="str">
        <f ca="1"/>
        <v>x</v>
      </c>
    </row>
    <row r="279" spans="1:2" x14ac:dyDescent="0.45">
      <c r="A279">
        <f ca="1"/>
        <v>245</v>
      </c>
      <c r="B279" t="str">
        <f ca="1"/>
        <v>x</v>
      </c>
    </row>
    <row r="280" spans="1:2" x14ac:dyDescent="0.45">
      <c r="A280">
        <f ca="1"/>
        <v>246</v>
      </c>
      <c r="B280" t="str">
        <f ca="1"/>
        <v>y</v>
      </c>
    </row>
    <row r="281" spans="1:2" x14ac:dyDescent="0.45">
      <c r="A281">
        <f ca="1"/>
        <v>247</v>
      </c>
      <c r="B281" t="str">
        <f ca="1"/>
        <v>"</v>
      </c>
    </row>
    <row r="282" spans="1:2" x14ac:dyDescent="0.45">
      <c r="A282">
        <f ca="1"/>
        <v>248</v>
      </c>
      <c r="B282" t="str">
        <f ca="1"/>
        <v>K</v>
      </c>
    </row>
    <row r="283" spans="1:2" x14ac:dyDescent="0.45">
      <c r="A283">
        <f ca="1"/>
        <v>249</v>
      </c>
      <c r="B283" t="str">
        <f ca="1"/>
        <v>"</v>
      </c>
    </row>
    <row r="284" spans="1:2" x14ac:dyDescent="0.45">
      <c r="A284">
        <f ca="1"/>
        <v>250</v>
      </c>
      <c r="B284" t="str">
        <f ca="1"/>
        <v>x</v>
      </c>
    </row>
    <row r="285" spans="1:2" x14ac:dyDescent="0.45">
      <c r="A285">
        <f ca="1"/>
        <v>251</v>
      </c>
      <c r="B285" t="str">
        <f ca="1"/>
        <v>x</v>
      </c>
    </row>
    <row r="286" spans="1:2" x14ac:dyDescent="0.45">
      <c r="A286">
        <f ca="1"/>
        <v>252</v>
      </c>
      <c r="B286" t="str">
        <f ca="1"/>
        <v>y</v>
      </c>
    </row>
    <row r="287" spans="1:2" x14ac:dyDescent="0.45">
      <c r="A287">
        <f ca="1"/>
        <v>253</v>
      </c>
      <c r="B287" t="str">
        <f ca="1"/>
        <v>"</v>
      </c>
    </row>
    <row r="288" spans="1:2" x14ac:dyDescent="0.45">
      <c r="A288">
        <f ca="1"/>
        <v>254</v>
      </c>
      <c r="B288" t="str">
        <f ca="1"/>
        <v>L</v>
      </c>
    </row>
    <row r="289" spans="1:2" x14ac:dyDescent="0.45">
      <c r="A289">
        <f ca="1"/>
        <v>255</v>
      </c>
      <c r="B289" t="str">
        <f ca="1"/>
        <v>"</v>
      </c>
    </row>
    <row r="290" spans="1:2" x14ac:dyDescent="0.45">
      <c r="A290">
        <f ca="1"/>
        <v>256</v>
      </c>
      <c r="B290" t="str">
        <f ca="1"/>
        <v>x</v>
      </c>
    </row>
    <row r="291" spans="1:2" x14ac:dyDescent="0.45">
      <c r="A291">
        <f ca="1"/>
        <v>257</v>
      </c>
      <c r="B291" t="str">
        <f ca="1"/>
        <v>x</v>
      </c>
    </row>
    <row r="292" spans="1:2" x14ac:dyDescent="0.45">
      <c r="A292">
        <f ca="1"/>
        <v>258</v>
      </c>
      <c r="B292" t="str">
        <f ca="1"/>
        <v>y</v>
      </c>
    </row>
    <row r="293" spans="1:2" x14ac:dyDescent="0.45">
      <c r="A293">
        <f ca="1"/>
        <v>259</v>
      </c>
      <c r="B293" t="str">
        <f ca="1"/>
        <v>"</v>
      </c>
    </row>
    <row r="294" spans="1:2" x14ac:dyDescent="0.45">
      <c r="A294">
        <f ca="1"/>
        <v>260</v>
      </c>
      <c r="B294" t="str">
        <f ca="1"/>
        <v>M</v>
      </c>
    </row>
    <row r="295" spans="1:2" x14ac:dyDescent="0.45">
      <c r="A295">
        <f ca="1"/>
        <v>261</v>
      </c>
      <c r="B295" t="str">
        <f ca="1"/>
        <v>"</v>
      </c>
    </row>
    <row r="296" spans="1:2" x14ac:dyDescent="0.45">
      <c r="A296">
        <f ca="1"/>
        <v>262</v>
      </c>
      <c r="B296" t="str">
        <f ca="1"/>
        <v>x</v>
      </c>
    </row>
    <row r="297" spans="1:2" x14ac:dyDescent="0.45">
      <c r="A297">
        <f ca="1"/>
        <v>263</v>
      </c>
      <c r="B297" t="str">
        <f ca="1"/>
        <v>x</v>
      </c>
    </row>
    <row r="298" spans="1:2" x14ac:dyDescent="0.45">
      <c r="A298">
        <f ca="1"/>
        <v>264</v>
      </c>
      <c r="B298" t="str">
        <f ca="1"/>
        <v>y</v>
      </c>
    </row>
    <row r="299" spans="1:2" x14ac:dyDescent="0.45">
      <c r="A299">
        <f ca="1"/>
        <v>265</v>
      </c>
      <c r="B299" t="str">
        <f ca="1"/>
        <v>"</v>
      </c>
    </row>
    <row r="300" spans="1:2" x14ac:dyDescent="0.45">
      <c r="A300">
        <f ca="1"/>
        <v>266</v>
      </c>
      <c r="B300" t="str">
        <f ca="1"/>
        <v>N</v>
      </c>
    </row>
    <row r="301" spans="1:2" x14ac:dyDescent="0.45">
      <c r="A301">
        <f ca="1"/>
        <v>267</v>
      </c>
      <c r="B301" t="str">
        <f ca="1"/>
        <v>"</v>
      </c>
    </row>
    <row r="302" spans="1:2" x14ac:dyDescent="0.45">
      <c r="A302">
        <f ca="1"/>
        <v>268</v>
      </c>
      <c r="B302" t="str">
        <f ca="1"/>
        <v>x</v>
      </c>
    </row>
    <row r="303" spans="1:2" x14ac:dyDescent="0.45">
      <c r="A303">
        <f ca="1"/>
        <v>269</v>
      </c>
      <c r="B303" t="str">
        <f ca="1"/>
        <v>x</v>
      </c>
    </row>
    <row r="304" spans="1:2" x14ac:dyDescent="0.45">
      <c r="A304">
        <f ca="1"/>
        <v>270</v>
      </c>
      <c r="B304" t="str">
        <f ca="1"/>
        <v>y</v>
      </c>
    </row>
    <row r="305" spans="1:2" x14ac:dyDescent="0.45">
      <c r="A305">
        <f ca="1"/>
        <v>271</v>
      </c>
      <c r="B305" t="str">
        <f ca="1"/>
        <v>"</v>
      </c>
    </row>
    <row r="306" spans="1:2" x14ac:dyDescent="0.45">
      <c r="A306">
        <f ca="1"/>
        <v>272</v>
      </c>
      <c r="B306" t="str">
        <f ca="1"/>
        <v>O</v>
      </c>
    </row>
    <row r="307" spans="1:2" x14ac:dyDescent="0.45">
      <c r="A307">
        <f ca="1"/>
        <v>273</v>
      </c>
      <c r="B307" t="str">
        <f ca="1"/>
        <v>"</v>
      </c>
    </row>
    <row r="308" spans="1:2" x14ac:dyDescent="0.45">
      <c r="A308">
        <f ca="1"/>
        <v>274</v>
      </c>
      <c r="B308" t="str">
        <f ca="1"/>
        <v>x</v>
      </c>
    </row>
    <row r="309" spans="1:2" x14ac:dyDescent="0.45">
      <c r="A309">
        <f ca="1"/>
        <v>275</v>
      </c>
      <c r="B309" t="str">
        <f ca="1"/>
        <v>x</v>
      </c>
    </row>
    <row r="310" spans="1:2" x14ac:dyDescent="0.45">
      <c r="A310">
        <f ca="1"/>
        <v>276</v>
      </c>
      <c r="B310" t="str">
        <f ca="1"/>
        <v>y</v>
      </c>
    </row>
    <row r="311" spans="1:2" x14ac:dyDescent="0.45">
      <c r="A311">
        <f ca="1"/>
        <v>277</v>
      </c>
      <c r="B311" t="str">
        <f ca="1"/>
        <v>"</v>
      </c>
    </row>
    <row r="312" spans="1:2" x14ac:dyDescent="0.45">
      <c r="A312">
        <f ca="1"/>
        <v>278</v>
      </c>
      <c r="B312" t="str">
        <f ca="1"/>
        <v>P</v>
      </c>
    </row>
    <row r="313" spans="1:2" x14ac:dyDescent="0.45">
      <c r="A313">
        <f ca="1"/>
        <v>279</v>
      </c>
      <c r="B313" t="str">
        <f ca="1"/>
        <v>"</v>
      </c>
    </row>
    <row r="314" spans="1:2" x14ac:dyDescent="0.45">
      <c r="A314">
        <f ca="1"/>
        <v>280</v>
      </c>
      <c r="B314" t="str">
        <f ca="1"/>
        <v>x</v>
      </c>
    </row>
    <row r="315" spans="1:2" x14ac:dyDescent="0.45">
      <c r="A315">
        <f ca="1"/>
        <v>281</v>
      </c>
      <c r="B315" t="str">
        <f ca="1"/>
        <v>x</v>
      </c>
    </row>
    <row r="316" spans="1:2" x14ac:dyDescent="0.45">
      <c r="A316">
        <f ca="1"/>
        <v>282</v>
      </c>
      <c r="B316" t="str">
        <f ca="1"/>
        <v>y</v>
      </c>
    </row>
    <row r="317" spans="1:2" x14ac:dyDescent="0.45">
      <c r="A317">
        <f ca="1"/>
        <v>283</v>
      </c>
      <c r="B317" t="str">
        <f ca="1"/>
        <v>"</v>
      </c>
    </row>
    <row r="318" spans="1:2" x14ac:dyDescent="0.45">
      <c r="A318">
        <f ca="1"/>
        <v>284</v>
      </c>
      <c r="B318" t="str">
        <f ca="1"/>
        <v>Q</v>
      </c>
    </row>
    <row r="319" spans="1:2" x14ac:dyDescent="0.45">
      <c r="A319">
        <f ca="1"/>
        <v>285</v>
      </c>
      <c r="B319" t="str">
        <f ca="1"/>
        <v>"</v>
      </c>
    </row>
    <row r="320" spans="1:2" x14ac:dyDescent="0.45">
      <c r="A320">
        <f ca="1"/>
        <v>286</v>
      </c>
      <c r="B320" t="str">
        <f ca="1"/>
        <v>x</v>
      </c>
    </row>
    <row r="321" spans="1:2" x14ac:dyDescent="0.45">
      <c r="A321">
        <f ca="1"/>
        <v>287</v>
      </c>
      <c r="B321" t="str">
        <f ca="1"/>
        <v>x</v>
      </c>
    </row>
    <row r="322" spans="1:2" x14ac:dyDescent="0.45">
      <c r="A322">
        <f ca="1"/>
        <v>288</v>
      </c>
      <c r="B322" t="str">
        <f ca="1"/>
        <v>y</v>
      </c>
    </row>
    <row r="323" spans="1:2" x14ac:dyDescent="0.45">
      <c r="A323">
        <f ca="1"/>
        <v>289</v>
      </c>
      <c r="B323" t="str">
        <f ca="1"/>
        <v>"</v>
      </c>
    </row>
    <row r="324" spans="1:2" x14ac:dyDescent="0.45">
      <c r="A324">
        <f ca="1"/>
        <v>290</v>
      </c>
      <c r="B324" t="str">
        <f ca="1"/>
        <v>R</v>
      </c>
    </row>
    <row r="325" spans="1:2" x14ac:dyDescent="0.45">
      <c r="A325">
        <f ca="1"/>
        <v>291</v>
      </c>
      <c r="B325" t="str">
        <f ca="1"/>
        <v>"</v>
      </c>
    </row>
    <row r="326" spans="1:2" x14ac:dyDescent="0.45">
      <c r="A326">
        <f ca="1"/>
        <v>292</v>
      </c>
      <c r="B326" t="str">
        <f ca="1"/>
        <v>_x000D_</v>
      </c>
    </row>
    <row r="327" spans="1:2" x14ac:dyDescent="0.45">
      <c r="A327">
        <f ca="1"/>
        <v>293</v>
      </c>
      <c r="B327" t="str">
        <f ca="1"/>
        <v xml:space="preserve">
</v>
      </c>
    </row>
    <row r="328" spans="1:2" x14ac:dyDescent="0.45">
      <c r="A328">
        <f ca="1"/>
        <v>294</v>
      </c>
      <c r="B328" t="str">
        <f ca="1"/>
        <v>"</v>
      </c>
    </row>
    <row r="329" spans="1:2" x14ac:dyDescent="0.45">
      <c r="A329">
        <f ca="1"/>
        <v>295</v>
      </c>
      <c r="B329" t="str">
        <f ca="1"/>
        <v>S</v>
      </c>
    </row>
    <row r="330" spans="1:2" x14ac:dyDescent="0.45">
      <c r="A330">
        <f ca="1"/>
        <v>296</v>
      </c>
      <c r="B330" t="str">
        <f ca="1"/>
        <v>"</v>
      </c>
    </row>
    <row r="331" spans="1:2" x14ac:dyDescent="0.45">
      <c r="A331">
        <f ca="1"/>
        <v>297</v>
      </c>
      <c r="B331" t="str">
        <f ca="1"/>
        <v>x</v>
      </c>
    </row>
    <row r="332" spans="1:2" x14ac:dyDescent="0.45">
      <c r="A332">
        <f ca="1"/>
        <v>298</v>
      </c>
      <c r="B332" t="str">
        <f ca="1"/>
        <v>x</v>
      </c>
    </row>
    <row r="333" spans="1:2" x14ac:dyDescent="0.45">
      <c r="A333">
        <f ca="1"/>
        <v>299</v>
      </c>
      <c r="B333" t="str">
        <f ca="1"/>
        <v>y</v>
      </c>
    </row>
    <row r="334" spans="1:2" x14ac:dyDescent="0.45">
      <c r="A334">
        <f ca="1"/>
        <v>300</v>
      </c>
      <c r="B334" t="str">
        <f ca="1"/>
        <v>"</v>
      </c>
    </row>
    <row r="335" spans="1:2" x14ac:dyDescent="0.45">
      <c r="A335">
        <f ca="1"/>
        <v>301</v>
      </c>
      <c r="B335" t="str">
        <f ca="1"/>
        <v>T</v>
      </c>
    </row>
    <row r="336" spans="1:2" x14ac:dyDescent="0.45">
      <c r="A336">
        <f ca="1"/>
        <v>302</v>
      </c>
      <c r="B336" t="str">
        <f ca="1"/>
        <v>"</v>
      </c>
    </row>
    <row r="337" spans="1:2" x14ac:dyDescent="0.45">
      <c r="A337">
        <f ca="1"/>
        <v>303</v>
      </c>
      <c r="B337" t="str">
        <f ca="1"/>
        <v>x</v>
      </c>
    </row>
    <row r="338" spans="1:2" x14ac:dyDescent="0.45">
      <c r="A338">
        <f ca="1"/>
        <v>304</v>
      </c>
      <c r="B338" t="str">
        <f ca="1"/>
        <v>x</v>
      </c>
    </row>
    <row r="339" spans="1:2" x14ac:dyDescent="0.45">
      <c r="A339">
        <f ca="1"/>
        <v>305</v>
      </c>
      <c r="B339" t="str">
        <f ca="1"/>
        <v>y</v>
      </c>
    </row>
    <row r="340" spans="1:2" x14ac:dyDescent="0.45">
      <c r="A340">
        <f ca="1"/>
        <v>306</v>
      </c>
      <c r="B340" t="str">
        <f ca="1"/>
        <v>"</v>
      </c>
    </row>
    <row r="341" spans="1:2" x14ac:dyDescent="0.45">
      <c r="A341">
        <f ca="1"/>
        <v>307</v>
      </c>
      <c r="B341" t="str">
        <f ca="1"/>
        <v>U</v>
      </c>
    </row>
    <row r="342" spans="1:2" x14ac:dyDescent="0.45">
      <c r="A342">
        <f ca="1"/>
        <v>308</v>
      </c>
      <c r="B342" t="str">
        <f ca="1"/>
        <v>"</v>
      </c>
    </row>
    <row r="343" spans="1:2" x14ac:dyDescent="0.45">
      <c r="A343">
        <f ca="1"/>
        <v>309</v>
      </c>
      <c r="B343" t="str">
        <f ca="1"/>
        <v>x</v>
      </c>
    </row>
    <row r="344" spans="1:2" x14ac:dyDescent="0.45">
      <c r="A344">
        <f ca="1"/>
        <v>310</v>
      </c>
      <c r="B344" t="str">
        <f ca="1"/>
        <v>x</v>
      </c>
    </row>
    <row r="345" spans="1:2" x14ac:dyDescent="0.45">
      <c r="A345">
        <f ca="1"/>
        <v>311</v>
      </c>
      <c r="B345" t="str">
        <f ca="1"/>
        <v>y</v>
      </c>
    </row>
    <row r="346" spans="1:2" x14ac:dyDescent="0.45">
      <c r="A346">
        <f ca="1"/>
        <v>312</v>
      </c>
      <c r="B346" t="str">
        <f ca="1"/>
        <v>"</v>
      </c>
    </row>
    <row r="347" spans="1:2" x14ac:dyDescent="0.45">
      <c r="A347">
        <f ca="1"/>
        <v>313</v>
      </c>
      <c r="B347" t="str">
        <f ca="1"/>
        <v>V</v>
      </c>
    </row>
    <row r="348" spans="1:2" x14ac:dyDescent="0.45">
      <c r="A348">
        <f ca="1"/>
        <v>314</v>
      </c>
      <c r="B348" t="str">
        <f ca="1"/>
        <v>"</v>
      </c>
    </row>
    <row r="349" spans="1:2" x14ac:dyDescent="0.45">
      <c r="A349">
        <f ca="1"/>
        <v>315</v>
      </c>
      <c r="B349" t="str">
        <f ca="1"/>
        <v>x</v>
      </c>
    </row>
    <row r="350" spans="1:2" x14ac:dyDescent="0.45">
      <c r="A350">
        <f ca="1"/>
        <v>316</v>
      </c>
      <c r="B350" t="str">
        <f ca="1"/>
        <v>x</v>
      </c>
    </row>
    <row r="351" spans="1:2" x14ac:dyDescent="0.45">
      <c r="A351">
        <f ca="1"/>
        <v>317</v>
      </c>
      <c r="B351" t="str">
        <f ca="1"/>
        <v>y</v>
      </c>
    </row>
    <row r="352" spans="1:2" x14ac:dyDescent="0.45">
      <c r="A352">
        <f ca="1"/>
        <v>318</v>
      </c>
      <c r="B352" t="str">
        <f ca="1"/>
        <v>"</v>
      </c>
    </row>
    <row r="353" spans="1:2" x14ac:dyDescent="0.45">
      <c r="A353">
        <f ca="1"/>
        <v>319</v>
      </c>
      <c r="B353" t="str">
        <f ca="1"/>
        <v>W</v>
      </c>
    </row>
    <row r="354" spans="1:2" x14ac:dyDescent="0.45">
      <c r="A354">
        <f ca="1"/>
        <v>320</v>
      </c>
      <c r="B354" t="str">
        <f ca="1"/>
        <v>"</v>
      </c>
    </row>
    <row r="355" spans="1:2" x14ac:dyDescent="0.45">
      <c r="A355">
        <f ca="1"/>
        <v>321</v>
      </c>
      <c r="B355" t="str">
        <f ca="1"/>
        <v>x</v>
      </c>
    </row>
    <row r="356" spans="1:2" x14ac:dyDescent="0.45">
      <c r="A356">
        <f ca="1"/>
        <v>322</v>
      </c>
      <c r="B356" t="str">
        <f ca="1"/>
        <v>x</v>
      </c>
    </row>
    <row r="357" spans="1:2" x14ac:dyDescent="0.45">
      <c r="A357">
        <f ca="1"/>
        <v>323</v>
      </c>
      <c r="B357" t="str">
        <f ca="1"/>
        <v>y</v>
      </c>
    </row>
    <row r="358" spans="1:2" x14ac:dyDescent="0.45">
      <c r="A358">
        <f ca="1"/>
        <v>324</v>
      </c>
      <c r="B358" t="str">
        <f ca="1"/>
        <v>"</v>
      </c>
    </row>
    <row r="359" spans="1:2" x14ac:dyDescent="0.45">
      <c r="A359">
        <f ca="1"/>
        <v>325</v>
      </c>
      <c r="B359" t="str">
        <f ca="1"/>
        <v>X</v>
      </c>
    </row>
    <row r="360" spans="1:2" x14ac:dyDescent="0.45">
      <c r="A360">
        <f ca="1"/>
        <v>326</v>
      </c>
      <c r="B360" t="str">
        <f ca="1"/>
        <v>"</v>
      </c>
    </row>
    <row r="361" spans="1:2" x14ac:dyDescent="0.45">
      <c r="A361">
        <f ca="1"/>
        <v>327</v>
      </c>
      <c r="B361" t="str">
        <f ca="1"/>
        <v>x</v>
      </c>
    </row>
    <row r="362" spans="1:2" x14ac:dyDescent="0.45">
      <c r="A362">
        <f ca="1"/>
        <v>328</v>
      </c>
      <c r="B362" t="str">
        <f ca="1"/>
        <v>x</v>
      </c>
    </row>
    <row r="363" spans="1:2" x14ac:dyDescent="0.45">
      <c r="A363">
        <f ca="1"/>
        <v>329</v>
      </c>
      <c r="B363" t="str">
        <f ca="1"/>
        <v>y</v>
      </c>
    </row>
    <row r="364" spans="1:2" x14ac:dyDescent="0.45">
      <c r="A364">
        <f ca="1"/>
        <v>330</v>
      </c>
      <c r="B364" t="str">
        <f ca="1"/>
        <v>"</v>
      </c>
    </row>
    <row r="365" spans="1:2" x14ac:dyDescent="0.45">
      <c r="A365">
        <f ca="1"/>
        <v>331</v>
      </c>
      <c r="B365" t="str">
        <f ca="1"/>
        <v>Y</v>
      </c>
    </row>
    <row r="366" spans="1:2" x14ac:dyDescent="0.45">
      <c r="A366">
        <f ca="1"/>
        <v>332</v>
      </c>
      <c r="B366" t="str">
        <f ca="1"/>
        <v>"</v>
      </c>
    </row>
    <row r="367" spans="1:2" x14ac:dyDescent="0.45">
      <c r="A367">
        <f ca="1"/>
        <v>333</v>
      </c>
      <c r="B367" t="str">
        <f ca="1"/>
        <v>x</v>
      </c>
    </row>
    <row r="368" spans="1:2" x14ac:dyDescent="0.45">
      <c r="A368">
        <f ca="1"/>
        <v>334</v>
      </c>
      <c r="B368" t="str">
        <f ca="1"/>
        <v>x</v>
      </c>
    </row>
    <row r="369" spans="1:2" x14ac:dyDescent="0.45">
      <c r="A369">
        <f ca="1"/>
        <v>335</v>
      </c>
      <c r="B369" t="str">
        <f ca="1"/>
        <v>y</v>
      </c>
    </row>
    <row r="370" spans="1:2" x14ac:dyDescent="0.45">
      <c r="A370">
        <f ca="1"/>
        <v>336</v>
      </c>
      <c r="B370" t="str">
        <f ca="1"/>
        <v>"</v>
      </c>
    </row>
    <row r="371" spans="1:2" x14ac:dyDescent="0.45">
      <c r="A371">
        <f ca="1"/>
        <v>337</v>
      </c>
      <c r="B371" t="str">
        <f ca="1"/>
        <v>Z</v>
      </c>
    </row>
    <row r="372" spans="1:2" x14ac:dyDescent="0.45">
      <c r="A372">
        <f ca="1"/>
        <v>338</v>
      </c>
      <c r="B372" t="str">
        <f ca="1"/>
        <v>"</v>
      </c>
    </row>
    <row r="373" spans="1:2" x14ac:dyDescent="0.45">
      <c r="A373">
        <f ca="1"/>
        <v>339</v>
      </c>
      <c r="B373" t="str">
        <f ca="1"/>
        <v>x</v>
      </c>
    </row>
    <row r="374" spans="1:2" x14ac:dyDescent="0.45">
      <c r="A374">
        <f ca="1"/>
        <v>340</v>
      </c>
      <c r="B374" t="str">
        <f ca="1"/>
        <v>x</v>
      </c>
    </row>
    <row r="375" spans="1:2" x14ac:dyDescent="0.45">
      <c r="A375">
        <f ca="1"/>
        <v>341</v>
      </c>
      <c r="B375" t="str">
        <f ca="1"/>
        <v>y</v>
      </c>
    </row>
    <row r="376" spans="1:2" x14ac:dyDescent="0.45">
      <c r="A376">
        <f ca="1"/>
        <v>342</v>
      </c>
      <c r="B376" t="str">
        <f ca="1"/>
        <v>"</v>
      </c>
    </row>
    <row r="377" spans="1:2" x14ac:dyDescent="0.45">
      <c r="A377">
        <f ca="1"/>
        <v>343</v>
      </c>
      <c r="B377" t="str">
        <f ca="1"/>
        <v>[</v>
      </c>
    </row>
    <row r="378" spans="1:2" x14ac:dyDescent="0.45">
      <c r="A378">
        <f ca="1"/>
        <v>344</v>
      </c>
      <c r="B378" t="str">
        <f ca="1"/>
        <v>"</v>
      </c>
    </row>
    <row r="379" spans="1:2" x14ac:dyDescent="0.45">
      <c r="A379">
        <f ca="1"/>
        <v>345</v>
      </c>
      <c r="B379" t="str">
        <f ca="1"/>
        <v>x</v>
      </c>
    </row>
    <row r="380" spans="1:2" x14ac:dyDescent="0.45">
      <c r="A380">
        <f ca="1"/>
        <v>346</v>
      </c>
      <c r="B380" t="str">
        <f ca="1"/>
        <v>x</v>
      </c>
    </row>
    <row r="381" spans="1:2" x14ac:dyDescent="0.45">
      <c r="A381">
        <f ca="1"/>
        <v>347</v>
      </c>
      <c r="B381" t="str">
        <f ca="1"/>
        <v>y</v>
      </c>
    </row>
    <row r="382" spans="1:2" x14ac:dyDescent="0.45">
      <c r="A382">
        <f ca="1"/>
        <v>348</v>
      </c>
      <c r="B382" t="str">
        <f ca="1"/>
        <v>"</v>
      </c>
    </row>
    <row r="383" spans="1:2" x14ac:dyDescent="0.45">
      <c r="A383">
        <f ca="1"/>
        <v>349</v>
      </c>
      <c r="B383" t="str">
        <f ca="1"/>
        <v>\</v>
      </c>
    </row>
    <row r="384" spans="1:2" x14ac:dyDescent="0.45">
      <c r="A384">
        <f ca="1"/>
        <v>350</v>
      </c>
      <c r="B384" t="str">
        <f ca="1"/>
        <v>"</v>
      </c>
    </row>
    <row r="385" spans="1:2" x14ac:dyDescent="0.45">
      <c r="A385">
        <f ca="1"/>
        <v>351</v>
      </c>
      <c r="B385" t="str">
        <f ca="1"/>
        <v>_x000D_</v>
      </c>
    </row>
    <row r="386" spans="1:2" x14ac:dyDescent="0.45">
      <c r="A386">
        <f ca="1"/>
        <v>352</v>
      </c>
      <c r="B386" t="str">
        <f ca="1"/>
        <v xml:space="preserve">
</v>
      </c>
    </row>
    <row r="387" spans="1:2" x14ac:dyDescent="0.45">
      <c r="A387">
        <f ca="1"/>
        <v>353</v>
      </c>
      <c r="B387" t="str">
        <f ca="1"/>
        <v>"</v>
      </c>
    </row>
    <row r="388" spans="1:2" x14ac:dyDescent="0.45">
      <c r="A388">
        <f ca="1"/>
        <v>354</v>
      </c>
      <c r="B388" t="str">
        <f ca="1"/>
        <v>]</v>
      </c>
    </row>
    <row r="389" spans="1:2" x14ac:dyDescent="0.45">
      <c r="A389">
        <f ca="1"/>
        <v>355</v>
      </c>
      <c r="B389" t="str">
        <f ca="1"/>
        <v>"</v>
      </c>
    </row>
    <row r="390" spans="1:2" x14ac:dyDescent="0.45">
      <c r="A390">
        <f ca="1"/>
        <v>356</v>
      </c>
      <c r="B390" t="str">
        <f ca="1"/>
        <v>x</v>
      </c>
    </row>
    <row r="391" spans="1:2" x14ac:dyDescent="0.45">
      <c r="A391">
        <f ca="1"/>
        <v>357</v>
      </c>
      <c r="B391" t="str">
        <f ca="1"/>
        <v>x</v>
      </c>
    </row>
    <row r="392" spans="1:2" x14ac:dyDescent="0.45">
      <c r="A392">
        <f ca="1"/>
        <v>358</v>
      </c>
      <c r="B392" t="str">
        <f ca="1"/>
        <v>y</v>
      </c>
    </row>
    <row r="393" spans="1:2" x14ac:dyDescent="0.45">
      <c r="A393">
        <f ca="1"/>
        <v>359</v>
      </c>
      <c r="B393" t="str">
        <f ca="1"/>
        <v>"</v>
      </c>
    </row>
    <row r="394" spans="1:2" x14ac:dyDescent="0.45">
      <c r="A394">
        <f ca="1"/>
        <v>360</v>
      </c>
      <c r="B394" t="str">
        <f ca="1"/>
        <v>^</v>
      </c>
    </row>
    <row r="395" spans="1:2" x14ac:dyDescent="0.45">
      <c r="A395">
        <f ca="1"/>
        <v>361</v>
      </c>
      <c r="B395" t="str">
        <f ca="1"/>
        <v>"</v>
      </c>
    </row>
    <row r="396" spans="1:2" x14ac:dyDescent="0.45">
      <c r="A396">
        <f ca="1"/>
        <v>362</v>
      </c>
      <c r="B396" t="str">
        <f ca="1"/>
        <v>x</v>
      </c>
    </row>
    <row r="397" spans="1:2" x14ac:dyDescent="0.45">
      <c r="A397">
        <f ca="1"/>
        <v>363</v>
      </c>
      <c r="B397" t="str">
        <f ca="1"/>
        <v>x</v>
      </c>
    </row>
    <row r="398" spans="1:2" x14ac:dyDescent="0.45">
      <c r="A398">
        <f ca="1"/>
        <v>364</v>
      </c>
      <c r="B398" t="str">
        <f ca="1"/>
        <v>y</v>
      </c>
    </row>
    <row r="399" spans="1:2" x14ac:dyDescent="0.45">
      <c r="A399">
        <f ca="1"/>
        <v>365</v>
      </c>
      <c r="B399" t="str">
        <f ca="1"/>
        <v>"</v>
      </c>
    </row>
    <row r="400" spans="1:2" x14ac:dyDescent="0.45">
      <c r="A400">
        <f ca="1"/>
        <v>366</v>
      </c>
      <c r="B400" t="str">
        <f ca="1"/>
        <v>_</v>
      </c>
    </row>
    <row r="401" spans="1:2" x14ac:dyDescent="0.45">
      <c r="A401">
        <f ca="1"/>
        <v>367</v>
      </c>
      <c r="B401" t="str">
        <f ca="1"/>
        <v>"</v>
      </c>
    </row>
    <row r="402" spans="1:2" x14ac:dyDescent="0.45">
      <c r="A402">
        <f ca="1"/>
        <v>368</v>
      </c>
      <c r="B402" t="str">
        <f ca="1"/>
        <v>x</v>
      </c>
    </row>
    <row r="403" spans="1:2" x14ac:dyDescent="0.45">
      <c r="A403">
        <f ca="1"/>
        <v>369</v>
      </c>
      <c r="B403" t="str">
        <f ca="1"/>
        <v>x</v>
      </c>
    </row>
    <row r="404" spans="1:2" x14ac:dyDescent="0.45">
      <c r="A404">
        <f ca="1"/>
        <v>370</v>
      </c>
      <c r="B404" t="str">
        <f ca="1"/>
        <v>y</v>
      </c>
    </row>
    <row r="405" spans="1:2" x14ac:dyDescent="0.45">
      <c r="A405">
        <f ca="1"/>
        <v>371</v>
      </c>
      <c r="B405" t="str">
        <f ca="1"/>
        <v>"</v>
      </c>
    </row>
    <row r="406" spans="1:2" x14ac:dyDescent="0.45">
      <c r="A406">
        <f ca="1"/>
        <v>372</v>
      </c>
      <c r="B406" t="str">
        <f ca="1"/>
        <v>`</v>
      </c>
    </row>
    <row r="407" spans="1:2" x14ac:dyDescent="0.45">
      <c r="A407">
        <f ca="1"/>
        <v>373</v>
      </c>
      <c r="B407" t="str">
        <f ca="1"/>
        <v>"</v>
      </c>
    </row>
    <row r="408" spans="1:2" x14ac:dyDescent="0.45">
      <c r="A408">
        <f ca="1"/>
        <v>374</v>
      </c>
      <c r="B408" t="str">
        <f ca="1"/>
        <v>x</v>
      </c>
    </row>
    <row r="409" spans="1:2" x14ac:dyDescent="0.45">
      <c r="A409">
        <f ca="1"/>
        <v>375</v>
      </c>
      <c r="B409" t="str">
        <f ca="1"/>
        <v>x</v>
      </c>
    </row>
    <row r="410" spans="1:2" x14ac:dyDescent="0.45">
      <c r="A410">
        <f ca="1"/>
        <v>376</v>
      </c>
      <c r="B410" t="str">
        <f ca="1"/>
        <v>y</v>
      </c>
    </row>
    <row r="411" spans="1:2" x14ac:dyDescent="0.45">
      <c r="A411">
        <f ca="1"/>
        <v>377</v>
      </c>
      <c r="B411" t="str">
        <f ca="1"/>
        <v>"</v>
      </c>
    </row>
    <row r="412" spans="1:2" x14ac:dyDescent="0.45">
      <c r="A412">
        <f ca="1"/>
        <v>378</v>
      </c>
      <c r="B412" t="str">
        <f ca="1"/>
        <v>a</v>
      </c>
    </row>
    <row r="413" spans="1:2" x14ac:dyDescent="0.45">
      <c r="A413">
        <f ca="1"/>
        <v>379</v>
      </c>
      <c r="B413" t="str">
        <f ca="1"/>
        <v>"</v>
      </c>
    </row>
    <row r="414" spans="1:2" x14ac:dyDescent="0.45">
      <c r="A414">
        <f ca="1"/>
        <v>380</v>
      </c>
      <c r="B414" t="str">
        <f ca="1"/>
        <v>x</v>
      </c>
    </row>
    <row r="415" spans="1:2" x14ac:dyDescent="0.45">
      <c r="A415">
        <f ca="1"/>
        <v>381</v>
      </c>
      <c r="B415" t="str">
        <f ca="1"/>
        <v>x</v>
      </c>
    </row>
    <row r="416" spans="1:2" x14ac:dyDescent="0.45">
      <c r="A416">
        <f ca="1"/>
        <v>382</v>
      </c>
      <c r="B416" t="str">
        <f ca="1"/>
        <v>y</v>
      </c>
    </row>
    <row r="417" spans="1:2" x14ac:dyDescent="0.45">
      <c r="A417">
        <f ca="1"/>
        <v>383</v>
      </c>
      <c r="B417" t="str">
        <f ca="1"/>
        <v>"</v>
      </c>
    </row>
    <row r="418" spans="1:2" x14ac:dyDescent="0.45">
      <c r="A418">
        <f ca="1"/>
        <v>384</v>
      </c>
      <c r="B418" t="str">
        <f ca="1"/>
        <v>b</v>
      </c>
    </row>
    <row r="419" spans="1:2" x14ac:dyDescent="0.45">
      <c r="A419">
        <f ca="1"/>
        <v>385</v>
      </c>
      <c r="B419" t="str">
        <f ca="1"/>
        <v>"</v>
      </c>
    </row>
    <row r="420" spans="1:2" x14ac:dyDescent="0.45">
      <c r="A420">
        <f ca="1"/>
        <v>386</v>
      </c>
      <c r="B420" t="str">
        <f ca="1"/>
        <v>x</v>
      </c>
    </row>
    <row r="421" spans="1:2" x14ac:dyDescent="0.45">
      <c r="A421">
        <f ca="1"/>
        <v>387</v>
      </c>
      <c r="B421" t="str">
        <f ca="1"/>
        <v>x</v>
      </c>
    </row>
    <row r="422" spans="1:2" x14ac:dyDescent="0.45">
      <c r="A422">
        <f ca="1"/>
        <v>388</v>
      </c>
      <c r="B422" t="str">
        <f ca="1"/>
        <v>y</v>
      </c>
    </row>
    <row r="423" spans="1:2" x14ac:dyDescent="0.45">
      <c r="A423">
        <f ca="1"/>
        <v>389</v>
      </c>
      <c r="B423" t="str">
        <f ca="1"/>
        <v>"</v>
      </c>
    </row>
    <row r="424" spans="1:2" x14ac:dyDescent="0.45">
      <c r="A424">
        <f ca="1"/>
        <v>390</v>
      </c>
      <c r="B424" t="str">
        <f ca="1"/>
        <v>c</v>
      </c>
    </row>
    <row r="425" spans="1:2" x14ac:dyDescent="0.45">
      <c r="A425">
        <f ca="1"/>
        <v>391</v>
      </c>
      <c r="B425" t="str">
        <f ca="1"/>
        <v>"</v>
      </c>
    </row>
    <row r="426" spans="1:2" x14ac:dyDescent="0.45">
      <c r="A426">
        <f ca="1"/>
        <v>392</v>
      </c>
      <c r="B426" t="str">
        <f ca="1"/>
        <v>x</v>
      </c>
    </row>
    <row r="427" spans="1:2" x14ac:dyDescent="0.45">
      <c r="A427">
        <f ca="1"/>
        <v>393</v>
      </c>
      <c r="B427" t="str">
        <f ca="1"/>
        <v>x</v>
      </c>
    </row>
    <row r="428" spans="1:2" x14ac:dyDescent="0.45">
      <c r="A428">
        <f ca="1"/>
        <v>394</v>
      </c>
      <c r="B428" t="str">
        <f ca="1"/>
        <v>y</v>
      </c>
    </row>
    <row r="429" spans="1:2" x14ac:dyDescent="0.45">
      <c r="A429">
        <f ca="1"/>
        <v>395</v>
      </c>
      <c r="B429" t="str">
        <f ca="1"/>
        <v>"</v>
      </c>
    </row>
    <row r="430" spans="1:2" x14ac:dyDescent="0.45">
      <c r="A430">
        <f ca="1"/>
        <v>396</v>
      </c>
      <c r="B430" t="str">
        <f ca="1"/>
        <v>d</v>
      </c>
    </row>
    <row r="431" spans="1:2" x14ac:dyDescent="0.45">
      <c r="A431">
        <f ca="1"/>
        <v>397</v>
      </c>
      <c r="B431" t="str">
        <f ca="1"/>
        <v>"</v>
      </c>
    </row>
    <row r="432" spans="1:2" x14ac:dyDescent="0.45">
      <c r="A432">
        <f ca="1"/>
        <v>398</v>
      </c>
      <c r="B432" t="str">
        <f ca="1"/>
        <v>x</v>
      </c>
    </row>
    <row r="433" spans="1:2" x14ac:dyDescent="0.45">
      <c r="A433">
        <f ca="1"/>
        <v>399</v>
      </c>
      <c r="B433" t="str">
        <f ca="1"/>
        <v>x</v>
      </c>
    </row>
    <row r="434" spans="1:2" x14ac:dyDescent="0.45">
      <c r="A434">
        <f ca="1"/>
        <v>400</v>
      </c>
      <c r="B434" t="str">
        <f ca="1"/>
        <v>y</v>
      </c>
    </row>
    <row r="435" spans="1:2" x14ac:dyDescent="0.45">
      <c r="A435">
        <f ca="1"/>
        <v>401</v>
      </c>
      <c r="B435" t="str">
        <f ca="1"/>
        <v>"</v>
      </c>
    </row>
    <row r="436" spans="1:2" x14ac:dyDescent="0.45">
      <c r="A436">
        <f ca="1"/>
        <v>402</v>
      </c>
      <c r="B436" t="str">
        <f ca="1"/>
        <v>e</v>
      </c>
    </row>
    <row r="437" spans="1:2" x14ac:dyDescent="0.45">
      <c r="A437">
        <f ca="1"/>
        <v>403</v>
      </c>
      <c r="B437" t="str">
        <f ca="1"/>
        <v>"</v>
      </c>
    </row>
    <row r="438" spans="1:2" x14ac:dyDescent="0.45">
      <c r="A438">
        <f ca="1"/>
        <v>404</v>
      </c>
      <c r="B438" t="str">
        <f ca="1"/>
        <v>x</v>
      </c>
    </row>
    <row r="439" spans="1:2" x14ac:dyDescent="0.45">
      <c r="A439">
        <f ca="1"/>
        <v>405</v>
      </c>
      <c r="B439" t="str">
        <f ca="1"/>
        <v>x</v>
      </c>
    </row>
    <row r="440" spans="1:2" x14ac:dyDescent="0.45">
      <c r="A440">
        <f ca="1"/>
        <v>406</v>
      </c>
      <c r="B440" t="str">
        <f ca="1"/>
        <v>y</v>
      </c>
    </row>
    <row r="441" spans="1:2" x14ac:dyDescent="0.45">
      <c r="A441">
        <f ca="1"/>
        <v>407</v>
      </c>
      <c r="B441" t="str">
        <f ca="1"/>
        <v>"</v>
      </c>
    </row>
    <row r="442" spans="1:2" x14ac:dyDescent="0.45">
      <c r="A442">
        <f ca="1"/>
        <v>408</v>
      </c>
      <c r="B442" t="str">
        <f ca="1"/>
        <v>f</v>
      </c>
    </row>
    <row r="443" spans="1:2" x14ac:dyDescent="0.45">
      <c r="A443">
        <f ca="1"/>
        <v>409</v>
      </c>
      <c r="B443" t="str">
        <f ca="1"/>
        <v>"</v>
      </c>
    </row>
    <row r="444" spans="1:2" x14ac:dyDescent="0.45">
      <c r="A444">
        <f ca="1"/>
        <v>410</v>
      </c>
      <c r="B444" t="str">
        <f ca="1"/>
        <v>_x000D_</v>
      </c>
    </row>
    <row r="445" spans="1:2" x14ac:dyDescent="0.45">
      <c r="A445">
        <f ca="1"/>
        <v>411</v>
      </c>
      <c r="B445" t="str">
        <f ca="1"/>
        <v xml:space="preserve">
</v>
      </c>
    </row>
    <row r="446" spans="1:2" x14ac:dyDescent="0.45">
      <c r="A446">
        <f ca="1"/>
        <v>412</v>
      </c>
      <c r="B446" t="str">
        <f ca="1"/>
        <v>1</v>
      </c>
    </row>
    <row r="447" spans="1:2" x14ac:dyDescent="0.45">
      <c r="A447">
        <f ca="1"/>
        <v>413</v>
      </c>
      <c r="B447" t="str">
        <f ca="1"/>
        <v>0</v>
      </c>
    </row>
    <row r="448" spans="1:2" x14ac:dyDescent="0.45">
      <c r="A448">
        <f ca="1"/>
        <v>414</v>
      </c>
      <c r="B448" t="str">
        <f ca="1"/>
        <v>0</v>
      </c>
    </row>
    <row r="449" spans="1:2" x14ac:dyDescent="0.45">
      <c r="A449">
        <f ca="1"/>
        <v>415</v>
      </c>
      <c r="B449" t="str">
        <f ca="1"/>
        <v>x</v>
      </c>
    </row>
    <row r="450" spans="1:2" x14ac:dyDescent="0.45">
      <c r="A450">
        <f ca="1"/>
        <v>416</v>
      </c>
      <c r="B450" t="str">
        <f ca="1"/>
        <v>x</v>
      </c>
    </row>
    <row r="451" spans="1:2" x14ac:dyDescent="0.45">
      <c r="A451">
        <f ca="1"/>
        <v>417</v>
      </c>
      <c r="B451" t="str">
        <f ca="1"/>
        <v>y</v>
      </c>
    </row>
    <row r="452" spans="1:2" x14ac:dyDescent="0.45">
      <c r="A452">
        <f ca="1"/>
        <v>418</v>
      </c>
      <c r="B452" t="str">
        <f ca="1"/>
        <v>"</v>
      </c>
    </row>
    <row r="453" spans="1:2" x14ac:dyDescent="0.45">
      <c r="A453">
        <f ca="1"/>
        <v>419</v>
      </c>
      <c r="B453" t="str">
        <f ca="1"/>
        <v>h</v>
      </c>
    </row>
    <row r="454" spans="1:2" x14ac:dyDescent="0.45">
      <c r="A454">
        <f ca="1"/>
        <v>420</v>
      </c>
      <c r="B454" t="str">
        <f ca="1"/>
        <v>"</v>
      </c>
    </row>
    <row r="455" spans="1:2" x14ac:dyDescent="0.45">
      <c r="A455">
        <f ca="1"/>
        <v>421</v>
      </c>
      <c r="B455" t="str">
        <f ca="1"/>
        <v>x</v>
      </c>
    </row>
    <row r="456" spans="1:2" x14ac:dyDescent="0.45">
      <c r="A456">
        <f ca="1"/>
        <v>422</v>
      </c>
      <c r="B456" t="str">
        <f ca="1"/>
        <v>x</v>
      </c>
    </row>
    <row r="457" spans="1:2" x14ac:dyDescent="0.45">
      <c r="A457">
        <f ca="1"/>
        <v>423</v>
      </c>
      <c r="B457" t="str">
        <f ca="1"/>
        <v>y</v>
      </c>
    </row>
    <row r="458" spans="1:2" x14ac:dyDescent="0.45">
      <c r="A458">
        <f ca="1"/>
        <v>424</v>
      </c>
      <c r="B458" t="str">
        <f ca="1"/>
        <v>"</v>
      </c>
    </row>
    <row r="459" spans="1:2" x14ac:dyDescent="0.45">
      <c r="A459">
        <f ca="1"/>
        <v>425</v>
      </c>
      <c r="B459" t="str">
        <f ca="1"/>
        <v>i</v>
      </c>
    </row>
    <row r="460" spans="1:2" x14ac:dyDescent="0.45">
      <c r="A460">
        <f ca="1"/>
        <v>426</v>
      </c>
      <c r="B460" t="str">
        <f ca="1"/>
        <v>"</v>
      </c>
    </row>
    <row r="461" spans="1:2" x14ac:dyDescent="0.45">
      <c r="A461">
        <f ca="1"/>
        <v>427</v>
      </c>
      <c r="B461" t="str">
        <f ca="1"/>
        <v>x</v>
      </c>
    </row>
    <row r="462" spans="1:2" x14ac:dyDescent="0.45">
      <c r="A462">
        <f ca="1"/>
        <v>428</v>
      </c>
      <c r="B462" t="str">
        <f ca="1"/>
        <v>x</v>
      </c>
    </row>
    <row r="463" spans="1:2" x14ac:dyDescent="0.45">
      <c r="A463">
        <f ca="1"/>
        <v>429</v>
      </c>
      <c r="B463" t="str">
        <f ca="1"/>
        <v>y</v>
      </c>
    </row>
    <row r="464" spans="1:2" x14ac:dyDescent="0.45">
      <c r="A464">
        <f ca="1"/>
        <v>430</v>
      </c>
      <c r="B464" t="str">
        <f ca="1"/>
        <v>"</v>
      </c>
    </row>
    <row r="465" spans="1:2" x14ac:dyDescent="0.45">
      <c r="A465">
        <f ca="1"/>
        <v>431</v>
      </c>
      <c r="B465" t="str">
        <f ca="1"/>
        <v>j</v>
      </c>
    </row>
    <row r="466" spans="1:2" x14ac:dyDescent="0.45">
      <c r="A466">
        <f ca="1"/>
        <v>432</v>
      </c>
      <c r="B466" t="str">
        <f ca="1"/>
        <v>"</v>
      </c>
    </row>
    <row r="467" spans="1:2" x14ac:dyDescent="0.45">
      <c r="A467">
        <f ca="1"/>
        <v>433</v>
      </c>
      <c r="B467" t="str">
        <f ca="1"/>
        <v>x</v>
      </c>
    </row>
    <row r="468" spans="1:2" x14ac:dyDescent="0.45">
      <c r="A468">
        <f ca="1"/>
        <v>434</v>
      </c>
      <c r="B468" t="str">
        <f ca="1"/>
        <v>x</v>
      </c>
    </row>
    <row r="469" spans="1:2" x14ac:dyDescent="0.45">
      <c r="A469">
        <f ca="1"/>
        <v>435</v>
      </c>
      <c r="B469" t="str">
        <f ca="1"/>
        <v>y</v>
      </c>
    </row>
    <row r="470" spans="1:2" x14ac:dyDescent="0.45">
      <c r="A470">
        <f ca="1"/>
        <v>436</v>
      </c>
      <c r="B470" t="str">
        <f ca="1"/>
        <v>"</v>
      </c>
    </row>
    <row r="471" spans="1:2" x14ac:dyDescent="0.45">
      <c r="A471">
        <f ca="1"/>
        <v>437</v>
      </c>
      <c r="B471" t="str">
        <f ca="1"/>
        <v>k</v>
      </c>
    </row>
    <row r="472" spans="1:2" x14ac:dyDescent="0.45">
      <c r="A472">
        <f ca="1"/>
        <v>438</v>
      </c>
      <c r="B472" t="str">
        <f ca="1"/>
        <v>"</v>
      </c>
    </row>
    <row r="473" spans="1:2" x14ac:dyDescent="0.45">
      <c r="A473">
        <f ca="1"/>
        <v>439</v>
      </c>
      <c r="B473" t="str">
        <f ca="1"/>
        <v>x</v>
      </c>
    </row>
    <row r="474" spans="1:2" x14ac:dyDescent="0.45">
      <c r="A474">
        <f ca="1"/>
        <v>440</v>
      </c>
      <c r="B474" t="str">
        <f ca="1"/>
        <v>x</v>
      </c>
    </row>
    <row r="475" spans="1:2" x14ac:dyDescent="0.45">
      <c r="A475">
        <f ca="1"/>
        <v>441</v>
      </c>
      <c r="B475" t="str">
        <f ca="1"/>
        <v>y</v>
      </c>
    </row>
    <row r="476" spans="1:2" x14ac:dyDescent="0.45">
      <c r="A476">
        <f ca="1"/>
        <v>442</v>
      </c>
      <c r="B476" t="str">
        <f ca="1"/>
        <v>"</v>
      </c>
    </row>
    <row r="477" spans="1:2" x14ac:dyDescent="0.45">
      <c r="A477">
        <f ca="1"/>
        <v>443</v>
      </c>
      <c r="B477" t="str">
        <f ca="1"/>
        <v>l</v>
      </c>
    </row>
    <row r="478" spans="1:2" x14ac:dyDescent="0.45">
      <c r="A478">
        <f ca="1"/>
        <v>444</v>
      </c>
      <c r="B478" t="str">
        <f ca="1"/>
        <v>"</v>
      </c>
    </row>
    <row r="479" spans="1:2" x14ac:dyDescent="0.45">
      <c r="A479">
        <f ca="1"/>
        <v>445</v>
      </c>
      <c r="B479" t="str">
        <f ca="1"/>
        <v>x</v>
      </c>
    </row>
    <row r="480" spans="1:2" x14ac:dyDescent="0.45">
      <c r="A480">
        <f ca="1"/>
        <v>446</v>
      </c>
      <c r="B480" t="str">
        <f ca="1"/>
        <v>x</v>
      </c>
    </row>
    <row r="481" spans="1:2" x14ac:dyDescent="0.45">
      <c r="A481">
        <f ca="1"/>
        <v>447</v>
      </c>
      <c r="B481" t="str">
        <f ca="1"/>
        <v>y</v>
      </c>
    </row>
    <row r="482" spans="1:2" x14ac:dyDescent="0.45">
      <c r="A482">
        <f ca="1"/>
        <v>448</v>
      </c>
      <c r="B482" t="str">
        <f ca="1"/>
        <v>"</v>
      </c>
    </row>
    <row r="483" spans="1:2" x14ac:dyDescent="0.45">
      <c r="A483">
        <f ca="1"/>
        <v>449</v>
      </c>
      <c r="B483" t="str">
        <f ca="1"/>
        <v>m</v>
      </c>
    </row>
    <row r="484" spans="1:2" x14ac:dyDescent="0.45">
      <c r="A484">
        <f ca="1"/>
        <v>450</v>
      </c>
      <c r="B484" t="str">
        <f ca="1"/>
        <v>"</v>
      </c>
    </row>
    <row r="485" spans="1:2" x14ac:dyDescent="0.45">
      <c r="A485">
        <f ca="1"/>
        <v>451</v>
      </c>
      <c r="B485" t="str">
        <f ca="1"/>
        <v>x</v>
      </c>
    </row>
    <row r="486" spans="1:2" x14ac:dyDescent="0.45">
      <c r="A486">
        <f ca="1"/>
        <v>452</v>
      </c>
      <c r="B486" t="str">
        <f ca="1"/>
        <v>x</v>
      </c>
    </row>
    <row r="487" spans="1:2" x14ac:dyDescent="0.45">
      <c r="A487">
        <f ca="1"/>
        <v>453</v>
      </c>
      <c r="B487" t="str">
        <f ca="1"/>
        <v>y</v>
      </c>
    </row>
    <row r="488" spans="1:2" x14ac:dyDescent="0.45">
      <c r="A488">
        <f ca="1"/>
        <v>454</v>
      </c>
      <c r="B488" t="str">
        <f ca="1"/>
        <v>"</v>
      </c>
    </row>
    <row r="489" spans="1:2" x14ac:dyDescent="0.45">
      <c r="A489">
        <f ca="1"/>
        <v>455</v>
      </c>
      <c r="B489" t="str">
        <f ca="1"/>
        <v>n</v>
      </c>
    </row>
    <row r="490" spans="1:2" x14ac:dyDescent="0.45">
      <c r="A490">
        <f ca="1"/>
        <v>456</v>
      </c>
      <c r="B490" t="str">
        <f ca="1"/>
        <v>"</v>
      </c>
    </row>
    <row r="491" spans="1:2" x14ac:dyDescent="0.45">
      <c r="A491">
        <f ca="1"/>
        <v>457</v>
      </c>
      <c r="B491" t="str">
        <f ca="1"/>
        <v>x</v>
      </c>
    </row>
    <row r="492" spans="1:2" x14ac:dyDescent="0.45">
      <c r="A492">
        <f ca="1"/>
        <v>458</v>
      </c>
      <c r="B492" t="str">
        <f ca="1"/>
        <v>x</v>
      </c>
    </row>
    <row r="493" spans="1:2" x14ac:dyDescent="0.45">
      <c r="A493">
        <f ca="1"/>
        <v>459</v>
      </c>
      <c r="B493" t="str">
        <f ca="1"/>
        <v>y</v>
      </c>
    </row>
    <row r="494" spans="1:2" x14ac:dyDescent="0.45">
      <c r="A494">
        <f ca="1"/>
        <v>460</v>
      </c>
      <c r="B494" t="str">
        <f ca="1"/>
        <v>"</v>
      </c>
    </row>
    <row r="495" spans="1:2" x14ac:dyDescent="0.45">
      <c r="A495">
        <f ca="1"/>
        <v>461</v>
      </c>
      <c r="B495" t="str">
        <f ca="1"/>
        <v>o</v>
      </c>
    </row>
    <row r="496" spans="1:2" x14ac:dyDescent="0.45">
      <c r="A496">
        <f ca="1"/>
        <v>462</v>
      </c>
      <c r="B496" t="str">
        <f ca="1"/>
        <v>"</v>
      </c>
    </row>
    <row r="497" spans="1:2" x14ac:dyDescent="0.45">
      <c r="A497">
        <f ca="1"/>
        <v>463</v>
      </c>
      <c r="B497" t="str">
        <f ca="1"/>
        <v>x</v>
      </c>
    </row>
    <row r="498" spans="1:2" x14ac:dyDescent="0.45">
      <c r="A498">
        <f ca="1"/>
        <v>464</v>
      </c>
      <c r="B498" t="str">
        <f ca="1"/>
        <v>x</v>
      </c>
    </row>
    <row r="499" spans="1:2" x14ac:dyDescent="0.45">
      <c r="A499">
        <f ca="1"/>
        <v>465</v>
      </c>
      <c r="B499" t="str">
        <f ca="1"/>
        <v>y</v>
      </c>
    </row>
    <row r="500" spans="1:2" x14ac:dyDescent="0.45">
      <c r="A500">
        <f ca="1"/>
        <v>466</v>
      </c>
      <c r="B500" t="str">
        <f ca="1"/>
        <v>"</v>
      </c>
    </row>
    <row r="501" spans="1:2" x14ac:dyDescent="0.45">
      <c r="A501">
        <f ca="1"/>
        <v>467</v>
      </c>
      <c r="B501" t="str">
        <f ca="1"/>
        <v>p</v>
      </c>
    </row>
    <row r="502" spans="1:2" x14ac:dyDescent="0.45">
      <c r="A502">
        <f ca="1"/>
        <v>468</v>
      </c>
      <c r="B502" t="str">
        <f ca="1"/>
        <v>"</v>
      </c>
    </row>
    <row r="503" spans="1:2" x14ac:dyDescent="0.45">
      <c r="A503">
        <f ca="1"/>
        <v>469</v>
      </c>
      <c r="B503" t="str">
        <f ca="1"/>
        <v>_x000D_</v>
      </c>
    </row>
    <row r="504" spans="1:2" x14ac:dyDescent="0.45">
      <c r="A504">
        <f ca="1"/>
        <v>470</v>
      </c>
      <c r="B504" t="str">
        <f ca="1"/>
        <v xml:space="preserve">
</v>
      </c>
    </row>
    <row r="505" spans="1:2" x14ac:dyDescent="0.45">
      <c r="A505">
        <f ca="1"/>
        <v>471</v>
      </c>
      <c r="B505" t="str">
        <f ca="1"/>
        <v>"</v>
      </c>
    </row>
    <row r="506" spans="1:2" x14ac:dyDescent="0.45">
      <c r="A506">
        <f ca="1"/>
        <v>472</v>
      </c>
      <c r="B506" t="str">
        <f ca="1"/>
        <v>q</v>
      </c>
    </row>
    <row r="507" spans="1:2" x14ac:dyDescent="0.45">
      <c r="A507">
        <f ca="1"/>
        <v>473</v>
      </c>
      <c r="B507" t="str">
        <f ca="1"/>
        <v>"</v>
      </c>
    </row>
    <row r="508" spans="1:2" x14ac:dyDescent="0.45">
      <c r="A508">
        <f ca="1"/>
        <v>474</v>
      </c>
      <c r="B508" t="str">
        <f ca="1"/>
        <v>x</v>
      </c>
    </row>
    <row r="509" spans="1:2" x14ac:dyDescent="0.45">
      <c r="A509">
        <f ca="1"/>
        <v>475</v>
      </c>
      <c r="B509" t="str">
        <f ca="1"/>
        <v>x</v>
      </c>
    </row>
    <row r="510" spans="1:2" x14ac:dyDescent="0.45">
      <c r="A510">
        <f ca="1"/>
        <v>476</v>
      </c>
      <c r="B510" t="str">
        <f ca="1"/>
        <v>y</v>
      </c>
    </row>
    <row r="511" spans="1:2" x14ac:dyDescent="0.45">
      <c r="A511">
        <f ca="1"/>
        <v>477</v>
      </c>
      <c r="B511" t="str">
        <f ca="1"/>
        <v>"</v>
      </c>
    </row>
    <row r="512" spans="1:2" x14ac:dyDescent="0.45">
      <c r="A512">
        <f ca="1"/>
        <v>478</v>
      </c>
      <c r="B512" t="str">
        <f ca="1"/>
        <v>r</v>
      </c>
    </row>
    <row r="513" spans="1:2" x14ac:dyDescent="0.45">
      <c r="A513">
        <f ca="1"/>
        <v>479</v>
      </c>
      <c r="B513" t="str">
        <f ca="1"/>
        <v>"</v>
      </c>
    </row>
    <row r="514" spans="1:2" x14ac:dyDescent="0.45">
      <c r="A514">
        <f ca="1"/>
        <v>480</v>
      </c>
      <c r="B514" t="str">
        <f ca="1"/>
        <v>x</v>
      </c>
    </row>
    <row r="515" spans="1:2" x14ac:dyDescent="0.45">
      <c r="A515">
        <f ca="1"/>
        <v>481</v>
      </c>
      <c r="B515" t="str">
        <f ca="1"/>
        <v>x</v>
      </c>
    </row>
    <row r="516" spans="1:2" x14ac:dyDescent="0.45">
      <c r="A516">
        <f ca="1"/>
        <v>482</v>
      </c>
      <c r="B516" t="str">
        <f ca="1"/>
        <v>y</v>
      </c>
    </row>
    <row r="517" spans="1:2" x14ac:dyDescent="0.45">
      <c r="A517">
        <f ca="1"/>
        <v>483</v>
      </c>
      <c r="B517" t="str">
        <f ca="1"/>
        <v>"</v>
      </c>
    </row>
    <row r="518" spans="1:2" x14ac:dyDescent="0.45">
      <c r="A518">
        <f ca="1"/>
        <v>484</v>
      </c>
      <c r="B518" t="str">
        <f ca="1"/>
        <v>s</v>
      </c>
    </row>
    <row r="519" spans="1:2" x14ac:dyDescent="0.45">
      <c r="A519">
        <f ca="1"/>
        <v>485</v>
      </c>
      <c r="B519" t="str">
        <f ca="1"/>
        <v>"</v>
      </c>
    </row>
    <row r="520" spans="1:2" x14ac:dyDescent="0.45">
      <c r="A520">
        <f ca="1"/>
        <v>486</v>
      </c>
      <c r="B520" t="str">
        <f ca="1"/>
        <v>x</v>
      </c>
    </row>
    <row r="521" spans="1:2" x14ac:dyDescent="0.45">
      <c r="A521">
        <f ca="1"/>
        <v>487</v>
      </c>
      <c r="B521" t="str">
        <f ca="1"/>
        <v>x</v>
      </c>
    </row>
    <row r="522" spans="1:2" x14ac:dyDescent="0.45">
      <c r="A522">
        <f ca="1"/>
        <v>488</v>
      </c>
      <c r="B522" t="str">
        <f ca="1"/>
        <v>y</v>
      </c>
    </row>
    <row r="523" spans="1:2" x14ac:dyDescent="0.45">
      <c r="A523">
        <f ca="1"/>
        <v>489</v>
      </c>
      <c r="B523" t="str">
        <f ca="1"/>
        <v>"</v>
      </c>
    </row>
    <row r="524" spans="1:2" x14ac:dyDescent="0.45">
      <c r="A524">
        <f ca="1"/>
        <v>490</v>
      </c>
      <c r="B524" t="str">
        <f ca="1"/>
        <v>t</v>
      </c>
    </row>
    <row r="525" spans="1:2" x14ac:dyDescent="0.45">
      <c r="A525">
        <f ca="1"/>
        <v>491</v>
      </c>
      <c r="B525" t="str">
        <f ca="1"/>
        <v>"</v>
      </c>
    </row>
    <row r="526" spans="1:2" x14ac:dyDescent="0.45">
      <c r="A526">
        <f ca="1"/>
        <v>492</v>
      </c>
      <c r="B526" t="str">
        <f ca="1"/>
        <v>x</v>
      </c>
    </row>
    <row r="527" spans="1:2" x14ac:dyDescent="0.45">
      <c r="A527">
        <f ca="1"/>
        <v>493</v>
      </c>
      <c r="B527" t="str">
        <f ca="1"/>
        <v>x</v>
      </c>
    </row>
    <row r="528" spans="1:2" x14ac:dyDescent="0.45">
      <c r="A528">
        <f ca="1"/>
        <v>494</v>
      </c>
      <c r="B528" t="str">
        <f ca="1"/>
        <v>y</v>
      </c>
    </row>
    <row r="529" spans="1:2" x14ac:dyDescent="0.45">
      <c r="A529">
        <f ca="1"/>
        <v>495</v>
      </c>
      <c r="B529" t="str">
        <f ca="1"/>
        <v>"</v>
      </c>
    </row>
    <row r="530" spans="1:2" x14ac:dyDescent="0.45">
      <c r="A530">
        <f ca="1"/>
        <v>496</v>
      </c>
      <c r="B530" t="str">
        <f ca="1"/>
        <v>u</v>
      </c>
    </row>
    <row r="531" spans="1:2" x14ac:dyDescent="0.45">
      <c r="A531">
        <f ca="1"/>
        <v>497</v>
      </c>
      <c r="B531" t="str">
        <f ca="1"/>
        <v>"</v>
      </c>
    </row>
    <row r="532" spans="1:2" x14ac:dyDescent="0.45">
      <c r="A532">
        <f ca="1"/>
        <v>498</v>
      </c>
      <c r="B532" t="str">
        <f ca="1"/>
        <v>x</v>
      </c>
    </row>
    <row r="533" spans="1:2" x14ac:dyDescent="0.45">
      <c r="A533">
        <f ca="1"/>
        <v>499</v>
      </c>
      <c r="B533" t="str">
        <f ca="1"/>
        <v>x</v>
      </c>
    </row>
    <row r="534" spans="1:2" x14ac:dyDescent="0.45">
      <c r="A534">
        <f ca="1"/>
        <v>500</v>
      </c>
      <c r="B534" t="str">
        <f ca="1"/>
        <v>y</v>
      </c>
    </row>
    <row r="535" spans="1:2" x14ac:dyDescent="0.45">
      <c r="A535">
        <f ca="1"/>
        <v>501</v>
      </c>
      <c r="B535" t="str">
        <f ca="1"/>
        <v>"</v>
      </c>
    </row>
    <row r="536" spans="1:2" x14ac:dyDescent="0.45">
      <c r="A536">
        <f ca="1"/>
        <v>502</v>
      </c>
      <c r="B536" t="str">
        <f ca="1"/>
        <v>v</v>
      </c>
    </row>
    <row r="537" spans="1:2" x14ac:dyDescent="0.45">
      <c r="A537">
        <f ca="1"/>
        <v>503</v>
      </c>
      <c r="B537" t="str">
        <f ca="1"/>
        <v>"</v>
      </c>
    </row>
    <row r="538" spans="1:2" x14ac:dyDescent="0.45">
      <c r="A538">
        <f ca="1"/>
        <v>504</v>
      </c>
      <c r="B538" t="str">
        <f ca="1"/>
        <v>x</v>
      </c>
    </row>
    <row r="539" spans="1:2" x14ac:dyDescent="0.45">
      <c r="A539">
        <f ca="1"/>
        <v>505</v>
      </c>
      <c r="B539" t="str">
        <f ca="1"/>
        <v>x</v>
      </c>
    </row>
    <row r="540" spans="1:2" x14ac:dyDescent="0.45">
      <c r="A540">
        <f ca="1"/>
        <v>506</v>
      </c>
      <c r="B540" t="str">
        <f ca="1"/>
        <v>y</v>
      </c>
    </row>
    <row r="541" spans="1:2" x14ac:dyDescent="0.45">
      <c r="A541">
        <f ca="1"/>
        <v>507</v>
      </c>
      <c r="B541" t="str">
        <f ca="1"/>
        <v>"</v>
      </c>
    </row>
    <row r="542" spans="1:2" x14ac:dyDescent="0.45">
      <c r="A542">
        <f ca="1"/>
        <v>508</v>
      </c>
      <c r="B542" t="str">
        <f ca="1"/>
        <v>w</v>
      </c>
    </row>
    <row r="543" spans="1:2" x14ac:dyDescent="0.45">
      <c r="A543">
        <f ca="1"/>
        <v>509</v>
      </c>
      <c r="B543" t="str">
        <f ca="1"/>
        <v>"</v>
      </c>
    </row>
    <row r="544" spans="1:2" x14ac:dyDescent="0.45">
      <c r="A544">
        <f ca="1"/>
        <v>510</v>
      </c>
      <c r="B544" t="str">
        <f ca="1"/>
        <v>x</v>
      </c>
    </row>
    <row r="545" spans="1:2" x14ac:dyDescent="0.45">
      <c r="A545">
        <f ca="1"/>
        <v>511</v>
      </c>
      <c r="B545" t="str">
        <f ca="1"/>
        <v>x</v>
      </c>
    </row>
    <row r="546" spans="1:2" x14ac:dyDescent="0.45">
      <c r="A546">
        <f ca="1"/>
        <v>512</v>
      </c>
      <c r="B546" t="str">
        <f ca="1"/>
        <v>y</v>
      </c>
    </row>
    <row r="547" spans="1:2" x14ac:dyDescent="0.45">
      <c r="A547">
        <f ca="1"/>
        <v>513</v>
      </c>
      <c r="B547" t="str">
        <f ca="1"/>
        <v>"</v>
      </c>
    </row>
    <row r="548" spans="1:2" x14ac:dyDescent="0.45">
      <c r="A548">
        <f ca="1"/>
        <v>514</v>
      </c>
      <c r="B548" t="str">
        <f ca="1"/>
        <v>x</v>
      </c>
    </row>
    <row r="549" spans="1:2" x14ac:dyDescent="0.45">
      <c r="A549">
        <f ca="1"/>
        <v>515</v>
      </c>
      <c r="B549" t="str">
        <f ca="1"/>
        <v>"</v>
      </c>
    </row>
    <row r="550" spans="1:2" x14ac:dyDescent="0.45">
      <c r="A550">
        <f ca="1"/>
        <v>516</v>
      </c>
      <c r="B550" t="str">
        <f ca="1"/>
        <v>x</v>
      </c>
    </row>
    <row r="551" spans="1:2" x14ac:dyDescent="0.45">
      <c r="A551">
        <f ca="1"/>
        <v>517</v>
      </c>
      <c r="B551" t="str">
        <f ca="1"/>
        <v>x</v>
      </c>
    </row>
    <row r="552" spans="1:2" x14ac:dyDescent="0.45">
      <c r="A552">
        <f ca="1"/>
        <v>518</v>
      </c>
      <c r="B552" t="str">
        <f ca="1"/>
        <v>y</v>
      </c>
    </row>
    <row r="553" spans="1:2" x14ac:dyDescent="0.45">
      <c r="A553">
        <f ca="1"/>
        <v>519</v>
      </c>
      <c r="B553" t="str">
        <f ca="1"/>
        <v>"</v>
      </c>
    </row>
    <row r="554" spans="1:2" x14ac:dyDescent="0.45">
      <c r="A554">
        <f ca="1"/>
        <v>520</v>
      </c>
      <c r="B554" t="str">
        <f ca="1"/>
        <v>y</v>
      </c>
    </row>
    <row r="555" spans="1:2" x14ac:dyDescent="0.45">
      <c r="A555">
        <f ca="1"/>
        <v>521</v>
      </c>
      <c r="B555" t="str">
        <f ca="1"/>
        <v>"</v>
      </c>
    </row>
    <row r="556" spans="1:2" x14ac:dyDescent="0.45">
      <c r="A556">
        <f ca="1"/>
        <v>522</v>
      </c>
      <c r="B556" t="str">
        <f ca="1"/>
        <v>x</v>
      </c>
    </row>
    <row r="557" spans="1:2" x14ac:dyDescent="0.45">
      <c r="A557">
        <f ca="1"/>
        <v>523</v>
      </c>
      <c r="B557" t="str">
        <f ca="1"/>
        <v>x</v>
      </c>
    </row>
    <row r="558" spans="1:2" x14ac:dyDescent="0.45">
      <c r="A558">
        <f ca="1"/>
        <v>524</v>
      </c>
      <c r="B558" t="str">
        <f ca="1"/>
        <v>y</v>
      </c>
    </row>
    <row r="559" spans="1:2" x14ac:dyDescent="0.45">
      <c r="A559">
        <f ca="1"/>
        <v>525</v>
      </c>
      <c r="B559" t="str">
        <f ca="1"/>
        <v>"</v>
      </c>
    </row>
    <row r="560" spans="1:2" x14ac:dyDescent="0.45">
      <c r="A560">
        <f ca="1"/>
        <v>526</v>
      </c>
      <c r="B560" t="str">
        <f ca="1"/>
        <v>z</v>
      </c>
    </row>
    <row r="561" spans="1:2" x14ac:dyDescent="0.45">
      <c r="A561">
        <f ca="1"/>
        <v>527</v>
      </c>
      <c r="B561" t="str">
        <f ca="1"/>
        <v>"</v>
      </c>
    </row>
    <row r="562" spans="1:2" x14ac:dyDescent="0.45">
      <c r="A562">
        <f ca="1"/>
        <v>528</v>
      </c>
      <c r="B562" t="str">
        <f ca="1"/>
        <v>_x000D_</v>
      </c>
    </row>
    <row r="563" spans="1:2" x14ac:dyDescent="0.45">
      <c r="A563">
        <f ca="1"/>
        <v>529</v>
      </c>
      <c r="B563" t="str">
        <f ca="1"/>
        <v xml:space="preserve">
</v>
      </c>
    </row>
    <row r="564" spans="1:2" x14ac:dyDescent="0.45">
      <c r="A564">
        <f ca="1"/>
        <v>530</v>
      </c>
      <c r="B564" t="str">
        <f ca="1"/>
        <v>"</v>
      </c>
    </row>
    <row r="565" spans="1:2" x14ac:dyDescent="0.45">
      <c r="A565">
        <f ca="1"/>
        <v>531</v>
      </c>
      <c r="B565" t="str">
        <f ca="1"/>
        <v>"</v>
      </c>
    </row>
    <row r="566" spans="1:2" x14ac:dyDescent="0.45">
      <c r="A566">
        <f ca="1"/>
        <v>532</v>
      </c>
      <c r="B566" t="str">
        <f ca="1"/>
        <v>"</v>
      </c>
    </row>
    <row r="567" spans="1:2" x14ac:dyDescent="0.45">
      <c r="A567">
        <f ca="1"/>
        <v>533</v>
      </c>
      <c r="B567" t="str">
        <f ca="1"/>
        <v>"</v>
      </c>
    </row>
    <row r="568" spans="1:2" x14ac:dyDescent="0.45">
      <c r="A568">
        <f ca="1"/>
        <v>534</v>
      </c>
      <c r="B568" t="str">
        <f ca="1"/>
        <v>x</v>
      </c>
    </row>
    <row r="569" spans="1:2" x14ac:dyDescent="0.45">
      <c r="A569">
        <f ca="1"/>
        <v>535</v>
      </c>
      <c r="B569" t="str">
        <f ca="1"/>
        <v>x</v>
      </c>
    </row>
    <row r="570" spans="1:2" x14ac:dyDescent="0.45">
      <c r="A570">
        <f ca="1"/>
        <v>536</v>
      </c>
      <c r="B570" t="str">
        <f ca="1"/>
        <v>y</v>
      </c>
    </row>
    <row r="571" spans="1:2" x14ac:dyDescent="0.45">
      <c r="A571">
        <f ca="1"/>
        <v>537</v>
      </c>
      <c r="B571" t="str">
        <f ca="1"/>
        <v>"</v>
      </c>
    </row>
    <row r="572" spans="1:2" x14ac:dyDescent="0.45">
      <c r="A572">
        <f ca="1"/>
        <v>538</v>
      </c>
      <c r="B572" t="str">
        <f ca="1"/>
        <v>|</v>
      </c>
    </row>
    <row r="573" spans="1:2" x14ac:dyDescent="0.45">
      <c r="A573">
        <f ca="1"/>
        <v>539</v>
      </c>
      <c r="B573" t="str">
        <f ca="1"/>
        <v>"</v>
      </c>
    </row>
    <row r="574" spans="1:2" x14ac:dyDescent="0.45">
      <c r="A574">
        <f ca="1"/>
        <v>540</v>
      </c>
      <c r="B574" t="str">
        <f ca="1"/>
        <v>x</v>
      </c>
    </row>
    <row r="575" spans="1:2" x14ac:dyDescent="0.45">
      <c r="A575">
        <f ca="1"/>
        <v>541</v>
      </c>
      <c r="B575" t="str">
        <f ca="1"/>
        <v>x</v>
      </c>
    </row>
    <row r="576" spans="1:2" x14ac:dyDescent="0.45">
      <c r="A576">
        <f ca="1"/>
        <v>542</v>
      </c>
      <c r="B576" t="str">
        <f ca="1"/>
        <v>y</v>
      </c>
    </row>
    <row r="577" spans="1:2" x14ac:dyDescent="0.45">
      <c r="A577">
        <f ca="1"/>
        <v>543</v>
      </c>
      <c r="B577" t="str">
        <f ca="1"/>
        <v>"</v>
      </c>
    </row>
    <row r="578" spans="1:2" x14ac:dyDescent="0.45">
      <c r="A578">
        <f ca="1"/>
        <v>544</v>
      </c>
      <c r="B578" t="str">
        <f ca="1"/>
        <v>}</v>
      </c>
    </row>
    <row r="579" spans="1:2" x14ac:dyDescent="0.45">
      <c r="A579">
        <f ca="1"/>
        <v>545</v>
      </c>
      <c r="B579" t="str">
        <f ca="1"/>
        <v>"</v>
      </c>
    </row>
    <row r="580" spans="1:2" x14ac:dyDescent="0.45">
      <c r="A580">
        <f ca="1"/>
        <v>546</v>
      </c>
      <c r="B580" t="str">
        <f ca="1"/>
        <v>x</v>
      </c>
    </row>
    <row r="581" spans="1:2" x14ac:dyDescent="0.45">
      <c r="A581">
        <f ca="1"/>
        <v>547</v>
      </c>
      <c r="B581" t="str">
        <f ca="1"/>
        <v>x</v>
      </c>
    </row>
    <row r="582" spans="1:2" x14ac:dyDescent="0.45">
      <c r="A582">
        <f ca="1"/>
        <v>548</v>
      </c>
      <c r="B582" t="str">
        <f ca="1"/>
        <v>y</v>
      </c>
    </row>
    <row r="583" spans="1:2" x14ac:dyDescent="0.45">
      <c r="A583">
        <f ca="1"/>
        <v>549</v>
      </c>
      <c r="B583" t="str">
        <f ca="1"/>
        <v>"</v>
      </c>
    </row>
    <row r="584" spans="1:2" x14ac:dyDescent="0.45">
      <c r="A584">
        <f ca="1"/>
        <v>550</v>
      </c>
      <c r="B584" t="str">
        <f ca="1"/>
        <v>~</v>
      </c>
    </row>
    <row r="585" spans="1:2" x14ac:dyDescent="0.45">
      <c r="A585">
        <f ca="1"/>
        <v>551</v>
      </c>
      <c r="B585" t="str">
        <f ca="1"/>
        <v>"</v>
      </c>
    </row>
    <row r="586" spans="1:2" x14ac:dyDescent="0.45">
      <c r="A586">
        <f ca="1"/>
        <v>552</v>
      </c>
      <c r="B586" t="str">
        <f ca="1"/>
        <v>x</v>
      </c>
    </row>
    <row r="587" spans="1:2" x14ac:dyDescent="0.45">
      <c r="A587">
        <f ca="1"/>
        <v>553</v>
      </c>
      <c r="B587" t="str">
        <f ca="1"/>
        <v>x</v>
      </c>
    </row>
    <row r="588" spans="1:2" x14ac:dyDescent="0.45">
      <c r="A588">
        <f ca="1"/>
        <v>554</v>
      </c>
      <c r="B588" t="str">
        <f ca="1"/>
        <v>y</v>
      </c>
    </row>
    <row r="589" spans="1:2" x14ac:dyDescent="0.45">
      <c r="A589">
        <f ca="1"/>
        <v>555</v>
      </c>
      <c r="B589" t="str">
        <f ca="1"/>
        <v>"</v>
      </c>
    </row>
    <row r="590" spans="1:2" x14ac:dyDescent="0.45">
      <c r="A590">
        <f ca="1"/>
        <v>556</v>
      </c>
      <c r="B590" t="str">
        <f ca="1"/>
        <v></v>
      </c>
    </row>
    <row r="591" spans="1:2" x14ac:dyDescent="0.45">
      <c r="A591">
        <f ca="1"/>
        <v>557</v>
      </c>
      <c r="B591" t="str">
        <f ca="1"/>
        <v>"</v>
      </c>
    </row>
    <row r="592" spans="1:2" x14ac:dyDescent="0.45">
      <c r="A592">
        <f ca="1"/>
        <v>558</v>
      </c>
      <c r="B592" t="str">
        <f ca="1"/>
        <v>x</v>
      </c>
    </row>
    <row r="593" spans="1:2" x14ac:dyDescent="0.45">
      <c r="A593">
        <f ca="1"/>
        <v>559</v>
      </c>
      <c r="B593" t="str">
        <f ca="1"/>
        <v>x</v>
      </c>
    </row>
    <row r="594" spans="1:2" x14ac:dyDescent="0.45">
      <c r="A594">
        <f ca="1"/>
        <v>560</v>
      </c>
      <c r="B594" t="str">
        <f ca="1"/>
        <v>y</v>
      </c>
    </row>
    <row r="595" spans="1:2" x14ac:dyDescent="0.45">
      <c r="A595">
        <f ca="1"/>
        <v>561</v>
      </c>
      <c r="B595" t="str">
        <f ca="1"/>
        <v>"</v>
      </c>
    </row>
    <row r="596" spans="1:2" x14ac:dyDescent="0.45">
      <c r="A596">
        <f ca="1"/>
        <v>562</v>
      </c>
      <c r="B596" t="str">
        <f ca="1"/>
        <v>€</v>
      </c>
    </row>
    <row r="597" spans="1:2" x14ac:dyDescent="0.45">
      <c r="A597">
        <f ca="1"/>
        <v>563</v>
      </c>
      <c r="B597" t="str">
        <f ca="1"/>
        <v>"</v>
      </c>
    </row>
    <row r="598" spans="1:2" x14ac:dyDescent="0.45">
      <c r="A598">
        <f ca="1"/>
        <v>564</v>
      </c>
      <c r="B598" t="str">
        <f ca="1"/>
        <v>x</v>
      </c>
    </row>
    <row r="599" spans="1:2" x14ac:dyDescent="0.45">
      <c r="A599">
        <f ca="1"/>
        <v>565</v>
      </c>
      <c r="B599" t="str">
        <f ca="1"/>
        <v>x</v>
      </c>
    </row>
    <row r="600" spans="1:2" x14ac:dyDescent="0.45">
      <c r="A600">
        <f ca="1"/>
        <v>566</v>
      </c>
      <c r="B600" t="str">
        <f ca="1"/>
        <v>y</v>
      </c>
    </row>
    <row r="601" spans="1:2" x14ac:dyDescent="0.45">
      <c r="A601">
        <f ca="1"/>
        <v>567</v>
      </c>
      <c r="B601" t="str">
        <f ca="1"/>
        <v>"</v>
      </c>
    </row>
    <row r="602" spans="1:2" x14ac:dyDescent="0.45">
      <c r="A602">
        <f ca="1"/>
        <v>568</v>
      </c>
      <c r="B602" t="str">
        <f ca="1"/>
        <v></v>
      </c>
    </row>
    <row r="603" spans="1:2" x14ac:dyDescent="0.45">
      <c r="A603">
        <f ca="1"/>
        <v>569</v>
      </c>
      <c r="B603" t="str">
        <f ca="1"/>
        <v>"</v>
      </c>
    </row>
    <row r="604" spans="1:2" x14ac:dyDescent="0.45">
      <c r="A604">
        <f ca="1"/>
        <v>570</v>
      </c>
      <c r="B604" t="str">
        <f ca="1"/>
        <v>x</v>
      </c>
    </row>
    <row r="605" spans="1:2" x14ac:dyDescent="0.45">
      <c r="A605">
        <f ca="1"/>
        <v>571</v>
      </c>
      <c r="B605" t="str">
        <f ca="1"/>
        <v>x</v>
      </c>
    </row>
    <row r="606" spans="1:2" x14ac:dyDescent="0.45">
      <c r="A606">
        <f ca="1"/>
        <v>572</v>
      </c>
      <c r="B606" t="str">
        <f ca="1"/>
        <v>y</v>
      </c>
    </row>
    <row r="607" spans="1:2" x14ac:dyDescent="0.45">
      <c r="A607">
        <f ca="1"/>
        <v>573</v>
      </c>
      <c r="B607" t="str">
        <f ca="1"/>
        <v>"</v>
      </c>
    </row>
    <row r="608" spans="1:2" x14ac:dyDescent="0.45">
      <c r="A608">
        <f ca="1"/>
        <v>574</v>
      </c>
      <c r="B608" t="str">
        <f ca="1"/>
        <v>‚</v>
      </c>
    </row>
    <row r="609" spans="1:2" x14ac:dyDescent="0.45">
      <c r="A609">
        <f ca="1"/>
        <v>575</v>
      </c>
      <c r="B609" t="str">
        <f ca="1"/>
        <v>"</v>
      </c>
    </row>
    <row r="610" spans="1:2" x14ac:dyDescent="0.45">
      <c r="A610">
        <f ca="1"/>
        <v>576</v>
      </c>
      <c r="B610" t="str">
        <f ca="1"/>
        <v>x</v>
      </c>
    </row>
    <row r="611" spans="1:2" x14ac:dyDescent="0.45">
      <c r="A611">
        <f ca="1"/>
        <v>577</v>
      </c>
      <c r="B611" t="str">
        <f ca="1"/>
        <v>x</v>
      </c>
    </row>
    <row r="612" spans="1:2" x14ac:dyDescent="0.45">
      <c r="A612">
        <f ca="1"/>
        <v>578</v>
      </c>
      <c r="B612" t="str">
        <f ca="1"/>
        <v>y</v>
      </c>
    </row>
    <row r="613" spans="1:2" x14ac:dyDescent="0.45">
      <c r="A613">
        <f ca="1"/>
        <v>579</v>
      </c>
      <c r="B613" t="str">
        <f ca="1"/>
        <v>"</v>
      </c>
    </row>
    <row r="614" spans="1:2" x14ac:dyDescent="0.45">
      <c r="A614">
        <f ca="1"/>
        <v>580</v>
      </c>
      <c r="B614" t="str">
        <f ca="1"/>
        <v>ƒ</v>
      </c>
    </row>
    <row r="615" spans="1:2" x14ac:dyDescent="0.45">
      <c r="A615">
        <f ca="1"/>
        <v>581</v>
      </c>
      <c r="B615" t="str">
        <f ca="1"/>
        <v>"</v>
      </c>
    </row>
    <row r="616" spans="1:2" x14ac:dyDescent="0.45">
      <c r="A616">
        <f ca="1"/>
        <v>582</v>
      </c>
      <c r="B616" t="str">
        <f ca="1"/>
        <v>x</v>
      </c>
    </row>
    <row r="617" spans="1:2" x14ac:dyDescent="0.45">
      <c r="A617">
        <f ca="1"/>
        <v>583</v>
      </c>
      <c r="B617" t="str">
        <f ca="1"/>
        <v>x</v>
      </c>
    </row>
    <row r="618" spans="1:2" x14ac:dyDescent="0.45">
      <c r="A618">
        <f ca="1"/>
        <v>584</v>
      </c>
      <c r="B618" t="str">
        <f ca="1"/>
        <v>y</v>
      </c>
    </row>
    <row r="619" spans="1:2" x14ac:dyDescent="0.45">
      <c r="A619">
        <f ca="1"/>
        <v>585</v>
      </c>
      <c r="B619" t="str">
        <f ca="1"/>
        <v>"</v>
      </c>
    </row>
    <row r="620" spans="1:2" x14ac:dyDescent="0.45">
      <c r="A620">
        <f ca="1"/>
        <v>586</v>
      </c>
      <c r="B620" t="str">
        <f ca="1"/>
        <v>„</v>
      </c>
    </row>
    <row r="621" spans="1:2" x14ac:dyDescent="0.45">
      <c r="A621">
        <f ca="1"/>
        <v>587</v>
      </c>
      <c r="B621" t="str">
        <f ca="1"/>
        <v>"</v>
      </c>
    </row>
    <row r="622" spans="1:2" x14ac:dyDescent="0.45">
      <c r="A622">
        <f ca="1"/>
        <v>588</v>
      </c>
      <c r="B622" t="str">
        <f ca="1"/>
        <v>_x000D_</v>
      </c>
    </row>
    <row r="623" spans="1:2" x14ac:dyDescent="0.45">
      <c r="A623">
        <f ca="1"/>
        <v>589</v>
      </c>
      <c r="B623" t="str">
        <f ca="1"/>
        <v xml:space="preserve">
</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16</vt:i4>
      </vt:variant>
    </vt:vector>
  </HeadingPairs>
  <TitlesOfParts>
    <vt:vector size="22" baseType="lpstr">
      <vt:lpstr>Demo</vt:lpstr>
      <vt:lpstr>Help</vt:lpstr>
      <vt:lpstr>Timing</vt:lpstr>
      <vt:lpstr>Audit</vt:lpstr>
      <vt:lpstr>Sheet1</vt:lpstr>
      <vt:lpstr>Sheet2</vt:lpstr>
      <vt:lpstr>DateFormat</vt:lpstr>
      <vt:lpstr>DateTimeFormat</vt:lpstr>
      <vt:lpstr>EOL</vt:lpstr>
      <vt:lpstr>FileName</vt:lpstr>
      <vt:lpstr>Audit!Headers</vt:lpstr>
      <vt:lpstr>Timing!PutFormulasHere1</vt:lpstr>
      <vt:lpstr>Timing!PutFormulasHere2</vt:lpstr>
      <vt:lpstr>Timing!PutFormulasHere3</vt:lpstr>
      <vt:lpstr>Timing!PutFormulasHere4</vt:lpstr>
      <vt:lpstr>Timing!PutFormulasHere5</vt:lpstr>
      <vt:lpstr>Timing!PutFormulasHere6</vt:lpstr>
      <vt:lpstr>Timing!PutFormulasHere7</vt:lpstr>
      <vt:lpstr>QuoteAllStrings</vt:lpstr>
      <vt:lpstr>Help!SourceFile</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2021-08-12T17:30:19Z</dcterms:modified>
</cp:coreProperties>
</file>