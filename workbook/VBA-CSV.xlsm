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VBA-CSV\workbook\"/>
    </mc:Choice>
  </mc:AlternateContent>
  <xr:revisionPtr revIDLastSave="0" documentId="13_ncr:1_{C0C609EB-7E87-4C88-BED9-304CE94BFB03}" xr6:coauthVersionLast="47" xr6:coauthVersionMax="47" xr10:uidLastSave="{00000000-0000-0000-0000-000000000000}"/>
  <bookViews>
    <workbookView xWindow="32302" yWindow="-98" windowWidth="38596" windowHeight="21196" xr2:uid="{77FCC9C7-9D35-4681-82A7-05A68EE6D7BF}"/>
  </bookViews>
  <sheets>
    <sheet name="Demo" sheetId="1" r:id="rId1"/>
    <sheet name="Performance" sheetId="2" r:id="rId2"/>
    <sheet name="ConvertTypes" sheetId="5" r:id="rId3"/>
    <sheet name="Test" sheetId="4" r:id="rId4"/>
    <sheet name="RegExp" sheetId="11" r:id="rId5"/>
    <sheet name="Audit" sheetId="3" r:id="rId6"/>
  </sheets>
  <functionGroups builtInGroupCount="19">
    <functionGroup name="Excel-DNA IntelliSense Host"/>
    <functionGroup name="BERT"/>
    <functionGroup name="Solum Maths"/>
    <functionGroup name="Solum Array"/>
    <functionGroup name="Solum String"/>
    <functionGroup name="Solum File"/>
    <functionGroup name="Solum Comparison and Selection"/>
    <functionGroup name="Solum Utilities"/>
    <functionGroup name="Solum Options"/>
    <functionGroup name="Solum Numeric Array"/>
    <functionGroup name="Solum Range"/>
    <functionGroup name="Solum SCRiPTUtils"/>
  </functionGroups>
  <definedNames>
    <definedName name="CallToCSVRead" localSheetId="3">Test!$AB$8</definedName>
    <definedName name="CaseNo" localSheetId="3">Test!$C$4</definedName>
    <definedName name="CSVContents" localSheetId="2">ConvertTypes!$C$17</definedName>
    <definedName name="CSVContents" localSheetId="0">Demo!$E$13</definedName>
    <definedName name="Data" localSheetId="2">ConvertTypes!$B$4:$C$14</definedName>
    <definedName name="Data" localSheetId="0">Demo!$B$13:$C$52</definedName>
    <definedName name="DateFormat" localSheetId="0">Demo!$C$5</definedName>
    <definedName name="DateTimeFormat" localSheetId="0">Demo!$C$6</definedName>
    <definedName name="EOL" localSheetId="0">Demo!$C$8</definedName>
    <definedName name="FileName" localSheetId="3">Test!$C$3</definedName>
    <definedName name="FileTable" localSheetId="3">Test!$B$8:$T$160</definedName>
    <definedName name="Folder" localSheetId="3">Test!$C$2</definedName>
    <definedName name="Headers" localSheetId="5">Audit!$B$5:$F$5</definedName>
    <definedName name="IncludeLargeFiles" localSheetId="3">Test!$N$3</definedName>
    <definedName name="NumFailed" localSheetId="3">Test!$N$5</definedName>
    <definedName name="NumPassed" localSheetId="3">Test!$N$4</definedName>
    <definedName name="NumSkipped">Test!$N$6</definedName>
    <definedName name="PutFormulasHere1" localSheetId="1">Performance!$E$6:$E$27</definedName>
    <definedName name="PutFormulasHere2" localSheetId="1">Performance!$E$33:$E$53</definedName>
    <definedName name="PutFormulasHere3" localSheetId="1">Performance!$E$60:$E$80</definedName>
    <definedName name="PutFormulasHere4" localSheetId="1">Performance!$E$87:$E$105</definedName>
    <definedName name="PutFormulasHere5" localSheetId="1">Performance!$E$114:$E$127</definedName>
    <definedName name="PutFormulasHere6" localSheetId="1">Performance!$E$141:$E$155</definedName>
    <definedName name="PutFormulasHere7" localSheetId="1">Performance!$E$168:$E$182</definedName>
    <definedName name="QuoteAllStrings" localSheetId="0">Demo!$C$4</definedName>
    <definedName name="RowNo" localSheetId="3">Test!$C$5</definedName>
    <definedName name="rxNoNo">RegExp!$K$11</definedName>
    <definedName name="rxNoYes">RegExp!$K$13</definedName>
    <definedName name="rxYesNo">RegExp!$K$12</definedName>
    <definedName name="rxYesYes">RegExp!$K$14</definedName>
    <definedName name="Test_Failures" localSheetId="3">Test!$V$8</definedName>
    <definedName name="Unicode" localSheetId="0">Demo!$C$7</definedName>
    <definedName name="Windows" localSheetId="0">Demo!$C$4:$C$7</definedName>
  </definedNames>
  <calcPr calcId="191029" calcMode="manual" calcCompleted="0" calcOnSave="0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8" i="5" l="1"/>
  <c r="G48" i="5"/>
  <c r="E48" i="5"/>
  <c r="C48" i="5"/>
  <c r="X7" i="4"/>
  <c r="I16" i="11"/>
  <c r="I16" i="11" a="1"/>
  <c r="C16" i="11" a="1"/>
  <c r="C16" i="11" s="1"/>
  <c r="K11" i="11"/>
  <c r="X8" i="4"/>
  <c r="B108" i="4" a="1"/>
  <c r="B133" i="4" a="1"/>
  <c r="B103" i="4" a="1"/>
  <c r="B156" i="4" a="1"/>
  <c r="B132" i="4" a="1"/>
  <c r="B83" i="4" a="1"/>
  <c r="H17" i="11" a="1"/>
  <c r="B137" i="4" a="1"/>
  <c r="B17" i="11" a="1"/>
  <c r="B107" i="4" a="1"/>
  <c r="B134" i="4" a="1"/>
  <c r="B131" i="4" a="1"/>
  <c r="B102" i="4" a="1"/>
  <c r="B104" i="4" a="1"/>
  <c r="B13" i="1" a="1"/>
  <c r="B106" i="4" a="1"/>
  <c r="B86" i="4" a="1"/>
  <c r="B13" i="1" l="1"/>
  <c r="B86" i="4"/>
  <c r="B83" i="4"/>
  <c r="B137" i="4"/>
  <c r="B102" i="4"/>
  <c r="B107" i="4"/>
  <c r="B106" i="4"/>
  <c r="B132" i="4"/>
  <c r="B104" i="4"/>
  <c r="B156" i="4"/>
  <c r="B131" i="4"/>
  <c r="B134" i="4"/>
  <c r="B103" i="4"/>
  <c r="B108" i="4"/>
  <c r="B133" i="4"/>
  <c r="B17" i="11"/>
  <c r="H17" i="11"/>
  <c r="C5" i="4"/>
  <c r="K6" i="11"/>
  <c r="K9" i="11" s="1"/>
  <c r="K13" i="11" s="1"/>
  <c r="X9" i="4" l="1" a="1"/>
  <c r="X9" i="4" s="1"/>
  <c r="C3" i="4" a="1"/>
  <c r="C3" i="4" s="1"/>
  <c r="K8" i="11"/>
  <c r="K14" i="11" s="1"/>
  <c r="K12" i="11"/>
  <c r="D111" i="4"/>
  <c r="D112" i="4"/>
  <c r="D113" i="4"/>
  <c r="D114" i="4"/>
  <c r="C17" i="11" a="1"/>
  <c r="Z8" i="4" a="1"/>
  <c r="K17" i="11" a="1"/>
  <c r="F17" i="11" a="1"/>
  <c r="AB8" i="4" a="1"/>
  <c r="E17" i="11" a="1"/>
  <c r="B113" i="4" a="1"/>
  <c r="D17" i="11" a="1"/>
  <c r="L17" i="11" a="1"/>
  <c r="J17" i="11" a="1"/>
  <c r="I17" i="11" a="1"/>
  <c r="B114" i="4" a="1"/>
  <c r="I17" i="11" l="1"/>
  <c r="J17" i="11"/>
  <c r="L17" i="11"/>
  <c r="D17" i="11"/>
  <c r="E17" i="11"/>
  <c r="F17" i="11"/>
  <c r="K17" i="11"/>
  <c r="C17" i="11"/>
  <c r="Z8" i="4"/>
  <c r="AB8" i="4"/>
  <c r="AC7" i="4" s="1"/>
  <c r="B114" i="4"/>
  <c r="B113" i="4"/>
  <c r="D110" i="4"/>
  <c r="D109" i="4"/>
  <c r="B111" i="4" a="1"/>
  <c r="B109" i="4" a="1"/>
  <c r="B110" i="4" a="1"/>
  <c r="B112" i="4" a="1"/>
  <c r="B111" i="4" l="1"/>
  <c r="B109" i="4"/>
  <c r="B112" i="4"/>
  <c r="B110" i="4"/>
  <c r="X10" i="4" l="1" a="1"/>
  <c r="X10" i="4" s="1"/>
  <c r="U6" i="4" a="1"/>
  <c r="U6" i="4" l="1"/>
  <c r="Y8" i="4" l="1" a="1"/>
  <c r="Y53" i="4" s="1"/>
  <c r="W8" i="4" a="1"/>
  <c r="W8" i="4" s="1"/>
  <c r="B21" i="4" a="1"/>
  <c r="B78" i="4" a="1"/>
  <c r="B30" i="4" a="1"/>
  <c r="B143" i="4" a="1"/>
  <c r="B22" i="4" a="1"/>
  <c r="B18" i="4" a="1"/>
  <c r="B105" i="4" a="1"/>
  <c r="B67" i="4" a="1"/>
  <c r="B24" i="4" a="1"/>
  <c r="B17" i="4" a="1"/>
  <c r="B36" i="4" a="1"/>
  <c r="B100" i="4" a="1"/>
  <c r="B49" i="4" a="1"/>
  <c r="B79" i="4" a="1"/>
  <c r="B142" i="4" a="1"/>
  <c r="B148" i="4" a="1"/>
  <c r="B93" i="4" a="1"/>
  <c r="B39" i="4" a="1"/>
  <c r="B123" i="4" a="1"/>
  <c r="B117" i="4" a="1"/>
  <c r="B115" i="4" a="1"/>
  <c r="B55" i="4" a="1"/>
  <c r="B13" i="4" a="1"/>
  <c r="B25" i="4" a="1"/>
  <c r="B54" i="4" a="1"/>
  <c r="B58" i="4" a="1"/>
  <c r="B121" i="4" a="1"/>
  <c r="B129" i="4" a="1"/>
  <c r="B61" i="4" a="1"/>
  <c r="B88" i="4" a="1"/>
  <c r="B74" i="4" a="1"/>
  <c r="B128" i="4" a="1"/>
  <c r="B145" i="4" a="1"/>
  <c r="B144" i="4" a="1"/>
  <c r="B57" i="4" a="1"/>
  <c r="B68" i="4" a="1"/>
  <c r="B127" i="4" a="1"/>
  <c r="B98" i="4" a="1"/>
  <c r="B116" i="4" a="1"/>
  <c r="B152" i="4" a="1"/>
  <c r="B59" i="4" a="1"/>
  <c r="B96" i="4" a="1"/>
  <c r="B66" i="4" a="1"/>
  <c r="B94" i="4" a="1"/>
  <c r="B42" i="4" a="1"/>
  <c r="B41" i="4" a="1"/>
  <c r="B48" i="4" a="1"/>
  <c r="B73" i="4" a="1"/>
  <c r="B8" i="4" a="1"/>
  <c r="B124" i="4" a="1"/>
  <c r="B81" i="4" a="1"/>
  <c r="B147" i="4" a="1"/>
  <c r="B82" i="4" a="1"/>
  <c r="B141" i="4" a="1"/>
  <c r="B101" i="4" a="1"/>
  <c r="B125" i="4" a="1"/>
  <c r="B14" i="4" a="1"/>
  <c r="B89" i="4" a="1"/>
  <c r="B140" i="4" a="1"/>
  <c r="B46" i="4" a="1"/>
  <c r="B92" i="4" a="1"/>
  <c r="B27" i="4" a="1"/>
  <c r="B60" i="4" a="1"/>
  <c r="B158" i="4" a="1"/>
  <c r="B12" i="4" a="1"/>
  <c r="B10" i="4" a="1"/>
  <c r="B75" i="4" a="1"/>
  <c r="B154" i="4" a="1"/>
  <c r="B77" i="4" a="1"/>
  <c r="B126" i="4" a="1"/>
  <c r="B52" i="4" a="1"/>
  <c r="B70" i="4" a="1"/>
  <c r="B90" i="4" a="1"/>
  <c r="B53" i="4" a="1"/>
  <c r="B35" i="4" a="1"/>
  <c r="B34" i="4" a="1"/>
  <c r="B120" i="4" a="1"/>
  <c r="B15" i="4" a="1"/>
  <c r="B63" i="4" a="1"/>
  <c r="B56" i="4" a="1"/>
  <c r="B130" i="4" a="1"/>
  <c r="B50" i="4" a="1"/>
  <c r="B43" i="4" a="1"/>
  <c r="B135" i="4" a="1"/>
  <c r="B45" i="4" a="1"/>
  <c r="B44" i="4" a="1"/>
  <c r="B136" i="4" a="1"/>
  <c r="B95" i="4" a="1"/>
  <c r="B32" i="4" a="1"/>
  <c r="B26" i="4" a="1"/>
  <c r="B153" i="4" a="1"/>
  <c r="B160" i="4" a="1"/>
  <c r="B38" i="4" a="1"/>
  <c r="B40" i="4" a="1"/>
  <c r="B99" i="4" a="1"/>
  <c r="B146" i="4" a="1"/>
  <c r="B20" i="4" a="1"/>
  <c r="B28" i="4" a="1"/>
  <c r="B97" i="4" a="1"/>
  <c r="B64" i="4" a="1"/>
  <c r="B33" i="4" a="1"/>
  <c r="B65" i="4" a="1"/>
  <c r="B119" i="4" a="1"/>
  <c r="B157" i="4" a="1"/>
  <c r="B47" i="4" a="1"/>
  <c r="B29" i="4" a="1"/>
  <c r="B87" i="4" a="1"/>
  <c r="B51" i="4" a="1"/>
  <c r="B118" i="4" a="1"/>
  <c r="B72" i="4" a="1"/>
  <c r="B150" i="4" a="1"/>
  <c r="B138" i="4" a="1"/>
  <c r="B69" i="4" a="1"/>
  <c r="B16" i="4" a="1"/>
  <c r="B23" i="4" a="1"/>
  <c r="B62" i="4" a="1"/>
  <c r="B151" i="4" a="1"/>
  <c r="B76" i="4" a="1"/>
  <c r="B71" i="4" a="1"/>
  <c r="B85" i="4" a="1"/>
  <c r="B11" i="4" a="1"/>
  <c r="B37" i="4" a="1"/>
  <c r="B149" i="4" a="1"/>
  <c r="B155" i="4" a="1"/>
  <c r="B19" i="4" a="1"/>
  <c r="B9" i="4" a="1"/>
  <c r="B80" i="4" a="1"/>
  <c r="B159" i="4" a="1"/>
  <c r="B91" i="4" a="1"/>
  <c r="B31" i="4" a="1"/>
  <c r="B122" i="4" a="1"/>
  <c r="W23" i="4" l="1"/>
  <c r="W30" i="4"/>
  <c r="W22" i="4"/>
  <c r="W47" i="4"/>
  <c r="W15" i="4"/>
  <c r="W46" i="4"/>
  <c r="W14" i="4"/>
  <c r="W39" i="4"/>
  <c r="W38" i="4"/>
  <c r="W31" i="4"/>
  <c r="Y14" i="4"/>
  <c r="Y22" i="4"/>
  <c r="Y30" i="4"/>
  <c r="Y38" i="4"/>
  <c r="Y46" i="4"/>
  <c r="Y47" i="4"/>
  <c r="Y15" i="4"/>
  <c r="Y23" i="4"/>
  <c r="Y31" i="4"/>
  <c r="Y39" i="4"/>
  <c r="W53" i="4"/>
  <c r="W45" i="4"/>
  <c r="W37" i="4"/>
  <c r="W29" i="4"/>
  <c r="W21" i="4"/>
  <c r="W13" i="4"/>
  <c r="Y8" i="4"/>
  <c r="Y16" i="4"/>
  <c r="Y24" i="4"/>
  <c r="Y32" i="4"/>
  <c r="Y40" i="4"/>
  <c r="Y48" i="4"/>
  <c r="W52" i="4"/>
  <c r="W44" i="4"/>
  <c r="W36" i="4"/>
  <c r="W28" i="4"/>
  <c r="W20" i="4"/>
  <c r="W12" i="4"/>
  <c r="Y9" i="4"/>
  <c r="Y17" i="4"/>
  <c r="Y25" i="4"/>
  <c r="Y33" i="4"/>
  <c r="Y41" i="4"/>
  <c r="Y49" i="4"/>
  <c r="W51" i="4"/>
  <c r="W43" i="4"/>
  <c r="W35" i="4"/>
  <c r="W27" i="4"/>
  <c r="W19" i="4"/>
  <c r="W11" i="4"/>
  <c r="Y10" i="4"/>
  <c r="Y18" i="4"/>
  <c r="Y26" i="4"/>
  <c r="Y34" i="4"/>
  <c r="Y42" i="4"/>
  <c r="Y50" i="4"/>
  <c r="W50" i="4"/>
  <c r="W42" i="4"/>
  <c r="W34" i="4"/>
  <c r="W26" i="4"/>
  <c r="W18" i="4"/>
  <c r="W10" i="4"/>
  <c r="Y11" i="4"/>
  <c r="Y19" i="4"/>
  <c r="Y27" i="4"/>
  <c r="Y35" i="4"/>
  <c r="Y43" i="4"/>
  <c r="Y51" i="4"/>
  <c r="W49" i="4"/>
  <c r="W41" i="4"/>
  <c r="W33" i="4"/>
  <c r="W25" i="4"/>
  <c r="W17" i="4"/>
  <c r="W9" i="4"/>
  <c r="Y12" i="4"/>
  <c r="Y20" i="4"/>
  <c r="Y28" i="4"/>
  <c r="Y36" i="4"/>
  <c r="Y44" i="4"/>
  <c r="Y52" i="4"/>
  <c r="W48" i="4"/>
  <c r="W40" i="4"/>
  <c r="W32" i="4"/>
  <c r="W24" i="4"/>
  <c r="W16" i="4"/>
  <c r="Y13" i="4"/>
  <c r="Y21" i="4"/>
  <c r="Y29" i="4"/>
  <c r="Y37" i="4"/>
  <c r="Y45" i="4"/>
  <c r="B96" i="4"/>
  <c r="B95" i="4"/>
  <c r="B136" i="4"/>
  <c r="B89" i="4"/>
  <c r="B73" i="4"/>
  <c r="B98" i="4"/>
  <c r="B158" i="4"/>
  <c r="B125" i="4"/>
  <c r="B124" i="4"/>
  <c r="B68" i="4"/>
  <c r="B63" i="4"/>
  <c r="B60" i="4"/>
  <c r="B155" i="4"/>
  <c r="B55" i="4"/>
  <c r="B153" i="4"/>
  <c r="B152" i="4"/>
  <c r="B48" i="4"/>
  <c r="B45" i="4"/>
  <c r="B41" i="4"/>
  <c r="B37" i="4"/>
  <c r="B33" i="4"/>
  <c r="B29" i="4"/>
  <c r="B119" i="4"/>
  <c r="B24" i="4"/>
  <c r="B23" i="4"/>
  <c r="B19" i="4"/>
  <c r="B16" i="4"/>
  <c r="B12" i="4"/>
  <c r="B121" i="4"/>
  <c r="B145" i="4"/>
  <c r="B97" i="4"/>
  <c r="B77" i="4"/>
  <c r="B130" i="4"/>
  <c r="B93" i="4"/>
  <c r="B92" i="4"/>
  <c r="B141" i="4"/>
  <c r="B76" i="4"/>
  <c r="B85" i="4"/>
  <c r="B129" i="4"/>
  <c r="B66" i="4"/>
  <c r="B67" i="4"/>
  <c r="B115" i="4"/>
  <c r="B57" i="4"/>
  <c r="B52" i="4"/>
  <c r="B47" i="4"/>
  <c r="B44" i="4"/>
  <c r="B36" i="4"/>
  <c r="B32" i="4"/>
  <c r="B87" i="4"/>
  <c r="B122" i="4"/>
  <c r="B22" i="4"/>
  <c r="B15" i="4"/>
  <c r="B147" i="4"/>
  <c r="B118" i="4"/>
  <c r="B99" i="4"/>
  <c r="B80" i="4"/>
  <c r="B135" i="4"/>
  <c r="B88" i="4"/>
  <c r="B79" i="4"/>
  <c r="B72" i="4"/>
  <c r="B159" i="4"/>
  <c r="B143" i="4"/>
  <c r="B105" i="4"/>
  <c r="B54" i="4"/>
  <c r="B151" i="4"/>
  <c r="B40" i="4"/>
  <c r="B28" i="4"/>
  <c r="B120" i="4"/>
  <c r="B81" i="4"/>
  <c r="B126" i="4"/>
  <c r="B91" i="4"/>
  <c r="B140" i="4"/>
  <c r="B75" i="4"/>
  <c r="B160" i="4"/>
  <c r="B138" i="4"/>
  <c r="B157" i="4"/>
  <c r="B65" i="4"/>
  <c r="B59" i="4"/>
  <c r="B53" i="4"/>
  <c r="B150" i="4"/>
  <c r="B43" i="4"/>
  <c r="B39" i="4"/>
  <c r="B31" i="4"/>
  <c r="B27" i="4"/>
  <c r="B123" i="4"/>
  <c r="B148" i="4"/>
  <c r="B21" i="4"/>
  <c r="B18" i="4"/>
  <c r="B14" i="4"/>
  <c r="B11" i="4"/>
  <c r="B8" i="4"/>
  <c r="B90" i="4"/>
  <c r="B101" i="4"/>
  <c r="B142" i="4"/>
  <c r="B82" i="4"/>
  <c r="B78" i="4"/>
  <c r="B71" i="4"/>
  <c r="B100" i="4"/>
  <c r="B128" i="4"/>
  <c r="B70" i="4"/>
  <c r="B62" i="4"/>
  <c r="B154" i="4"/>
  <c r="B51" i="4"/>
  <c r="B149" i="4"/>
  <c r="B35" i="4"/>
  <c r="B10" i="4"/>
  <c r="B94" i="4"/>
  <c r="B69" i="4"/>
  <c r="B61" i="4"/>
  <c r="B58" i="4"/>
  <c r="B117" i="4"/>
  <c r="B49" i="4"/>
  <c r="B42" i="4"/>
  <c r="B34" i="4"/>
  <c r="B26" i="4"/>
  <c r="B116" i="4"/>
  <c r="B17" i="4"/>
  <c r="B146" i="4"/>
  <c r="B144" i="4"/>
  <c r="B74" i="4"/>
  <c r="B127" i="4"/>
  <c r="B64" i="4"/>
  <c r="B56" i="4"/>
  <c r="B50" i="4"/>
  <c r="B46" i="4"/>
  <c r="B38" i="4"/>
  <c r="B30" i="4"/>
  <c r="B25" i="4"/>
  <c r="B20" i="4"/>
  <c r="B13" i="4"/>
  <c r="B9" i="4"/>
  <c r="F68" i="4" l="1"/>
  <c r="F156" i="4"/>
  <c r="B4" i="5" l="1" a="1"/>
  <c r="B4" i="5" s="1"/>
  <c r="B6" i="5" a="1"/>
  <c r="B6" i="5" s="1"/>
  <c r="B8" i="5" a="1"/>
  <c r="B8" i="5" s="1"/>
  <c r="B10" i="5" a="1"/>
  <c r="B10" i="5" s="1"/>
  <c r="B11" i="5" a="1"/>
  <c r="B11" i="5" s="1"/>
  <c r="B12" i="5" a="1"/>
  <c r="B12" i="5" s="1"/>
  <c r="B14" i="5" a="1"/>
  <c r="B14" i="5" s="1"/>
  <c r="C7" i="5"/>
  <c r="X11" i="4" a="1"/>
  <c r="X11" i="4" l="1"/>
  <c r="B7" i="5" a="1"/>
  <c r="B7" i="5" s="1"/>
  <c r="A141" i="2" a="1"/>
  <c r="A141" i="2" s="1"/>
  <c r="B127" i="2"/>
  <c r="A127" i="2" s="1"/>
  <c r="B126" i="2"/>
  <c r="A126" i="2" s="1"/>
  <c r="B125" i="2"/>
  <c r="A125" i="2" s="1"/>
  <c r="B124" i="2"/>
  <c r="A124" i="2"/>
  <c r="B123" i="2"/>
  <c r="A123" i="2"/>
  <c r="B122" i="2"/>
  <c r="A122" i="2" s="1"/>
  <c r="B121" i="2"/>
  <c r="A121" i="2" s="1"/>
  <c r="B120" i="2"/>
  <c r="A120" i="2"/>
  <c r="B119" i="2"/>
  <c r="A119" i="2"/>
  <c r="B118" i="2"/>
  <c r="A118" i="2" s="1"/>
  <c r="B117" i="2"/>
  <c r="A117" i="2" s="1"/>
  <c r="B116" i="2"/>
  <c r="A116" i="2"/>
  <c r="B115" i="2"/>
  <c r="A115" i="2"/>
  <c r="B114" i="2"/>
  <c r="A114" i="2" s="1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B80" i="2"/>
  <c r="A80" i="2" s="1"/>
  <c r="B79" i="2"/>
  <c r="A79" i="2" s="1"/>
  <c r="B78" i="2"/>
  <c r="A78" i="2"/>
  <c r="B77" i="2"/>
  <c r="A77" i="2"/>
  <c r="B76" i="2"/>
  <c r="A76" i="2" s="1"/>
  <c r="B75" i="2"/>
  <c r="A75" i="2" s="1"/>
  <c r="B74" i="2"/>
  <c r="A74" i="2" s="1"/>
  <c r="B73" i="2"/>
  <c r="A73" i="2"/>
  <c r="B72" i="2"/>
  <c r="A72" i="2" s="1"/>
  <c r="B71" i="2"/>
  <c r="A71" i="2" s="1"/>
  <c r="B70" i="2"/>
  <c r="A70" i="2"/>
  <c r="B69" i="2"/>
  <c r="A69" i="2" s="1"/>
  <c r="B68" i="2"/>
  <c r="A68" i="2" s="1"/>
  <c r="B67" i="2"/>
  <c r="A67" i="2" s="1"/>
  <c r="B66" i="2"/>
  <c r="A66" i="2"/>
  <c r="B65" i="2"/>
  <c r="A65" i="2"/>
  <c r="B64" i="2"/>
  <c r="A64" i="2" s="1"/>
  <c r="B63" i="2"/>
  <c r="A63" i="2" s="1"/>
  <c r="B62" i="2"/>
  <c r="A62" i="2"/>
  <c r="B61" i="2"/>
  <c r="A61" i="2" s="1"/>
  <c r="B60" i="2"/>
  <c r="A60" i="2" s="1"/>
  <c r="B53" i="2"/>
  <c r="A53" i="2" s="1"/>
  <c r="B52" i="2"/>
  <c r="A52" i="2" s="1"/>
  <c r="B51" i="2"/>
  <c r="A51" i="2" s="1"/>
  <c r="B50" i="2"/>
  <c r="A50" i="2" s="1"/>
  <c r="B49" i="2"/>
  <c r="A49" i="2" s="1"/>
  <c r="B48" i="2"/>
  <c r="A48" i="2" s="1"/>
  <c r="B47" i="2"/>
  <c r="A47" i="2" s="1"/>
  <c r="B46" i="2"/>
  <c r="A46" i="2" s="1"/>
  <c r="B45" i="2"/>
  <c r="A45" i="2" s="1"/>
  <c r="B44" i="2"/>
  <c r="A44" i="2" s="1"/>
  <c r="B43" i="2"/>
  <c r="A43" i="2"/>
  <c r="B42" i="2"/>
  <c r="A42" i="2" s="1"/>
  <c r="B41" i="2"/>
  <c r="A41" i="2" s="1"/>
  <c r="B40" i="2"/>
  <c r="A40" i="2"/>
  <c r="B39" i="2"/>
  <c r="A39" i="2" s="1"/>
  <c r="B38" i="2"/>
  <c r="A38" i="2" s="1"/>
  <c r="B37" i="2"/>
  <c r="A37" i="2" s="1"/>
  <c r="B36" i="2"/>
  <c r="A36" i="2" s="1"/>
  <c r="B35" i="2"/>
  <c r="A35" i="2" s="1"/>
  <c r="B34" i="2"/>
  <c r="A34" i="2" s="1"/>
  <c r="B33" i="2"/>
  <c r="A33" i="2" s="1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C17" i="5" a="1"/>
  <c r="C17" i="5" l="1"/>
  <c r="C36" i="5" a="1"/>
  <c r="E22" i="5" a="1"/>
  <c r="E50" i="5" a="1"/>
  <c r="E36" i="5" a="1"/>
  <c r="G36" i="5" a="1"/>
  <c r="C50" i="5" a="1"/>
  <c r="G22" i="5" a="1"/>
  <c r="C22" i="5" a="1"/>
  <c r="E13" i="1" a="1"/>
  <c r="I36" i="5" a="1"/>
  <c r="I22" i="5" a="1"/>
  <c r="I50" i="5" a="1"/>
  <c r="G50" i="5" a="1"/>
  <c r="G36" i="5" l="1"/>
  <c r="E36" i="5"/>
  <c r="G50" i="5"/>
  <c r="E50" i="5"/>
  <c r="I36" i="5"/>
  <c r="C50" i="5"/>
  <c r="C36" i="5"/>
  <c r="I50" i="5"/>
  <c r="G22" i="5"/>
  <c r="E22" i="5"/>
  <c r="I22" i="5"/>
  <c r="C22" i="5"/>
  <c r="E13" i="1"/>
  <c r="G13" i="1" a="1"/>
  <c r="I13" i="1" a="1"/>
  <c r="L13" i="1" a="1"/>
  <c r="L13" i="1" l="1"/>
  <c r="G13" i="1"/>
  <c r="I13" i="1"/>
  <c r="O13" i="1" a="1"/>
  <c r="O13" i="1" l="1"/>
  <c r="O1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Philip Swannell</author>
  </authors>
  <commentList>
    <comment ref="E13" authorId="0" shapeId="0" xr:uid="{121D0985-6BAD-492D-8237-63C0AE30ED5C}">
      <text>
        <r>
          <rPr>
            <b/>
            <sz val="9"/>
            <color indexed="81"/>
            <rFont val="Tahoma"/>
            <family val="2"/>
          </rPr>
          <t>Philip Swannell:</t>
        </r>
        <r>
          <rPr>
            <sz val="9"/>
            <color indexed="81"/>
            <rFont val="Tahoma"/>
            <family val="2"/>
          </rPr>
          <t xml:space="preserve">
In this example, the second argument to CSVWrite is the null string so CSVWrite returns a string rather than writing to a file on disk.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Philip Swannell</author>
  </authors>
  <commentList>
    <comment ref="F13" authorId="0" shapeId="0" xr:uid="{FE9E2DB7-33FD-455F-8E57-9B8C3340E57F}">
      <text>
        <r>
          <rPr>
            <b/>
            <sz val="9"/>
            <color indexed="81"/>
            <rFont val="Tahoma"/>
            <family val="2"/>
          </rPr>
          <t>Philip Swannell:</t>
        </r>
        <r>
          <rPr>
            <sz val="9"/>
            <color indexed="81"/>
            <rFont val="Tahoma"/>
            <family val="2"/>
          </rPr>
          <t xml:space="preserve">
single space char!</t>
        </r>
      </text>
    </comment>
    <comment ref="F25" authorId="0" shapeId="0" xr:uid="{9D8EB399-FA6B-4A2E-910E-1974EC40C6E1}">
      <text>
        <r>
          <rPr>
            <b/>
            <sz val="9"/>
            <color indexed="81"/>
            <rFont val="Tahoma"/>
            <family val="2"/>
          </rPr>
          <t>Philip Swannell:</t>
        </r>
        <r>
          <rPr>
            <sz val="9"/>
            <color indexed="81"/>
            <rFont val="Tahoma"/>
            <family val="2"/>
          </rPr>
          <t xml:space="preserve">
single space char!</t>
        </r>
      </text>
    </comment>
    <comment ref="F33" authorId="0" shapeId="0" xr:uid="{5D167A18-1A0C-4668-9485-38173841330B}">
      <text>
        <r>
          <rPr>
            <b/>
            <sz val="9"/>
            <color indexed="81"/>
            <rFont val="Tahoma"/>
            <family val="2"/>
          </rPr>
          <t>Philip Swannell:</t>
        </r>
        <r>
          <rPr>
            <sz val="9"/>
            <color indexed="81"/>
            <rFont val="Tahoma"/>
            <family val="2"/>
          </rPr>
          <t xml:space="preserve">
single space char!</t>
        </r>
      </text>
    </comment>
    <comment ref="F62" authorId="0" shapeId="0" xr:uid="{38563D09-FDC2-4BD4-BE76-196F392D5CAE}">
      <text>
        <r>
          <rPr>
            <b/>
            <sz val="9"/>
            <color indexed="81"/>
            <rFont val="Tahoma"/>
            <family val="2"/>
          </rPr>
          <t>Philip Swannell:</t>
        </r>
        <r>
          <rPr>
            <sz val="9"/>
            <color indexed="81"/>
            <rFont val="Tahoma"/>
            <family val="2"/>
          </rPr>
          <t xml:space="preserve">
single space
</t>
        </r>
      </text>
    </comment>
    <comment ref="F65" authorId="0" shapeId="0" xr:uid="{E79B7A66-4F7D-4A50-B450-CDBC909A6AF3}">
      <text>
        <r>
          <rPr>
            <b/>
            <sz val="9"/>
            <color indexed="81"/>
            <rFont val="Tahoma"/>
            <family val="2"/>
          </rPr>
          <t>Philip Swannell:</t>
        </r>
        <r>
          <rPr>
            <sz val="9"/>
            <color indexed="81"/>
            <rFont val="Tahoma"/>
            <family val="2"/>
          </rPr>
          <t xml:space="preserve">
single space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<sst xmlns="http://schemas.openxmlformats.org/spreadsheetml/2006/main" count="1363" uniqueCount="594">
  <si>
    <t>VBA-CSV functions CSVWrite and CSVRead</t>
  </si>
  <si>
    <t>Inputs to CSVWrite</t>
  </si>
  <si>
    <t>Colour key</t>
  </si>
  <si>
    <t>FileName</t>
  </si>
  <si>
    <t>Number (or Date, according to cell's NumberFormat)</t>
  </si>
  <si>
    <t>QuoteAllStrings</t>
  </si>
  <si>
    <t>String</t>
  </si>
  <si>
    <t>DateFormat</t>
  </si>
  <si>
    <t>yyyy-mmm-dd</t>
  </si>
  <si>
    <t>DateTimeFormat</t>
  </si>
  <si>
    <t>yyyy-mmm-dd hh:mm:ss</t>
  </si>
  <si>
    <t>Error</t>
  </si>
  <si>
    <t>Unicode</t>
  </si>
  <si>
    <t>EOL</t>
  </si>
  <si>
    <t>Windows</t>
  </si>
  <si>
    <t>All equal, i.e. "round trip" worked?</t>
  </si>
  <si>
    <t>3) Example calls to CSVRead:</t>
  </si>
  <si>
    <t>1) Generate data of random types to pass to CSVWrite</t>
  </si>
  <si>
    <t>2) Call CSVWrite</t>
  </si>
  <si>
    <t>Equal?</t>
  </si>
  <si>
    <t>One column of 1-char fields.</t>
  </si>
  <si>
    <t>Field Length</t>
  </si>
  <si>
    <t>Each Field Contains</t>
  </si>
  <si>
    <t>Num Rows</t>
  </si>
  <si>
    <t>Num Cols</t>
  </si>
  <si>
    <t>CSVRead</t>
  </si>
  <si>
    <t>CSVRead_sdkn104</t>
  </si>
  <si>
    <t>CSVRead_ws_garcia</t>
  </si>
  <si>
    <t>NCalls
CSVRead</t>
  </si>
  <si>
    <t>NCalls
CSVRead_sdkn104</t>
  </si>
  <si>
    <t>NCalls
CSVRead_ws_garcia</t>
  </si>
  <si>
    <t>File</t>
  </si>
  <si>
    <t>Size</t>
  </si>
  <si>
    <t>x</t>
  </si>
  <si>
    <t>C:\Temp\CSVTest\CompareAgainstAlternatives\Windows_0001_x_001_Strings_length_1_Ascii_NotRagged.csv</t>
  </si>
  <si>
    <t>C:\Temp\CSVTest\CompareAgainstAlternatives\Windows_0002_x_001_Strings_length_1_Ascii_NotRagged.csv</t>
  </si>
  <si>
    <t>C:\Temp\CSVTest\CompareAgainstAlternatives\Windows_0004_x_001_Strings_length_1_Ascii_NotRagged.csv</t>
  </si>
  <si>
    <t>C:\Temp\CSVTest\CompareAgainstAlternatives\Windows_0008_x_001_Strings_length_1_Ascii_NotRagged.csv</t>
  </si>
  <si>
    <t>C:\Temp\CSVTest\CompareAgainstAlternatives\Windows_0016_x_001_Strings_length_1_Ascii_NotRagged.csv</t>
  </si>
  <si>
    <t>C:\Temp\CSVTest\CompareAgainstAlternatives\Windows_0032_x_001_Strings_length_1_Ascii_NotRagged.csv</t>
  </si>
  <si>
    <t>C:\Temp\CSVTest\CompareAgainstAlternatives\Windows_0064_x_001_Strings_length_1_Ascii_NotRagged.csv</t>
  </si>
  <si>
    <t>C:\Temp\CSVTest\CompareAgainstAlternatives\Windows_0128_x_001_Strings_length_1_Ascii_NotRagged.csv</t>
  </si>
  <si>
    <t>C:\Temp\CSVTest\CompareAgainstAlternatives\Windows_0256_x_001_Strings_length_1_Ascii_NotRagged.csv</t>
  </si>
  <si>
    <t>C:\Temp\CSVTest\CompareAgainstAlternatives\Windows_0512_x_001_Strings_length_1_Ascii_NotRagged.csv</t>
  </si>
  <si>
    <t>C:\Temp\CSVTest\CompareAgainstAlternatives\Windows_1024_x_001_Strings_length_1_Ascii_NotRagged.csv</t>
  </si>
  <si>
    <t>C:\Temp\CSVTest\CompareAgainstAlternatives\Windows_2048_x_001_Strings_length_1_Ascii_NotRagged.csv</t>
  </si>
  <si>
    <t>C:\Temp\CSVTest\CompareAgainstAlternatives\Windows_4096_x_001_Strings_length_1_Ascii_NotRagged.csv</t>
  </si>
  <si>
    <t>C:\Temp\CSVTest\CompareAgainstAlternatives\Windows_8192_x_001_Strings_length_1_Ascii_NotRagged.csv</t>
  </si>
  <si>
    <t>C:\Temp\CSVTest\CompareAgainstAlternatives\Windows_16384_x_001_Strings_length_1_Ascii_NotRagged.csv</t>
  </si>
  <si>
    <t>C:\Temp\CSVTest\CompareAgainstAlternatives\Windows_32768_x_001_Strings_length_1_Ascii_NotRagged.csv</t>
  </si>
  <si>
    <t>C:\Temp\CSVTest\CompareAgainstAlternatives\Windows_65536_x_001_Strings_length_1_Ascii_NotRagged.csv</t>
  </si>
  <si>
    <t>C:\Temp\CSVTest\CompareAgainstAlternatives\Windows_131072_x_001_Strings_length_1_Ascii_NotRagged.csv</t>
  </si>
  <si>
    <t>C:\Temp\CSVTest\CompareAgainstAlternatives\Windows_262144_x_001_Strings_length_1_Ascii_NotRagged.csv</t>
  </si>
  <si>
    <t>C:\Temp\CSVTest\CompareAgainstAlternatives\Windows_524288_x_001_Strings_length_1_Ascii_NotRagged.csv</t>
  </si>
  <si>
    <t>C:\Temp\CSVTest\CompareAgainstAlternatives\Windows_1048576_x_001_Strings_length_1_Ascii_NotRagged.csv</t>
  </si>
  <si>
    <t>C:\Temp\CSVTest\CompareAgainstAlternatives\Windows_2097152_x_001_Strings_length_1_Ascii_NotRagged.csv</t>
  </si>
  <si>
    <t>One column of 32-char fields.</t>
  </si>
  <si>
    <t>C:\Temp\CSVTest\CompareAgainstAlternatives\Windows_0001_x_001_Strings_length_32_Ascii_NotRagged.csv</t>
  </si>
  <si>
    <t>C:\Temp\CSVTest\CompareAgainstAlternatives\Windows_0002_x_001_Strings_length_32_Ascii_NotRagged.csv</t>
  </si>
  <si>
    <t>C:\Temp\CSVTest\CompareAgainstAlternatives\Windows_0004_x_001_Strings_length_32_Ascii_NotRagged.csv</t>
  </si>
  <si>
    <t>C:\Temp\CSVTest\CompareAgainstAlternatives\Windows_0008_x_001_Strings_length_32_Ascii_NotRagged.csv</t>
  </si>
  <si>
    <t>C:\Temp\CSVTest\CompareAgainstAlternatives\Windows_0016_x_001_Strings_length_32_Ascii_NotRagged.csv</t>
  </si>
  <si>
    <t>C:\Temp\CSVTest\CompareAgainstAlternatives\Windows_0032_x_001_Strings_length_32_Ascii_NotRagged.csv</t>
  </si>
  <si>
    <t>C:\Temp\CSVTest\CompareAgainstAlternatives\Windows_0064_x_001_Strings_length_32_Ascii_NotRagged.csv</t>
  </si>
  <si>
    <t>C:\Temp\CSVTest\CompareAgainstAlternatives\Windows_0128_x_001_Strings_length_32_Ascii_NotRagged.csv</t>
  </si>
  <si>
    <t>C:\Temp\CSVTest\CompareAgainstAlternatives\Windows_0256_x_001_Strings_length_32_Ascii_NotRagged.csv</t>
  </si>
  <si>
    <t>C:\Temp\CSVTest\CompareAgainstAlternatives\Windows_0512_x_001_Strings_length_32_Ascii_NotRagged.csv</t>
  </si>
  <si>
    <t>C:\Temp\CSVTest\CompareAgainstAlternatives\Windows_1024_x_001_Strings_length_32_Ascii_NotRagged.csv</t>
  </si>
  <si>
    <t>C:\Temp\CSVTest\CompareAgainstAlternatives\Windows_2048_x_001_Strings_length_32_Ascii_NotRagged.csv</t>
  </si>
  <si>
    <t>C:\Temp\CSVTest\CompareAgainstAlternatives\Windows_4096_x_001_Strings_length_32_Ascii_NotRagged.csv</t>
  </si>
  <si>
    <t>C:\Temp\CSVTest\CompareAgainstAlternatives\Windows_8192_x_001_Strings_length_32_Ascii_NotRagged.csv</t>
  </si>
  <si>
    <t>C:\Temp\CSVTest\CompareAgainstAlternatives\Windows_16384_x_001_Strings_length_32_Ascii_NotRagged.csv</t>
  </si>
  <si>
    <t>C:\Temp\CSVTest\CompareAgainstAlternatives\Windows_32768_x_001_Strings_length_32_Ascii_NotRagged.csv</t>
  </si>
  <si>
    <t>C:\Temp\CSVTest\CompareAgainstAlternatives\Windows_65536_x_001_Strings_length_32_Ascii_NotRagged.csv</t>
  </si>
  <si>
    <t>C:\Temp\CSVTest\CompareAgainstAlternatives\Windows_131072_x_001_Strings_length_32_Ascii_NotRagged.csv</t>
  </si>
  <si>
    <t>C:\Temp\CSVTest\CompareAgainstAlternatives\Windows_262144_x_001_Strings_length_32_Ascii_NotRagged.csv</t>
  </si>
  <si>
    <t>C:\Temp\CSVTest\CompareAgainstAlternatives\Windows_524288_x_001_Strings_length_32_Ascii_NotRagged.csv</t>
  </si>
  <si>
    <t>C:\Temp\CSVTest\CompareAgainstAlternatives\Windows_1048576_x_001_Strings_length_32_Ascii_NotRagged.csv</t>
  </si>
  <si>
    <t>One column of 20-char fields with embedded breaks.</t>
  </si>
  <si>
    <t>C:\Temp\CSVTest\CompareAgainstAlternatives\Windows_0001_x_001_Strings_length_20_Ascii_NotRagged.csv</t>
  </si>
  <si>
    <t>C:\Temp\CSVTest\CompareAgainstAlternatives\Windows_0002_x_001_Strings_length_20_Ascii_NotRagged.csv</t>
  </si>
  <si>
    <t>C:\Temp\CSVTest\CompareAgainstAlternatives\Windows_0004_x_001_Strings_length_20_Ascii_NotRagged.csv</t>
  </si>
  <si>
    <t>C:\Temp\CSVTest\CompareAgainstAlternatives\Windows_0008_x_001_Strings_length_20_Ascii_NotRagged.csv</t>
  </si>
  <si>
    <t>C:\Temp\CSVTest\CompareAgainstAlternatives\Windows_0016_x_001_Strings_length_20_Ascii_NotRagged.csv</t>
  </si>
  <si>
    <t>C:\Temp\CSVTest\CompareAgainstAlternatives\Windows_0032_x_001_Strings_length_20_Ascii_NotRagged.csv</t>
  </si>
  <si>
    <t>C:\Temp\CSVTest\CompareAgainstAlternatives\Windows_0064_x_001_Strings_length_20_Ascii_NotRagged.csv</t>
  </si>
  <si>
    <t>C:\Temp\CSVTest\CompareAgainstAlternatives\Windows_0128_x_001_Strings_length_20_Ascii_NotRagged.csv</t>
  </si>
  <si>
    <t>C:\Temp\CSVTest\CompareAgainstAlternatives\Windows_0256_x_001_Strings_length_20_Ascii_NotRagged.csv</t>
  </si>
  <si>
    <t>C:\Temp\CSVTest\CompareAgainstAlternatives\Windows_0512_x_001_Strings_length_20_Ascii_NotRagged.csv</t>
  </si>
  <si>
    <t>C:\Temp\CSVTest\CompareAgainstAlternatives\Windows_1024_x_001_Strings_length_20_Ascii_NotRagged.csv</t>
  </si>
  <si>
    <t>C:\Temp\CSVTest\CompareAgainstAlternatives\Windows_2048_x_001_Strings_length_20_Ascii_NotRagged.csv</t>
  </si>
  <si>
    <t>C:\Temp\CSVTest\CompareAgainstAlternatives\Windows_4096_x_001_Strings_length_20_Ascii_NotRagged.csv</t>
  </si>
  <si>
    <t>C:\Temp\CSVTest\CompareAgainstAlternatives\Windows_8192_x_001_Strings_length_20_Ascii_NotRagged.csv</t>
  </si>
  <si>
    <t>C:\Temp\CSVTest\CompareAgainstAlternatives\Windows_16384_x_001_Strings_length_20_Ascii_NotRagged.csv</t>
  </si>
  <si>
    <t>C:\Temp\CSVTest\CompareAgainstAlternatives\Windows_32768_x_001_Strings_length_20_Ascii_NotRagged.csv</t>
  </si>
  <si>
    <t>C:\Temp\CSVTest\CompareAgainstAlternatives\Windows_65536_x_001_Strings_length_20_Ascii_NotRagged.csv</t>
  </si>
  <si>
    <t>C:\Temp\CSVTest\CompareAgainstAlternatives\Windows_131072_x_001_Strings_length_20_Ascii_NotRagged.csv</t>
  </si>
  <si>
    <t>C:\Temp\CSVTest\CompareAgainstAlternatives\Windows_262144_x_001_Strings_length_20_Ascii_NotRagged.csv</t>
  </si>
  <si>
    <t>C:\Temp\CSVTest\CompareAgainstAlternatives\Windows_524288_x_001_Strings_length_20_Ascii_NotRagged.csv</t>
  </si>
  <si>
    <t>C:\Temp\CSVTest\CompareAgainstAlternatives\Windows_1048576_x_001_Strings_length_20_Ascii_NotRagged.csv</t>
  </si>
  <si>
    <t>10 columns of 17-char numeric fields (no quotes).</t>
  </si>
  <si>
    <t>C:\Temp\CSVTest\CompareAgainstAlternatives\Windows_0001_x_010_Doubles_Ascii_NotRagged.csv</t>
  </si>
  <si>
    <t>C:\Temp\CSVTest\CompareAgainstAlternatives\Windows_0002_x_010_Doubles_Ascii_NotRagged.csv</t>
  </si>
  <si>
    <t>C:\Temp\CSVTest\CompareAgainstAlternatives\Windows_0004_x_010_Doubles_Ascii_NotRagged.csv</t>
  </si>
  <si>
    <t>C:\Temp\CSVTest\CompareAgainstAlternatives\Windows_0008_x_010_Doubles_Ascii_NotRagged.csv</t>
  </si>
  <si>
    <t>C:\Temp\CSVTest\CompareAgainstAlternatives\Windows_0016_x_010_Doubles_Ascii_NotRagged.csv</t>
  </si>
  <si>
    <t>C:\Temp\CSVTest\CompareAgainstAlternatives\Windows_0032_x_010_Doubles_Ascii_NotRagged.csv</t>
  </si>
  <si>
    <t>C:\Temp\CSVTest\CompareAgainstAlternatives\Windows_0064_x_010_Doubles_Ascii_NotRagged.csv</t>
  </si>
  <si>
    <t>C:\Temp\CSVTest\CompareAgainstAlternatives\Windows_0128_x_010_Doubles_Ascii_NotRagged.csv</t>
  </si>
  <si>
    <t>C:\Temp\CSVTest\CompareAgainstAlternatives\Windows_0256_x_010_Doubles_Ascii_NotRagged.csv</t>
  </si>
  <si>
    <t>C:\Temp\CSVTest\CompareAgainstAlternatives\Windows_0512_x_010_Doubles_Ascii_NotRagged.csv</t>
  </si>
  <si>
    <t>C:\Temp\CSVTest\CompareAgainstAlternatives\Windows_1024_x_010_Doubles_Ascii_NotRagged.csv</t>
  </si>
  <si>
    <t>C:\Temp\CSVTest\CompareAgainstAlternatives\Windows_2048_x_010_Doubles_Ascii_NotRagged.csv</t>
  </si>
  <si>
    <t>C:\Temp\CSVTest\CompareAgainstAlternatives\Windows_4096_x_010_Doubles_Ascii_NotRagged.csv</t>
  </si>
  <si>
    <t>C:\Temp\CSVTest\CompareAgainstAlternatives\Windows_8192_x_010_Doubles_Ascii_NotRagged.csv</t>
  </si>
  <si>
    <t>C:\Temp\CSVTest\CompareAgainstAlternatives\Windows_16384_x_010_Doubles_Ascii_NotRagged.csv</t>
  </si>
  <si>
    <t>C:\Temp\CSVTest\CompareAgainstAlternatives\Windows_32768_x_010_Doubles_Ascii_NotRagged.csv</t>
  </si>
  <si>
    <t>C:\Temp\CSVTest\CompareAgainstAlternatives\Windows_65536_x_010_Doubles_Ascii_NotRagged.csv</t>
  </si>
  <si>
    <t>C:\Temp\CSVTest\CompareAgainstAlternatives\Windows_131072_x_010_Doubles_Ascii_NotRagged.csv</t>
  </si>
  <si>
    <t>C:\Temp\CSVTest\CompareAgainstAlternatives\Windows_262144_x_010_Doubles_Ascii_NotRagged.csv</t>
  </si>
  <si>
    <t>C:\Temp\CSVTest\CompareAgainstAlternatives\Windows_0008_x_001_Strings_length_16_Ascii_NotRagged.csv</t>
  </si>
  <si>
    <t>C:\Temp\CSVTest\CompareAgainstAlternatives\Windows_0008_x_002_Strings_length_16_Ascii_NotRagged.csv</t>
  </si>
  <si>
    <t>C:\Temp\CSVTest\CompareAgainstAlternatives\Windows_0008_x_004_Strings_length_16_Ascii_NotRagged.csv</t>
  </si>
  <si>
    <t>C:\Temp\CSVTest\CompareAgainstAlternatives\Windows_0008_x_008_Strings_length_16_Ascii_NotRagged.csv</t>
  </si>
  <si>
    <t>C:\Temp\CSVTest\CompareAgainstAlternatives\Windows_0008_x_016_Strings_length_16_Ascii_NotRagged.csv</t>
  </si>
  <si>
    <t>C:\Temp\CSVTest\CompareAgainstAlternatives\Windows_0008_x_032_Strings_length_16_Ascii_NotRagged.csv</t>
  </si>
  <si>
    <t>C:\Temp\CSVTest\CompareAgainstAlternatives\Windows_0008_x_064_Strings_length_16_Ascii_NotRagged.csv</t>
  </si>
  <si>
    <t>C:\Temp\CSVTest\CompareAgainstAlternatives\Windows_0008_x_128_Strings_length_16_Ascii_NotRagged.csv</t>
  </si>
  <si>
    <t>C:\Temp\CSVTest\CompareAgainstAlternatives\Windows_0008_x_256_Strings_length_16_Ascii_NotRagged.csv</t>
  </si>
  <si>
    <t>C:\Temp\CSVTest\CompareAgainstAlternatives\Windows_0008_x_512_Strings_length_16_Ascii_NotRagged.csv</t>
  </si>
  <si>
    <t>C:\Temp\CSVTest\CompareAgainstAlternatives\Windows_0008_x_1024_Strings_length_16_Ascii_NotRagged.csv</t>
  </si>
  <si>
    <t>C:\Temp\CSVTest\CompareAgainstAlternatives\Windows_0008_x_2048_Strings_length_16_Ascii_NotRagged.csv</t>
  </si>
  <si>
    <t>C:\Temp\CSVTest\CompareAgainstAlternatives\Windows_0008_x_4096_Strings_length_16_Ascii_NotRagged.csv</t>
  </si>
  <si>
    <t>C:\Temp\CSVTest\CompareAgainstAlternatives\Windows_0008_x_8192_Strings_length_16_Ascii_NotRagged.csv</t>
  </si>
  <si>
    <t>1024 rows, 8 columns. Fields not quoted.</t>
  </si>
  <si>
    <t>C:\Temp\CSVTest\CompareAgainstAlternatives\Windows_1024_x_008_Strings_length_1_Ascii_NotRagged.csv</t>
  </si>
  <si>
    <t>xx</t>
  </si>
  <si>
    <t>C:\Temp\CSVTest\CompareAgainstAlternatives\Windows_1024_x_008_Strings_length_2_Ascii_NotRagged.csv</t>
  </si>
  <si>
    <t>xxxx</t>
  </si>
  <si>
    <t>C:\Temp\CSVTest\CompareAgainstAlternatives\Windows_1024_x_008_Strings_length_4_Ascii_NotRagged.csv</t>
  </si>
  <si>
    <t>xxxxxxxx</t>
  </si>
  <si>
    <t>C:\Temp\CSVTest\CompareAgainstAlternatives\Windows_1024_x_008_Strings_length_8_Ascii_NotRagged.csv</t>
  </si>
  <si>
    <t>xxxxxxxxxxxxxxxx</t>
  </si>
  <si>
    <t>C:\Temp\CSVTest\CompareAgainstAlternatives\Windows_1024_x_008_Strings_length_16_Ascii_NotRagged.csv</t>
  </si>
  <si>
    <t>xxxxxxxxxxxxxxxxxxxxxxxxxxxxxxxx</t>
  </si>
  <si>
    <t>C:\Temp\CSVTest\CompareAgainstAlternatives\Windows_1024_x_008_Strings_length_32_Ascii_NotRagged.csv</t>
  </si>
  <si>
    <t>xxxxxxxxxxxxxxxxxxxxxxxxxxxxxxxxxxxxxxxxxxxxxxxxxxxxxxxxxxxxxxxx</t>
  </si>
  <si>
    <t>C:\Temp\CSVTest\CompareAgainstAlternatives\Windows_1024_x_008_Strings_length_64_Ascii_NotRagged.csv</t>
  </si>
  <si>
    <t>xxxxxxxxxxxxxxxxxxxxxxxxxxxxxxxxxxxxxxxxxxxxxxxxxxxxxxxxxxxxxxxxxxxxxxxxxxxxxxxxxxxxxxxxxxxxxxxxxxxxxxxxxxxxxxxxxxxxxxxxxxxxxxxx</t>
  </si>
  <si>
    <t>C:\Temp\CSVTest\CompareAgainstAlternatives\Windows_1024_x_008_Strings_length_128_Ascii_NotRagged.csv</t>
  </si>
  <si>
    <t>xxxxxxxxxxxxxxxxxxxxxxxxxxxxxxxxxxxxxxxxxxxxxxxxxxxxxxxxxxxxxxxxxxxxxxxxxxxxxxxxxxxxxxxxxxxxxxxxxxxxxxxxxxxxxxxxxxxxxxxxxxxxxxxxxxxxxxxxxxxxxxxxxxxxxxxxxxxxxxxxxxxxxxxxxxxxxxxxxxxxxxxxxxxxxxxxxxxxxxxxxxxxxxxxxxxxxxxxxxxxxxxxxxxxxxxxxxxxxxxxxxxxxxxxxxxxxxxx</t>
  </si>
  <si>
    <t>C:\Temp\CSVTest\CompareAgainstAlternatives\Windows_1024_x_008_Strings_length_256_Ascii_NotRagged.csv</t>
  </si>
  <si>
    <t>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</t>
  </si>
  <si>
    <t>C:\Temp\CSVTest\CompareAgainstAlternatives\Windows_1024_x_008_Strings_length_512_Ascii_NotRagged.csv</t>
  </si>
  <si>
    <t>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</t>
  </si>
  <si>
    <t>C:\Temp\CSVTest\CompareAgainstAlternatives\Windows_1024_x_008_Strings_length_1024_Ascii_NotRagged.csv</t>
  </si>
  <si>
    <t>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</t>
  </si>
  <si>
    <t>C:\Temp\CSVTest\CompareAgainstAlternatives\Windows_1024_x_008_Strings_length_2048_Ascii_NotRagged.csv</t>
  </si>
  <si>
    <t>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</t>
  </si>
  <si>
    <t>C:\Temp\CSVTest\CompareAgainstAlternatives\Windows_1024_x_008_Strings_length_4096_Ascii_NotRagged.csv</t>
  </si>
  <si>
    <t>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</t>
  </si>
  <si>
    <t>C:\Temp\CSVTest\CompareAgainstAlternatives\Windows_1024_x_008_Strings_length_8192_Ascii_NotRagged.csv</t>
  </si>
  <si>
    <t>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</t>
  </si>
  <si>
    <t>C:\Temp\CSVTest\CompareAgainstAlternatives\Windows_1024_x_008_Strings_length_16384_Ascii_NotRagged.csv</t>
  </si>
  <si>
    <t>1024 rows, 8 columns. Fields quoted.</t>
  </si>
  <si>
    <t>"x"</t>
  </si>
  <si>
    <t>C:\Temp\CSVTest\CompareAgainstAlternatives\Windows_1024_x_008_Strings_length_3_Ascii_NotRagged.csv</t>
  </si>
  <si>
    <t>"xx"</t>
  </si>
  <si>
    <t>"xxxx"</t>
  </si>
  <si>
    <t>C:\Temp\CSVTest\CompareAgainstAlternatives\Windows_1024_x_008_Strings_length_6_Ascii_NotRagged.csv</t>
  </si>
  <si>
    <t>"xxxxxxxx"</t>
  </si>
  <si>
    <t>C:\Temp\CSVTest\CompareAgainstAlternatives\Windows_1024_x_008_Strings_length_10_Ascii_NotRagged.csv</t>
  </si>
  <si>
    <t>"xxxxxxxxxxxxxxxx"</t>
  </si>
  <si>
    <t>C:\Temp\CSVTest\CompareAgainstAlternatives\Windows_1024_x_008_Strings_length_18_Ascii_NotRagged.csv</t>
  </si>
  <si>
    <t>"xxxxxxxxxxxxxxxxxxxxxxxxxxxxxxxx"</t>
  </si>
  <si>
    <t>C:\Temp\CSVTest\CompareAgainstAlternatives\Windows_1024_x_008_Strings_length_34_Ascii_NotRagged.csv</t>
  </si>
  <si>
    <t>"xxxxxxxxxxxxxxxxxxxxxxxxxxxxxxxxxxxxxxxxxxxxxxxxxxxxxxxxxxxxxxxx"</t>
  </si>
  <si>
    <t>C:\Temp\CSVTest\CompareAgainstAlternatives\Windows_1024_x_008_Strings_length_66_Ascii_NotRagged.csv</t>
  </si>
  <si>
    <t>"xxxxxxxxxxxxxxxxxxxxxxxxxxxxxxxxxxxxxxxxxxxxxxxxxxxxxxxxxxxxxxxxxxxxxxxxxxxxxxxxxxxxxxxxxxxxxxxxxxxxxxxxxxxxxxxxxxxxxxxxxxxxxxxx"</t>
  </si>
  <si>
    <t>C:\Temp\CSVTest\CompareAgainstAlternatives\Windows_1024_x_008_Strings_length_130_Ascii_NotRagged.csv</t>
  </si>
  <si>
    <t>"xxxxxxxxxxxxxxxxxxxxxxxxxxxxxxxxxxxxxxxxxxxxxxxxxxxxxxxxxxxxxxxxxxxxxxxxxxxxxxxxxxxxxxxxxxxxxxxxxxxxxxxxxxxxxxxxxxxxxxxxxxxxxxxxxxxxxxxxxxxxxxxxxxxxxxxxxxxxxxxxxxxxxxxxxxxxxxxxxxxxxxxxxxxxxxxxxxxxxxxxxxxxxxxxxxxxxxxxxxxxxxxxxxxxxxxxxxxxxxxxxxxxxxxxxxxxxxxx"</t>
  </si>
  <si>
    <t>C:\Temp\CSVTest\CompareAgainstAlternatives\Windows_1024_x_008_Strings_length_258_Ascii_NotRagged.csv</t>
  </si>
  <si>
    <t>"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"</t>
  </si>
  <si>
    <t>C:\Temp\CSVTest\CompareAgainstAlternatives\Windows_1024_x_008_Strings_length_514_Ascii_NotRagged.csv</t>
  </si>
  <si>
    <t>"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"</t>
  </si>
  <si>
    <t>C:\Temp\CSVTest\CompareAgainstAlternatives\Windows_1024_x_008_Strings_length_1026_Ascii_NotRagged.csv</t>
  </si>
  <si>
    <t>"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"</t>
  </si>
  <si>
    <t>C:\Temp\CSVTest\CompareAgainstAlternatives\Windows_1024_x_008_Strings_length_2050_Ascii_NotRagged.csv</t>
  </si>
  <si>
    <t>"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"</t>
  </si>
  <si>
    <t>C:\Temp\CSVTest\CompareAgainstAlternatives\Windows_1024_x_008_Strings_length_4098_Ascii_NotRagged.csv</t>
  </si>
  <si>
    <t>"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"</t>
  </si>
  <si>
    <t>C:\Temp\CSVTest\CompareAgainstAlternatives\Windows_1024_x_008_Strings_length_8194_Ascii_NotRagged.csv</t>
  </si>
  <si>
    <t>"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"</t>
  </si>
  <si>
    <t>C:\Temp\CSVTest\CompareAgainstAlternatives\Windows_1024_x_008_Strings_length_16386_Ascii_NotRagged.csv</t>
  </si>
  <si>
    <t>Audit</t>
  </si>
  <si>
    <t>TODO</t>
  </si>
  <si>
    <t>Alternatives to test against</t>
  </si>
  <si>
    <t>https://github.com/sdkn104/VBA-CSV</t>
  </si>
  <si>
    <t>Version</t>
  </si>
  <si>
    <t>Date</t>
  </si>
  <si>
    <t>Time</t>
  </si>
  <si>
    <t>Author</t>
  </si>
  <si>
    <t>Comment</t>
  </si>
  <si>
    <t>Write checklist for releases</t>
  </si>
  <si>
    <t>https://github.com/ws-garcia/VBA-CSV-interface</t>
  </si>
  <si>
    <t>Philip Swannell</t>
  </si>
  <si>
    <t>More work on IgnoreRepeated.</t>
  </si>
  <si>
    <t>Added argument IgnoreRepeated.</t>
  </si>
  <si>
    <t>Check out CSV.jl's test suite</t>
  </si>
  <si>
    <t>Reinstated conditional formatting on sheet Demo.</t>
  </si>
  <si>
    <t>Added a bunch of functions to modCSVTestDeps so that we no longer have dependency on SAI for testing.</t>
  </si>
  <si>
    <t>Removed Help sheet - broken out to separate workbook</t>
  </si>
  <si>
    <t>dep on sai has crept back in</t>
  </si>
  <si>
    <t>Help changes</t>
  </si>
  <si>
    <t>Work on Markdown help.</t>
  </si>
  <si>
    <t>Added argument ShowMissingsAs to CSVRead. Simplification of this workbook.</t>
  </si>
  <si>
    <t>Corrections to code comments.</t>
  </si>
  <si>
    <t>Code formatting.</t>
  </si>
  <si>
    <t>Method TimeThreeParsers now has TimeOut argument so that time to execute is averaged over the number of calls required to take (in total) the TimeOut value.</t>
  </si>
  <si>
    <t>Removed reference to SolumAddin.</t>
  </si>
  <si>
    <t>Renamed CSVRead_V3 as CSVRead</t>
  </si>
  <si>
    <t>Removed redundant modules. CSVWrite no longer has Ragged argument.</t>
  </si>
  <si>
    <t>Deleted functions CSVRead_V1 and CSVRead_V2</t>
  </si>
  <si>
    <t>Deleted 2 of the 3 sheets with timing results.</t>
  </si>
  <si>
    <t>Changed method SaveWorkbookAndExportModules to also save a backup to OneDrive.</t>
  </si>
  <si>
    <t>Bug fixes to handling of SkipNumRows etc.</t>
  </si>
  <si>
    <t>Added sheet `TimingResults (3)`</t>
  </si>
  <si>
    <t>CSVRead_V3 now supports SkipToRow and NumRows.</t>
  </si>
  <si>
    <t>CSVRead_V2 now supports SkipToCol and NumCols, not yet SkipToRow and NumRows though.</t>
  </si>
  <si>
    <t>Now have two functions CSVRead_V1 and CSVRead_V2</t>
  </si>
  <si>
    <t>Settled on fastest algo.</t>
  </si>
  <si>
    <t>Addd sheet "TimingResults" and module modCompareAgainstAlternatives.</t>
  </si>
  <si>
    <t>Added code to compare against https://github.com/sdkn104/VBA-CSV</t>
  </si>
  <si>
    <t>Rewrote code to split a string, rather than examining each character in VBA code, use InStr in a while loop to push the character examination down to C code.</t>
  </si>
  <si>
    <t>Code now compiles.</t>
  </si>
  <si>
    <t>Reimported sFileSaveCSV and sFileShow from SolumAddin verison 2199. Code does not yet compile</t>
  </si>
  <si>
    <t>First version. Start with SolumAddin's sFileShow to create CSVParse.</t>
  </si>
  <si>
    <t>ConvertTypes</t>
  </si>
  <si>
    <t>Delimiter</t>
  </si>
  <si>
    <t>IgnoreRepeated</t>
  </si>
  <si>
    <t>SkipToRow</t>
  </si>
  <si>
    <t>SkipToCol</t>
  </si>
  <si>
    <t>NumRows</t>
  </si>
  <si>
    <t>NumCols</t>
  </si>
  <si>
    <t>DecimalSeparator</t>
  </si>
  <si>
    <t>Notes</t>
  </si>
  <si>
    <t/>
  </si>
  <si>
    <t>.</t>
  </si>
  <si>
    <t>CSVRead Delimiter = FALSE</t>
  </si>
  <si>
    <t>,</t>
  </si>
  <si>
    <t xml:space="preserve"> </t>
  </si>
  <si>
    <t>OK</t>
  </si>
  <si>
    <t>Not relevant to us, we don't distinguish between Floats and Ints.</t>
  </si>
  <si>
    <t>Not relevant to us?</t>
  </si>
  <si>
    <t>D/M/Y</t>
  </si>
  <si>
    <t>Not sure what this is supposed to test</t>
  </si>
  <si>
    <t>Colnames have no special meaning in my world</t>
  </si>
  <si>
    <t>I don't support mixed date formats</t>
  </si>
  <si>
    <t>I don't support different leading and trailing quote chars</t>
  </si>
  <si>
    <t>I don't support zipped input</t>
  </si>
  <si>
    <t>I don't support headerrange</t>
  </si>
  <si>
    <t>::</t>
  </si>
  <si>
    <t>Not sure what this is designed to test!</t>
  </si>
  <si>
    <t>I think file has no BOM</t>
  </si>
  <si>
    <t>CSVRead Fails, but then so does Notepad++!</t>
  </si>
  <si>
    <t>Not sure what this is testing? Notepad++ thinks it's a UTF8 file</t>
  </si>
  <si>
    <t>File is tab delimited but with leading and trailing spaces</t>
  </si>
  <si>
    <t>File is UTF8, I don't think OpenAsTextStream handles well.</t>
  </si>
  <si>
    <t>ND</t>
  </si>
  <si>
    <t xml:space="preserve">Got capitalisation of functions CSVRead and CSVWrite called from cells correct. </t>
  </si>
  <si>
    <t>I don't think I should attempt to match this...See https://github.com/JuliaData/CSV.jl/issues/120 where it states "We now strip trailing whitespace by default (on current master)." as that breaks csv standards</t>
  </si>
  <si>
    <t>Folder</t>
  </si>
  <si>
    <t>test_empty_file.csv</t>
  </si>
  <si>
    <t>transposed_emtpy.csv</t>
  </si>
  <si>
    <t>test_one_row_of_data.cscv</t>
  </si>
  <si>
    <t>test_one_row_of_data.csv</t>
  </si>
  <si>
    <t>transposed_1row.csv</t>
  </si>
  <si>
    <t>test_empty_file_newlines.csv</t>
  </si>
  <si>
    <t>test_single_column.csv</t>
  </si>
  <si>
    <t>dash_as_null.csv</t>
  </si>
  <si>
    <t>plus_as_null.csv</t>
  </si>
  <si>
    <t>transposed_noheader.csv</t>
  </si>
  <si>
    <t>comma_decimal.csv</t>
  </si>
  <si>
    <t>transposed_extra_newline.csv</t>
  </si>
  <si>
    <t>test_missing_last_column.csv</t>
  </si>
  <si>
    <t>test_issue_326.wsv</t>
  </si>
  <si>
    <t>test_not_enough_columns.csv</t>
  </si>
  <si>
    <t>test_comments1.csv</t>
  </si>
  <si>
    <t>test_comments_multichar.csv</t>
  </si>
  <si>
    <t>test_correct_trailing_missings.csv</t>
  </si>
  <si>
    <t>test_not_enough_columns2.csv</t>
  </si>
  <si>
    <t>int64_overflow.csv</t>
  </si>
  <si>
    <t>test_tab_null_empty.txt</t>
  </si>
  <si>
    <t>test_basic.csv</t>
  </si>
  <si>
    <t>test_basic_pipe.csv</t>
  </si>
  <si>
    <t>test_mac_line_endings.csv</t>
  </si>
  <si>
    <t>test_newline_line_endings.csv</t>
  </si>
  <si>
    <t>time.csv</t>
  </si>
  <si>
    <t>transposed.csv</t>
  </si>
  <si>
    <t>categorical.csv</t>
  </si>
  <si>
    <t>test_delim.tsv</t>
  </si>
  <si>
    <t>test_delim.wsv</t>
  </si>
  <si>
    <t>test_file_issue_154.csv</t>
  </si>
  <si>
    <t>test_float_in_int_column.csv</t>
  </si>
  <si>
    <t>test_null_only_column.csv</t>
  </si>
  <si>
    <t>test_tab_null_string.txt</t>
  </si>
  <si>
    <t>test_crlf_line_endings.csv</t>
  </si>
  <si>
    <t>test_header_on_row_4.csv</t>
  </si>
  <si>
    <t>test_missing_last_field.csv</t>
  </si>
  <si>
    <t>test_no_header.csv</t>
  </si>
  <si>
    <t>test_dates.csv</t>
  </si>
  <si>
    <t>test_excel_date_formats.csv</t>
  </si>
  <si>
    <t>test_repeated_delimiters.csv</t>
  </si>
  <si>
    <t>test_simple_quoted.csv</t>
  </si>
  <si>
    <t>test_footer_missing.csv</t>
  </si>
  <si>
    <t>test_quoted_delim_and_newline.csv</t>
  </si>
  <si>
    <t>test_missing_value.csv</t>
  </si>
  <si>
    <t>test_truestrings.csv</t>
  </si>
  <si>
    <t>test_floats.csv</t>
  </si>
  <si>
    <t>test_utf8.csv</t>
  </si>
  <si>
    <t>test_windows.csv</t>
  </si>
  <si>
    <t>test_missing_value_NULL.csv</t>
  </si>
  <si>
    <t>test_quoted_numbers.csv</t>
  </si>
  <si>
    <t>test_2_footer_rows.csv</t>
  </si>
  <si>
    <t>test_utf8_with_BOM.csv</t>
  </si>
  <si>
    <t>types_override.csv</t>
  </si>
  <si>
    <t>test_duplicate_columnnames.csv</t>
  </si>
  <si>
    <t>issue_198_part2.csv</t>
  </si>
  <si>
    <t>test_mixed_date_formats.csv</t>
  </si>
  <si>
    <t>test_multiple_missing.csv</t>
  </si>
  <si>
    <t>test_openclosequotes.csv</t>
  </si>
  <si>
    <t>test_basic.csv.gz</t>
  </si>
  <si>
    <t>test_header_range.csv</t>
  </si>
  <si>
    <t>test_string_delimiters.csv</t>
  </si>
  <si>
    <t>bools.csv</t>
  </si>
  <si>
    <t>boolext.csv</t>
  </si>
  <si>
    <t>test_header_int_list.csv</t>
  </si>
  <si>
    <t>test_datetimes.csv</t>
  </si>
  <si>
    <t>test_comment_first_row.csv</t>
  </si>
  <si>
    <t>issue_207.csv</t>
  </si>
  <si>
    <t>test_comments_multiple.csv</t>
  </si>
  <si>
    <t>test_utf16.csv</t>
  </si>
  <si>
    <t>test_utf16_be.csv</t>
  </si>
  <si>
    <t>test_utf16_le.csv</t>
  </si>
  <si>
    <t>test_bad_datetime.csv</t>
  </si>
  <si>
    <t>test_types.csv</t>
  </si>
  <si>
    <t>test_508.csv</t>
  </si>
  <si>
    <t>escaped_pooled.csv</t>
  </si>
  <si>
    <t>issue_198.csv</t>
  </si>
  <si>
    <t>error_comment.txt</t>
  </si>
  <si>
    <t>bug555.txt</t>
  </si>
  <si>
    <t>ampm.csv</t>
  </si>
  <si>
    <t>precompile_small.csv</t>
  </si>
  <si>
    <t>stocks.csv</t>
  </si>
  <si>
    <t>test_repeated_delim_371.csv</t>
  </si>
  <si>
    <t>issue_120.csv</t>
  </si>
  <si>
    <t>census.txt</t>
  </si>
  <si>
    <t>double_quote_quotechar_and_escapechar.csv</t>
  </si>
  <si>
    <t>baseball.csv</t>
  </si>
  <si>
    <t>attenu.csv</t>
  </si>
  <si>
    <t>test_int_sentinel.csv</t>
  </si>
  <si>
    <t>log001_vehicle_status_flags_0.txt</t>
  </si>
  <si>
    <t>csv_segfault.txt</t>
  </si>
  <si>
    <t>TechCrunchcontinentalUSA.csv</t>
  </si>
  <si>
    <t>escape_row_starts.csv</t>
  </si>
  <si>
    <t>Sacramentorealestatetransactions.csv</t>
  </si>
  <si>
    <t>SalesJan2009.csv</t>
  </si>
  <si>
    <t>select.csv</t>
  </si>
  <si>
    <t>latest (1).csv</t>
  </si>
  <si>
    <t>fecal_samples.csv</t>
  </si>
  <si>
    <t>big_types.csv</t>
  </si>
  <si>
    <t>GSM2230757_human1_umifm_counts.csv</t>
  </si>
  <si>
    <t>promotions.csv</t>
  </si>
  <si>
    <t>precompile.csv</t>
  </si>
  <si>
    <t>heat_flux.dat</t>
  </si>
  <si>
    <t>norwegian_data.csv</t>
  </si>
  <si>
    <t>table_test.txt</t>
  </si>
  <si>
    <t>SacramentocrimeJanuary2006.csv</t>
  </si>
  <si>
    <t>randoms.csv.gz</t>
  </si>
  <si>
    <t>FL_insurance_sample.csv</t>
  </si>
  <si>
    <t>Fielding.csv</t>
  </si>
  <si>
    <t>pandas_zeros.csv</t>
  </si>
  <si>
    <t>Too many columns to fit on the sheet, otherwise OK</t>
  </si>
  <si>
    <t>OK, but not really a sensible test for CSVRead as I don't try to determine a type per column, so type promotion doesn't apply</t>
  </si>
  <si>
    <t>I don't handle zipped files</t>
  </si>
  <si>
    <t>N</t>
  </si>
  <si>
    <t>This file does not have footer rows! Instead it has 3 empty rows at the start, which Excel seems to ignore as if SkipToRow = 4</t>
  </si>
  <si>
    <t>option to convert quoted strings to numbers etc.</t>
  </si>
  <si>
    <t>1</t>
  </si>
  <si>
    <t>TRUE</t>
  </si>
  <si>
    <t>abc</t>
  </si>
  <si>
    <t>#DIV/0!</t>
  </si>
  <si>
    <t>NDBE</t>
  </si>
  <si>
    <t>NDBEQ</t>
  </si>
  <si>
    <t>abc"def</t>
  </si>
  <si>
    <t>D</t>
  </si>
  <si>
    <t>B</t>
  </si>
  <si>
    <t>E</t>
  </si>
  <si>
    <t>R</t>
  </si>
  <si>
    <t>NQ</t>
  </si>
  <si>
    <t>DQ</t>
  </si>
  <si>
    <t>BQ</t>
  </si>
  <si>
    <t>EQ</t>
  </si>
  <si>
    <t>Data</t>
  </si>
  <si>
    <t>Testing ConvertTypes argument</t>
  </si>
  <si>
    <t>Call CSVRead with a variety of ConvertTypes arguments</t>
  </si>
  <si>
    <t>String containing quotes</t>
  </si>
  <si>
    <t>Boolean</t>
  </si>
  <si>
    <t>Performance</t>
  </si>
  <si>
    <t>Changes to type conversion code. Now possible to convert quoted strings.</t>
  </si>
  <si>
    <t>Amend readmorefromfile to cope with ignore repeated. Have to ensure last characters of chunk read are not delimiter (I think, would at least be safer bet)</t>
  </si>
  <si>
    <t>Add Comment as argument</t>
  </si>
  <si>
    <t>Cleaner way of testing...</t>
  </si>
  <si>
    <t>cope with delimiters as last characters of line when ignorerepeated is true.</t>
  </si>
  <si>
    <t>New argument "Comment" to CSVRead.</t>
  </si>
  <si>
    <t>#</t>
  </si>
  <si>
    <t>//</t>
  </si>
  <si>
    <t>We do not support transpose</t>
  </si>
  <si>
    <t>test_converttypes_arg.csv</t>
  </si>
  <si>
    <t>C:\Projects\VBA-CSV\testfiles\</t>
  </si>
  <si>
    <t>test_skip_args.csv</t>
  </si>
  <si>
    <t>test_skip_args_with_comments.csv</t>
  </si>
  <si>
    <t>New module modCSVTest</t>
  </si>
  <si>
    <t>Removed modCVSTestAgainstExcel.</t>
  </si>
  <si>
    <t>Tests:</t>
  </si>
  <si>
    <t>Test to test the tests</t>
  </si>
  <si>
    <t>"Triangular" test</t>
  </si>
  <si>
    <t>test strange delimiter</t>
  </si>
  <si>
    <t>test ignore repeated delimiter with delimiter length &gt; 1</t>
  </si>
  <si>
    <t>simplify round trip testing, no longer need to test ragged and make use of sArraysIdentical.</t>
  </si>
  <si>
    <t>test_triangular.csv</t>
  </si>
  <si>
    <t>OK but maybe some of the accented characters not coming through correctly?</t>
  </si>
  <si>
    <t>Test Files</t>
  </si>
  <si>
    <t>{"}</t>
  </si>
  <si>
    <t>test_strange_delimiter.csv</t>
  </si>
  <si>
    <t>test_ignoring_repeated_multicharacter_delimiter.csv</t>
  </si>
  <si>
    <t>Delim</t>
  </si>
  <si>
    <t>RowNo</t>
  </si>
  <si>
    <t>CaseNo</t>
  </si>
  <si>
    <t>More work on tests</t>
  </si>
  <si>
    <t>NumPassed</t>
  </si>
  <si>
    <t>NumFailed</t>
  </si>
  <si>
    <t>File Size</t>
  </si>
  <si>
    <t>Test Failures</t>
  </si>
  <si>
    <t>T option to trim</t>
  </si>
  <si>
    <t>column-by-column type conversion.</t>
  </si>
  <si>
    <t>NT</t>
  </si>
  <si>
    <t>T</t>
  </si>
  <si>
    <t>Now support "T" as a ConvertTypes option.</t>
  </si>
  <si>
    <t>Measure speed of Julia CSV</t>
  </si>
  <si>
    <t>re-do performance tests</t>
  </si>
  <si>
    <t>handle UTF8 with BOM</t>
  </si>
  <si>
    <t>Double-click cell to examine file!</t>
  </si>
  <si>
    <t>Now support UTf8 with BOM</t>
  </si>
  <si>
    <t>Encoding</t>
  </si>
  <si>
    <t>Other resources</t>
  </si>
  <si>
    <t>Python</t>
  </si>
  <si>
    <t>https://docs.python.org/3/library/csv.html</t>
  </si>
  <si>
    <t>Julia</t>
  </si>
  <si>
    <t>https://csv.juliadata.org/stable/</t>
  </si>
  <si>
    <t>https://www.rdocumentation.org/packages/data.table/versions/1.14.0/topics/fread</t>
  </si>
  <si>
    <t>CSVWrite can now write to String.</t>
  </si>
  <si>
    <t>change order of arguments of CSVWrite?</t>
  </si>
  <si>
    <t>CSV write to string</t>
  </si>
  <si>
    <t>CSVRead from URL and string</t>
  </si>
  <si>
    <t>https://raw.githubusercontent.com/plotly/datasets/master/mtcars.csv</t>
  </si>
  <si>
    <t>CSVRead now accepts FileName as URL or a CSV string.</t>
  </si>
  <si>
    <t>UTF-16</t>
  </si>
  <si>
    <t>Functionality I might add:</t>
  </si>
  <si>
    <t>MissingStrings</t>
  </si>
  <si>
    <t>TrueStrings</t>
  </si>
  <si>
    <t>FalseStrings</t>
  </si>
  <si>
    <t>Transpose</t>
  </si>
  <si>
    <t>Column-by-column ConvertTypes</t>
  </si>
  <si>
    <t>DateTime fields</t>
  </si>
  <si>
    <t>Time fields</t>
  </si>
  <si>
    <t>&lt;- very easy</t>
  </si>
  <si>
    <t>D-M-Y</t>
  </si>
  <si>
    <t>test_d-m-y_with_time.csv</t>
  </si>
  <si>
    <t>test_m-d-y_with_time.csv</t>
  </si>
  <si>
    <t>M-D-Y</t>
  </si>
  <si>
    <t>test_y-m-d_with_time.csv</t>
  </si>
  <si>
    <t>Y-M-D</t>
  </si>
  <si>
    <t>Check list for release</t>
  </si>
  <si>
    <t>Tests pass</t>
  </si>
  <si>
    <t>Round trip tests pass</t>
  </si>
  <si>
    <t>MZTools Review code quality</t>
  </si>
  <si>
    <t>No Stop Resume statements left over from debugging</t>
  </si>
  <si>
    <t>Updated ref at top of modules to version numbers</t>
  </si>
  <si>
    <t>Documentation of all fns in all modules</t>
  </si>
  <si>
    <t>Added module modCVSSentinels, but not yet "plugged in".</t>
  </si>
  <si>
    <t>Added arguments TrueStrings, FalseStrings and MissingStrings .</t>
  </si>
  <si>
    <t>8 rows of 16-char fields (no quotes).</t>
  </si>
  <si>
    <t>No line numbers or CStr(Erl) calls in modCSVReadWrite</t>
  </si>
  <si>
    <t>No line numbers in other modules.</t>
  </si>
  <si>
    <t>No links to other workbooks</t>
  </si>
  <si>
    <t>NULL</t>
  </si>
  <si>
    <t>T,TRUE,true</t>
  </si>
  <si>
    <t>F,FALSE,false</t>
  </si>
  <si>
    <t>++</t>
  </si>
  <si>
    <t>NULL,NA,\N</t>
  </si>
  <si>
    <t>-</t>
  </si>
  <si>
    <t>C:\Projects\VBA-CSV\testfiles\test_good_ISO8601.csv</t>
  </si>
  <si>
    <t>C:\Projects\VBA-CSV\testfiles\test_bad_ISO8601.csv</t>
  </si>
  <si>
    <t>test_bad_ISO8601.csv</t>
  </si>
  <si>
    <t>test_good_ISO8601.csv</t>
  </si>
  <si>
    <t>ISO</t>
  </si>
  <si>
    <t>Work on ISOO8601 date recognition</t>
  </si>
  <si>
    <t>Sheet Demo no longer creates a file on disk.</t>
  </si>
  <si>
    <t>Call CSVWrite , but without FileName argument</t>
  </si>
  <si>
    <t>CSVContents</t>
  </si>
  <si>
    <t>2021-08-24T12:49:13</t>
  </si>
  <si>
    <t>Start</t>
  </si>
  <si>
    <t>Time part</t>
  </si>
  <si>
    <t>^</t>
  </si>
  <si>
    <t>Date part</t>
  </si>
  <si>
    <t>End</t>
  </si>
  <si>
    <t>$</t>
  </si>
  <si>
    <t>\.[0-9]+</t>
  </si>
  <si>
    <t>Work on ISOO8601 date recognition.</t>
  </si>
  <si>
    <t>Good Strings</t>
  </si>
  <si>
    <t>Bad Strings</t>
  </si>
  <si>
    <t>Good</t>
  </si>
  <si>
    <t>Bad</t>
  </si>
  <si>
    <t>Added sheet "RegExp".</t>
  </si>
  <si>
    <t>time part and optional fractional second</t>
  </si>
  <si>
    <t>fractional second</t>
  </si>
  <si>
    <t>[0-9][0-9][0-9][0-9]\-[[0-1][0-9]\-[0-3][0-9]</t>
  </si>
  <si>
    <t>T[0-2][0-9]:[0-5][0-9]:[0-5][0-9]</t>
  </si>
  <si>
    <t>M/D/Y</t>
  </si>
  <si>
    <t>NA</t>
  </si>
  <si>
    <t>+</t>
  </si>
  <si>
    <t>Dates are "bad" because microsends, not milliseconds?</t>
  </si>
  <si>
    <t>IgnoreEmptyRows</t>
  </si>
  <si>
    <t>Added more tests.</t>
  </si>
  <si>
    <t>incorrect doc-string "case insensitive"</t>
  </si>
  <si>
    <t>doc of ConvertField does not document ISO8601</t>
  </si>
  <si>
    <t>make all methods private unless must not be</t>
  </si>
  <si>
    <t>improve method TestSentinelSpeed to be more automatic</t>
  </si>
  <si>
    <t>Stop having fns start with s</t>
  </si>
  <si>
    <t>merge in module modCSVISO8601</t>
  </si>
  <si>
    <t>test_empty_lines.csv</t>
  </si>
  <si>
    <t>IgnoreEmptyLines</t>
  </si>
  <si>
    <t>tests - padding, string input, not delimited files</t>
  </si>
  <si>
    <t>(Z|((\+|\-)[0-2][0-9]:[0-5][0-9]))</t>
  </si>
  <si>
    <t>test_padding.csv</t>
  </si>
  <si>
    <t>test_not_delimited.csv</t>
  </si>
  <si>
    <t>a)  Delimiter = FALSE. Shows contents not delimited.</t>
  </si>
  <si>
    <t>b) ConvertTypes = FALSE. All fields returned as strings</t>
  </si>
  <si>
    <t>c) ConvertTypes = TRUE. Fields revert to their original types</t>
  </si>
  <si>
    <t>ISO vs ISOZ  idea</t>
  </si>
  <si>
    <t>Time Zone</t>
  </si>
  <si>
    <t>(Time part and optional fractional second) and timezone</t>
  </si>
  <si>
    <t>The expressions do not necessarily reject strings for which elements are</t>
  </si>
  <si>
    <t>out-of-range e.g. 2021-13-01</t>
  </si>
  <si>
    <t xml:space="preserve">Constructing regular expressions that matches valid ISO8601 strings </t>
  </si>
  <si>
    <t>Regular Expressions</t>
  </si>
  <si>
    <t>Time part and optional fractional second and optional timezone</t>
  </si>
  <si>
    <r>
      <rPr>
        <b/>
        <sz val="9.35"/>
        <color theme="1"/>
        <rFont val="Calibri"/>
        <family val="2"/>
      </rPr>
      <t>rxNoNo</t>
    </r>
    <r>
      <rPr>
        <sz val="11"/>
        <color theme="1"/>
        <rFont val="Calibri"/>
        <family val="2"/>
        <scheme val="minor"/>
      </rPr>
      <t xml:space="preserve"> - accept date, reject datetime</t>
    </r>
  </si>
  <si>
    <r>
      <rPr>
        <b/>
        <sz val="11"/>
        <color theme="1"/>
        <rFont val="Calibri"/>
        <family val="2"/>
      </rPr>
      <t>rxYesNo</t>
    </r>
    <r>
      <rPr>
        <sz val="11"/>
        <color theme="1"/>
        <rFont val="Calibri"/>
        <family val="2"/>
        <scheme val="minor"/>
      </rPr>
      <t xml:space="preserve"> - accept date, accept datetime without time zone, reject datetime with time zone</t>
    </r>
  </si>
  <si>
    <r>
      <rPr>
        <b/>
        <sz val="11"/>
        <color theme="1"/>
        <rFont val="Calibri"/>
        <family val="2"/>
      </rPr>
      <t>rxNoYes</t>
    </r>
    <r>
      <rPr>
        <sz val="11"/>
        <color theme="1"/>
        <rFont val="Calibri"/>
        <family val="2"/>
        <scheme val="minor"/>
      </rPr>
      <t xml:space="preserve"> - accept date, reject datetime without time zone, accept datetime with time zone</t>
    </r>
  </si>
  <si>
    <r>
      <rPr>
        <b/>
        <sz val="11"/>
        <color theme="1"/>
        <rFont val="Calibri"/>
        <family val="2"/>
      </rPr>
      <t>rxYesYes</t>
    </r>
    <r>
      <rPr>
        <sz val="11"/>
        <color theme="1"/>
        <rFont val="Calibri"/>
        <family val="2"/>
        <scheme val="minor"/>
      </rPr>
      <t xml:space="preserve"> - accept date, accept datetime without time zone, accept datetime with time zone</t>
    </r>
  </si>
  <si>
    <t>ISOZ</t>
  </si>
  <si>
    <t>IncludeLargeFiles</t>
  </si>
  <si>
    <t>NumSkipped</t>
  </si>
  <si>
    <t>Now have two possibilities for DateFormat: ISO and ISOZ, the latter handles datetime with timezone.</t>
  </si>
  <si>
    <t>Line
Feed</t>
  </si>
  <si>
    <t>String containing line feed</t>
  </si>
  <si>
    <t>File is UTF8 and accented characters are different from Notepad++'s rendering.</t>
  </si>
  <si>
    <t>Tests lines stating with delimiters when IgnoreRepeated = true, This would be a candidate for column-by-column ConvertTypes</t>
  </si>
  <si>
    <t>File has mac line endings</t>
  </si>
  <si>
    <t>100,000 rows x 50 cols</t>
  </si>
  <si>
    <t>File is UTF-8 BOM, handled correctly.</t>
  </si>
  <si>
    <t>Last Field in file is neither ISO8601 (no T present) nor handled correctly by Y-M-D as Y-M-D does not handle part seconds.</t>
  </si>
  <si>
    <t>Test not really relevant as we don't try to have all elements of a column having the same type.</t>
  </si>
  <si>
    <t>Line 5113 of the file has "escaped row with new lines in it"</t>
  </si>
  <si>
    <t>Not sure what's being tested for on this one</t>
  </si>
  <si>
    <t>Has a datetime field and date field with no date separator - that latter I would have to provide col by col DateFormat</t>
  </si>
  <si>
    <t>This file does not have windows line endings, despite its naem.</t>
  </si>
  <si>
    <t>\N</t>
  </si>
  <si>
    <t>???</t>
  </si>
  <si>
    <t>Test that the 17th column, last but one row comes back as missing.</t>
  </si>
  <si>
    <t>Not really relevant, we are casting all numbers to doubles.</t>
  </si>
  <si>
    <t>36635 x 18</t>
  </si>
  <si>
    <t>Julia file, not used</t>
  </si>
  <si>
    <t>??</t>
  </si>
  <si>
    <t>Test on 32 bit</t>
  </si>
  <si>
    <t>Test with different international settings</t>
  </si>
  <si>
    <t>Got rid of RetainQuotes option for ConvertTypes. ConvertTypes TRUE is now NDB rather than NDBE as previously.</t>
  </si>
  <si>
    <t>Refactoring</t>
  </si>
  <si>
    <t>Can CastToDate be optimised?</t>
  </si>
  <si>
    <t>Enhance GenerateTestCode to create both a case statement and a separate fn.</t>
  </si>
  <si>
    <t>More refactoring.</t>
  </si>
  <si>
    <t>Changes to sheet Demo.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</si>
</sst>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\-mmm\-yyyy"/>
    <numFmt numFmtId="165" formatCode="yyyy\-mm\-dd"/>
    <numFmt numFmtId="166" formatCode="yyyy\-mm\-dd\Thh:mm:ss"/>
    <numFmt numFmtId="167" formatCode="#,##0;[Red]\-#,##0"/>
    <numFmt numFmtId="168" formatCode="hh:mm"/>
  </numFmts>
  <fonts count="18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u/>
      <sz val="11"/>
      <color theme="10"/>
      <name val="Calibri"/>
      <family val="2"/>
      <scheme val="minor"/>
    </font>
    <font>
      <strike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rgb="FFFFFFFF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24994659260841701"/>
      <name val="Calibri"/>
      <family val="2"/>
      <scheme val="minor"/>
    </font>
    <font>
      <b/>
      <sz val="9.35"/>
      <color theme="1"/>
      <name val="Calibri"/>
      <family val="2"/>
    </font>
    <font>
      <b/>
      <sz val="11"/>
      <color theme="1"/>
      <name val="Calibri"/>
      <family val="2"/>
    </font>
    <font>
      <sz val="11"/>
      <color rgb="FF0070C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theme="5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indexed="64"/>
      </top>
      <bottom style="thin">
        <color theme="0" tint="-0.14993743705557422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91">
    <xf numFmtId="0" fontId="0" fillId="0" borderId="0" xfId="0"/>
    <xf numFmtId="0" fontId="3" fillId="0" borderId="0" xfId="0" quotePrefix="1" applyFont="1" applyAlignment="1">
      <alignment horizontal="left"/>
    </xf>
    <xf numFmtId="0" fontId="4" fillId="0" borderId="0" xfId="0" quotePrefix="1" applyFont="1" applyAlignment="1">
      <alignment horizontal="left"/>
    </xf>
    <xf numFmtId="0" fontId="4" fillId="0" borderId="0" xfId="0" applyFont="1"/>
    <xf numFmtId="0" fontId="0" fillId="2" borderId="0" xfId="0" quotePrefix="1" applyFill="1" applyAlignment="1">
      <alignment horizontal="left"/>
    </xf>
    <xf numFmtId="0" fontId="5" fillId="0" borderId="0" xfId="0" applyFont="1" applyAlignment="1" applyProtection="1">
      <alignment horizontal="left"/>
      <protection locked="0"/>
    </xf>
    <xf numFmtId="0" fontId="0" fillId="3" borderId="0" xfId="0" applyFill="1"/>
    <xf numFmtId="0" fontId="5" fillId="0" borderId="0" xfId="0" quotePrefix="1" applyFont="1" applyAlignment="1" applyProtection="1">
      <alignment horizontal="left"/>
      <protection locked="0"/>
    </xf>
    <xf numFmtId="0" fontId="4" fillId="4" borderId="0" xfId="0" quotePrefix="1" applyFont="1" applyFill="1" applyAlignment="1">
      <alignment horizontal="left"/>
    </xf>
    <xf numFmtId="0" fontId="0" fillId="5" borderId="0" xfId="0" applyFill="1"/>
    <xf numFmtId="0" fontId="0" fillId="6" borderId="0" xfId="0" applyFill="1"/>
    <xf numFmtId="0" fontId="0" fillId="0" borderId="1" xfId="0" applyBorder="1"/>
    <xf numFmtId="0" fontId="0" fillId="0" borderId="1" xfId="0" quotePrefix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0" xfId="0" applyFont="1"/>
    <xf numFmtId="38" fontId="0" fillId="0" borderId="0" xfId="0" applyNumberFormat="1"/>
    <xf numFmtId="0" fontId="0" fillId="0" borderId="0" xfId="0" applyAlignment="1">
      <alignment vertical="center"/>
    </xf>
    <xf numFmtId="0" fontId="0" fillId="0" borderId="0" xfId="0" quotePrefix="1" applyAlignment="1">
      <alignment horizontal="left" vertical="center" wrapText="1"/>
    </xf>
    <xf numFmtId="40" fontId="0" fillId="0" borderId="0" xfId="0" applyNumberFormat="1"/>
    <xf numFmtId="0" fontId="0" fillId="0" borderId="0" xfId="0" quotePrefix="1" applyAlignment="1">
      <alignment horizontal="left"/>
    </xf>
    <xf numFmtId="38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0" borderId="0" xfId="0" applyFont="1"/>
    <xf numFmtId="0" fontId="7" fillId="0" borderId="0" xfId="0" applyFont="1"/>
    <xf numFmtId="0" fontId="6" fillId="0" borderId="0" xfId="1"/>
    <xf numFmtId="0" fontId="0" fillId="0" borderId="2" xfId="0" applyBorder="1" applyAlignment="1">
      <alignment horizontal="center" vertical="center"/>
    </xf>
    <xf numFmtId="164" fontId="0" fillId="0" borderId="3" xfId="0" applyNumberForma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 wrapText="1"/>
    </xf>
    <xf numFmtId="164" fontId="8" fillId="7" borderId="6" xfId="0" applyNumberFormat="1" applyFont="1" applyFill="1" applyBorder="1" applyAlignment="1">
      <alignment horizontal="left" vertical="center"/>
    </xf>
    <xf numFmtId="0" fontId="8" fillId="7" borderId="6" xfId="0" applyFont="1" applyFill="1" applyBorder="1" applyAlignment="1">
      <alignment horizontal="left" vertical="center"/>
    </xf>
    <xf numFmtId="0" fontId="8" fillId="7" borderId="7" xfId="0" applyFont="1" applyFill="1" applyBorder="1" applyAlignment="1">
      <alignment horizontal="left" vertical="center" wrapText="1"/>
    </xf>
    <xf numFmtId="0" fontId="8" fillId="7" borderId="7" xfId="0" quotePrefix="1" applyFont="1" applyFill="1" applyBorder="1" applyAlignment="1">
      <alignment horizontal="left" vertical="center" wrapText="1"/>
    </xf>
    <xf numFmtId="38" fontId="8" fillId="7" borderId="8" xfId="0" applyNumberFormat="1" applyFont="1" applyFill="1" applyBorder="1" applyAlignment="1">
      <alignment horizontal="center" vertical="center"/>
    </xf>
    <xf numFmtId="164" fontId="8" fillId="7" borderId="9" xfId="0" applyNumberFormat="1" applyFont="1" applyFill="1" applyBorder="1" applyAlignment="1">
      <alignment horizontal="left" vertical="center"/>
    </xf>
    <xf numFmtId="0" fontId="8" fillId="7" borderId="9" xfId="0" applyFont="1" applyFill="1" applyBorder="1" applyAlignment="1">
      <alignment horizontal="left" vertical="center"/>
    </xf>
    <xf numFmtId="0" fontId="8" fillId="7" borderId="10" xfId="0" quotePrefix="1" applyFont="1" applyFill="1" applyBorder="1" applyAlignment="1">
      <alignment horizontal="left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quotePrefix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11" xfId="0" applyBorder="1" applyAlignment="1">
      <alignment horizontal="left" vertical="center"/>
    </xf>
    <xf numFmtId="0" fontId="0" fillId="0" borderId="11" xfId="0" applyBorder="1" applyAlignment="1">
      <alignment horizontal="center" vertical="center"/>
    </xf>
    <xf numFmtId="0" fontId="0" fillId="0" borderId="11" xfId="0" quotePrefix="1" applyBorder="1" applyAlignment="1">
      <alignment horizontal="center" vertical="center"/>
    </xf>
    <xf numFmtId="0" fontId="0" fillId="0" borderId="13" xfId="0" quotePrefix="1" applyBorder="1" applyAlignment="1">
      <alignment horizontal="left" vertical="center"/>
    </xf>
    <xf numFmtId="38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13" xfId="0" applyBorder="1" applyAlignment="1">
      <alignment horizontal="left" vertical="center"/>
    </xf>
    <xf numFmtId="0" fontId="8" fillId="0" borderId="13" xfId="0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applyFont="1"/>
    <xf numFmtId="0" fontId="11" fillId="8" borderId="14" xfId="0" applyFont="1" applyFill="1" applyBorder="1" applyAlignment="1">
      <alignment horizontal="center" vertical="center" textRotation="90"/>
    </xf>
    <xf numFmtId="0" fontId="11" fillId="8" borderId="14" xfId="0" applyFont="1" applyFill="1" applyBorder="1" applyAlignment="1">
      <alignment horizontal="left" vertical="center" textRotation="90"/>
    </xf>
    <xf numFmtId="0" fontId="11" fillId="8" borderId="15" xfId="0" applyFont="1" applyFill="1" applyBorder="1" applyAlignment="1">
      <alignment horizontal="center" vertical="center" textRotation="90"/>
    </xf>
    <xf numFmtId="0" fontId="0" fillId="0" borderId="0" xfId="0" applyNumberFormat="1"/>
    <xf numFmtId="0" fontId="0" fillId="0" borderId="1" xfId="0" applyNumberFormat="1" applyBorder="1" applyAlignment="1">
      <alignment horizontal="left"/>
    </xf>
    <xf numFmtId="0" fontId="12" fillId="0" borderId="0" xfId="0" quotePrefix="1" applyFont="1" applyAlignment="1">
      <alignment horizontal="left"/>
    </xf>
    <xf numFmtId="0" fontId="6" fillId="0" borderId="0" xfId="1" quotePrefix="1" applyAlignment="1">
      <alignment horizontal="left"/>
    </xf>
    <xf numFmtId="0" fontId="7" fillId="0" borderId="0" xfId="0" quotePrefix="1" applyFont="1" applyAlignment="1">
      <alignment horizontal="left"/>
    </xf>
    <xf numFmtId="0" fontId="0" fillId="0" borderId="1" xfId="0" quotePrefix="1" applyBorder="1" applyAlignment="1">
      <alignment horizontal="left" vertical="center"/>
    </xf>
    <xf numFmtId="38" fontId="0" fillId="0" borderId="1" xfId="0" applyNumberFormat="1" applyBorder="1" applyAlignment="1">
      <alignment horizontal="center" vertical="center"/>
    </xf>
    <xf numFmtId="38" fontId="0" fillId="0" borderId="11" xfId="0" applyNumberFormat="1" applyBorder="1" applyAlignment="1">
      <alignment horizontal="center" vertical="center"/>
    </xf>
    <xf numFmtId="0" fontId="5" fillId="0" borderId="0" xfId="0" quotePrefix="1" applyFont="1" applyProtection="1">
      <protection locked="0"/>
    </xf>
    <xf numFmtId="166" fontId="0" fillId="0" borderId="0" xfId="0" applyNumberFormat="1"/>
    <xf numFmtId="38" fontId="8" fillId="7" borderId="5" xfId="0" applyNumberFormat="1" applyFont="1" applyFill="1" applyBorder="1" applyAlignment="1">
      <alignment horizontal="center" vertical="center"/>
    </xf>
    <xf numFmtId="0" fontId="5" fillId="0" borderId="0" xfId="0" applyFont="1" applyProtection="1">
      <protection locked="0"/>
    </xf>
    <xf numFmtId="38" fontId="14" fillId="0" borderId="1" xfId="0" applyNumberFormat="1" applyFont="1" applyBorder="1" applyAlignment="1">
      <alignment horizontal="center" vertical="center"/>
    </xf>
    <xf numFmtId="38" fontId="14" fillId="0" borderId="1" xfId="0" applyNumberFormat="1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quotePrefix="1" applyFont="1" applyAlignment="1">
      <alignment horizontal="left"/>
    </xf>
    <xf numFmtId="0" fontId="0" fillId="0" borderId="0" xfId="0" quotePrefix="1" applyFont="1"/>
    <xf numFmtId="0" fontId="0" fillId="0" borderId="0" xfId="0" quotePrefix="1" applyAlignment="1">
      <alignment horizontal="right"/>
    </xf>
    <xf numFmtId="167" fontId="8" fillId="7" borderId="5" xfId="0" applyNumberFormat="1" applyFont="1" applyFill="1" applyBorder="1" applyAlignment="1">
      <alignment horizontal="center" vertical="center"/>
    </xf>
    <xf numFmtId="168" fontId="0" fillId="0" borderId="3" xfId="0" applyNumberFormat="1" applyBorder="1" applyAlignment="1">
      <alignment horizontal="left" vertical="center"/>
    </xf>
    <xf numFmtId="168" fontId="8" fillId="7" borderId="6" xfId="0" applyNumberFormat="1" applyFont="1" applyFill="1" applyBorder="1" applyAlignment="1">
      <alignment horizontal="left" vertical="center"/>
    </xf>
    <xf numFmtId="168" fontId="8" fillId="7" borderId="9" xfId="0" applyNumberFormat="1" applyFont="1" applyFill="1" applyBorder="1" applyAlignment="1">
      <alignment horizontal="left" vertical="center"/>
    </xf>
    <xf numFmtId="0" fontId="0" fillId="0" borderId="1" xfId="0" applyBorder="1" applyAlignment="1">
      <alignment horizontal="center" wrapText="1"/>
    </xf>
    <xf numFmtId="165" fontId="0" fillId="0" borderId="1" xfId="0" applyNumberFormat="1" applyBorder="1" applyAlignment="1">
      <alignment horizontal="center" vertical="center"/>
    </xf>
    <xf numFmtId="0" fontId="0" fillId="9" borderId="0" xfId="0" applyFill="1"/>
    <xf numFmtId="0" fontId="0" fillId="0" borderId="1" xfId="0" applyNumberFormat="1" applyBorder="1" applyAlignment="1">
      <alignment horizontal="center" wrapText="1"/>
    </xf>
    <xf numFmtId="166" fontId="0" fillId="0" borderId="1" xfId="0" applyNumberFormat="1" applyBorder="1" applyAlignment="1">
      <alignment horizontal="center" wrapText="1"/>
    </xf>
    <xf numFmtId="0" fontId="0" fillId="0" borderId="0" xfId="0" applyAlignment="1">
      <alignment horizontal="center" wrapText="1"/>
    </xf>
    <xf numFmtId="0" fontId="2" fillId="0" borderId="1" xfId="0" applyFont="1" applyBorder="1" applyAlignment="1">
      <alignment horizontal="center"/>
    </xf>
    <xf numFmtId="0" fontId="2" fillId="0" borderId="1" xfId="0" quotePrefix="1" applyFont="1" applyBorder="1" applyAlignment="1">
      <alignment horizontal="center"/>
    </xf>
    <xf numFmtId="0" fontId="0" fillId="9" borderId="0" xfId="0" quotePrefix="1" applyFill="1" applyAlignment="1">
      <alignment horizontal="left"/>
    </xf>
    <xf numFmtId="0" fontId="0" fillId="4" borderId="0" xfId="0" quotePrefix="1" applyFont="1" applyFill="1" applyAlignment="1">
      <alignment horizontal="left"/>
    </xf>
    <xf numFmtId="0" fontId="0" fillId="0" borderId="12" xfId="0" quotePrefix="1" applyBorder="1" applyAlignment="1">
      <alignment horizontal="left" vertical="center"/>
    </xf>
    <xf numFmtId="0" fontId="17" fillId="0" borderId="0" xfId="0" applyFont="1"/>
    <xf numFmtId="0" fontId="0" fillId="0" borderId="1" xfId="0" applyNumberFormat="1" applyBorder="1" applyAlignment="1"/>
  </cellXfs>
  <cellStyles count="2">
    <cellStyle name="Hyperlink" xfId="1" builtinId="8"/>
    <cellStyle name="Normal" xfId="0" builtinId="0"/>
  </cellStyles>
  <dxfs count="207"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alignment horizontal="left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/>
        <top style="thin">
          <color theme="0" tint="-0.24994659260841701"/>
        </top>
        <bottom style="thin">
          <color theme="0" tint="-0.24994659260841701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numFmt numFmtId="6" formatCode="#,##0_);[Red]\(#,##0\)"/>
      <alignment horizontal="center" vertical="center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 tint="-0.24994659260841701"/>
        <name val="Calibri"/>
        <family val="2"/>
        <scheme val="minor"/>
      </font>
      <numFmt numFmtId="6" formatCode="#,##0_);[Red]\(#,##0\)"/>
      <alignment horizontal="center" vertical="center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alignment horizontal="center" vertical="center" textRotation="0" wrapText="0" indent="0" justifyLastLine="0" shrinkToFit="0" readingOrder="0"/>
    </dxf>
    <dxf>
      <font>
        <b/>
        <color rgb="FFFFFFFF"/>
      </font>
      <fill>
        <patternFill patternType="solid">
          <fgColor indexed="64"/>
          <bgColor rgb="FF0066CC"/>
        </patternFill>
      </fill>
      <alignment horizontal="center" vertical="center" textRotation="9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ont>
        <strike val="0"/>
        <color rgb="FF00B050"/>
      </font>
    </dxf>
    <dxf>
      <font>
        <color rgb="FFFF0000"/>
      </font>
    </dxf>
    <dxf>
      <font>
        <strike val="0"/>
        <color rgb="FF00B05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Performance!$K$31</c:f>
          <c:strCache>
            <c:ptCount val="1"/>
            <c:pt idx="0">
              <c:v>One column of 32-char fields.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Performance!$E$32</c:f>
              <c:strCache>
                <c:ptCount val="1"/>
                <c:pt idx="0">
                  <c:v>CSVRead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Performance!$C$33:$C$53</c:f>
              <c:numCache>
                <c:formatCode>#,##0_);[Red]\(#,##0\)</c:formatCode>
                <c:ptCount val="2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</c:numCache>
            </c:numRef>
          </c:xVal>
          <c:yVal>
            <c:numRef>
              <c:f>Performance!$E$33:$E$53</c:f>
              <c:numCache>
                <c:formatCode>General</c:formatCode>
                <c:ptCount val="21"/>
                <c:pt idx="0">
                  <c:v>1.34479874129294E-4</c:v>
                </c:pt>
                <c:pt idx="1">
                  <c:v>1.4183739645978871E-4</c:v>
                </c:pt>
                <c:pt idx="2">
                  <c:v>1.494449249805769E-4</c:v>
                </c:pt>
                <c:pt idx="3">
                  <c:v>1.6171222509704975E-4</c:v>
                </c:pt>
                <c:pt idx="4">
                  <c:v>2.0189477913267227E-4</c:v>
                </c:pt>
                <c:pt idx="5">
                  <c:v>2.413951385536163E-4</c:v>
                </c:pt>
                <c:pt idx="6">
                  <c:v>3.5599028905026244E-4</c:v>
                </c:pt>
                <c:pt idx="7">
                  <c:v>5.4607597466429841E-4</c:v>
                </c:pt>
                <c:pt idx="8">
                  <c:v>1.0993258298530621E-3</c:v>
                </c:pt>
                <c:pt idx="9">
                  <c:v>1.7651133074481529E-3</c:v>
                </c:pt>
                <c:pt idx="10">
                  <c:v>3.6095994227991839E-3</c:v>
                </c:pt>
                <c:pt idx="11">
                  <c:v>6.6196644179904573E-3</c:v>
                </c:pt>
                <c:pt idx="12">
                  <c:v>1.2783892346941666E-2</c:v>
                </c:pt>
                <c:pt idx="13">
                  <c:v>2.7055212432438764E-2</c:v>
                </c:pt>
                <c:pt idx="14">
                  <c:v>5.6172302222229416E-2</c:v>
                </c:pt>
                <c:pt idx="15">
                  <c:v>0.1080429361702161</c:v>
                </c:pt>
                <c:pt idx="16">
                  <c:v>0.21789429999997714</c:v>
                </c:pt>
                <c:pt idx="17">
                  <c:v>0.42822090833336307</c:v>
                </c:pt>
                <c:pt idx="18">
                  <c:v>0.86779139999998733</c:v>
                </c:pt>
                <c:pt idx="19">
                  <c:v>1.7959464333331805</c:v>
                </c:pt>
                <c:pt idx="20">
                  <c:v>3.582008549999955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82-4F3D-B2F3-656DDDF7C727}"/>
            </c:ext>
          </c:extLst>
        </c:ser>
        <c:ser>
          <c:idx val="1"/>
          <c:order val="1"/>
          <c:tx>
            <c:strRef>
              <c:f>Performance!$F$32</c:f>
              <c:strCache>
                <c:ptCount val="1"/>
                <c:pt idx="0">
                  <c:v>CSVRead_sdkn104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Performance!$C$33:$C$53</c:f>
              <c:numCache>
                <c:formatCode>#,##0_);[Red]\(#,##0\)</c:formatCode>
                <c:ptCount val="2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</c:numCache>
            </c:numRef>
          </c:xVal>
          <c:yVal>
            <c:numRef>
              <c:f>Performance!$F$33:$F$53</c:f>
              <c:numCache>
                <c:formatCode>General</c:formatCode>
                <c:ptCount val="21"/>
                <c:pt idx="0">
                  <c:v>1.3239526293493193E-4</c:v>
                </c:pt>
                <c:pt idx="1">
                  <c:v>1.3560162991890296E-4</c:v>
                </c:pt>
                <c:pt idx="2">
                  <c:v>1.4331502479289084E-4</c:v>
                </c:pt>
                <c:pt idx="3">
                  <c:v>1.619906761265919E-4</c:v>
                </c:pt>
                <c:pt idx="4">
                  <c:v>1.8643100298283477E-4</c:v>
                </c:pt>
                <c:pt idx="5">
                  <c:v>2.3752324355138786E-4</c:v>
                </c:pt>
                <c:pt idx="6">
                  <c:v>3.2940519138286811E-4</c:v>
                </c:pt>
                <c:pt idx="7">
                  <c:v>5.2124734702384029E-4</c:v>
                </c:pt>
                <c:pt idx="8">
                  <c:v>8.9574706198481649E-4</c:v>
                </c:pt>
                <c:pt idx="9">
                  <c:v>1.6841131020543982E-3</c:v>
                </c:pt>
                <c:pt idx="10">
                  <c:v>3.3403356045416653E-3</c:v>
                </c:pt>
                <c:pt idx="11">
                  <c:v>6.4426679536677776E-3</c:v>
                </c:pt>
                <c:pt idx="12">
                  <c:v>1.2523153749998527E-2</c:v>
                </c:pt>
                <c:pt idx="13">
                  <c:v>2.6463665079361855E-2</c:v>
                </c:pt>
                <c:pt idx="14">
                  <c:v>5.0571818181821861E-2</c:v>
                </c:pt>
                <c:pt idx="15">
                  <c:v>0.10883963404256142</c:v>
                </c:pt>
                <c:pt idx="16">
                  <c:v>0.20836787500002174</c:v>
                </c:pt>
                <c:pt idx="17">
                  <c:v>0.41175323076920622</c:v>
                </c:pt>
                <c:pt idx="18">
                  <c:v>0.8477728499998799</c:v>
                </c:pt>
                <c:pt idx="19">
                  <c:v>1.8226661000001816</c:v>
                </c:pt>
                <c:pt idx="20">
                  <c:v>3.4363585999999486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82-4F3D-B2F3-656DDDF7C727}"/>
            </c:ext>
          </c:extLst>
        </c:ser>
        <c:ser>
          <c:idx val="2"/>
          <c:order val="2"/>
          <c:tx>
            <c:strRef>
              <c:f>Performance!$G$32</c:f>
              <c:strCache>
                <c:ptCount val="1"/>
                <c:pt idx="0">
                  <c:v>CSVRead_ws_garcia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Performance!$C$33:$C$53</c:f>
              <c:numCache>
                <c:formatCode>#,##0_);[Red]\(#,##0\)</c:formatCode>
                <c:ptCount val="2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</c:numCache>
            </c:numRef>
          </c:xVal>
          <c:yVal>
            <c:numRef>
              <c:f>Performance!$G$33:$G$53</c:f>
              <c:numCache>
                <c:formatCode>General</c:formatCode>
                <c:ptCount val="21"/>
                <c:pt idx="0">
                  <c:v>2.0403903304768351E-3</c:v>
                </c:pt>
                <c:pt idx="1">
                  <c:v>2.0671608515911172E-3</c:v>
                </c:pt>
                <c:pt idx="2">
                  <c:v>2.0889627401837886E-3</c:v>
                </c:pt>
                <c:pt idx="3">
                  <c:v>2.1437495499359743E-3</c:v>
                </c:pt>
                <c:pt idx="4">
                  <c:v>2.1701710069442649E-3</c:v>
                </c:pt>
                <c:pt idx="5">
                  <c:v>2.2608000904157507E-3</c:v>
                </c:pt>
                <c:pt idx="6">
                  <c:v>2.4749920336468671E-3</c:v>
                </c:pt>
                <c:pt idx="7">
                  <c:v>2.8558099942885542E-3</c:v>
                </c:pt>
                <c:pt idx="8">
                  <c:v>3.6949522895118789E-3</c:v>
                </c:pt>
                <c:pt idx="9">
                  <c:v>5.2559193277317692E-3</c:v>
                </c:pt>
                <c:pt idx="10">
                  <c:v>8.641772711571901E-3</c:v>
                </c:pt>
                <c:pt idx="11">
                  <c:v>1.5512091950461162E-2</c:v>
                </c:pt>
                <c:pt idx="12">
                  <c:v>3.0566157926819514E-2</c:v>
                </c:pt>
                <c:pt idx="13">
                  <c:v>5.0198493000007144E-2</c:v>
                </c:pt>
                <c:pt idx="14">
                  <c:v>9.6531917307682027E-2</c:v>
                </c:pt>
                <c:pt idx="15">
                  <c:v>0.18798502962959496</c:v>
                </c:pt>
                <c:pt idx="16">
                  <c:v>0.3881295384615861</c:v>
                </c:pt>
                <c:pt idx="17">
                  <c:v>0.75083692857151618</c:v>
                </c:pt>
                <c:pt idx="18">
                  <c:v>1.5137419750003573</c:v>
                </c:pt>
                <c:pt idx="19">
                  <c:v>2.8933888500005196</c:v>
                </c:pt>
                <c:pt idx="20">
                  <c:v>5.8959924000009778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582-4F3D-B2F3-656DDDF7C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563711"/>
        <c:axId val="380565791"/>
      </c:scatterChart>
      <c:valAx>
        <c:axId val="380563711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Num Rows.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_);[Red]\(#,##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565791"/>
        <c:crosses val="autoZero"/>
        <c:crossBetween val="midCat"/>
      </c:valAx>
      <c:valAx>
        <c:axId val="38056579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Seconds to read.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5637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Performance!$K$58</c:f>
          <c:strCache>
            <c:ptCount val="1"/>
            <c:pt idx="0">
              <c:v>One column of 20-char fields with embedded breaks.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Performance!$E$59</c:f>
              <c:strCache>
                <c:ptCount val="1"/>
                <c:pt idx="0">
                  <c:v>CSVRead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Performance!$C$60:$C$80</c:f>
              <c:numCache>
                <c:formatCode>#,##0_);[Red]\(#,##0\)</c:formatCode>
                <c:ptCount val="2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</c:numCache>
            </c:numRef>
          </c:xVal>
          <c:yVal>
            <c:numRef>
              <c:f>Performance!$E$60:$E$80</c:f>
              <c:numCache>
                <c:formatCode>General</c:formatCode>
                <c:ptCount val="21"/>
                <c:pt idx="0">
                  <c:v>1.3567349812775112E-4</c:v>
                </c:pt>
                <c:pt idx="1">
                  <c:v>1.3225410638238616E-4</c:v>
                </c:pt>
                <c:pt idx="2">
                  <c:v>1.3949159157486467E-4</c:v>
                </c:pt>
                <c:pt idx="3">
                  <c:v>1.7221753117033228E-4</c:v>
                </c:pt>
                <c:pt idx="4">
                  <c:v>1.8136480467190202E-4</c:v>
                </c:pt>
                <c:pt idx="5">
                  <c:v>2.1690347041472587E-4</c:v>
                </c:pt>
                <c:pt idx="6">
                  <c:v>3.0753628759459334E-4</c:v>
                </c:pt>
                <c:pt idx="7">
                  <c:v>4.7192518168947672E-4</c:v>
                </c:pt>
                <c:pt idx="8">
                  <c:v>8.5133971739877223E-4</c:v>
                </c:pt>
                <c:pt idx="9">
                  <c:v>1.5580145794395484E-3</c:v>
                </c:pt>
                <c:pt idx="10">
                  <c:v>2.9377303760288248E-3</c:v>
                </c:pt>
                <c:pt idx="11">
                  <c:v>6.0274114457833233E-3</c:v>
                </c:pt>
                <c:pt idx="12">
                  <c:v>1.1897668408548568E-2</c:v>
                </c:pt>
                <c:pt idx="13">
                  <c:v>2.4520391219514905E-2</c:v>
                </c:pt>
                <c:pt idx="14">
                  <c:v>4.9144540196079216E-2</c:v>
                </c:pt>
                <c:pt idx="15">
                  <c:v>9.8250663461525473E-2</c:v>
                </c:pt>
                <c:pt idx="16">
                  <c:v>0.18622684444441498</c:v>
                </c:pt>
                <c:pt idx="17">
                  <c:v>0.37313579285702353</c:v>
                </c:pt>
                <c:pt idx="18">
                  <c:v>0.75582249999985962</c:v>
                </c:pt>
                <c:pt idx="19">
                  <c:v>1.4738968249998834</c:v>
                </c:pt>
                <c:pt idx="20">
                  <c:v>3.044153599999845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6A-4931-B7F9-DA9AF54D33A1}"/>
            </c:ext>
          </c:extLst>
        </c:ser>
        <c:ser>
          <c:idx val="1"/>
          <c:order val="1"/>
          <c:tx>
            <c:strRef>
              <c:f>Performance!$F$59</c:f>
              <c:strCache>
                <c:ptCount val="1"/>
                <c:pt idx="0">
                  <c:v>CSVRead_sdkn104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Performance!$C$60:$C$80</c:f>
              <c:numCache>
                <c:formatCode>#,##0_);[Red]\(#,##0\)</c:formatCode>
                <c:ptCount val="2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</c:numCache>
            </c:numRef>
          </c:xVal>
          <c:yVal>
            <c:numRef>
              <c:f>Performance!$F$60:$F$80</c:f>
              <c:numCache>
                <c:formatCode>General</c:formatCode>
                <c:ptCount val="21"/>
                <c:pt idx="0">
                  <c:v>1.3170781813871631E-4</c:v>
                </c:pt>
                <c:pt idx="1">
                  <c:v>1.3077067608213924E-4</c:v>
                </c:pt>
                <c:pt idx="2">
                  <c:v>1.3916558768685533E-4</c:v>
                </c:pt>
                <c:pt idx="3">
                  <c:v>1.9038297985759768E-4</c:v>
                </c:pt>
                <c:pt idx="4">
                  <c:v>1.8695294447563797E-4</c:v>
                </c:pt>
                <c:pt idx="5">
                  <c:v>2.4684732424956412E-4</c:v>
                </c:pt>
                <c:pt idx="6">
                  <c:v>3.5893744885506535E-4</c:v>
                </c:pt>
                <c:pt idx="7">
                  <c:v>6.4075115325486686E-4</c:v>
                </c:pt>
                <c:pt idx="8">
                  <c:v>1.0669829528483189E-3</c:v>
                </c:pt>
                <c:pt idx="9">
                  <c:v>2.0273659910822733E-3</c:v>
                </c:pt>
                <c:pt idx="10">
                  <c:v>3.9924034317649817E-3</c:v>
                </c:pt>
                <c:pt idx="11">
                  <c:v>7.977871451356134E-3</c:v>
                </c:pt>
                <c:pt idx="12">
                  <c:v>1.7183045205481355E-2</c:v>
                </c:pt>
                <c:pt idx="13">
                  <c:v>3.929657265625508E-2</c:v>
                </c:pt>
                <c:pt idx="14">
                  <c:v>6.6956312000014201E-2</c:v>
                </c:pt>
                <c:pt idx="15">
                  <c:v>0.12941028205130303</c:v>
                </c:pt>
                <c:pt idx="16">
                  <c:v>0.24686819523811296</c:v>
                </c:pt>
                <c:pt idx="17">
                  <c:v>0.51129760999992868</c:v>
                </c:pt>
                <c:pt idx="18">
                  <c:v>1.0205561999999191</c:v>
                </c:pt>
                <c:pt idx="19">
                  <c:v>1.9751824999996945</c:v>
                </c:pt>
                <c:pt idx="20">
                  <c:v>4.3303928499999529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A6A-4931-B7F9-DA9AF54D33A1}"/>
            </c:ext>
          </c:extLst>
        </c:ser>
        <c:ser>
          <c:idx val="2"/>
          <c:order val="2"/>
          <c:tx>
            <c:strRef>
              <c:f>Performance!$G$59</c:f>
              <c:strCache>
                <c:ptCount val="1"/>
                <c:pt idx="0">
                  <c:v>CSVRead_ws_garcia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Performance!$C$60:$C$80</c:f>
              <c:numCache>
                <c:formatCode>#,##0_);[Red]\(#,##0\)</c:formatCode>
                <c:ptCount val="2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</c:numCache>
            </c:numRef>
          </c:xVal>
          <c:yVal>
            <c:numRef>
              <c:f>Performance!$G$60:$G$80</c:f>
              <c:numCache>
                <c:formatCode>General</c:formatCode>
                <c:ptCount val="21"/>
                <c:pt idx="0">
                  <c:v>2.1205321882948533E-3</c:v>
                </c:pt>
                <c:pt idx="1">
                  <c:v>2.1399235772357511E-3</c:v>
                </c:pt>
                <c:pt idx="2">
                  <c:v>2.2125548230090002E-3</c:v>
                </c:pt>
                <c:pt idx="3">
                  <c:v>2.4365383341457764E-3</c:v>
                </c:pt>
                <c:pt idx="4">
                  <c:v>2.7876381270908641E-3</c:v>
                </c:pt>
                <c:pt idx="5">
                  <c:v>3.4859562369333442E-3</c:v>
                </c:pt>
                <c:pt idx="6">
                  <c:v>4.9010044074429392E-3</c:v>
                </c:pt>
                <c:pt idx="7">
                  <c:v>7.7835065318822318E-3</c:v>
                </c:pt>
                <c:pt idx="8">
                  <c:v>1.3360757866665759E-2</c:v>
                </c:pt>
                <c:pt idx="9">
                  <c:v>2.465726600984915E-2</c:v>
                </c:pt>
                <c:pt idx="10">
                  <c:v>4.7666095238084724E-2</c:v>
                </c:pt>
                <c:pt idx="11">
                  <c:v>9.0674260714260005E-2</c:v>
                </c:pt>
                <c:pt idx="12">
                  <c:v>0.17943677857140625</c:v>
                </c:pt>
                <c:pt idx="13">
                  <c:v>0.36980856428570924</c:v>
                </c:pt>
                <c:pt idx="14">
                  <c:v>0.68389747499986697</c:v>
                </c:pt>
                <c:pt idx="15">
                  <c:v>1.3799760750002861</c:v>
                </c:pt>
                <c:pt idx="16">
                  <c:v>2.6827184499998111</c:v>
                </c:pt>
                <c:pt idx="17">
                  <c:v>5.3784223999991809</c:v>
                </c:pt>
                <c:pt idx="18">
                  <c:v>10.586581199999273</c:v>
                </c:pt>
                <c:pt idx="19">
                  <c:v>21.460097799999858</c:v>
                </c:pt>
                <c:pt idx="20">
                  <c:v>45.975075800000923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A6A-4931-B7F9-DA9AF54D33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2126815"/>
        <c:axId val="912119743"/>
      </c:scatterChart>
      <c:valAx>
        <c:axId val="912126815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Num Rows.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_);[Red]\(#,##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119743"/>
        <c:crosses val="autoZero"/>
        <c:crossBetween val="midCat"/>
      </c:valAx>
      <c:valAx>
        <c:axId val="912119743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Seconds to read.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1268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Performance!$K$85</c:f>
          <c:strCache>
            <c:ptCount val="1"/>
            <c:pt idx="0">
              <c:v>10 columns of 17-char numeric fields (no quotes).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Performance!$E$86</c:f>
              <c:strCache>
                <c:ptCount val="1"/>
                <c:pt idx="0">
                  <c:v>CSVRead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Performance!$C$87:$C$105</c:f>
              <c:numCache>
                <c:formatCode>#,##0_);[Red]\(#,##0\)</c:formatCode>
                <c:ptCount val="19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</c:numCache>
            </c:numRef>
          </c:xVal>
          <c:yVal>
            <c:numRef>
              <c:f>Performance!$E$87:$E$105</c:f>
              <c:numCache>
                <c:formatCode>General</c:formatCode>
                <c:ptCount val="19"/>
                <c:pt idx="0">
                  <c:v>1.4908748285526142E-4</c:v>
                </c:pt>
                <c:pt idx="1">
                  <c:v>1.716066101520495E-4</c:v>
                </c:pt>
                <c:pt idx="2">
                  <c:v>2.1159209936095759E-4</c:v>
                </c:pt>
                <c:pt idx="3">
                  <c:v>2.9114004891115486E-4</c:v>
                </c:pt>
                <c:pt idx="4">
                  <c:v>4.4315184791271126E-4</c:v>
                </c:pt>
                <c:pt idx="5">
                  <c:v>7.8184856160086165E-4</c:v>
                </c:pt>
                <c:pt idx="6">
                  <c:v>1.3699836712326593E-3</c:v>
                </c:pt>
                <c:pt idx="7">
                  <c:v>2.7140311448727548E-3</c:v>
                </c:pt>
                <c:pt idx="8">
                  <c:v>5.4469502178651008E-3</c:v>
                </c:pt>
                <c:pt idx="9">
                  <c:v>1.16097552204179E-2</c:v>
                </c:pt>
                <c:pt idx="10">
                  <c:v>2.3379114953271388E-2</c:v>
                </c:pt>
                <c:pt idx="11">
                  <c:v>4.2608741525435694E-2</c:v>
                </c:pt>
                <c:pt idx="12">
                  <c:v>8.7385989655182322E-2</c:v>
                </c:pt>
                <c:pt idx="13">
                  <c:v>0.19905589999997084</c:v>
                </c:pt>
                <c:pt idx="14">
                  <c:v>0.36150306428563844</c:v>
                </c:pt>
                <c:pt idx="15">
                  <c:v>0.75963551428581666</c:v>
                </c:pt>
                <c:pt idx="16">
                  <c:v>1.456787175000045</c:v>
                </c:pt>
                <c:pt idx="17">
                  <c:v>2.9693039999992834</c:v>
                </c:pt>
                <c:pt idx="18">
                  <c:v>6.0965317000009236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22-4083-9799-8D30999E016E}"/>
            </c:ext>
          </c:extLst>
        </c:ser>
        <c:ser>
          <c:idx val="1"/>
          <c:order val="1"/>
          <c:tx>
            <c:strRef>
              <c:f>Performance!$F$86</c:f>
              <c:strCache>
                <c:ptCount val="1"/>
                <c:pt idx="0">
                  <c:v>CSVRead_sdkn104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Performance!$C$87:$C$105</c:f>
              <c:numCache>
                <c:formatCode>#,##0_);[Red]\(#,##0\)</c:formatCode>
                <c:ptCount val="19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</c:numCache>
            </c:numRef>
          </c:xVal>
          <c:yVal>
            <c:numRef>
              <c:f>Performance!$F$87:$F$105</c:f>
              <c:numCache>
                <c:formatCode>General</c:formatCode>
                <c:ptCount val="19"/>
                <c:pt idx="0">
                  <c:v>1.4728784906324128E-4</c:v>
                </c:pt>
                <c:pt idx="1">
                  <c:v>1.7214758478225641E-4</c:v>
                </c:pt>
                <c:pt idx="2">
                  <c:v>2.0275161185675589E-4</c:v>
                </c:pt>
                <c:pt idx="3">
                  <c:v>2.8029233701441937E-4</c:v>
                </c:pt>
                <c:pt idx="4">
                  <c:v>4.447645258851006E-4</c:v>
                </c:pt>
                <c:pt idx="5">
                  <c:v>7.591890980869091E-4</c:v>
                </c:pt>
                <c:pt idx="6">
                  <c:v>1.3565876831253055E-3</c:v>
                </c:pt>
                <c:pt idx="7">
                  <c:v>2.7553950413222424E-3</c:v>
                </c:pt>
                <c:pt idx="8">
                  <c:v>5.3792437634402508E-3</c:v>
                </c:pt>
                <c:pt idx="9">
                  <c:v>1.0368268737058567E-2</c:v>
                </c:pt>
                <c:pt idx="10">
                  <c:v>2.1248462711864088E-2</c:v>
                </c:pt>
                <c:pt idx="11">
                  <c:v>4.1864097499986506E-2</c:v>
                </c:pt>
                <c:pt idx="12">
                  <c:v>9.0400624999996834E-2</c:v>
                </c:pt>
                <c:pt idx="13">
                  <c:v>0.17310248620686189</c:v>
                </c:pt>
                <c:pt idx="14">
                  <c:v>0.3449957066666684</c:v>
                </c:pt>
                <c:pt idx="15">
                  <c:v>0.70787203750001026</c:v>
                </c:pt>
                <c:pt idx="16">
                  <c:v>1.4634674750000158</c:v>
                </c:pt>
                <c:pt idx="17">
                  <c:v>2.8707864999996673</c:v>
                </c:pt>
                <c:pt idx="18">
                  <c:v>6.1190550000010262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22-4083-9799-8D30999E016E}"/>
            </c:ext>
          </c:extLst>
        </c:ser>
        <c:ser>
          <c:idx val="2"/>
          <c:order val="2"/>
          <c:tx>
            <c:strRef>
              <c:f>Performance!$G$86</c:f>
              <c:strCache>
                <c:ptCount val="1"/>
                <c:pt idx="0">
                  <c:v>CSVRead_ws_garcia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Performance!$C$87:$C$105</c:f>
              <c:numCache>
                <c:formatCode>#,##0_);[Red]\(#,##0\)</c:formatCode>
                <c:ptCount val="19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</c:numCache>
            </c:numRef>
          </c:xVal>
          <c:yVal>
            <c:numRef>
              <c:f>Performance!$G$87:$G$105</c:f>
              <c:numCache>
                <c:formatCode>General</c:formatCode>
                <c:ptCount val="19"/>
                <c:pt idx="0">
                  <c:v>2.2751768425840783E-3</c:v>
                </c:pt>
                <c:pt idx="1">
                  <c:v>2.1500276870164048E-3</c:v>
                </c:pt>
                <c:pt idx="2">
                  <c:v>2.2272576391978893E-3</c:v>
                </c:pt>
                <c:pt idx="3">
                  <c:v>2.3697644549761144E-3</c:v>
                </c:pt>
                <c:pt idx="4">
                  <c:v>2.6333427066884884E-3</c:v>
                </c:pt>
                <c:pt idx="5">
                  <c:v>3.3135860172295488E-3</c:v>
                </c:pt>
                <c:pt idx="6">
                  <c:v>4.5541735883411448E-3</c:v>
                </c:pt>
                <c:pt idx="7">
                  <c:v>7.027487780901078E-3</c:v>
                </c:pt>
                <c:pt idx="8">
                  <c:v>1.2420081141438461E-2</c:v>
                </c:pt>
                <c:pt idx="9">
                  <c:v>2.3272099999997218E-2</c:v>
                </c:pt>
                <c:pt idx="10">
                  <c:v>4.2885149572658779E-2</c:v>
                </c:pt>
                <c:pt idx="11">
                  <c:v>7.7602578461525046E-2</c:v>
                </c:pt>
                <c:pt idx="12">
                  <c:v>0.15297396666667765</c:v>
                </c:pt>
                <c:pt idx="13">
                  <c:v>0.30184307058816023</c:v>
                </c:pt>
                <c:pt idx="14">
                  <c:v>0.63830669999993006</c:v>
                </c:pt>
                <c:pt idx="15">
                  <c:v>1.281009350000204</c:v>
                </c:pt>
                <c:pt idx="16">
                  <c:v>2.3865486666666889</c:v>
                </c:pt>
                <c:pt idx="17">
                  <c:v>5.1312687000008737</c:v>
                </c:pt>
                <c:pt idx="18">
                  <c:v>10.362777500000448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922-4083-9799-8D30999E01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2125151"/>
        <c:axId val="912114335"/>
      </c:scatterChart>
      <c:valAx>
        <c:axId val="912125151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Num Rows.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_);[Red]\(#,##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114335"/>
        <c:crosses val="autoZero"/>
        <c:crossBetween val="midCat"/>
      </c:valAx>
      <c:valAx>
        <c:axId val="912114335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Seconds to read.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1251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Performance!$K$112</c:f>
          <c:strCache>
            <c:ptCount val="1"/>
            <c:pt idx="0">
              <c:v>8 rows of 16-char fields (no quotes).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Performance!$E$113</c:f>
              <c:strCache>
                <c:ptCount val="1"/>
                <c:pt idx="0">
                  <c:v>CSVRead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Performance!$D$114:$D$127</c:f>
              <c:numCache>
                <c:formatCode>#,##0_);[Red]\(#,##0\)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</c:numCache>
            </c:numRef>
          </c:xVal>
          <c:yVal>
            <c:numRef>
              <c:f>Performance!$E$114:$E$127</c:f>
              <c:numCache>
                <c:formatCode>General</c:formatCode>
                <c:ptCount val="14"/>
                <c:pt idx="0">
                  <c:v>1.4573020022734889E-4</c:v>
                </c:pt>
                <c:pt idx="1">
                  <c:v>1.6701056147505055E-4</c:v>
                </c:pt>
                <c:pt idx="2">
                  <c:v>1.9822696241673961E-4</c:v>
                </c:pt>
                <c:pt idx="3">
                  <c:v>3.7782687018287974E-4</c:v>
                </c:pt>
                <c:pt idx="4">
                  <c:v>3.9033631537868836E-4</c:v>
                </c:pt>
                <c:pt idx="5">
                  <c:v>6.8188388108559456E-4</c:v>
                </c:pt>
                <c:pt idx="6">
                  <c:v>1.1489073759190995E-3</c:v>
                </c:pt>
                <c:pt idx="7">
                  <c:v>2.1573956859359399E-3</c:v>
                </c:pt>
                <c:pt idx="8">
                  <c:v>4.3243195332763025E-3</c:v>
                </c:pt>
                <c:pt idx="9">
                  <c:v>8.0859657512127037E-3</c:v>
                </c:pt>
                <c:pt idx="10">
                  <c:v>1.674072976588847E-2</c:v>
                </c:pt>
                <c:pt idx="11">
                  <c:v>3.3222623178806206E-2</c:v>
                </c:pt>
                <c:pt idx="12">
                  <c:v>6.6979869333323824E-2</c:v>
                </c:pt>
                <c:pt idx="13">
                  <c:v>0.13736128648648643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D0-488C-8CC0-4EEB4AA462BF}"/>
            </c:ext>
          </c:extLst>
        </c:ser>
        <c:ser>
          <c:idx val="1"/>
          <c:order val="1"/>
          <c:tx>
            <c:strRef>
              <c:f>Performance!$F$113</c:f>
              <c:strCache>
                <c:ptCount val="1"/>
                <c:pt idx="0">
                  <c:v>CSVRead_sdkn104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Performance!$D$114:$D$127</c:f>
              <c:numCache>
                <c:formatCode>#,##0_);[Red]\(#,##0\)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</c:numCache>
            </c:numRef>
          </c:xVal>
          <c:yVal>
            <c:numRef>
              <c:f>Performance!$F$114:$F$127</c:f>
              <c:numCache>
                <c:formatCode>General</c:formatCode>
                <c:ptCount val="14"/>
                <c:pt idx="0">
                  <c:v>1.4187597820846661E-4</c:v>
                </c:pt>
                <c:pt idx="1">
                  <c:v>1.6037493665198115E-4</c:v>
                </c:pt>
                <c:pt idx="2">
                  <c:v>1.8787608777333709E-4</c:v>
                </c:pt>
                <c:pt idx="3">
                  <c:v>3.1016623658581329E-4</c:v>
                </c:pt>
                <c:pt idx="4">
                  <c:v>3.8011823019610977E-4</c:v>
                </c:pt>
                <c:pt idx="5">
                  <c:v>6.378927924481526E-4</c:v>
                </c:pt>
                <c:pt idx="6">
                  <c:v>1.1395088195079361E-3</c:v>
                </c:pt>
                <c:pt idx="7">
                  <c:v>2.1160725042304361E-3</c:v>
                </c:pt>
                <c:pt idx="8">
                  <c:v>4.1303000825769435E-3</c:v>
                </c:pt>
                <c:pt idx="9">
                  <c:v>7.8943682965301135E-3</c:v>
                </c:pt>
                <c:pt idx="10">
                  <c:v>1.5669506562500147E-2</c:v>
                </c:pt>
                <c:pt idx="11">
                  <c:v>3.1313824999995174E-2</c:v>
                </c:pt>
                <c:pt idx="12">
                  <c:v>6.7954608108118777E-2</c:v>
                </c:pt>
                <c:pt idx="13">
                  <c:v>0.13063880512821086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D0-488C-8CC0-4EEB4AA462BF}"/>
            </c:ext>
          </c:extLst>
        </c:ser>
        <c:ser>
          <c:idx val="2"/>
          <c:order val="2"/>
          <c:tx>
            <c:strRef>
              <c:f>Performance!$G$113</c:f>
              <c:strCache>
                <c:ptCount val="1"/>
                <c:pt idx="0">
                  <c:v>CSVRead_ws_garcia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Performance!$D$114:$D$127</c:f>
              <c:numCache>
                <c:formatCode>#,##0_);[Red]\(#,##0\)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</c:numCache>
            </c:numRef>
          </c:xVal>
          <c:yVal>
            <c:numRef>
              <c:f>Performance!$G$114:$G$127</c:f>
              <c:numCache>
                <c:formatCode>General</c:formatCode>
                <c:ptCount val="14"/>
                <c:pt idx="0">
                  <c:v>2.0586885137915192E-3</c:v>
                </c:pt>
                <c:pt idx="1">
                  <c:v>2.0618650721652811E-3</c:v>
                </c:pt>
                <c:pt idx="2">
                  <c:v>2.066795289256559E-3</c:v>
                </c:pt>
                <c:pt idx="3">
                  <c:v>2.2343689901694439E-3</c:v>
                </c:pt>
                <c:pt idx="4">
                  <c:v>2.6368918292046118E-3</c:v>
                </c:pt>
                <c:pt idx="5">
                  <c:v>3.7947398330796587E-3</c:v>
                </c:pt>
                <c:pt idx="6">
                  <c:v>7.9031323854674759E-3</c:v>
                </c:pt>
                <c:pt idx="7">
                  <c:v>2.2487971748875266E-2</c:v>
                </c:pt>
                <c:pt idx="8">
                  <c:v>7.9334281249998639E-2</c:v>
                </c:pt>
                <c:pt idx="9">
                  <c:v>0.29469721176471519</c:v>
                </c:pt>
                <c:pt idx="10">
                  <c:v>1.0933015000002342</c:v>
                </c:pt>
                <c:pt idx="11">
                  <c:v>4.0480279499997778</c:v>
                </c:pt>
                <c:pt idx="12">
                  <c:v>16.529796200000419</c:v>
                </c:pt>
                <c:pt idx="13">
                  <c:v>63.28988599999866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AD0-488C-8CC0-4EEB4AA46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2140959"/>
        <c:axId val="912142207"/>
      </c:scatterChart>
      <c:valAx>
        <c:axId val="912140959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Num Cols.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_);[Red]\(#,##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142207"/>
        <c:crosses val="autoZero"/>
        <c:crossBetween val="midCat"/>
      </c:valAx>
      <c:valAx>
        <c:axId val="912142207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Seconds to read.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1409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Performance!$K$139</c:f>
          <c:strCache>
            <c:ptCount val="1"/>
            <c:pt idx="0">
              <c:v>1024 rows, 8 columns. Fields not quoted.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Performance!$E$140</c:f>
              <c:strCache>
                <c:ptCount val="1"/>
                <c:pt idx="0">
                  <c:v>CSVRead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Performance!$A$141:$A$155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</c:numCache>
            </c:numRef>
          </c:xVal>
          <c:yVal>
            <c:numRef>
              <c:f>Performance!$E$141:$E$155</c:f>
              <c:numCache>
                <c:formatCode>General</c:formatCode>
                <c:ptCount val="15"/>
                <c:pt idx="0">
                  <c:v>9.1886755963293473E-3</c:v>
                </c:pt>
                <c:pt idx="1">
                  <c:v>1.0247036809816678E-2</c:v>
                </c:pt>
                <c:pt idx="2">
                  <c:v>1.1837764622639026E-2</c:v>
                </c:pt>
                <c:pt idx="3">
                  <c:v>1.2954919430052107E-2</c:v>
                </c:pt>
                <c:pt idx="4">
                  <c:v>1.6040917891371988E-2</c:v>
                </c:pt>
                <c:pt idx="5">
                  <c:v>2.4064823076925607E-2</c:v>
                </c:pt>
                <c:pt idx="6">
                  <c:v>3.909713643410806E-2</c:v>
                </c:pt>
                <c:pt idx="7">
                  <c:v>6.8527932876711259E-2</c:v>
                </c:pt>
                <c:pt idx="8">
                  <c:v>0.12943471538463386</c:v>
                </c:pt>
                <c:pt idx="9">
                  <c:v>0.25547054999997271</c:v>
                </c:pt>
                <c:pt idx="10">
                  <c:v>0.51128527999990181</c:v>
                </c:pt>
                <c:pt idx="11">
                  <c:v>0.98530250000021624</c:v>
                </c:pt>
                <c:pt idx="12">
                  <c:v>1.9293865666671384</c:v>
                </c:pt>
                <c:pt idx="13">
                  <c:v>4.2776761000004626</c:v>
                </c:pt>
                <c:pt idx="14">
                  <c:v>8.4546872999999323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E2-4B94-925A-4169BCE10509}"/>
            </c:ext>
          </c:extLst>
        </c:ser>
        <c:ser>
          <c:idx val="1"/>
          <c:order val="1"/>
          <c:tx>
            <c:strRef>
              <c:f>Performance!$F$140</c:f>
              <c:strCache>
                <c:ptCount val="1"/>
                <c:pt idx="0">
                  <c:v>CSVRead_sdkn104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Performance!$A$141:$A$155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</c:numCache>
            </c:numRef>
          </c:xVal>
          <c:yVal>
            <c:numRef>
              <c:f>Performance!$F$141:$F$155</c:f>
              <c:numCache>
                <c:formatCode>General</c:formatCode>
                <c:ptCount val="15"/>
                <c:pt idx="0">
                  <c:v>1.0550611603374884E-2</c:v>
                </c:pt>
                <c:pt idx="1">
                  <c:v>9.7153322330113152E-3</c:v>
                </c:pt>
                <c:pt idx="2">
                  <c:v>1.1505235402297727E-2</c:v>
                </c:pt>
                <c:pt idx="3">
                  <c:v>1.2973464766841004E-2</c:v>
                </c:pt>
                <c:pt idx="4">
                  <c:v>1.5989127476039141E-2</c:v>
                </c:pt>
                <c:pt idx="5">
                  <c:v>2.3891418095237375E-2</c:v>
                </c:pt>
                <c:pt idx="6">
                  <c:v>3.7652818045119475E-2</c:v>
                </c:pt>
                <c:pt idx="7">
                  <c:v>6.7095161333345463E-2</c:v>
                </c:pt>
                <c:pt idx="8">
                  <c:v>0.12067578333331073</c:v>
                </c:pt>
                <c:pt idx="9">
                  <c:v>0.22876205454543774</c:v>
                </c:pt>
                <c:pt idx="10">
                  <c:v>0.44841162500006249</c:v>
                </c:pt>
                <c:pt idx="11">
                  <c:v>0.8878271166668128</c:v>
                </c:pt>
                <c:pt idx="12">
                  <c:v>1.7982287000001331</c:v>
                </c:pt>
                <c:pt idx="13">
                  <c:v>3.7155519500001901</c:v>
                </c:pt>
                <c:pt idx="14">
                  <c:v>7.8420533999997133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7E2-4B94-925A-4169BCE10509}"/>
            </c:ext>
          </c:extLst>
        </c:ser>
        <c:ser>
          <c:idx val="2"/>
          <c:order val="2"/>
          <c:tx>
            <c:strRef>
              <c:f>Performance!$G$140</c:f>
              <c:strCache>
                <c:ptCount val="1"/>
                <c:pt idx="0">
                  <c:v>CSVRead_ws_garcia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Performance!$A$141:$A$155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</c:numCache>
            </c:numRef>
          </c:xVal>
          <c:yVal>
            <c:numRef>
              <c:f>Performance!$G$141:$G$155</c:f>
              <c:numCache>
                <c:formatCode>General</c:formatCode>
                <c:ptCount val="15"/>
                <c:pt idx="0">
                  <c:v>3.1076334782607452E-2</c:v>
                </c:pt>
                <c:pt idx="1">
                  <c:v>2.8119816292131505E-2</c:v>
                </c:pt>
                <c:pt idx="2">
                  <c:v>2.9976407784423047E-2</c:v>
                </c:pt>
                <c:pt idx="3">
                  <c:v>2.9248878362570969E-2</c:v>
                </c:pt>
                <c:pt idx="4">
                  <c:v>3.1679584177220048E-2</c:v>
                </c:pt>
                <c:pt idx="5">
                  <c:v>3.214446217949584E-2</c:v>
                </c:pt>
                <c:pt idx="6">
                  <c:v>3.328897152317685E-2</c:v>
                </c:pt>
                <c:pt idx="7">
                  <c:v>4.1202611475410614E-2</c:v>
                </c:pt>
                <c:pt idx="8">
                  <c:v>4.8883220388357518E-2</c:v>
                </c:pt>
                <c:pt idx="9">
                  <c:v>8.2865080327866936E-2</c:v>
                </c:pt>
                <c:pt idx="10">
                  <c:v>0.19417215769233456</c:v>
                </c:pt>
                <c:pt idx="11">
                  <c:v>0.58207654444453916</c:v>
                </c:pt>
                <c:pt idx="12">
                  <c:v>2.159546833333176</c:v>
                </c:pt>
                <c:pt idx="13">
                  <c:v>9.0872770999994827</c:v>
                </c:pt>
                <c:pt idx="14">
                  <c:v>53.35228669999924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7E2-4B94-925A-4169BCE105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2117247"/>
        <c:axId val="912115583"/>
      </c:scatterChart>
      <c:valAx>
        <c:axId val="912117247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Field Length.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115583"/>
        <c:crosses val="autoZero"/>
        <c:crossBetween val="midCat"/>
      </c:valAx>
      <c:valAx>
        <c:axId val="912115583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Seconds to read.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117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Performance!$K$166</c:f>
          <c:strCache>
            <c:ptCount val="1"/>
            <c:pt idx="0">
              <c:v>1024 rows, 8 columns. Fields quoted.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Performance!$E$167</c:f>
              <c:strCache>
                <c:ptCount val="1"/>
                <c:pt idx="0">
                  <c:v>CSVRead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Performance!$A$168:$A$182</c:f>
              <c:numCache>
                <c:formatCode>General</c:formatCode>
                <c:ptCount val="15"/>
                <c:pt idx="0">
                  <c:v>3</c:v>
                </c:pt>
                <c:pt idx="1">
                  <c:v>4</c:v>
                </c:pt>
                <c:pt idx="2">
                  <c:v>6</c:v>
                </c:pt>
                <c:pt idx="3">
                  <c:v>10</c:v>
                </c:pt>
                <c:pt idx="4">
                  <c:v>18</c:v>
                </c:pt>
                <c:pt idx="5">
                  <c:v>34</c:v>
                </c:pt>
                <c:pt idx="6">
                  <c:v>66</c:v>
                </c:pt>
                <c:pt idx="7">
                  <c:v>130</c:v>
                </c:pt>
                <c:pt idx="8">
                  <c:v>258</c:v>
                </c:pt>
                <c:pt idx="9">
                  <c:v>514</c:v>
                </c:pt>
                <c:pt idx="10">
                  <c:v>1026</c:v>
                </c:pt>
                <c:pt idx="11">
                  <c:v>2050</c:v>
                </c:pt>
                <c:pt idx="12">
                  <c:v>4098</c:v>
                </c:pt>
                <c:pt idx="13">
                  <c:v>8194</c:v>
                </c:pt>
                <c:pt idx="14">
                  <c:v>16386</c:v>
                </c:pt>
              </c:numCache>
            </c:numRef>
          </c:xVal>
          <c:yVal>
            <c:numRef>
              <c:f>Performance!$E$168:$E$182</c:f>
              <c:numCache>
                <c:formatCode>General</c:formatCode>
                <c:ptCount val="15"/>
                <c:pt idx="0">
                  <c:v>1.2717566497462593E-2</c:v>
                </c:pt>
                <c:pt idx="1">
                  <c:v>1.3023545572915888E-2</c:v>
                </c:pt>
                <c:pt idx="2">
                  <c:v>1.4103126197179836E-2</c:v>
                </c:pt>
                <c:pt idx="3">
                  <c:v>1.6223575404533324E-2</c:v>
                </c:pt>
                <c:pt idx="4">
                  <c:v>1.9577109374999679E-2</c:v>
                </c:pt>
                <c:pt idx="5">
                  <c:v>2.7268639130437332E-2</c:v>
                </c:pt>
                <c:pt idx="6">
                  <c:v>4.119479180327125E-2</c:v>
                </c:pt>
                <c:pt idx="7">
                  <c:v>7.354379558824696E-2</c:v>
                </c:pt>
                <c:pt idx="8">
                  <c:v>0.12945027948714993</c:v>
                </c:pt>
                <c:pt idx="9">
                  <c:v>0.24719157142862969</c:v>
                </c:pt>
                <c:pt idx="10">
                  <c:v>0.50626344000011159</c:v>
                </c:pt>
                <c:pt idx="11">
                  <c:v>0.9819684000000658</c:v>
                </c:pt>
                <c:pt idx="12">
                  <c:v>1.9549785666670989</c:v>
                </c:pt>
                <c:pt idx="13">
                  <c:v>4.2433115999992879</c:v>
                </c:pt>
                <c:pt idx="14">
                  <c:v>8.7412566000002698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12-45A4-BCBA-62A99EA0407D}"/>
            </c:ext>
          </c:extLst>
        </c:ser>
        <c:ser>
          <c:idx val="1"/>
          <c:order val="1"/>
          <c:tx>
            <c:strRef>
              <c:f>Performance!$F$167</c:f>
              <c:strCache>
                <c:ptCount val="1"/>
                <c:pt idx="0">
                  <c:v>CSVRead_sdkn104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Performance!$A$168:$A$182</c:f>
              <c:numCache>
                <c:formatCode>General</c:formatCode>
                <c:ptCount val="15"/>
                <c:pt idx="0">
                  <c:v>3</c:v>
                </c:pt>
                <c:pt idx="1">
                  <c:v>4</c:v>
                </c:pt>
                <c:pt idx="2">
                  <c:v>6</c:v>
                </c:pt>
                <c:pt idx="3">
                  <c:v>10</c:v>
                </c:pt>
                <c:pt idx="4">
                  <c:v>18</c:v>
                </c:pt>
                <c:pt idx="5">
                  <c:v>34</c:v>
                </c:pt>
                <c:pt idx="6">
                  <c:v>66</c:v>
                </c:pt>
                <c:pt idx="7">
                  <c:v>130</c:v>
                </c:pt>
                <c:pt idx="8">
                  <c:v>258</c:v>
                </c:pt>
                <c:pt idx="9">
                  <c:v>514</c:v>
                </c:pt>
                <c:pt idx="10">
                  <c:v>1026</c:v>
                </c:pt>
                <c:pt idx="11">
                  <c:v>2050</c:v>
                </c:pt>
                <c:pt idx="12">
                  <c:v>4098</c:v>
                </c:pt>
                <c:pt idx="13">
                  <c:v>8194</c:v>
                </c:pt>
                <c:pt idx="14">
                  <c:v>16386</c:v>
                </c:pt>
              </c:numCache>
            </c:numRef>
          </c:xVal>
          <c:yVal>
            <c:numRef>
              <c:f>Performance!$F$168:$F$182</c:f>
              <c:numCache>
                <c:formatCode>General</c:formatCode>
                <c:ptCount val="15"/>
                <c:pt idx="0">
                  <c:v>1.8777289138577114E-2</c:v>
                </c:pt>
                <c:pt idx="1">
                  <c:v>1.8812364419478426E-2</c:v>
                </c:pt>
                <c:pt idx="2">
                  <c:v>1.7642682746477924E-2</c:v>
                </c:pt>
                <c:pt idx="3">
                  <c:v>2.0175442338709656E-2</c:v>
                </c:pt>
                <c:pt idx="4">
                  <c:v>2.3062459446998727E-2</c:v>
                </c:pt>
                <c:pt idx="5">
                  <c:v>3.0730895705513874E-2</c:v>
                </c:pt>
                <c:pt idx="6">
                  <c:v>4.4471384070796142E-2</c:v>
                </c:pt>
                <c:pt idx="7">
                  <c:v>7.4068232352949376E-2</c:v>
                </c:pt>
                <c:pt idx="8">
                  <c:v>0.130125584615365</c:v>
                </c:pt>
                <c:pt idx="9">
                  <c:v>0.23753377727271899</c:v>
                </c:pt>
                <c:pt idx="10">
                  <c:v>0.45456238181809155</c:v>
                </c:pt>
                <c:pt idx="11">
                  <c:v>0.87966298333321902</c:v>
                </c:pt>
                <c:pt idx="12">
                  <c:v>1.7441486999996414</c:v>
                </c:pt>
                <c:pt idx="13">
                  <c:v>3.8600196500001402</c:v>
                </c:pt>
                <c:pt idx="14">
                  <c:v>8.021360900000218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812-45A4-BCBA-62A99EA0407D}"/>
            </c:ext>
          </c:extLst>
        </c:ser>
        <c:ser>
          <c:idx val="2"/>
          <c:order val="2"/>
          <c:tx>
            <c:strRef>
              <c:f>Performance!$G$167</c:f>
              <c:strCache>
                <c:ptCount val="1"/>
                <c:pt idx="0">
                  <c:v>CSVRead_ws_garcia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Performance!$A$168:$A$182</c:f>
              <c:numCache>
                <c:formatCode>General</c:formatCode>
                <c:ptCount val="15"/>
                <c:pt idx="0">
                  <c:v>3</c:v>
                </c:pt>
                <c:pt idx="1">
                  <c:v>4</c:v>
                </c:pt>
                <c:pt idx="2">
                  <c:v>6</c:v>
                </c:pt>
                <c:pt idx="3">
                  <c:v>10</c:v>
                </c:pt>
                <c:pt idx="4">
                  <c:v>18</c:v>
                </c:pt>
                <c:pt idx="5">
                  <c:v>34</c:v>
                </c:pt>
                <c:pt idx="6">
                  <c:v>66</c:v>
                </c:pt>
                <c:pt idx="7">
                  <c:v>130</c:v>
                </c:pt>
                <c:pt idx="8">
                  <c:v>258</c:v>
                </c:pt>
                <c:pt idx="9">
                  <c:v>514</c:v>
                </c:pt>
                <c:pt idx="10">
                  <c:v>1026</c:v>
                </c:pt>
                <c:pt idx="11">
                  <c:v>2050</c:v>
                </c:pt>
                <c:pt idx="12">
                  <c:v>4098</c:v>
                </c:pt>
                <c:pt idx="13">
                  <c:v>8194</c:v>
                </c:pt>
                <c:pt idx="14">
                  <c:v>16386</c:v>
                </c:pt>
              </c:numCache>
            </c:numRef>
          </c:xVal>
          <c:yVal>
            <c:numRef>
              <c:f>Performance!$G$168:$G$182</c:f>
              <c:numCache>
                <c:formatCode>General</c:formatCode>
                <c:ptCount val="15"/>
                <c:pt idx="0">
                  <c:v>3.6633002189787107E-2</c:v>
                </c:pt>
                <c:pt idx="1">
                  <c:v>3.7049154814815632E-2</c:v>
                </c:pt>
                <c:pt idx="2">
                  <c:v>3.6183048201433955E-2</c:v>
                </c:pt>
                <c:pt idx="3">
                  <c:v>3.9453239370081654E-2</c:v>
                </c:pt>
                <c:pt idx="4">
                  <c:v>4.0353445967749361E-2</c:v>
                </c:pt>
                <c:pt idx="5">
                  <c:v>3.9715022222221057E-2</c:v>
                </c:pt>
                <c:pt idx="6">
                  <c:v>4.0342499999995549E-2</c:v>
                </c:pt>
                <c:pt idx="7">
                  <c:v>4.9613728712873777E-2</c:v>
                </c:pt>
                <c:pt idx="8">
                  <c:v>5.6333715730350661E-2</c:v>
                </c:pt>
                <c:pt idx="9">
                  <c:v>8.3807956666684433E-2</c:v>
                </c:pt>
                <c:pt idx="10">
                  <c:v>0.18886797037042993</c:v>
                </c:pt>
                <c:pt idx="11">
                  <c:v>0.59742733333344711</c:v>
                </c:pt>
                <c:pt idx="12">
                  <c:v>2.0770916666666985</c:v>
                </c:pt>
                <c:pt idx="13">
                  <c:v>9.3040644000011525</c:v>
                </c:pt>
                <c:pt idx="14">
                  <c:v>53.964022800000748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812-45A4-BCBA-62A99EA040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2150527"/>
        <c:axId val="912140543"/>
      </c:scatterChart>
      <c:valAx>
        <c:axId val="912150527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Field Length.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140543"/>
        <c:crosses val="autoZero"/>
        <c:crossBetween val="midCat"/>
      </c:valAx>
      <c:valAx>
        <c:axId val="912140543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Seconds to read.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15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Performance!$K$4</c:f>
          <c:strCache>
            <c:ptCount val="1"/>
            <c:pt idx="0">
              <c:v>One column of 1-char fields.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Performance!$E$5</c:f>
              <c:strCache>
                <c:ptCount val="1"/>
                <c:pt idx="0">
                  <c:v>CSVRead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Performance!$C$6:$C$27</c:f>
              <c:numCache>
                <c:formatCode>#,##0_);[Red]\(#,##0\)</c:formatCode>
                <c:ptCount val="22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  <c:pt idx="21">
                  <c:v>2097152</c:v>
                </c:pt>
              </c:numCache>
            </c:numRef>
          </c:xVal>
          <c:yVal>
            <c:numRef>
              <c:f>Performance!$E$6:$E$27</c:f>
              <c:numCache>
                <c:formatCode>General</c:formatCode>
                <c:ptCount val="22"/>
                <c:pt idx="0">
                  <c:v>1.2643180438956866E-4</c:v>
                </c:pt>
                <c:pt idx="1">
                  <c:v>1.4797941045904668E-4</c:v>
                </c:pt>
                <c:pt idx="2">
                  <c:v>1.292141616704593E-4</c:v>
                </c:pt>
                <c:pt idx="3">
                  <c:v>1.3715430656137051E-4</c:v>
                </c:pt>
                <c:pt idx="4">
                  <c:v>1.4700231081318508E-4</c:v>
                </c:pt>
                <c:pt idx="5">
                  <c:v>1.6461627707910469E-4</c:v>
                </c:pt>
                <c:pt idx="6">
                  <c:v>2.1162555974095501E-4</c:v>
                </c:pt>
                <c:pt idx="7">
                  <c:v>2.8521796817065567E-4</c:v>
                </c:pt>
                <c:pt idx="8">
                  <c:v>4.4585392777531113E-4</c:v>
                </c:pt>
                <c:pt idx="9">
                  <c:v>7.5756594455389363E-4</c:v>
                </c:pt>
                <c:pt idx="10">
                  <c:v>1.4202277193978592E-3</c:v>
                </c:pt>
                <c:pt idx="11">
                  <c:v>2.8257352542366038E-3</c:v>
                </c:pt>
                <c:pt idx="12">
                  <c:v>5.492938748627392E-3</c:v>
                </c:pt>
                <c:pt idx="13">
                  <c:v>1.1117214666668991E-2</c:v>
                </c:pt>
                <c:pt idx="14">
                  <c:v>2.2051429074895268E-2</c:v>
                </c:pt>
                <c:pt idx="15">
                  <c:v>4.4927449107149187E-2</c:v>
                </c:pt>
                <c:pt idx="16">
                  <c:v>0.10542577291668447</c:v>
                </c:pt>
                <c:pt idx="17">
                  <c:v>0.17805527931033857</c:v>
                </c:pt>
                <c:pt idx="18">
                  <c:v>0.36705025000005015</c:v>
                </c:pt>
                <c:pt idx="19">
                  <c:v>0.75120355714300657</c:v>
                </c:pt>
                <c:pt idx="20">
                  <c:v>1.4548350499999287</c:v>
                </c:pt>
                <c:pt idx="21">
                  <c:v>2.977490599999328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6-4000-BC8E-0874A6877373}"/>
            </c:ext>
          </c:extLst>
        </c:ser>
        <c:ser>
          <c:idx val="1"/>
          <c:order val="1"/>
          <c:tx>
            <c:strRef>
              <c:f>Performance!$F$5</c:f>
              <c:strCache>
                <c:ptCount val="1"/>
                <c:pt idx="0">
                  <c:v>CSVRead_sdkn104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Performance!$C$6:$C$27</c:f>
              <c:numCache>
                <c:formatCode>#,##0_);[Red]\(#,##0\)</c:formatCode>
                <c:ptCount val="22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  <c:pt idx="21">
                  <c:v>2097152</c:v>
                </c:pt>
              </c:numCache>
            </c:numRef>
          </c:xVal>
          <c:yVal>
            <c:numRef>
              <c:f>Performance!$F$6:$F$27</c:f>
              <c:numCache>
                <c:formatCode>General</c:formatCode>
                <c:ptCount val="22"/>
                <c:pt idx="0">
                  <c:v>1.1968546329319686E-4</c:v>
                </c:pt>
                <c:pt idx="1">
                  <c:v>1.2625614221143511E-4</c:v>
                </c:pt>
                <c:pt idx="2">
                  <c:v>1.2471045569053014E-4</c:v>
                </c:pt>
                <c:pt idx="3">
                  <c:v>1.3015298175285137E-4</c:v>
                </c:pt>
                <c:pt idx="4">
                  <c:v>1.4004114665022588E-4</c:v>
                </c:pt>
                <c:pt idx="5">
                  <c:v>1.5876684342552464E-4</c:v>
                </c:pt>
                <c:pt idx="6">
                  <c:v>1.9906098415477263E-4</c:v>
                </c:pt>
                <c:pt idx="7">
                  <c:v>2.8026636959805896E-4</c:v>
                </c:pt>
                <c:pt idx="8">
                  <c:v>4.4391376065339665E-4</c:v>
                </c:pt>
                <c:pt idx="9">
                  <c:v>7.8470524168252893E-4</c:v>
                </c:pt>
                <c:pt idx="10">
                  <c:v>1.450245011600919E-3</c:v>
                </c:pt>
                <c:pt idx="11">
                  <c:v>3.0353459951451777E-3</c:v>
                </c:pt>
                <c:pt idx="12">
                  <c:v>5.5376767441871928E-3</c:v>
                </c:pt>
                <c:pt idx="13">
                  <c:v>1.0839643506494814E-2</c:v>
                </c:pt>
                <c:pt idx="14">
                  <c:v>2.1504316309013165E-2</c:v>
                </c:pt>
                <c:pt idx="15">
                  <c:v>4.3666169565229847E-2</c:v>
                </c:pt>
                <c:pt idx="16">
                  <c:v>0.10038517058823274</c:v>
                </c:pt>
                <c:pt idx="17">
                  <c:v>0.17777406551719871</c:v>
                </c:pt>
                <c:pt idx="18">
                  <c:v>0.34604212666660411</c:v>
                </c:pt>
                <c:pt idx="19">
                  <c:v>0.74830622857137186</c:v>
                </c:pt>
                <c:pt idx="20">
                  <c:v>1.4545715249996647</c:v>
                </c:pt>
                <c:pt idx="21">
                  <c:v>3.0704576999996789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96-4000-BC8E-0874A6877373}"/>
            </c:ext>
          </c:extLst>
        </c:ser>
        <c:ser>
          <c:idx val="2"/>
          <c:order val="2"/>
          <c:tx>
            <c:strRef>
              <c:f>Performance!$G$5</c:f>
              <c:strCache>
                <c:ptCount val="1"/>
                <c:pt idx="0">
                  <c:v>CSVRead_ws_garcia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Performance!$C$6:$C$27</c:f>
              <c:numCache>
                <c:formatCode>#,##0_);[Red]\(#,##0\)</c:formatCode>
                <c:ptCount val="22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  <c:pt idx="21">
                  <c:v>2097152</c:v>
                </c:pt>
              </c:numCache>
            </c:numRef>
          </c:xVal>
          <c:yVal>
            <c:numRef>
              <c:f>Performance!$G$6:$G$27</c:f>
              <c:numCache>
                <c:formatCode>General</c:formatCode>
                <c:ptCount val="22"/>
                <c:pt idx="0">
                  <c:v>1.6876894026323923E-3</c:v>
                </c:pt>
                <c:pt idx="1">
                  <c:v>1.8431641725024123E-3</c:v>
                </c:pt>
                <c:pt idx="2">
                  <c:v>1.8424781503317443E-3</c:v>
                </c:pt>
                <c:pt idx="3">
                  <c:v>1.8824117049306499E-3</c:v>
                </c:pt>
                <c:pt idx="4">
                  <c:v>1.9195820345489028E-3</c:v>
                </c:pt>
                <c:pt idx="5">
                  <c:v>1.9947821300360445E-3</c:v>
                </c:pt>
                <c:pt idx="6">
                  <c:v>2.1753947803391212E-3</c:v>
                </c:pt>
                <c:pt idx="7">
                  <c:v>2.4698897283950052E-3</c:v>
                </c:pt>
                <c:pt idx="8">
                  <c:v>3.1271550343968655E-3</c:v>
                </c:pt>
                <c:pt idx="9">
                  <c:v>4.3505461739123744E-3</c:v>
                </c:pt>
                <c:pt idx="10">
                  <c:v>6.9350496532593316E-3</c:v>
                </c:pt>
                <c:pt idx="11">
                  <c:v>1.2143817475726324E-2</c:v>
                </c:pt>
                <c:pt idx="12">
                  <c:v>2.5072455500003345E-2</c:v>
                </c:pt>
                <c:pt idx="13">
                  <c:v>4.6924121495330581E-2</c:v>
                </c:pt>
                <c:pt idx="14">
                  <c:v>8.8240175438585811E-2</c:v>
                </c:pt>
                <c:pt idx="15">
                  <c:v>0.16928570000000037</c:v>
                </c:pt>
                <c:pt idx="16">
                  <c:v>0.33775663999998262</c:v>
                </c:pt>
                <c:pt idx="17">
                  <c:v>0.65007098750015757</c:v>
                </c:pt>
                <c:pt idx="18">
                  <c:v>1.3880589749996943</c:v>
                </c:pt>
                <c:pt idx="19">
                  <c:v>2.5181865499998821</c:v>
                </c:pt>
                <c:pt idx="20">
                  <c:v>4.9294864499997857</c:v>
                </c:pt>
                <c:pt idx="21">
                  <c:v>10.497115999998641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996-4000-BC8E-0874A6877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0590063"/>
        <c:axId val="2040593391"/>
      </c:scatterChart>
      <c:valAx>
        <c:axId val="2040590063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Num Rows.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_);[Red]\(#,##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0593391"/>
        <c:crosses val="autoZero"/>
        <c:crossBetween val="midCat"/>
      </c:valAx>
      <c:valAx>
        <c:axId val="204059339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Seconds to read.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05900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352425</xdr:colOff>
          <xdr:row>0</xdr:row>
          <xdr:rowOff>114300</xdr:rowOff>
        </xdr:from>
        <xdr:to>
          <xdr:col>5</xdr:col>
          <xdr:colOff>647700</xdr:colOff>
          <xdr:row>2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0</xdr:row>
          <xdr:rowOff>123825</xdr:rowOff>
        </xdr:from>
        <xdr:to>
          <xdr:col>6</xdr:col>
          <xdr:colOff>1042988</xdr:colOff>
          <xdr:row>2</xdr:row>
          <xdr:rowOff>123825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Speed Tests...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0</xdr:colOff>
      <xdr:row>31</xdr:row>
      <xdr:rowOff>0</xdr:rowOff>
    </xdr:from>
    <xdr:to>
      <xdr:col>24</xdr:col>
      <xdr:colOff>0</xdr:colOff>
      <xdr:row>54</xdr:row>
      <xdr:rowOff>117475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58</xdr:row>
      <xdr:rowOff>0</xdr:rowOff>
    </xdr:from>
    <xdr:to>
      <xdr:col>24</xdr:col>
      <xdr:colOff>0</xdr:colOff>
      <xdr:row>81</xdr:row>
      <xdr:rowOff>117475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85</xdr:row>
      <xdr:rowOff>0</xdr:rowOff>
    </xdr:from>
    <xdr:to>
      <xdr:col>24</xdr:col>
      <xdr:colOff>0</xdr:colOff>
      <xdr:row>108</xdr:row>
      <xdr:rowOff>117475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112</xdr:row>
      <xdr:rowOff>0</xdr:rowOff>
    </xdr:from>
    <xdr:to>
      <xdr:col>24</xdr:col>
      <xdr:colOff>0</xdr:colOff>
      <xdr:row>135</xdr:row>
      <xdr:rowOff>117475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139</xdr:row>
      <xdr:rowOff>0</xdr:rowOff>
    </xdr:from>
    <xdr:to>
      <xdr:col>24</xdr:col>
      <xdr:colOff>0</xdr:colOff>
      <xdr:row>162</xdr:row>
      <xdr:rowOff>117475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166</xdr:row>
      <xdr:rowOff>0</xdr:rowOff>
    </xdr:from>
    <xdr:to>
      <xdr:col>24</xdr:col>
      <xdr:colOff>0</xdr:colOff>
      <xdr:row>189</xdr:row>
      <xdr:rowOff>117475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4</xdr:row>
      <xdr:rowOff>0</xdr:rowOff>
    </xdr:from>
    <xdr:to>
      <xdr:col>24</xdr:col>
      <xdr:colOff>0</xdr:colOff>
      <xdr:row>26</xdr:row>
      <xdr:rowOff>117475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52388</xdr:colOff>
          <xdr:row>0</xdr:row>
          <xdr:rowOff>114300</xdr:rowOff>
        </xdr:from>
        <xdr:to>
          <xdr:col>12</xdr:col>
          <xdr:colOff>404813</xdr:colOff>
          <xdr:row>2</xdr:row>
          <xdr:rowOff>9525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Tests!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581025</xdr:colOff>
          <xdr:row>0</xdr:row>
          <xdr:rowOff>171450</xdr:rowOff>
        </xdr:from>
        <xdr:to>
          <xdr:col>4</xdr:col>
          <xdr:colOff>890588</xdr:colOff>
          <xdr:row>3</xdr:row>
          <xdr:rowOff>33338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and export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modules...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A7B04EB-66A0-4341-9771-1FD43653C50C}" name="Tests" displayName="Tests" ref="B7:T160" totalsRowShown="0" headerRowDxfId="53" dataDxfId="52" tableBorderDxfId="51">
  <autoFilter ref="B7:T160" xr:uid="{AA7B04EB-66A0-4341-9771-1FD43653C50C}"/>
  <sortState xmlns:xlrd2="http://schemas.microsoft.com/office/spreadsheetml/2017/richdata2" ref="B8:T160">
    <sortCondition ref="C7:C160"/>
  </sortState>
  <tableColumns count="19">
    <tableColumn id="2" xr3:uid="{7BD45304-7DCD-4FE1-87D6-ED5FE38F64B3}" name="File Size" dataDxfId="50"/>
    <tableColumn id="17" xr3:uid="{0274EA37-179C-4B3B-A1C9-4FF870F07628}" name="CaseNo" dataDxfId="49"/>
    <tableColumn id="3" xr3:uid="{861F0434-521B-4486-96EB-11210D28A649}" name="FileName" dataDxfId="48"/>
    <tableColumn id="4" xr3:uid="{73BAD586-F792-467D-93BE-365E171D2905}" name="ConvertTypes" dataDxfId="47"/>
    <tableColumn id="5" xr3:uid="{AFE18E19-BAA4-408C-B594-F6F5CE6072E2}" name="Delimiter" dataDxfId="46"/>
    <tableColumn id="6" xr3:uid="{1D60ED3A-6C85-4E51-AFC6-E8B21A54B83F}" name="IgnoreRepeated" dataDxfId="45"/>
    <tableColumn id="7" xr3:uid="{0EB858F2-EB3F-4E38-A22D-35AD966720B1}" name="DateFormat" dataDxfId="44"/>
    <tableColumn id="8" xr3:uid="{3F295DC4-6496-4579-BD3D-4E7BB02C40AE}" name="Comment" dataDxfId="43"/>
    <tableColumn id="1" xr3:uid="{35AD0B15-8DF7-4A2D-A339-2C9F3F0337D3}" name="IgnoreEmptyLines" dataDxfId="42"/>
    <tableColumn id="9" xr3:uid="{788FDAFC-A8CF-46C4-90AE-BE337028930D}" name="SkipToRow" dataDxfId="41"/>
    <tableColumn id="10" xr3:uid="{F00D66D5-FB9F-4412-9552-E7F6E3F184F7}" name="SkipToCol" dataDxfId="40"/>
    <tableColumn id="11" xr3:uid="{2FACE1D6-3CA2-489F-B1D2-75E539FBB36E}" name="NumRows" dataDxfId="39"/>
    <tableColumn id="12" xr3:uid="{4FD86CBE-1D42-4E7F-B6D5-08CDA9500663}" name="NumCols" dataDxfId="38"/>
    <tableColumn id="19" xr3:uid="{6C4B751B-31C5-4B5E-997B-190DE9FBCB29}" name="TrueStrings" dataDxfId="37"/>
    <tableColumn id="18" xr3:uid="{532430DF-54E3-4811-BCDB-86D723AE8FF6}" name="FalseStrings" dataDxfId="36"/>
    <tableColumn id="13" xr3:uid="{86D68B3D-FB6A-42C1-B6BC-C15193F8CE1D}" name="MissingStrings" dataDxfId="35"/>
    <tableColumn id="14" xr3:uid="{33117371-AD91-493D-9A19-4EBB17C61C95}" name="Encoding" dataDxfId="34"/>
    <tableColumn id="15" xr3:uid="{AF39713F-4C5B-43A8-90C7-95E589307608}" name="DecimalSeparator" dataDxfId="33"/>
    <tableColumn id="16" xr3:uid="{37CD4E9B-8BB2-4722-90D7-0FB31FC8E545}" name="Notes" dataDxfId="3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3.xml"/><Relationship Id="rId3" Type="http://schemas.openxmlformats.org/officeDocument/2006/relationships/hyperlink" Target="https://docs.python.org/3/library/csv.html" TargetMode="External"/><Relationship Id="rId7" Type="http://schemas.openxmlformats.org/officeDocument/2006/relationships/printerSettings" Target="../printerSettings/printerSettings6.bin"/><Relationship Id="rId2" Type="http://schemas.openxmlformats.org/officeDocument/2006/relationships/hyperlink" Target="https://github.com/ws-garcia/VBA-CSV-interface" TargetMode="External"/><Relationship Id="rId1" Type="http://schemas.openxmlformats.org/officeDocument/2006/relationships/hyperlink" Target="https://github.com/sdkn104/VBA-CSV" TargetMode="External"/><Relationship Id="rId6" Type="http://schemas.openxmlformats.org/officeDocument/2006/relationships/hyperlink" Target="https://raw.githubusercontent.com/plotly/datasets/master/mtcars.csv" TargetMode="External"/><Relationship Id="rId5" Type="http://schemas.openxmlformats.org/officeDocument/2006/relationships/hyperlink" Target="https://www.rdocumentation.org/packages/data.table/versions/1.14.0/topics/fread" TargetMode="External"/><Relationship Id="rId10" Type="http://schemas.openxmlformats.org/officeDocument/2006/relationships/ctrlProp" Target="../ctrlProps/ctrlProp4.xml"/><Relationship Id="rId4" Type="http://schemas.openxmlformats.org/officeDocument/2006/relationships/hyperlink" Target="https://csv.juliadata.org/stable/" TargetMode="External"/><Relationship Id="rId9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4CCCD-AC96-4BB7-9ECA-A3FB0BD853FA}">
  <sheetPr codeName="shDemo"/>
  <dimension ref="A1:P78"/>
  <sheetViews>
    <sheetView showGridLines="0" showRowColHeaders="0" tabSelected="1" zoomScale="99" zoomScaleNormal="99" workbookViewId="0"/>
  </sheetViews>
  <sheetFormatPr defaultRowHeight="14.25" x14ac:dyDescent="0.45"/>
  <cols>
    <col min="1" max="1" width="3.59765625" customWidth="1"/>
    <col min="2" max="3" width="23.59765625" customWidth="1"/>
    <col min="4" max="4" width="2.59765625" customWidth="1"/>
    <col min="5" max="5" width="17.6640625" bestFit="1" customWidth="1"/>
    <col min="6" max="6" width="2.59765625" customWidth="1"/>
    <col min="7" max="7" width="46.59765625" bestFit="1" customWidth="1"/>
    <col min="8" max="8" width="6.59765625" customWidth="1"/>
    <col min="9" max="10" width="30.59765625" customWidth="1"/>
    <col min="11" max="11" width="6.59765625" customWidth="1"/>
    <col min="12" max="13" width="23.59765625" customWidth="1"/>
    <col min="14" max="14" width="6.59765625" customWidth="1"/>
  </cols>
  <sheetData>
    <row r="1" spans="1:16" ht="28.5" x14ac:dyDescent="0.85">
      <c r="A1" s="1" t="s">
        <v>0</v>
      </c>
    </row>
    <row r="3" spans="1:16" x14ac:dyDescent="0.45">
      <c r="B3" s="2" t="s">
        <v>1</v>
      </c>
      <c r="G3" s="3" t="s">
        <v>2</v>
      </c>
    </row>
    <row r="4" spans="1:16" x14ac:dyDescent="0.45">
      <c r="B4" t="s">
        <v>5</v>
      </c>
      <c r="C4" s="5" t="b">
        <v>1</v>
      </c>
      <c r="G4" s="4" t="s">
        <v>4</v>
      </c>
    </row>
    <row r="5" spans="1:16" x14ac:dyDescent="0.45">
      <c r="B5" t="s">
        <v>7</v>
      </c>
      <c r="C5" s="7" t="s">
        <v>8</v>
      </c>
      <c r="G5" s="10" t="s">
        <v>407</v>
      </c>
    </row>
    <row r="6" spans="1:16" x14ac:dyDescent="0.45">
      <c r="B6" t="s">
        <v>9</v>
      </c>
      <c r="C6" s="7" t="s">
        <v>10</v>
      </c>
      <c r="G6" s="9" t="s">
        <v>11</v>
      </c>
    </row>
    <row r="7" spans="1:16" x14ac:dyDescent="0.45">
      <c r="B7" t="s">
        <v>12</v>
      </c>
      <c r="C7" s="5" t="b">
        <v>0</v>
      </c>
      <c r="G7" s="6" t="s">
        <v>6</v>
      </c>
    </row>
    <row r="8" spans="1:16" x14ac:dyDescent="0.45">
      <c r="B8" t="s">
        <v>13</v>
      </c>
      <c r="C8" s="5" t="s">
        <v>14</v>
      </c>
      <c r="G8" s="87" t="s">
        <v>406</v>
      </c>
    </row>
    <row r="9" spans="1:16" x14ac:dyDescent="0.45">
      <c r="G9" s="86" t="s">
        <v>567</v>
      </c>
    </row>
    <row r="10" spans="1:16" x14ac:dyDescent="0.45">
      <c r="C10" s="5"/>
      <c r="O10" s="3" t="s">
        <v>15</v>
      </c>
    </row>
    <row r="11" spans="1:16" x14ac:dyDescent="0.45">
      <c r="B11" s="2" t="s">
        <v>17</v>
      </c>
      <c r="E11" s="3" t="s">
        <v>18</v>
      </c>
      <c r="G11" s="2" t="s">
        <v>16</v>
      </c>
      <c r="O11" s="12" t="b">
        <f ca="1">AND(ROWS(B13:C52)=ROWS(_xlfn.ANCHORARRAY(I13)),COLUMNS(B13:C52)=COLUMNS(_xlfn.ANCHORARRAY(I13)),AND(_xlfn.ANCHORARRAY(O13)))</f>
        <v>1</v>
      </c>
    </row>
    <row r="12" spans="1:16" x14ac:dyDescent="0.45">
      <c r="F12" s="3"/>
      <c r="G12" s="2" t="s">
        <v>547</v>
      </c>
      <c r="I12" s="2" t="s">
        <v>548</v>
      </c>
      <c r="L12" s="2" t="s">
        <v>549</v>
      </c>
      <c r="O12" t="s">
        <v>19</v>
      </c>
    </row>
    <row r="13" spans="1:16" x14ac:dyDescent="0.45">
      <c r="B13" s="90" t="str" cm="1">
        <f t="array" aca="1" ref="B13:C52" ca="1">RandomVariants(40,2,TRUE,Unicode,EOL)</f>
        <v>V?S$oIT03W(yupmvDl</v>
      </c>
      <c r="C13" s="90">
        <f ca="1"/>
        <v>56315</v>
      </c>
      <c r="E13" s="11" t="str" cm="1">
        <f t="array" aca="1" ref="E13" ca="1">CSVWrite(Data,"",QuoteAllStrings,DateFormat,DateTimeFormat,",",Unicode,EOL)</f>
        <v xml:space="preserve">"V?S$oIT03W(yupmvDl",56315_x000D_
0,"-1.22349743775025E-02"_x000D_
"1983-Mar-05",True_x000D_
"3.25778871850086E-04","-3.24332265870031E-05"_x000D_
41519,61509_x000D_
"x&lt;97]PtJ","*jKJA"_x000D_
False,"-1.99357844598485E-06"_x000D_
"`p4,K-0Nl^f'6Vyg2W",#NAME?_x000D_
"",43414_x000D_
"FALSE","-1236039001.82839"_x000D_
0,#GETTING_DATA!_x000D_
#GETTING_DATA!,"2027-May-11"_x000D_
43546,"FALSE"_x000D_
"",False_x000D_
0,"rPK3T7Oc'S"_x000D_
"",-297.963753138527_x000D_
"2053-Mar-09","-iAU8E"_x000D_
")=u%t",6.28142033686414E-07_x000D_
4.02269407028303,6.77984612788439E-09_x000D_
-667475,True_x000D_
0.186383008306857,"Here's a carriage return (ascii 13):_x000D_and here's a line feed (ascii 10):
and here's both together:_x000D_
"_x000D_
"yK3g20Y6kL+ajA1_",0_x000D_
"TRUE",0_x000D_
0,-830754_x000D_
True,5.74524257026346E-10_x000D_
"","#J)RUrM7z?JtI"_x000D_
-532865,"TRUE"_x000D_
-5.1817252740757E-10,51398_x000D_
"49780015.0000117","54213.471564066"_x000D_
3.11326501492575E-05,#VALUE!_x000D_
"2003-Oct-25",16787_x000D_
True,"m5)Bfw[L:7bd0`/:L=p"_x000D_
"2055-Feb-10","nkj_x000D_
ND["_x000D_
-221146.607454393,26832_x000D_
"2018-Jun-29","2014-Sep-26"_x000D_
54567,"FALSE"_x000D_
28842,"-1.53331876189793E-02"_x000D_
"7.54053100844495","1976-Jul-09"_x000D_
"bkZ(]rwZRe7XNO","IlB*\\g"_x000D_
True,"FALSE"_x000D_
</v>
      </c>
      <c r="F13" t="s">
        <v>250</v>
      </c>
      <c r="G13" s="90" t="str" cm="1">
        <f t="array" aca="1" ref="G13:G56" ca="1">CSVRead(CSVContents,FALSE,FALSE)</f>
        <v>"V?S$oIT03W(yupmvDl",56315</v>
      </c>
      <c r="I13" s="90" t="str" cm="1">
        <f t="array" aca="1" ref="I13:J52" ca="1">CSVRead(CSVContents,FALSE)</f>
        <v>V?S$oIT03W(yupmvDl</v>
      </c>
      <c r="J13" s="90" t="str">
        <f ca="1"/>
        <v>56315</v>
      </c>
      <c r="L13" s="90" t="str" cm="1">
        <f t="array" aca="1" ref="L13:M52" ca="1">CSVRead(CSVContents,"NDBE",,,DateFormat)</f>
        <v>V?S$oIT03W(yupmvDl</v>
      </c>
      <c r="M13" s="90">
        <f ca="1"/>
        <v>56315</v>
      </c>
      <c r="O13" s="12" t="b" cm="1">
        <f t="array" aca="1" ref="O13:P52" ca="1">ArrayEquals(Data,_xlfn.ANCHORARRAY(L13))</f>
        <v>1</v>
      </c>
      <c r="P13" s="13" t="b">
        <f ca="1"/>
        <v>1</v>
      </c>
    </row>
    <row r="14" spans="1:16" x14ac:dyDescent="0.45">
      <c r="B14" s="90">
        <f ca="1"/>
        <v>0</v>
      </c>
      <c r="C14" s="90" t="str">
        <f ca="1"/>
        <v>-1.22349743775025E-02</v>
      </c>
      <c r="G14" s="90" t="str">
        <f ca="1"/>
        <v>0,"-1.22349743775025E-02"</v>
      </c>
      <c r="I14" s="90" t="str">
        <f ca="1"/>
        <v>0</v>
      </c>
      <c r="J14" s="90" t="str">
        <f ca="1"/>
        <v>-1.22349743775025E-02</v>
      </c>
      <c r="L14" s="90">
        <f ca="1"/>
        <v>0</v>
      </c>
      <c r="M14" s="90" t="str">
        <f ca="1"/>
        <v>-1.22349743775025E-02</v>
      </c>
      <c r="O14" s="13" t="b">
        <f ca="1"/>
        <v>1</v>
      </c>
      <c r="P14" s="13" t="b">
        <f ca="1"/>
        <v>1</v>
      </c>
    </row>
    <row r="15" spans="1:16" x14ac:dyDescent="0.45">
      <c r="B15" s="90" t="str">
        <f ca="1"/>
        <v>1983-Mar-05</v>
      </c>
      <c r="C15" s="90" t="b">
        <f ca="1"/>
        <v>1</v>
      </c>
      <c r="G15" s="90" t="str">
        <f ca="1"/>
        <v>"1983-Mar-05",True</v>
      </c>
      <c r="I15" s="90" t="str">
        <f ca="1"/>
        <v>1983-Mar-05</v>
      </c>
      <c r="J15" s="90" t="str">
        <f ca="1"/>
        <v>True</v>
      </c>
      <c r="L15" s="90" t="str">
        <f ca="1"/>
        <v>1983-Mar-05</v>
      </c>
      <c r="M15" s="90" t="b">
        <f ca="1"/>
        <v>1</v>
      </c>
      <c r="O15" s="13" t="b">
        <f ca="1"/>
        <v>1</v>
      </c>
      <c r="P15" s="13" t="b">
        <f ca="1"/>
        <v>1</v>
      </c>
    </row>
    <row r="16" spans="1:16" x14ac:dyDescent="0.45">
      <c r="B16" s="90" t="str">
        <f ca="1"/>
        <v>3.25778871850086E-04</v>
      </c>
      <c r="C16" s="90" t="str">
        <f ca="1"/>
        <v>-3.24332265870031E-05</v>
      </c>
      <c r="G16" s="90" t="str">
        <f ca="1"/>
        <v>"3.25778871850086E-04","-3.24332265870031E-05"</v>
      </c>
      <c r="I16" s="90" t="str">
        <f ca="1"/>
        <v>3.25778871850086E-04</v>
      </c>
      <c r="J16" s="90" t="str">
        <f ca="1"/>
        <v>-3.24332265870031E-05</v>
      </c>
      <c r="L16" s="90" t="str">
        <f ca="1"/>
        <v>3.25778871850086E-04</v>
      </c>
      <c r="M16" s="90" t="str">
        <f ca="1"/>
        <v>-3.24332265870031E-05</v>
      </c>
      <c r="O16" s="13" t="b">
        <f ca="1"/>
        <v>1</v>
      </c>
      <c r="P16" s="13" t="b">
        <f ca="1"/>
        <v>1</v>
      </c>
    </row>
    <row r="17" spans="2:16" x14ac:dyDescent="0.45">
      <c r="B17" s="90">
        <f ca="1"/>
        <v>41519</v>
      </c>
      <c r="C17" s="90">
        <f ca="1"/>
        <v>61509</v>
      </c>
      <c r="G17" s="90" t="str">
        <f ca="1"/>
        <v>41519,61509</v>
      </c>
      <c r="I17" s="90" t="str">
        <f ca="1"/>
        <v>41519</v>
      </c>
      <c r="J17" s="90" t="str">
        <f ca="1"/>
        <v>61509</v>
      </c>
      <c r="L17" s="90">
        <f ca="1"/>
        <v>41519</v>
      </c>
      <c r="M17" s="90">
        <f ca="1"/>
        <v>61509</v>
      </c>
      <c r="O17" s="13" t="b">
        <f ca="1"/>
        <v>1</v>
      </c>
      <c r="P17" s="13" t="b">
        <f ca="1"/>
        <v>1</v>
      </c>
    </row>
    <row r="18" spans="2:16" x14ac:dyDescent="0.45">
      <c r="B18" s="90" t="str">
        <f ca="1"/>
        <v>x&lt;97]PtJ</v>
      </c>
      <c r="C18" s="90" t="str">
        <f ca="1"/>
        <v>*jKJA</v>
      </c>
      <c r="G18" s="90" t="str">
        <f ca="1"/>
        <v>"x&lt;97]PtJ","*jKJA"</v>
      </c>
      <c r="I18" s="90" t="str">
        <f ca="1"/>
        <v>x&lt;97]PtJ</v>
      </c>
      <c r="J18" s="90" t="str">
        <f ca="1"/>
        <v>*jKJA</v>
      </c>
      <c r="L18" s="90" t="str">
        <f ca="1"/>
        <v>x&lt;97]PtJ</v>
      </c>
      <c r="M18" s="90" t="str">
        <f ca="1"/>
        <v>*jKJA</v>
      </c>
      <c r="O18" s="13" t="b">
        <f ca="1"/>
        <v>1</v>
      </c>
      <c r="P18" s="13" t="b">
        <f ca="1"/>
        <v>1</v>
      </c>
    </row>
    <row r="19" spans="2:16" x14ac:dyDescent="0.45">
      <c r="B19" s="90" t="b">
        <f ca="1"/>
        <v>0</v>
      </c>
      <c r="C19" s="90" t="str">
        <f ca="1"/>
        <v>-1.99357844598485E-06</v>
      </c>
      <c r="G19" s="90" t="str">
        <f ca="1"/>
        <v>False,"-1.99357844598485E-06"</v>
      </c>
      <c r="I19" s="90" t="str">
        <f ca="1"/>
        <v>False</v>
      </c>
      <c r="J19" s="90" t="str">
        <f ca="1"/>
        <v>-1.99357844598485E-06</v>
      </c>
      <c r="L19" s="90" t="b">
        <f ca="1"/>
        <v>0</v>
      </c>
      <c r="M19" s="90" t="str">
        <f ca="1"/>
        <v>-1.99357844598485E-06</v>
      </c>
      <c r="O19" s="13" t="b">
        <f ca="1"/>
        <v>1</v>
      </c>
      <c r="P19" s="13" t="b">
        <f ca="1"/>
        <v>1</v>
      </c>
    </row>
    <row r="20" spans="2:16" x14ac:dyDescent="0.45">
      <c r="B20" s="90" t="str">
        <f ca="1"/>
        <v>`p4,K-0Nl^f'6Vyg2W</v>
      </c>
      <c r="C20" s="90" t="e">
        <f ca="1"/>
        <v>#NAME?</v>
      </c>
      <c r="G20" s="90" t="str">
        <f ca="1"/>
        <v>"`p4,K-0Nl^f'6Vyg2W",#NAME?</v>
      </c>
      <c r="I20" s="90" t="str">
        <f ca="1"/>
        <v>`p4,K-0Nl^f'6Vyg2W</v>
      </c>
      <c r="J20" s="90" t="str">
        <f ca="1"/>
        <v>#NAME?</v>
      </c>
      <c r="L20" s="90" t="str">
        <f ca="1"/>
        <v>`p4,K-0Nl^f'6Vyg2W</v>
      </c>
      <c r="M20" s="90" t="e">
        <f ca="1"/>
        <v>#NAME?</v>
      </c>
      <c r="O20" s="13" t="b">
        <f ca="1"/>
        <v>1</v>
      </c>
      <c r="P20" s="13" t="b">
        <f ca="1"/>
        <v>1</v>
      </c>
    </row>
    <row r="21" spans="2:16" x14ac:dyDescent="0.45">
      <c r="B21" s="90" t="str">
        <f ca="1"/>
        <v/>
      </c>
      <c r="C21" s="90">
        <f ca="1"/>
        <v>43414</v>
      </c>
      <c r="G21" s="90" t="str">
        <f ca="1"/>
        <v>"",43414</v>
      </c>
      <c r="I21" s="90" t="str">
        <f ca="1"/>
        <v/>
      </c>
      <c r="J21" s="90" t="str">
        <f ca="1"/>
        <v>43414</v>
      </c>
      <c r="L21" s="90" t="str">
        <f ca="1"/>
        <v/>
      </c>
      <c r="M21" s="90">
        <f ca="1"/>
        <v>43414</v>
      </c>
      <c r="O21" s="13" t="b">
        <f ca="1"/>
        <v>1</v>
      </c>
      <c r="P21" s="13" t="b">
        <f ca="1"/>
        <v>1</v>
      </c>
    </row>
    <row r="22" spans="2:16" x14ac:dyDescent="0.45">
      <c r="B22" s="90" t="str">
        <f ca="1"/>
        <v>FALSE</v>
      </c>
      <c r="C22" s="90" t="str">
        <f ca="1"/>
        <v>-1236039001.82839</v>
      </c>
      <c r="G22" s="90" t="str">
        <f ca="1"/>
        <v>"FALSE","-1236039001.82839"</v>
      </c>
      <c r="I22" s="90" t="str">
        <f ca="1"/>
        <v>FALSE</v>
      </c>
      <c r="J22" s="90" t="str">
        <f ca="1"/>
        <v>-1236039001.82839</v>
      </c>
      <c r="L22" s="90" t="str">
        <f ca="1"/>
        <v>FALSE</v>
      </c>
      <c r="M22" s="90" t="str">
        <f ca="1"/>
        <v>-1236039001.82839</v>
      </c>
      <c r="O22" s="13" t="b">
        <f ca="1"/>
        <v>1</v>
      </c>
      <c r="P22" s="13" t="b">
        <f ca="1"/>
        <v>1</v>
      </c>
    </row>
    <row r="23" spans="2:16" x14ac:dyDescent="0.45">
      <c r="B23" s="90">
        <f ca="1"/>
        <v>0</v>
      </c>
      <c r="C23" s="90" t="e">
        <f ca="1"/>
        <v>#N/A</v>
      </c>
      <c r="G23" s="90" t="str">
        <f ca="1"/>
        <v>0,#GETTING_DATA!</v>
      </c>
      <c r="I23" s="90" t="str">
        <f ca="1"/>
        <v>0</v>
      </c>
      <c r="J23" s="90" t="str">
        <f ca="1"/>
        <v>#GETTING_DATA!</v>
      </c>
      <c r="L23" s="90">
        <f ca="1"/>
        <v>0</v>
      </c>
      <c r="M23" s="90" t="e">
        <f ca="1"/>
        <v>#N/A</v>
      </c>
      <c r="O23" s="13" t="b">
        <f ca="1"/>
        <v>1</v>
      </c>
      <c r="P23" s="13" t="b">
        <f ca="1"/>
        <v>1</v>
      </c>
    </row>
    <row r="24" spans="2:16" x14ac:dyDescent="0.45">
      <c r="B24" s="90" t="e">
        <f ca="1"/>
        <v>#N/A</v>
      </c>
      <c r="C24" s="90" t="str">
        <f ca="1"/>
        <v>2027-May-11</v>
      </c>
      <c r="G24" s="90" t="str">
        <f ca="1"/>
        <v>#GETTING_DATA!,"2027-May-11"</v>
      </c>
      <c r="I24" s="90" t="str">
        <f ca="1"/>
        <v>#GETTING_DATA!</v>
      </c>
      <c r="J24" s="90" t="str">
        <f ca="1"/>
        <v>2027-May-11</v>
      </c>
      <c r="L24" s="90" t="e">
        <f ca="1"/>
        <v>#N/A</v>
      </c>
      <c r="M24" s="90" t="str">
        <f ca="1"/>
        <v>2027-May-11</v>
      </c>
      <c r="O24" s="13" t="b">
        <f ca="1"/>
        <v>1</v>
      </c>
      <c r="P24" s="13" t="b">
        <f ca="1"/>
        <v>1</v>
      </c>
    </row>
    <row r="25" spans="2:16" x14ac:dyDescent="0.45">
      <c r="B25" s="90">
        <f ca="1"/>
        <v>43546</v>
      </c>
      <c r="C25" s="90" t="str">
        <f ca="1"/>
        <v>FALSE</v>
      </c>
      <c r="G25" s="90" t="str">
        <f ca="1"/>
        <v>43546,"FALSE"</v>
      </c>
      <c r="I25" s="90" t="str">
        <f ca="1"/>
        <v>43546</v>
      </c>
      <c r="J25" s="90" t="str">
        <f ca="1"/>
        <v>FALSE</v>
      </c>
      <c r="L25" s="90">
        <f ca="1"/>
        <v>43546</v>
      </c>
      <c r="M25" s="90" t="str">
        <f ca="1"/>
        <v>FALSE</v>
      </c>
      <c r="O25" s="13" t="b">
        <f ca="1"/>
        <v>1</v>
      </c>
      <c r="P25" s="13" t="b">
        <f ca="1"/>
        <v>1</v>
      </c>
    </row>
    <row r="26" spans="2:16" x14ac:dyDescent="0.45">
      <c r="B26" s="90" t="str">
        <f ca="1"/>
        <v/>
      </c>
      <c r="C26" s="90" t="b">
        <f ca="1"/>
        <v>0</v>
      </c>
      <c r="G26" s="90" t="str">
        <f ca="1"/>
        <v>"",False</v>
      </c>
      <c r="I26" s="90" t="str">
        <f ca="1"/>
        <v/>
      </c>
      <c r="J26" s="90" t="str">
        <f ca="1"/>
        <v>False</v>
      </c>
      <c r="L26" s="90" t="str">
        <f ca="1"/>
        <v/>
      </c>
      <c r="M26" s="90" t="b">
        <f ca="1"/>
        <v>0</v>
      </c>
      <c r="O26" s="13" t="b">
        <f ca="1"/>
        <v>1</v>
      </c>
      <c r="P26" s="13" t="b">
        <f ca="1"/>
        <v>1</v>
      </c>
    </row>
    <row r="27" spans="2:16" x14ac:dyDescent="0.45">
      <c r="B27" s="90">
        <f ca="1"/>
        <v>0</v>
      </c>
      <c r="C27" s="90" t="str">
        <f ca="1"/>
        <v>rPK3T7Oc'S</v>
      </c>
      <c r="G27" s="90" t="str">
        <f ca="1"/>
        <v>0,"rPK3T7Oc'S"</v>
      </c>
      <c r="I27" s="90" t="str">
        <f ca="1"/>
        <v>0</v>
      </c>
      <c r="J27" s="90" t="str">
        <f ca="1"/>
        <v>rPK3T7Oc'S</v>
      </c>
      <c r="L27" s="90">
        <f ca="1"/>
        <v>0</v>
      </c>
      <c r="M27" s="90" t="str">
        <f ca="1"/>
        <v>rPK3T7Oc'S</v>
      </c>
      <c r="O27" s="13" t="b">
        <f ca="1"/>
        <v>1</v>
      </c>
      <c r="P27" s="13" t="b">
        <f ca="1"/>
        <v>1</v>
      </c>
    </row>
    <row r="28" spans="2:16" x14ac:dyDescent="0.45">
      <c r="B28" s="90" t="str">
        <f ca="1"/>
        <v/>
      </c>
      <c r="C28" s="90">
        <f ca="1"/>
        <v>-297.96375313852701</v>
      </c>
      <c r="G28" s="90" t="str">
        <f ca="1"/>
        <v>"",-297.963753138527</v>
      </c>
      <c r="I28" s="90" t="str">
        <f ca="1"/>
        <v/>
      </c>
      <c r="J28" s="90" t="str">
        <f ca="1"/>
        <v>-297.963753138527</v>
      </c>
      <c r="L28" s="90" t="str">
        <f ca="1"/>
        <v/>
      </c>
      <c r="M28" s="90">
        <f ca="1"/>
        <v>-297.96375313852701</v>
      </c>
      <c r="O28" s="13" t="b">
        <f ca="1"/>
        <v>1</v>
      </c>
      <c r="P28" s="13" t="b">
        <f ca="1"/>
        <v>1</v>
      </c>
    </row>
    <row r="29" spans="2:16" x14ac:dyDescent="0.45">
      <c r="B29" s="90" t="str">
        <f ca="1"/>
        <v>2053-Mar-09</v>
      </c>
      <c r="C29" s="90" t="str">
        <f ca="1"/>
        <v>-iAU8E</v>
      </c>
      <c r="G29" s="90" t="str">
        <f ca="1"/>
        <v>"2053-Mar-09","-iAU8E"</v>
      </c>
      <c r="I29" s="90" t="str">
        <f ca="1"/>
        <v>2053-Mar-09</v>
      </c>
      <c r="J29" s="90" t="str">
        <f ca="1"/>
        <v>-iAU8E</v>
      </c>
      <c r="L29" s="90" t="str">
        <f ca="1"/>
        <v>2053-Mar-09</v>
      </c>
      <c r="M29" s="90" t="str">
        <f ca="1"/>
        <v>-iAU8E</v>
      </c>
      <c r="O29" s="13" t="b">
        <f ca="1"/>
        <v>1</v>
      </c>
      <c r="P29" s="13" t="b">
        <f ca="1"/>
        <v>1</v>
      </c>
    </row>
    <row r="30" spans="2:16" x14ac:dyDescent="0.45">
      <c r="B30" s="90" t="str">
        <f ca="1"/>
        <v>)=u%t</v>
      </c>
      <c r="C30" s="90">
        <f ca="1"/>
        <v>6.2814203368641398E-7</v>
      </c>
      <c r="G30" s="90" t="str">
        <f ca="1"/>
        <v>")=u%t",6.28142033686414E-07</v>
      </c>
      <c r="I30" s="90" t="str">
        <f ca="1"/>
        <v>)=u%t</v>
      </c>
      <c r="J30" s="90" t="str">
        <f ca="1"/>
        <v>6.28142033686414E-07</v>
      </c>
      <c r="L30" s="90" t="str">
        <f ca="1"/>
        <v>)=u%t</v>
      </c>
      <c r="M30" s="90">
        <f ca="1"/>
        <v>6.2814203368641398E-7</v>
      </c>
      <c r="O30" s="13" t="b">
        <f ca="1"/>
        <v>1</v>
      </c>
      <c r="P30" s="13" t="b">
        <f ca="1"/>
        <v>1</v>
      </c>
    </row>
    <row r="31" spans="2:16" x14ac:dyDescent="0.45">
      <c r="B31" s="90">
        <f ca="1"/>
        <v>4.0226940702830296</v>
      </c>
      <c r="C31" s="90">
        <f ca="1"/>
        <v>6.7798461278843899E-9</v>
      </c>
      <c r="G31" s="90" t="str">
        <f ca="1"/>
        <v>4.02269407028303,6.77984612788439E-09</v>
      </c>
      <c r="I31" s="90" t="str">
        <f ca="1"/>
        <v>4.02269407028303</v>
      </c>
      <c r="J31" s="90" t="str">
        <f ca="1"/>
        <v>6.77984612788439E-09</v>
      </c>
      <c r="L31" s="90">
        <f ca="1"/>
        <v>4.0226940702830296</v>
      </c>
      <c r="M31" s="90">
        <f ca="1"/>
        <v>6.7798461278843899E-9</v>
      </c>
      <c r="O31" s="13" t="b">
        <f ca="1"/>
        <v>1</v>
      </c>
      <c r="P31" s="13" t="b">
        <f ca="1"/>
        <v>1</v>
      </c>
    </row>
    <row r="32" spans="2:16" x14ac:dyDescent="0.45">
      <c r="B32" s="90">
        <f ca="1"/>
        <v>-667475</v>
      </c>
      <c r="C32" s="90" t="b">
        <f ca="1"/>
        <v>1</v>
      </c>
      <c r="G32" s="90" t="str">
        <f ca="1"/>
        <v>-667475,True</v>
      </c>
      <c r="I32" s="90" t="str">
        <f ca="1"/>
        <v>-667475</v>
      </c>
      <c r="J32" s="90" t="str">
        <f ca="1"/>
        <v>True</v>
      </c>
      <c r="L32" s="90">
        <f ca="1"/>
        <v>-667475</v>
      </c>
      <c r="M32" s="90" t="b">
        <f ca="1"/>
        <v>1</v>
      </c>
      <c r="O32" s="13" t="b">
        <f ca="1"/>
        <v>1</v>
      </c>
      <c r="P32" s="13" t="b">
        <f ca="1"/>
        <v>1</v>
      </c>
    </row>
    <row r="33" spans="2:16" x14ac:dyDescent="0.45">
      <c r="B33" s="90">
        <f ca="1"/>
        <v>0.186383008306857</v>
      </c>
      <c r="C33" s="90" t="str">
        <f ca="1"/>
        <v xml:space="preserve">Here's a carriage return (ascii 13):_x000D_and here's a line feed (ascii 10):
and here's both together:_x000D_
</v>
      </c>
      <c r="G33" s="90" t="str">
        <f ca="1"/>
        <v>0.186383008306857,"Here's a carriage return (ascii 13):</v>
      </c>
      <c r="I33" s="90" t="str">
        <f ca="1"/>
        <v>0.186383008306857</v>
      </c>
      <c r="J33" s="90" t="str">
        <f ca="1"/>
        <v xml:space="preserve">Here's a carriage return (ascii 13):_x000D_and here's a line feed (ascii 10):
and here's both together:_x000D_
</v>
      </c>
      <c r="L33" s="90">
        <f ca="1"/>
        <v>0.186383008306857</v>
      </c>
      <c r="M33" s="90" t="str">
        <f ca="1"/>
        <v xml:space="preserve">Here's a carriage return (ascii 13):_x000D_and here's a line feed (ascii 10):
and here's both together:_x000D_
</v>
      </c>
      <c r="O33" s="13" t="b">
        <f ca="1"/>
        <v>1</v>
      </c>
      <c r="P33" s="13" t="b">
        <f ca="1"/>
        <v>1</v>
      </c>
    </row>
    <row r="34" spans="2:16" x14ac:dyDescent="0.45">
      <c r="B34" s="90" t="str">
        <f ca="1"/>
        <v>yK3g20Y6kL+ajA1_</v>
      </c>
      <c r="C34" s="90">
        <f ca="1"/>
        <v>0</v>
      </c>
      <c r="G34" s="90" t="str">
        <f ca="1"/>
        <v>and here's a line feed (ascii 10):</v>
      </c>
      <c r="I34" s="90" t="str">
        <f ca="1"/>
        <v>yK3g20Y6kL+ajA1_</v>
      </c>
      <c r="J34" s="90" t="str">
        <f ca="1"/>
        <v>0</v>
      </c>
      <c r="L34" s="90" t="str">
        <f ca="1"/>
        <v>yK3g20Y6kL+ajA1_</v>
      </c>
      <c r="M34" s="90">
        <f ca="1"/>
        <v>0</v>
      </c>
      <c r="O34" s="13" t="b">
        <f ca="1"/>
        <v>1</v>
      </c>
      <c r="P34" s="13" t="b">
        <f ca="1"/>
        <v>1</v>
      </c>
    </row>
    <row r="35" spans="2:16" x14ac:dyDescent="0.45">
      <c r="B35" s="90" t="str">
        <f ca="1"/>
        <v>TRUE</v>
      </c>
      <c r="C35" s="90">
        <f ca="1"/>
        <v>0</v>
      </c>
      <c r="G35" s="90" t="str">
        <f ca="1"/>
        <v>and here's both together:</v>
      </c>
      <c r="I35" s="90" t="str">
        <f ca="1"/>
        <v>TRUE</v>
      </c>
      <c r="J35" s="90" t="str">
        <f ca="1"/>
        <v>0</v>
      </c>
      <c r="L35" s="90" t="str">
        <f ca="1"/>
        <v>TRUE</v>
      </c>
      <c r="M35" s="90">
        <f ca="1"/>
        <v>0</v>
      </c>
      <c r="O35" s="13" t="b">
        <f ca="1"/>
        <v>1</v>
      </c>
      <c r="P35" s="13" t="b">
        <f ca="1"/>
        <v>1</v>
      </c>
    </row>
    <row r="36" spans="2:16" x14ac:dyDescent="0.45">
      <c r="B36" s="90">
        <f ca="1"/>
        <v>0</v>
      </c>
      <c r="C36" s="90">
        <f ca="1"/>
        <v>-830754</v>
      </c>
      <c r="G36" s="90" t="str">
        <f ca="1"/>
        <v>"</v>
      </c>
      <c r="I36" s="90" t="str">
        <f ca="1"/>
        <v>0</v>
      </c>
      <c r="J36" s="90" t="str">
        <f ca="1"/>
        <v>-830754</v>
      </c>
      <c r="L36" s="90">
        <f ca="1"/>
        <v>0</v>
      </c>
      <c r="M36" s="90">
        <f ca="1"/>
        <v>-830754</v>
      </c>
      <c r="O36" s="13" t="b">
        <f ca="1"/>
        <v>1</v>
      </c>
      <c r="P36" s="13" t="b">
        <f ca="1"/>
        <v>1</v>
      </c>
    </row>
    <row r="37" spans="2:16" x14ac:dyDescent="0.45">
      <c r="B37" s="90" t="b">
        <f ca="1"/>
        <v>1</v>
      </c>
      <c r="C37" s="90">
        <f ca="1"/>
        <v>5.7452425702634603E-10</v>
      </c>
      <c r="G37" s="90" t="str">
        <f ca="1"/>
        <v>"yK3g20Y6kL+ajA1_",0</v>
      </c>
      <c r="I37" s="90" t="str">
        <f ca="1"/>
        <v>True</v>
      </c>
      <c r="J37" s="90" t="str">
        <f ca="1"/>
        <v>5.74524257026346E-10</v>
      </c>
      <c r="L37" s="90" t="b">
        <f ca="1"/>
        <v>1</v>
      </c>
      <c r="M37" s="90">
        <f ca="1"/>
        <v>5.7452425702634603E-10</v>
      </c>
      <c r="O37" s="13" t="b">
        <f ca="1"/>
        <v>1</v>
      </c>
      <c r="P37" s="13" t="b">
        <f ca="1"/>
        <v>1</v>
      </c>
    </row>
    <row r="38" spans="2:16" x14ac:dyDescent="0.45">
      <c r="B38" s="90" t="str">
        <f ca="1"/>
        <v/>
      </c>
      <c r="C38" s="90" t="str">
        <f ca="1"/>
        <v>#J)RUrM7z?JtI</v>
      </c>
      <c r="G38" s="90" t="str">
        <f ca="1"/>
        <v>"TRUE",0</v>
      </c>
      <c r="I38" s="90" t="str">
        <f ca="1"/>
        <v/>
      </c>
      <c r="J38" s="90" t="str">
        <f ca="1"/>
        <v>#J)RUrM7z?JtI</v>
      </c>
      <c r="L38" s="90" t="str">
        <f ca="1"/>
        <v/>
      </c>
      <c r="M38" s="90" t="str">
        <f ca="1"/>
        <v>#J)RUrM7z?JtI</v>
      </c>
      <c r="O38" s="13" t="b">
        <f ca="1"/>
        <v>1</v>
      </c>
      <c r="P38" s="13" t="b">
        <f ca="1"/>
        <v>1</v>
      </c>
    </row>
    <row r="39" spans="2:16" x14ac:dyDescent="0.45">
      <c r="B39" s="90">
        <f ca="1"/>
        <v>-532865</v>
      </c>
      <c r="C39" s="90" t="str">
        <f ca="1"/>
        <v>TRUE</v>
      </c>
      <c r="G39" s="90" t="str">
        <f ca="1"/>
        <v>0,-830754</v>
      </c>
      <c r="I39" s="90" t="str">
        <f ca="1"/>
        <v>-532865</v>
      </c>
      <c r="J39" s="90" t="str">
        <f ca="1"/>
        <v>TRUE</v>
      </c>
      <c r="L39" s="90">
        <f ca="1"/>
        <v>-532865</v>
      </c>
      <c r="M39" s="90" t="str">
        <f ca="1"/>
        <v>TRUE</v>
      </c>
      <c r="O39" s="13" t="b">
        <f ca="1"/>
        <v>1</v>
      </c>
      <c r="P39" s="13" t="b">
        <f ca="1"/>
        <v>1</v>
      </c>
    </row>
    <row r="40" spans="2:16" x14ac:dyDescent="0.45">
      <c r="B40" s="90">
        <f ca="1"/>
        <v>-5.1817252740757003E-10</v>
      </c>
      <c r="C40" s="90">
        <f ca="1"/>
        <v>51398</v>
      </c>
      <c r="G40" s="90" t="str">
        <f ca="1"/>
        <v>True,5.74524257026346E-10</v>
      </c>
      <c r="I40" s="90" t="str">
        <f ca="1"/>
        <v>-5.1817252740757E-10</v>
      </c>
      <c r="J40" s="90" t="str">
        <f ca="1"/>
        <v>51398</v>
      </c>
      <c r="L40" s="90">
        <f ca="1"/>
        <v>-5.1817252740757003E-10</v>
      </c>
      <c r="M40" s="90">
        <f ca="1"/>
        <v>51398</v>
      </c>
      <c r="O40" s="13" t="b">
        <f ca="1"/>
        <v>1</v>
      </c>
      <c r="P40" s="13" t="b">
        <f ca="1"/>
        <v>1</v>
      </c>
    </row>
    <row r="41" spans="2:16" x14ac:dyDescent="0.45">
      <c r="B41" s="90" t="str">
        <f ca="1"/>
        <v>49780015.0000117</v>
      </c>
      <c r="C41" s="90" t="str">
        <f ca="1"/>
        <v>54213.471564066</v>
      </c>
      <c r="G41" s="90" t="str">
        <f ca="1"/>
        <v>"","#J)RUrM7z?JtI"</v>
      </c>
      <c r="I41" s="90" t="str">
        <f ca="1"/>
        <v>49780015.0000117</v>
      </c>
      <c r="J41" s="90" t="str">
        <f ca="1"/>
        <v>54213.471564066</v>
      </c>
      <c r="L41" s="90" t="str">
        <f ca="1"/>
        <v>49780015.0000117</v>
      </c>
      <c r="M41" s="90" t="str">
        <f ca="1"/>
        <v>54213.471564066</v>
      </c>
      <c r="O41" s="13" t="b">
        <f ca="1"/>
        <v>1</v>
      </c>
      <c r="P41" s="13" t="b">
        <f ca="1"/>
        <v>1</v>
      </c>
    </row>
    <row r="42" spans="2:16" x14ac:dyDescent="0.45">
      <c r="B42" s="90">
        <f ca="1"/>
        <v>3.1132650149257503E-5</v>
      </c>
      <c r="C42" s="90" t="e">
        <f ca="1"/>
        <v>#VALUE!</v>
      </c>
      <c r="G42" s="90" t="str">
        <f ca="1"/>
        <v>-532865,"TRUE"</v>
      </c>
      <c r="I42" s="90" t="str">
        <f ca="1"/>
        <v>3.11326501492575E-05</v>
      </c>
      <c r="J42" s="90" t="str">
        <f ca="1"/>
        <v>#VALUE!</v>
      </c>
      <c r="L42" s="90">
        <f ca="1"/>
        <v>3.1132650149257503E-5</v>
      </c>
      <c r="M42" s="90" t="e">
        <f ca="1"/>
        <v>#VALUE!</v>
      </c>
      <c r="O42" s="13" t="b">
        <f ca="1"/>
        <v>1</v>
      </c>
      <c r="P42" s="13" t="b">
        <f ca="1"/>
        <v>1</v>
      </c>
    </row>
    <row r="43" spans="2:16" x14ac:dyDescent="0.45">
      <c r="B43" s="90" t="str">
        <f ca="1"/>
        <v>2003-Oct-25</v>
      </c>
      <c r="C43" s="90">
        <f ca="1"/>
        <v>16787</v>
      </c>
      <c r="G43" s="90" t="str">
        <f ca="1"/>
        <v>-5.1817252740757E-10,51398</v>
      </c>
      <c r="I43" s="90" t="str">
        <f ca="1"/>
        <v>2003-Oct-25</v>
      </c>
      <c r="J43" s="90" t="str">
        <f ca="1"/>
        <v>16787</v>
      </c>
      <c r="L43" s="90" t="str">
        <f ca="1"/>
        <v>2003-Oct-25</v>
      </c>
      <c r="M43" s="90">
        <f ca="1"/>
        <v>16787</v>
      </c>
      <c r="O43" s="13" t="b">
        <f ca="1"/>
        <v>1</v>
      </c>
      <c r="P43" s="13" t="b">
        <f ca="1"/>
        <v>1</v>
      </c>
    </row>
    <row r="44" spans="2:16" x14ac:dyDescent="0.45">
      <c r="B44" s="90" t="b">
        <f ca="1"/>
        <v>1</v>
      </c>
      <c r="C44" s="90" t="str">
        <f ca="1"/>
        <v>m5)Bfw[L:7bd0`/:L=p</v>
      </c>
      <c r="G44" s="90" t="str">
        <f ca="1"/>
        <v>"49780015.0000117","54213.471564066"</v>
      </c>
      <c r="I44" s="90" t="str">
        <f ca="1"/>
        <v>True</v>
      </c>
      <c r="J44" s="90" t="str">
        <f ca="1"/>
        <v>m5)Bfw[L:7bd0`/:L=p</v>
      </c>
      <c r="L44" s="90" t="b">
        <f ca="1"/>
        <v>1</v>
      </c>
      <c r="M44" s="90" t="str">
        <f ca="1"/>
        <v>m5)Bfw[L:7bd0`/:L=p</v>
      </c>
      <c r="O44" s="13" t="b">
        <f ca="1"/>
        <v>1</v>
      </c>
      <c r="P44" s="13" t="b">
        <f ca="1"/>
        <v>1</v>
      </c>
    </row>
    <row r="45" spans="2:16" x14ac:dyDescent="0.45">
      <c r="B45" s="90" t="str">
        <f ca="1"/>
        <v>2055-Feb-10</v>
      </c>
      <c r="C45" s="90" t="str">
        <f ca="1"/>
        <v>nkj_x000D_
ND[</v>
      </c>
      <c r="G45" s="90" t="str">
        <f ca="1"/>
        <v>3.11326501492575E-05,#VALUE!</v>
      </c>
      <c r="I45" s="90" t="str">
        <f ca="1"/>
        <v>2055-Feb-10</v>
      </c>
      <c r="J45" s="90" t="str">
        <f ca="1"/>
        <v>nkj_x000D_
ND[</v>
      </c>
      <c r="L45" s="90" t="str">
        <f ca="1"/>
        <v>2055-Feb-10</v>
      </c>
      <c r="M45" s="90" t="str">
        <f ca="1"/>
        <v>nkj_x000D_
ND[</v>
      </c>
      <c r="O45" s="13" t="b">
        <f ca="1"/>
        <v>1</v>
      </c>
      <c r="P45" s="13" t="b">
        <f ca="1"/>
        <v>1</v>
      </c>
    </row>
    <row r="46" spans="2:16" x14ac:dyDescent="0.45">
      <c r="B46" s="90">
        <f ca="1"/>
        <v>-221146.607454393</v>
      </c>
      <c r="C46" s="90">
        <f ca="1"/>
        <v>26832</v>
      </c>
      <c r="G46" s="90" t="str">
        <f ca="1"/>
        <v>"2003-Oct-25",16787</v>
      </c>
      <c r="I46" s="90" t="str">
        <f ca="1"/>
        <v>-221146.607454393</v>
      </c>
      <c r="J46" s="90" t="str">
        <f ca="1"/>
        <v>26832</v>
      </c>
      <c r="L46" s="90">
        <f ca="1"/>
        <v>-221146.607454393</v>
      </c>
      <c r="M46" s="90">
        <f ca="1"/>
        <v>26832</v>
      </c>
      <c r="O46" s="13" t="b">
        <f ca="1"/>
        <v>1</v>
      </c>
      <c r="P46" s="13" t="b">
        <f ca="1"/>
        <v>1</v>
      </c>
    </row>
    <row r="47" spans="2:16" x14ac:dyDescent="0.45">
      <c r="B47" s="90" t="str">
        <f ca="1"/>
        <v>2018-Jun-29</v>
      </c>
      <c r="C47" s="90" t="str">
        <f ca="1"/>
        <v>2014-Sep-26</v>
      </c>
      <c r="G47" s="90" t="str">
        <f ca="1"/>
        <v>True,"m5)Bfw[L:7bd0`/:L=p"</v>
      </c>
      <c r="I47" s="90" t="str">
        <f ca="1"/>
        <v>2018-Jun-29</v>
      </c>
      <c r="J47" s="90" t="str">
        <f ca="1"/>
        <v>2014-Sep-26</v>
      </c>
      <c r="L47" s="90" t="str">
        <f ca="1"/>
        <v>2018-Jun-29</v>
      </c>
      <c r="M47" s="90" t="str">
        <f ca="1"/>
        <v>2014-Sep-26</v>
      </c>
      <c r="O47" s="13" t="b">
        <f ca="1"/>
        <v>1</v>
      </c>
      <c r="P47" s="13" t="b">
        <f ca="1"/>
        <v>1</v>
      </c>
    </row>
    <row r="48" spans="2:16" x14ac:dyDescent="0.45">
      <c r="B48" s="90">
        <f ca="1"/>
        <v>54567</v>
      </c>
      <c r="C48" s="90" t="str">
        <f ca="1"/>
        <v>FALSE</v>
      </c>
      <c r="G48" s="90" t="str">
        <f ca="1"/>
        <v>"2055-Feb-10","nkj</v>
      </c>
      <c r="I48" s="90" t="str">
        <f ca="1"/>
        <v>54567</v>
      </c>
      <c r="J48" s="90" t="str">
        <f ca="1"/>
        <v>FALSE</v>
      </c>
      <c r="L48" s="90">
        <f ca="1"/>
        <v>54567</v>
      </c>
      <c r="M48" s="90" t="str">
        <f ca="1"/>
        <v>FALSE</v>
      </c>
      <c r="O48" s="13" t="b">
        <f ca="1"/>
        <v>1</v>
      </c>
      <c r="P48" s="13" t="b">
        <f ca="1"/>
        <v>1</v>
      </c>
    </row>
    <row r="49" spans="2:16" x14ac:dyDescent="0.45">
      <c r="B49" s="90">
        <f ca="1"/>
        <v>28842</v>
      </c>
      <c r="C49" s="90" t="str">
        <f ca="1"/>
        <v>-1.53331876189793E-02</v>
      </c>
      <c r="G49" s="90" t="str">
        <f ca="1"/>
        <v>ND["</v>
      </c>
      <c r="I49" s="90" t="str">
        <f ca="1"/>
        <v>28842</v>
      </c>
      <c r="J49" s="90" t="str">
        <f ca="1"/>
        <v>-1.53331876189793E-02</v>
      </c>
      <c r="L49" s="90">
        <f ca="1"/>
        <v>28842</v>
      </c>
      <c r="M49" s="90" t="str">
        <f ca="1"/>
        <v>-1.53331876189793E-02</v>
      </c>
      <c r="O49" s="13" t="b">
        <f ca="1"/>
        <v>1</v>
      </c>
      <c r="P49" s="13" t="b">
        <f ca="1"/>
        <v>1</v>
      </c>
    </row>
    <row r="50" spans="2:16" x14ac:dyDescent="0.45">
      <c r="B50" s="90" t="str">
        <f ca="1"/>
        <v>7.54053100844495</v>
      </c>
      <c r="C50" s="90" t="str">
        <f ca="1"/>
        <v>1976-Jul-09</v>
      </c>
      <c r="G50" s="90" t="str">
        <f ca="1"/>
        <v>-221146.607454393,26832</v>
      </c>
      <c r="I50" s="90" t="str">
        <f ca="1"/>
        <v>7.54053100844495</v>
      </c>
      <c r="J50" s="90" t="str">
        <f ca="1"/>
        <v>1976-Jul-09</v>
      </c>
      <c r="L50" s="90" t="str">
        <f ca="1"/>
        <v>7.54053100844495</v>
      </c>
      <c r="M50" s="90" t="str">
        <f ca="1"/>
        <v>1976-Jul-09</v>
      </c>
      <c r="O50" s="13" t="b">
        <f ca="1"/>
        <v>1</v>
      </c>
      <c r="P50" s="13" t="b">
        <f ca="1"/>
        <v>1</v>
      </c>
    </row>
    <row r="51" spans="2:16" x14ac:dyDescent="0.45">
      <c r="B51" s="90" t="str">
        <f ca="1"/>
        <v>bkZ(]rwZRe7XNO</v>
      </c>
      <c r="C51" s="90" t="str">
        <f ca="1"/>
        <v>IlB*\\g</v>
      </c>
      <c r="G51" s="90" t="str">
        <f ca="1"/>
        <v>"2018-Jun-29","2014-Sep-26"</v>
      </c>
      <c r="I51" s="90" t="str">
        <f ca="1"/>
        <v>bkZ(]rwZRe7XNO</v>
      </c>
      <c r="J51" s="90" t="str">
        <f ca="1"/>
        <v>IlB*\\g</v>
      </c>
      <c r="L51" s="90" t="str">
        <f ca="1"/>
        <v>bkZ(]rwZRe7XNO</v>
      </c>
      <c r="M51" s="90" t="str">
        <f ca="1"/>
        <v>IlB*\\g</v>
      </c>
      <c r="O51" s="13" t="b">
        <f ca="1"/>
        <v>1</v>
      </c>
      <c r="P51" s="13" t="b">
        <f ca="1"/>
        <v>1</v>
      </c>
    </row>
    <row r="52" spans="2:16" x14ac:dyDescent="0.45">
      <c r="B52" s="90" t="b">
        <f ca="1"/>
        <v>1</v>
      </c>
      <c r="C52" s="90" t="str">
        <f ca="1"/>
        <v>FALSE</v>
      </c>
      <c r="G52" s="90" t="str">
        <f ca="1"/>
        <v>54567,"FALSE"</v>
      </c>
      <c r="I52" s="90" t="str">
        <f ca="1"/>
        <v>True</v>
      </c>
      <c r="J52" s="90" t="str">
        <f ca="1"/>
        <v>FALSE</v>
      </c>
      <c r="L52" s="90" t="b">
        <f ca="1"/>
        <v>1</v>
      </c>
      <c r="M52" s="90" t="str">
        <f ca="1"/>
        <v>FALSE</v>
      </c>
      <c r="O52" s="13" t="b">
        <f ca="1"/>
        <v>1</v>
      </c>
      <c r="P52" s="13" t="b">
        <f ca="1"/>
        <v>1</v>
      </c>
    </row>
    <row r="53" spans="2:16" x14ac:dyDescent="0.45">
      <c r="G53" s="90" t="str">
        <f ca="1"/>
        <v>28842,"-1.53331876189793E-02"</v>
      </c>
    </row>
    <row r="54" spans="2:16" x14ac:dyDescent="0.45">
      <c r="G54" s="90" t="str">
        <f ca="1"/>
        <v>"7.54053100844495","1976-Jul-09"</v>
      </c>
    </row>
    <row r="55" spans="2:16" x14ac:dyDescent="0.45">
      <c r="G55" s="90" t="str">
        <f ca="1"/>
        <v>"bkZ(]rwZRe7XNO","IlB*\\g"</v>
      </c>
    </row>
    <row r="56" spans="2:16" x14ac:dyDescent="0.45">
      <c r="G56" s="90" t="str">
        <f ca="1"/>
        <v>True,"FALSE"</v>
      </c>
    </row>
    <row r="57" spans="2:16" x14ac:dyDescent="0.45">
      <c r="G57" s="90"/>
    </row>
    <row r="58" spans="2:16" x14ac:dyDescent="0.45">
      <c r="G58" s="90"/>
    </row>
    <row r="59" spans="2:16" x14ac:dyDescent="0.45">
      <c r="G59" s="90"/>
    </row>
    <row r="60" spans="2:16" x14ac:dyDescent="0.45">
      <c r="G60" s="90"/>
    </row>
    <row r="61" spans="2:16" x14ac:dyDescent="0.45">
      <c r="G61" s="90"/>
    </row>
    <row r="62" spans="2:16" x14ac:dyDescent="0.45">
      <c r="G62" s="90"/>
    </row>
    <row r="63" spans="2:16" x14ac:dyDescent="0.45">
      <c r="G63" s="90"/>
    </row>
    <row r="64" spans="2:16" x14ac:dyDescent="0.45">
      <c r="G64" s="90"/>
    </row>
    <row r="65" spans="7:7" x14ac:dyDescent="0.45">
      <c r="G65" s="90"/>
    </row>
    <row r="66" spans="7:7" x14ac:dyDescent="0.45">
      <c r="G66" s="90"/>
    </row>
    <row r="67" spans="7:7" x14ac:dyDescent="0.45">
      <c r="G67" s="90"/>
    </row>
    <row r="68" spans="7:7" x14ac:dyDescent="0.45">
      <c r="G68" s="90"/>
    </row>
    <row r="69" spans="7:7" x14ac:dyDescent="0.45">
      <c r="G69" s="90"/>
    </row>
    <row r="70" spans="7:7" x14ac:dyDescent="0.45">
      <c r="G70" s="90"/>
    </row>
    <row r="71" spans="7:7" x14ac:dyDescent="0.45">
      <c r="G71" s="90"/>
    </row>
    <row r="72" spans="7:7" x14ac:dyDescent="0.45">
      <c r="G72" s="90"/>
    </row>
    <row r="73" spans="7:7" x14ac:dyDescent="0.45">
      <c r="G73" s="90"/>
    </row>
    <row r="74" spans="7:7" x14ac:dyDescent="0.45">
      <c r="G74" s="90"/>
    </row>
    <row r="75" spans="7:7" x14ac:dyDescent="0.45">
      <c r="G75" s="90"/>
    </row>
    <row r="76" spans="7:7" x14ac:dyDescent="0.45">
      <c r="G76" s="90"/>
    </row>
    <row r="77" spans="7:7" x14ac:dyDescent="0.45">
      <c r="G77" s="90"/>
    </row>
    <row r="78" spans="7:7" x14ac:dyDescent="0.45">
      <c r="G78" s="90"/>
    </row>
  </sheetData>
  <sheetProtection sheet="1" objects="1" scenarios="1"/>
  <conditionalFormatting sqref="O13:P52">
    <cfRule type="cellIs" dxfId="206" priority="27" operator="equal">
      <formula>FALSE</formula>
    </cfRule>
    <cfRule type="cellIs" dxfId="205" priority="28" operator="equal">
      <formula>TRUE</formula>
    </cfRule>
  </conditionalFormatting>
  <conditionalFormatting sqref="O11">
    <cfRule type="cellIs" dxfId="204" priority="25" operator="equal">
      <formula>FALSE</formula>
    </cfRule>
    <cfRule type="cellIs" dxfId="203" priority="26" operator="equal">
      <formula>TRUE</formula>
    </cfRule>
  </conditionalFormatting>
  <conditionalFormatting sqref="B13:C52">
    <cfRule type="expression" dxfId="202" priority="19">
      <formula>ISNUMBER(B13)</formula>
    </cfRule>
    <cfRule type="expression" dxfId="201" priority="20">
      <formula>ISLOGICAL(B13)</formula>
    </cfRule>
    <cfRule type="expression" dxfId="200" priority="21">
      <formula>ISERROR(B13)</formula>
    </cfRule>
    <cfRule type="expression" dxfId="199" priority="22">
      <formula>ISNUMBER(SEARCH(CHAR(10),B13))</formula>
    </cfRule>
    <cfRule type="expression" dxfId="198" priority="23">
      <formula>ISNUMBER(SEARCH("""",B13))</formula>
    </cfRule>
    <cfRule type="expression" dxfId="197" priority="24">
      <formula>ISTEXT(B13)</formula>
    </cfRule>
  </conditionalFormatting>
  <conditionalFormatting sqref="I13:J52">
    <cfRule type="expression" dxfId="196" priority="13">
      <formula>ISNUMBER(I13)</formula>
    </cfRule>
    <cfRule type="expression" dxfId="195" priority="14">
      <formula>ISLOGICAL(I13)</formula>
    </cfRule>
    <cfRule type="expression" dxfId="194" priority="15">
      <formula>ISERROR(I13)</formula>
    </cfRule>
    <cfRule type="expression" dxfId="193" priority="16">
      <formula>ISNUMBER(SEARCH(CHAR(10),I13))</formula>
    </cfRule>
    <cfRule type="expression" dxfId="192" priority="17">
      <formula>ISNUMBER(SEARCH("""",I13))</formula>
    </cfRule>
    <cfRule type="expression" dxfId="191" priority="18">
      <formula>ISTEXT(I13)</formula>
    </cfRule>
  </conditionalFormatting>
  <conditionalFormatting sqref="L13:M52">
    <cfRule type="expression" dxfId="190" priority="7">
      <formula>ISNUMBER(L13)</formula>
    </cfRule>
    <cfRule type="expression" dxfId="189" priority="8">
      <formula>ISLOGICAL(L13)</formula>
    </cfRule>
    <cfRule type="expression" dxfId="188" priority="9">
      <formula>ISERROR(L13)</formula>
    </cfRule>
    <cfRule type="expression" dxfId="187" priority="10">
      <formula>ISNUMBER(SEARCH(CHAR(10),L13))</formula>
    </cfRule>
    <cfRule type="expression" dxfId="186" priority="11">
      <formula>ISNUMBER(SEARCH("""",L13))</formula>
    </cfRule>
    <cfRule type="expression" dxfId="185" priority="12">
      <formula>ISTEXT(L13)</formula>
    </cfRule>
  </conditionalFormatting>
  <conditionalFormatting sqref="G13:G78">
    <cfRule type="expression" dxfId="184" priority="1">
      <formula>ISNUMBER(G13)</formula>
    </cfRule>
    <cfRule type="expression" dxfId="183" priority="2">
      <formula>ISLOGICAL(G13)</formula>
    </cfRule>
    <cfRule type="expression" dxfId="182" priority="3">
      <formula>ISERROR(G13)</formula>
    </cfRule>
    <cfRule type="expression" dxfId="181" priority="4">
      <formula>ISNUMBER(SEARCH(CHAR(10),G13))</formula>
    </cfRule>
    <cfRule type="expression" dxfId="180" priority="5">
      <formula>ISNUMBER(SEARCH("""",G13))</formula>
    </cfRule>
    <cfRule type="expression" dxfId="179" priority="6">
      <formula>ISTEXT(G13)</formula>
    </cfRule>
  </conditionalFormatting>
  <dataValidations count="2">
    <dataValidation type="list" allowBlank="1" showInputMessage="1" showErrorMessage="1" sqref="C7 C4" xr:uid="{B180CABF-770B-4835-A634-63AC838C9ABE}">
      <formula1>"TRUE,FALSE"</formula1>
    </dataValidation>
    <dataValidation type="list" allowBlank="1" showInputMessage="1" showErrorMessage="1" sqref="C8" xr:uid="{E832DF84-C3DA-446B-B25C-6D6054FE89D2}">
      <formula1>"Windows,Unix,Mac"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EA881-A921-451B-95C6-2B5742DE8A2C}">
  <sheetPr codeName="shPerfromance"/>
  <dimension ref="A1:L217"/>
  <sheetViews>
    <sheetView showGridLines="0" showRowColHeaders="0" zoomScaleNormal="100" workbookViewId="0">
      <pane ySplit="4" topLeftCell="A5" activePane="bottomLeft" state="frozen"/>
      <selection pane="bottomLeft"/>
    </sheetView>
  </sheetViews>
  <sheetFormatPr defaultRowHeight="14.25" x14ac:dyDescent="0.45"/>
  <cols>
    <col min="1" max="1" width="10.265625" bestFit="1" customWidth="1"/>
    <col min="2" max="2" width="15.9296875" bestFit="1" customWidth="1"/>
    <col min="3" max="3" width="9.19921875" bestFit="1" customWidth="1"/>
    <col min="4" max="4" width="8.19921875" bestFit="1" customWidth="1"/>
    <col min="5" max="5" width="11.73046875" bestFit="1" customWidth="1"/>
    <col min="6" max="6" width="15.19921875" bestFit="1" customWidth="1"/>
    <col min="7" max="7" width="16.3984375" bestFit="1" customWidth="1"/>
    <col min="8" max="8" width="7.59765625" bestFit="1" customWidth="1"/>
    <col min="9" max="9" width="15.19921875" bestFit="1" customWidth="1"/>
    <col min="10" max="10" width="16.3984375" bestFit="1" customWidth="1"/>
    <col min="11" max="11" width="91.73046875" bestFit="1" customWidth="1"/>
    <col min="12" max="12" width="10.6640625" bestFit="1" customWidth="1"/>
  </cols>
  <sheetData>
    <row r="1" spans="1:12" ht="28.5" x14ac:dyDescent="0.85">
      <c r="A1" s="1" t="s">
        <v>408</v>
      </c>
    </row>
    <row r="2" spans="1:12" x14ac:dyDescent="0.45">
      <c r="L2" s="15"/>
    </row>
    <row r="4" spans="1:12" x14ac:dyDescent="0.45">
      <c r="K4" t="s">
        <v>20</v>
      </c>
    </row>
    <row r="5" spans="1:12" ht="28.5" x14ac:dyDescent="0.45">
      <c r="A5" s="16" t="s">
        <v>21</v>
      </c>
      <c r="B5" s="16" t="s">
        <v>22</v>
      </c>
      <c r="C5" s="16" t="s">
        <v>23</v>
      </c>
      <c r="D5" s="16" t="s">
        <v>24</v>
      </c>
      <c r="E5" s="16" t="s">
        <v>25</v>
      </c>
      <c r="F5" s="16" t="s">
        <v>26</v>
      </c>
      <c r="G5" s="16" t="s">
        <v>27</v>
      </c>
      <c r="H5" s="17" t="s">
        <v>28</v>
      </c>
      <c r="I5" s="17" t="s">
        <v>29</v>
      </c>
      <c r="J5" s="17" t="s">
        <v>30</v>
      </c>
      <c r="K5" s="16" t="s">
        <v>31</v>
      </c>
      <c r="L5" s="16" t="s">
        <v>32</v>
      </c>
    </row>
    <row r="6" spans="1:12" x14ac:dyDescent="0.45">
      <c r="A6">
        <f>LEN(B6)</f>
        <v>1</v>
      </c>
      <c r="B6" t="s">
        <v>33</v>
      </c>
      <c r="C6" s="15">
        <v>1</v>
      </c>
      <c r="D6">
        <v>1</v>
      </c>
      <c r="E6">
        <v>1.2643180438956866E-4</v>
      </c>
      <c r="F6">
        <v>1.1968546329319686E-4</v>
      </c>
      <c r="G6">
        <v>1.6876894026323923E-3</v>
      </c>
      <c r="H6" s="15">
        <v>39548</v>
      </c>
      <c r="I6" s="15">
        <v>41777</v>
      </c>
      <c r="J6" s="15">
        <v>2963</v>
      </c>
      <c r="K6" s="18" t="s">
        <v>34</v>
      </c>
      <c r="L6" s="15">
        <v>3</v>
      </c>
    </row>
    <row r="7" spans="1:12" x14ac:dyDescent="0.45">
      <c r="A7">
        <f t="shared" ref="A7:A27" si="0">LEN(B7)</f>
        <v>1</v>
      </c>
      <c r="B7" t="s">
        <v>33</v>
      </c>
      <c r="C7" s="15">
        <v>2</v>
      </c>
      <c r="D7">
        <v>1</v>
      </c>
      <c r="E7">
        <v>1.4797941045904668E-4</v>
      </c>
      <c r="F7">
        <v>1.2625614221143511E-4</v>
      </c>
      <c r="G7">
        <v>1.8431641725024123E-3</v>
      </c>
      <c r="H7" s="15">
        <v>33789</v>
      </c>
      <c r="I7" s="15">
        <v>39603</v>
      </c>
      <c r="J7" s="15">
        <v>2713</v>
      </c>
      <c r="K7" s="15" t="s">
        <v>35</v>
      </c>
      <c r="L7" s="15">
        <v>6</v>
      </c>
    </row>
    <row r="8" spans="1:12" x14ac:dyDescent="0.45">
      <c r="A8">
        <f t="shared" si="0"/>
        <v>1</v>
      </c>
      <c r="B8" t="s">
        <v>33</v>
      </c>
      <c r="C8" s="15">
        <v>4</v>
      </c>
      <c r="D8">
        <v>1</v>
      </c>
      <c r="E8">
        <v>1.292141616704593E-4</v>
      </c>
      <c r="F8">
        <v>1.2471045569053014E-4</v>
      </c>
      <c r="G8">
        <v>1.8424781503317443E-3</v>
      </c>
      <c r="H8" s="15">
        <v>38696</v>
      </c>
      <c r="I8" s="15">
        <v>40093</v>
      </c>
      <c r="J8" s="15">
        <v>2714</v>
      </c>
      <c r="K8" s="15" t="s">
        <v>36</v>
      </c>
      <c r="L8" s="15">
        <v>12</v>
      </c>
    </row>
    <row r="9" spans="1:12" x14ac:dyDescent="0.45">
      <c r="A9">
        <f t="shared" si="0"/>
        <v>1</v>
      </c>
      <c r="B9" t="s">
        <v>33</v>
      </c>
      <c r="C9" s="15">
        <v>8</v>
      </c>
      <c r="D9">
        <v>1</v>
      </c>
      <c r="E9">
        <v>1.3715430656137051E-4</v>
      </c>
      <c r="F9">
        <v>1.3015298175285137E-4</v>
      </c>
      <c r="G9">
        <v>1.8824117049306499E-3</v>
      </c>
      <c r="H9" s="15">
        <v>36456</v>
      </c>
      <c r="I9" s="15">
        <v>38417</v>
      </c>
      <c r="J9" s="15">
        <v>2657</v>
      </c>
      <c r="K9" s="15" t="s">
        <v>37</v>
      </c>
      <c r="L9" s="15">
        <v>24</v>
      </c>
    </row>
    <row r="10" spans="1:12" x14ac:dyDescent="0.45">
      <c r="A10">
        <f t="shared" si="0"/>
        <v>1</v>
      </c>
      <c r="B10" t="s">
        <v>33</v>
      </c>
      <c r="C10" s="15">
        <v>16</v>
      </c>
      <c r="D10">
        <v>1</v>
      </c>
      <c r="E10">
        <v>1.4700231081318508E-4</v>
      </c>
      <c r="F10">
        <v>1.4004114665022588E-4</v>
      </c>
      <c r="G10">
        <v>1.9195820345489028E-3</v>
      </c>
      <c r="H10" s="15">
        <v>34014</v>
      </c>
      <c r="I10" s="15">
        <v>35704</v>
      </c>
      <c r="J10" s="15">
        <v>2605</v>
      </c>
      <c r="K10" s="15" t="s">
        <v>38</v>
      </c>
      <c r="L10" s="15">
        <v>48</v>
      </c>
    </row>
    <row r="11" spans="1:12" x14ac:dyDescent="0.45">
      <c r="A11">
        <f t="shared" si="0"/>
        <v>1</v>
      </c>
      <c r="B11" t="s">
        <v>33</v>
      </c>
      <c r="C11" s="15">
        <v>32</v>
      </c>
      <c r="D11">
        <v>1</v>
      </c>
      <c r="E11">
        <v>1.6461627707910469E-4</v>
      </c>
      <c r="F11">
        <v>1.5876684342552464E-4</v>
      </c>
      <c r="G11">
        <v>1.9947821300360445E-3</v>
      </c>
      <c r="H11" s="15">
        <v>30374</v>
      </c>
      <c r="I11" s="15">
        <v>31493</v>
      </c>
      <c r="J11" s="15">
        <v>2507</v>
      </c>
      <c r="K11" s="15" t="s">
        <v>39</v>
      </c>
      <c r="L11" s="15">
        <v>96</v>
      </c>
    </row>
    <row r="12" spans="1:12" x14ac:dyDescent="0.45">
      <c r="A12">
        <f t="shared" si="0"/>
        <v>1</v>
      </c>
      <c r="B12" t="s">
        <v>33</v>
      </c>
      <c r="C12" s="15">
        <v>64</v>
      </c>
      <c r="D12">
        <v>1</v>
      </c>
      <c r="E12">
        <v>2.1162555974095501E-4</v>
      </c>
      <c r="F12">
        <v>1.9906098415477263E-4</v>
      </c>
      <c r="G12">
        <v>2.1753947803391212E-3</v>
      </c>
      <c r="H12" s="15">
        <v>23627</v>
      </c>
      <c r="I12" s="15">
        <v>25118</v>
      </c>
      <c r="J12" s="15">
        <v>2299</v>
      </c>
      <c r="K12" s="15" t="s">
        <v>40</v>
      </c>
      <c r="L12" s="15">
        <v>192</v>
      </c>
    </row>
    <row r="13" spans="1:12" x14ac:dyDescent="0.45">
      <c r="A13">
        <f t="shared" si="0"/>
        <v>1</v>
      </c>
      <c r="B13" t="s">
        <v>33</v>
      </c>
      <c r="C13" s="15">
        <v>128</v>
      </c>
      <c r="D13">
        <v>1</v>
      </c>
      <c r="E13">
        <v>2.8521796817065567E-4</v>
      </c>
      <c r="F13">
        <v>2.8026636959805896E-4</v>
      </c>
      <c r="G13">
        <v>2.4698897283950052E-3</v>
      </c>
      <c r="H13" s="15">
        <v>17531</v>
      </c>
      <c r="I13" s="15">
        <v>17841</v>
      </c>
      <c r="J13" s="15">
        <v>2025</v>
      </c>
      <c r="K13" s="15" t="s">
        <v>41</v>
      </c>
      <c r="L13" s="15">
        <v>384</v>
      </c>
    </row>
    <row r="14" spans="1:12" x14ac:dyDescent="0.45">
      <c r="A14">
        <f t="shared" si="0"/>
        <v>1</v>
      </c>
      <c r="B14" t="s">
        <v>33</v>
      </c>
      <c r="C14" s="15">
        <v>256</v>
      </c>
      <c r="D14">
        <v>1</v>
      </c>
      <c r="E14">
        <v>4.4585392777531113E-4</v>
      </c>
      <c r="F14">
        <v>4.4391376065339665E-4</v>
      </c>
      <c r="G14">
        <v>3.1271550343968655E-3</v>
      </c>
      <c r="H14" s="15">
        <v>11215</v>
      </c>
      <c r="I14" s="15">
        <v>11264</v>
      </c>
      <c r="J14" s="15">
        <v>1599</v>
      </c>
      <c r="K14" s="15" t="s">
        <v>42</v>
      </c>
      <c r="L14" s="15">
        <v>768</v>
      </c>
    </row>
    <row r="15" spans="1:12" x14ac:dyDescent="0.45">
      <c r="A15">
        <f t="shared" si="0"/>
        <v>1</v>
      </c>
      <c r="B15" t="s">
        <v>33</v>
      </c>
      <c r="C15" s="15">
        <v>512</v>
      </c>
      <c r="D15">
        <v>1</v>
      </c>
      <c r="E15">
        <v>7.5756594455389363E-4</v>
      </c>
      <c r="F15">
        <v>7.8470524168252893E-4</v>
      </c>
      <c r="G15">
        <v>4.3505461739123744E-3</v>
      </c>
      <c r="H15" s="15">
        <v>6601</v>
      </c>
      <c r="I15" s="15">
        <v>6372</v>
      </c>
      <c r="J15" s="15">
        <v>1150</v>
      </c>
      <c r="K15" s="15" t="s">
        <v>43</v>
      </c>
      <c r="L15" s="15">
        <v>1536</v>
      </c>
    </row>
    <row r="16" spans="1:12" x14ac:dyDescent="0.45">
      <c r="A16">
        <f t="shared" si="0"/>
        <v>1</v>
      </c>
      <c r="B16" t="s">
        <v>33</v>
      </c>
      <c r="C16" s="15">
        <v>1024</v>
      </c>
      <c r="D16">
        <v>1</v>
      </c>
      <c r="E16">
        <v>1.4202277193978592E-3</v>
      </c>
      <c r="F16">
        <v>1.450245011600919E-3</v>
      </c>
      <c r="G16">
        <v>6.9350496532593316E-3</v>
      </c>
      <c r="H16" s="15">
        <v>3521</v>
      </c>
      <c r="I16" s="15">
        <v>3448</v>
      </c>
      <c r="J16" s="15">
        <v>721</v>
      </c>
      <c r="K16" s="15" t="s">
        <v>44</v>
      </c>
      <c r="L16" s="15">
        <v>3072</v>
      </c>
    </row>
    <row r="17" spans="1:12" x14ac:dyDescent="0.45">
      <c r="A17">
        <f t="shared" si="0"/>
        <v>1</v>
      </c>
      <c r="B17" t="s">
        <v>33</v>
      </c>
      <c r="C17" s="15">
        <v>2048</v>
      </c>
      <c r="D17">
        <v>1</v>
      </c>
      <c r="E17">
        <v>2.8257352542366038E-3</v>
      </c>
      <c r="F17">
        <v>3.0353459951451777E-3</v>
      </c>
      <c r="G17">
        <v>1.2143817475726324E-2</v>
      </c>
      <c r="H17" s="15">
        <v>1770</v>
      </c>
      <c r="I17" s="15">
        <v>1648</v>
      </c>
      <c r="J17" s="15">
        <v>412</v>
      </c>
      <c r="K17" s="15" t="s">
        <v>45</v>
      </c>
      <c r="L17" s="15">
        <v>6144</v>
      </c>
    </row>
    <row r="18" spans="1:12" x14ac:dyDescent="0.45">
      <c r="A18">
        <f t="shared" si="0"/>
        <v>1</v>
      </c>
      <c r="B18" t="s">
        <v>33</v>
      </c>
      <c r="C18" s="15">
        <v>4096</v>
      </c>
      <c r="D18">
        <v>1</v>
      </c>
      <c r="E18">
        <v>5.492938748627392E-3</v>
      </c>
      <c r="F18">
        <v>5.5376767441871928E-3</v>
      </c>
      <c r="G18">
        <v>2.5072455500003345E-2</v>
      </c>
      <c r="H18" s="15">
        <v>911</v>
      </c>
      <c r="I18" s="15">
        <v>903</v>
      </c>
      <c r="J18" s="15">
        <v>200</v>
      </c>
      <c r="K18" s="15" t="s">
        <v>46</v>
      </c>
      <c r="L18" s="15">
        <v>12288</v>
      </c>
    </row>
    <row r="19" spans="1:12" x14ac:dyDescent="0.45">
      <c r="A19">
        <f t="shared" si="0"/>
        <v>1</v>
      </c>
      <c r="B19" t="s">
        <v>33</v>
      </c>
      <c r="C19" s="15">
        <v>8192</v>
      </c>
      <c r="D19">
        <v>1</v>
      </c>
      <c r="E19">
        <v>1.1117214666668991E-2</v>
      </c>
      <c r="F19">
        <v>1.0839643506494814E-2</v>
      </c>
      <c r="G19">
        <v>4.6924121495330581E-2</v>
      </c>
      <c r="H19" s="15">
        <v>450</v>
      </c>
      <c r="I19" s="15">
        <v>462</v>
      </c>
      <c r="J19" s="15">
        <v>107</v>
      </c>
      <c r="K19" s="15" t="s">
        <v>47</v>
      </c>
      <c r="L19" s="15">
        <v>24576</v>
      </c>
    </row>
    <row r="20" spans="1:12" x14ac:dyDescent="0.45">
      <c r="A20">
        <f t="shared" si="0"/>
        <v>1</v>
      </c>
      <c r="B20" t="s">
        <v>33</v>
      </c>
      <c r="C20" s="15">
        <v>16384</v>
      </c>
      <c r="D20">
        <v>1</v>
      </c>
      <c r="E20">
        <v>2.2051429074895268E-2</v>
      </c>
      <c r="F20">
        <v>2.1504316309013165E-2</v>
      </c>
      <c r="G20">
        <v>8.8240175438585811E-2</v>
      </c>
      <c r="H20" s="15">
        <v>227</v>
      </c>
      <c r="I20" s="15">
        <v>233</v>
      </c>
      <c r="J20" s="15">
        <v>57</v>
      </c>
      <c r="K20" s="15" t="s">
        <v>48</v>
      </c>
      <c r="L20" s="15">
        <v>49152</v>
      </c>
    </row>
    <row r="21" spans="1:12" x14ac:dyDescent="0.45">
      <c r="A21">
        <f t="shared" si="0"/>
        <v>1</v>
      </c>
      <c r="B21" t="s">
        <v>33</v>
      </c>
      <c r="C21" s="15">
        <v>32768</v>
      </c>
      <c r="D21">
        <v>1</v>
      </c>
      <c r="E21">
        <v>4.4927449107149187E-2</v>
      </c>
      <c r="F21">
        <v>4.3666169565229847E-2</v>
      </c>
      <c r="G21">
        <v>0.16928570000000037</v>
      </c>
      <c r="H21" s="15">
        <v>112</v>
      </c>
      <c r="I21" s="15">
        <v>115</v>
      </c>
      <c r="J21" s="15">
        <v>30</v>
      </c>
      <c r="K21" s="15" t="s">
        <v>49</v>
      </c>
      <c r="L21" s="15">
        <v>98304</v>
      </c>
    </row>
    <row r="22" spans="1:12" x14ac:dyDescent="0.45">
      <c r="A22">
        <f t="shared" si="0"/>
        <v>1</v>
      </c>
      <c r="B22" t="s">
        <v>33</v>
      </c>
      <c r="C22" s="15">
        <v>65536</v>
      </c>
      <c r="D22">
        <v>1</v>
      </c>
      <c r="E22">
        <v>0.10542577291668447</v>
      </c>
      <c r="F22">
        <v>0.10038517058823274</v>
      </c>
      <c r="G22">
        <v>0.33775663999998262</v>
      </c>
      <c r="H22" s="15">
        <v>48</v>
      </c>
      <c r="I22" s="15">
        <v>51</v>
      </c>
      <c r="J22" s="15">
        <v>15</v>
      </c>
      <c r="K22" s="15" t="s">
        <v>50</v>
      </c>
      <c r="L22" s="15">
        <v>196608</v>
      </c>
    </row>
    <row r="23" spans="1:12" x14ac:dyDescent="0.45">
      <c r="A23">
        <f t="shared" si="0"/>
        <v>1</v>
      </c>
      <c r="B23" t="s">
        <v>33</v>
      </c>
      <c r="C23" s="15">
        <v>131072</v>
      </c>
      <c r="D23">
        <v>1</v>
      </c>
      <c r="E23">
        <v>0.17805527931033857</v>
      </c>
      <c r="F23">
        <v>0.17777406551719871</v>
      </c>
      <c r="G23">
        <v>0.65007098750015757</v>
      </c>
      <c r="H23" s="15">
        <v>29</v>
      </c>
      <c r="I23" s="15">
        <v>29</v>
      </c>
      <c r="J23" s="15">
        <v>8</v>
      </c>
      <c r="K23" s="15" t="s">
        <v>51</v>
      </c>
      <c r="L23" s="15">
        <v>393216</v>
      </c>
    </row>
    <row r="24" spans="1:12" x14ac:dyDescent="0.45">
      <c r="A24">
        <f t="shared" si="0"/>
        <v>1</v>
      </c>
      <c r="B24" t="s">
        <v>33</v>
      </c>
      <c r="C24" s="15">
        <v>262144</v>
      </c>
      <c r="D24">
        <v>1</v>
      </c>
      <c r="E24">
        <v>0.36705025000005015</v>
      </c>
      <c r="F24">
        <v>0.34604212666660411</v>
      </c>
      <c r="G24">
        <v>1.3880589749996943</v>
      </c>
      <c r="H24" s="15">
        <v>14</v>
      </c>
      <c r="I24" s="15">
        <v>15</v>
      </c>
      <c r="J24" s="15">
        <v>4</v>
      </c>
      <c r="K24" s="15" t="s">
        <v>52</v>
      </c>
      <c r="L24" s="15">
        <v>786432</v>
      </c>
    </row>
    <row r="25" spans="1:12" x14ac:dyDescent="0.45">
      <c r="A25">
        <f t="shared" si="0"/>
        <v>1</v>
      </c>
      <c r="B25" t="s">
        <v>33</v>
      </c>
      <c r="C25" s="15">
        <v>524288</v>
      </c>
      <c r="D25">
        <v>1</v>
      </c>
      <c r="E25">
        <v>0.75120355714300657</v>
      </c>
      <c r="F25">
        <v>0.74830622857137186</v>
      </c>
      <c r="G25">
        <v>2.5181865499998821</v>
      </c>
      <c r="H25" s="15">
        <v>7</v>
      </c>
      <c r="I25" s="15">
        <v>7</v>
      </c>
      <c r="J25" s="15">
        <v>2</v>
      </c>
      <c r="K25" s="15" t="s">
        <v>53</v>
      </c>
      <c r="L25" s="15">
        <v>1572864</v>
      </c>
    </row>
    <row r="26" spans="1:12" x14ac:dyDescent="0.45">
      <c r="A26">
        <f t="shared" si="0"/>
        <v>1</v>
      </c>
      <c r="B26" t="s">
        <v>33</v>
      </c>
      <c r="C26" s="15">
        <v>1048576</v>
      </c>
      <c r="D26">
        <v>1</v>
      </c>
      <c r="E26">
        <v>1.4548350499999287</v>
      </c>
      <c r="F26">
        <v>1.4545715249996647</v>
      </c>
      <c r="G26">
        <v>4.9294864499997857</v>
      </c>
      <c r="H26" s="15">
        <v>4</v>
      </c>
      <c r="I26" s="15">
        <v>4</v>
      </c>
      <c r="J26" s="15">
        <v>2</v>
      </c>
      <c r="K26" s="15" t="s">
        <v>54</v>
      </c>
      <c r="L26" s="15">
        <v>3145728</v>
      </c>
    </row>
    <row r="27" spans="1:12" x14ac:dyDescent="0.45">
      <c r="A27">
        <f t="shared" si="0"/>
        <v>1</v>
      </c>
      <c r="B27" t="s">
        <v>33</v>
      </c>
      <c r="C27" s="15">
        <v>2097152</v>
      </c>
      <c r="D27">
        <v>1</v>
      </c>
      <c r="E27">
        <v>2.977490599999328</v>
      </c>
      <c r="F27">
        <v>3.0704576999996789</v>
      </c>
      <c r="G27">
        <v>10.497115999998641</v>
      </c>
      <c r="H27" s="15">
        <v>2</v>
      </c>
      <c r="I27" s="15">
        <v>2</v>
      </c>
      <c r="J27" s="15">
        <v>1</v>
      </c>
      <c r="K27" s="15" t="s">
        <v>55</v>
      </c>
      <c r="L27" s="15">
        <v>6291456</v>
      </c>
    </row>
    <row r="28" spans="1:12" x14ac:dyDescent="0.45">
      <c r="H28" s="15"/>
      <c r="I28" s="15"/>
      <c r="J28" s="15"/>
    </row>
    <row r="30" spans="1:12" x14ac:dyDescent="0.45">
      <c r="H30" s="15"/>
      <c r="I30" s="15"/>
      <c r="J30" s="15"/>
    </row>
    <row r="31" spans="1:12" x14ac:dyDescent="0.45">
      <c r="H31" s="15"/>
      <c r="I31" s="15"/>
      <c r="J31" s="15"/>
      <c r="K31" s="19" t="s">
        <v>56</v>
      </c>
    </row>
    <row r="32" spans="1:12" ht="28.5" x14ac:dyDescent="0.45">
      <c r="A32" s="16" t="s">
        <v>21</v>
      </c>
      <c r="B32" s="16" t="s">
        <v>22</v>
      </c>
      <c r="C32" s="16" t="s">
        <v>23</v>
      </c>
      <c r="D32" s="16" t="s">
        <v>24</v>
      </c>
      <c r="E32" s="16" t="s">
        <v>25</v>
      </c>
      <c r="F32" s="16" t="s">
        <v>26</v>
      </c>
      <c r="G32" s="16" t="s">
        <v>27</v>
      </c>
      <c r="H32" s="17" t="s">
        <v>28</v>
      </c>
      <c r="I32" s="17" t="s">
        <v>29</v>
      </c>
      <c r="J32" s="17" t="s">
        <v>30</v>
      </c>
      <c r="K32" s="16" t="s">
        <v>31</v>
      </c>
      <c r="L32" s="16" t="s">
        <v>32</v>
      </c>
    </row>
    <row r="33" spans="1:12" x14ac:dyDescent="0.45">
      <c r="A33">
        <f>LEN(B33)</f>
        <v>32</v>
      </c>
      <c r="B33" t="str">
        <f>REPT("x",32)</f>
        <v>xxxxxxxxxxxxxxxxxxxxxxxxxxxxxxxx</v>
      </c>
      <c r="C33" s="15">
        <v>1</v>
      </c>
      <c r="D33">
        <v>1</v>
      </c>
      <c r="E33">
        <v>1.34479874129294E-4</v>
      </c>
      <c r="F33">
        <v>1.3239526293493193E-4</v>
      </c>
      <c r="G33">
        <v>2.0403903304768351E-3</v>
      </c>
      <c r="H33" s="15">
        <v>37181</v>
      </c>
      <c r="I33" s="15">
        <v>37766</v>
      </c>
      <c r="J33" s="15">
        <v>2451</v>
      </c>
      <c r="K33" s="15" t="s">
        <v>57</v>
      </c>
      <c r="L33" s="15">
        <v>34</v>
      </c>
    </row>
    <row r="34" spans="1:12" x14ac:dyDescent="0.45">
      <c r="A34">
        <f t="shared" ref="A34:A53" si="1">LEN(B34)</f>
        <v>32</v>
      </c>
      <c r="B34" t="str">
        <f t="shared" ref="B34:B53" si="2">REPT("x",32)</f>
        <v>xxxxxxxxxxxxxxxxxxxxxxxxxxxxxxxx</v>
      </c>
      <c r="C34" s="15">
        <v>2</v>
      </c>
      <c r="D34">
        <v>1</v>
      </c>
      <c r="E34">
        <v>1.4183739645978871E-4</v>
      </c>
      <c r="F34">
        <v>1.3560162991890296E-4</v>
      </c>
      <c r="G34">
        <v>2.0671608515911172E-3</v>
      </c>
      <c r="H34" s="15">
        <v>35252</v>
      </c>
      <c r="I34" s="15">
        <v>36873</v>
      </c>
      <c r="J34" s="15">
        <v>2419</v>
      </c>
      <c r="K34" s="15" t="s">
        <v>58</v>
      </c>
      <c r="L34" s="15">
        <v>68</v>
      </c>
    </row>
    <row r="35" spans="1:12" x14ac:dyDescent="0.45">
      <c r="A35">
        <f t="shared" si="1"/>
        <v>32</v>
      </c>
      <c r="B35" t="str">
        <f t="shared" si="2"/>
        <v>xxxxxxxxxxxxxxxxxxxxxxxxxxxxxxxx</v>
      </c>
      <c r="C35" s="15">
        <v>4</v>
      </c>
      <c r="D35">
        <v>1</v>
      </c>
      <c r="E35">
        <v>1.494449249805769E-4</v>
      </c>
      <c r="F35">
        <v>1.4331502479289084E-4</v>
      </c>
      <c r="G35">
        <v>2.0889627401837886E-3</v>
      </c>
      <c r="H35" s="15">
        <v>33458</v>
      </c>
      <c r="I35" s="15">
        <v>34889</v>
      </c>
      <c r="J35" s="15">
        <v>2394</v>
      </c>
      <c r="K35" s="15" t="s">
        <v>59</v>
      </c>
      <c r="L35" s="15">
        <v>136</v>
      </c>
    </row>
    <row r="36" spans="1:12" x14ac:dyDescent="0.45">
      <c r="A36">
        <f t="shared" si="1"/>
        <v>32</v>
      </c>
      <c r="B36" t="str">
        <f t="shared" si="2"/>
        <v>xxxxxxxxxxxxxxxxxxxxxxxxxxxxxxxx</v>
      </c>
      <c r="C36" s="15">
        <v>8</v>
      </c>
      <c r="D36">
        <v>1</v>
      </c>
      <c r="E36">
        <v>1.6171222509704975E-4</v>
      </c>
      <c r="F36">
        <v>1.619906761265919E-4</v>
      </c>
      <c r="G36">
        <v>2.1437495499359743E-3</v>
      </c>
      <c r="H36" s="15">
        <v>30920</v>
      </c>
      <c r="I36" s="15">
        <v>30867</v>
      </c>
      <c r="J36" s="15">
        <v>2333</v>
      </c>
      <c r="K36" s="15" t="s">
        <v>60</v>
      </c>
      <c r="L36" s="15">
        <v>272</v>
      </c>
    </row>
    <row r="37" spans="1:12" x14ac:dyDescent="0.45">
      <c r="A37">
        <f t="shared" si="1"/>
        <v>32</v>
      </c>
      <c r="B37" t="str">
        <f t="shared" si="2"/>
        <v>xxxxxxxxxxxxxxxxxxxxxxxxxxxxxxxx</v>
      </c>
      <c r="C37" s="15">
        <v>16</v>
      </c>
      <c r="D37">
        <v>1</v>
      </c>
      <c r="E37">
        <v>2.0189477913267227E-4</v>
      </c>
      <c r="F37">
        <v>1.8643100298283477E-4</v>
      </c>
      <c r="G37">
        <v>2.1701710069442649E-3</v>
      </c>
      <c r="H37" s="15">
        <v>24766</v>
      </c>
      <c r="I37" s="15">
        <v>26820</v>
      </c>
      <c r="J37" s="15">
        <v>2304</v>
      </c>
      <c r="K37" s="15" t="s">
        <v>61</v>
      </c>
      <c r="L37" s="15">
        <v>544</v>
      </c>
    </row>
    <row r="38" spans="1:12" x14ac:dyDescent="0.45">
      <c r="A38">
        <f t="shared" si="1"/>
        <v>32</v>
      </c>
      <c r="B38" t="str">
        <f t="shared" si="2"/>
        <v>xxxxxxxxxxxxxxxxxxxxxxxxxxxxxxxx</v>
      </c>
      <c r="C38" s="15">
        <v>32</v>
      </c>
      <c r="D38">
        <v>1</v>
      </c>
      <c r="E38">
        <v>2.413951385536163E-4</v>
      </c>
      <c r="F38">
        <v>2.3752324355138786E-4</v>
      </c>
      <c r="G38">
        <v>2.2608000904157507E-3</v>
      </c>
      <c r="H38" s="15">
        <v>20714</v>
      </c>
      <c r="I38" s="15">
        <v>21051</v>
      </c>
      <c r="J38" s="15">
        <v>2212</v>
      </c>
      <c r="K38" s="15" t="s">
        <v>62</v>
      </c>
      <c r="L38" s="15">
        <v>1088</v>
      </c>
    </row>
    <row r="39" spans="1:12" x14ac:dyDescent="0.45">
      <c r="A39">
        <f t="shared" si="1"/>
        <v>32</v>
      </c>
      <c r="B39" t="str">
        <f t="shared" si="2"/>
        <v>xxxxxxxxxxxxxxxxxxxxxxxxxxxxxxxx</v>
      </c>
      <c r="C39" s="15">
        <v>64</v>
      </c>
      <c r="D39">
        <v>1</v>
      </c>
      <c r="E39">
        <v>3.5599028905026244E-4</v>
      </c>
      <c r="F39">
        <v>3.2940519138286811E-4</v>
      </c>
      <c r="G39">
        <v>2.4749920336468671E-3</v>
      </c>
      <c r="H39" s="15">
        <v>14046</v>
      </c>
      <c r="I39" s="15">
        <v>15179</v>
      </c>
      <c r="J39" s="15">
        <v>2021</v>
      </c>
      <c r="K39" s="15" t="s">
        <v>63</v>
      </c>
      <c r="L39" s="15">
        <v>2176</v>
      </c>
    </row>
    <row r="40" spans="1:12" x14ac:dyDescent="0.45">
      <c r="A40">
        <f t="shared" si="1"/>
        <v>32</v>
      </c>
      <c r="B40" t="str">
        <f t="shared" si="2"/>
        <v>xxxxxxxxxxxxxxxxxxxxxxxxxxxxxxxx</v>
      </c>
      <c r="C40" s="15">
        <v>128</v>
      </c>
      <c r="D40">
        <v>1</v>
      </c>
      <c r="E40">
        <v>5.4607597466429841E-4</v>
      </c>
      <c r="F40">
        <v>5.2124734702384029E-4</v>
      </c>
      <c r="G40">
        <v>2.8558099942885542E-3</v>
      </c>
      <c r="H40" s="15">
        <v>9157</v>
      </c>
      <c r="I40" s="15">
        <v>9593</v>
      </c>
      <c r="J40" s="15">
        <v>1751</v>
      </c>
      <c r="K40" s="15" t="s">
        <v>64</v>
      </c>
      <c r="L40" s="15">
        <v>4352</v>
      </c>
    </row>
    <row r="41" spans="1:12" x14ac:dyDescent="0.45">
      <c r="A41">
        <f t="shared" si="1"/>
        <v>32</v>
      </c>
      <c r="B41" t="str">
        <f t="shared" si="2"/>
        <v>xxxxxxxxxxxxxxxxxxxxxxxxxxxxxxxx</v>
      </c>
      <c r="C41" s="15">
        <v>256</v>
      </c>
      <c r="D41">
        <v>1</v>
      </c>
      <c r="E41">
        <v>1.0993258298530621E-3</v>
      </c>
      <c r="F41">
        <v>8.9574706198481649E-4</v>
      </c>
      <c r="G41">
        <v>3.6949522895118789E-3</v>
      </c>
      <c r="H41" s="15">
        <v>4549</v>
      </c>
      <c r="I41" s="15">
        <v>5582</v>
      </c>
      <c r="J41" s="15">
        <v>1354</v>
      </c>
      <c r="K41" s="15" t="s">
        <v>65</v>
      </c>
      <c r="L41" s="15">
        <v>8704</v>
      </c>
    </row>
    <row r="42" spans="1:12" x14ac:dyDescent="0.45">
      <c r="A42">
        <f t="shared" si="1"/>
        <v>32</v>
      </c>
      <c r="B42" t="str">
        <f t="shared" si="2"/>
        <v>xxxxxxxxxxxxxxxxxxxxxxxxxxxxxxxx</v>
      </c>
      <c r="C42" s="15">
        <v>512</v>
      </c>
      <c r="D42">
        <v>1</v>
      </c>
      <c r="E42">
        <v>1.7651133074481529E-3</v>
      </c>
      <c r="F42">
        <v>1.6841131020543982E-3</v>
      </c>
      <c r="G42">
        <v>5.2559193277317692E-3</v>
      </c>
      <c r="H42" s="15">
        <v>2833</v>
      </c>
      <c r="I42" s="15">
        <v>2969</v>
      </c>
      <c r="J42" s="15">
        <v>952</v>
      </c>
      <c r="K42" s="15" t="s">
        <v>66</v>
      </c>
      <c r="L42" s="15">
        <v>17408</v>
      </c>
    </row>
    <row r="43" spans="1:12" x14ac:dyDescent="0.45">
      <c r="A43">
        <f t="shared" si="1"/>
        <v>32</v>
      </c>
      <c r="B43" t="str">
        <f t="shared" si="2"/>
        <v>xxxxxxxxxxxxxxxxxxxxxxxxxxxxxxxx</v>
      </c>
      <c r="C43" s="15">
        <v>1024</v>
      </c>
      <c r="D43">
        <v>1</v>
      </c>
      <c r="E43">
        <v>3.6095994227991839E-3</v>
      </c>
      <c r="F43">
        <v>3.3403356045416653E-3</v>
      </c>
      <c r="G43">
        <v>8.641772711571901E-3</v>
      </c>
      <c r="H43" s="15">
        <v>1386</v>
      </c>
      <c r="I43" s="15">
        <v>1497</v>
      </c>
      <c r="J43" s="15">
        <v>579</v>
      </c>
      <c r="K43" s="15" t="s">
        <v>67</v>
      </c>
      <c r="L43" s="15">
        <v>34816</v>
      </c>
    </row>
    <row r="44" spans="1:12" x14ac:dyDescent="0.45">
      <c r="A44">
        <f t="shared" si="1"/>
        <v>32</v>
      </c>
      <c r="B44" t="str">
        <f t="shared" si="2"/>
        <v>xxxxxxxxxxxxxxxxxxxxxxxxxxxxxxxx</v>
      </c>
      <c r="C44" s="15">
        <v>2048</v>
      </c>
      <c r="D44">
        <v>1</v>
      </c>
      <c r="E44">
        <v>6.6196644179904573E-3</v>
      </c>
      <c r="F44">
        <v>6.4426679536677776E-3</v>
      </c>
      <c r="G44">
        <v>1.5512091950461162E-2</v>
      </c>
      <c r="H44" s="15">
        <v>756</v>
      </c>
      <c r="I44" s="15">
        <v>777</v>
      </c>
      <c r="J44" s="15">
        <v>323</v>
      </c>
      <c r="K44" s="15" t="s">
        <v>68</v>
      </c>
      <c r="L44" s="15">
        <v>69632</v>
      </c>
    </row>
    <row r="45" spans="1:12" x14ac:dyDescent="0.45">
      <c r="A45">
        <f t="shared" si="1"/>
        <v>32</v>
      </c>
      <c r="B45" t="str">
        <f t="shared" si="2"/>
        <v>xxxxxxxxxxxxxxxxxxxxxxxxxxxxxxxx</v>
      </c>
      <c r="C45" s="15">
        <v>4096</v>
      </c>
      <c r="D45">
        <v>1</v>
      </c>
      <c r="E45">
        <v>1.2783892346941666E-2</v>
      </c>
      <c r="F45">
        <v>1.2523153749998527E-2</v>
      </c>
      <c r="G45">
        <v>3.0566157926819514E-2</v>
      </c>
      <c r="H45" s="15">
        <v>392</v>
      </c>
      <c r="I45" s="15">
        <v>400</v>
      </c>
      <c r="J45" s="15">
        <v>164</v>
      </c>
      <c r="K45" s="15" t="s">
        <v>69</v>
      </c>
      <c r="L45" s="15">
        <v>139264</v>
      </c>
    </row>
    <row r="46" spans="1:12" x14ac:dyDescent="0.45">
      <c r="A46">
        <f t="shared" si="1"/>
        <v>32</v>
      </c>
      <c r="B46" t="str">
        <f t="shared" si="2"/>
        <v>xxxxxxxxxxxxxxxxxxxxxxxxxxxxxxxx</v>
      </c>
      <c r="C46" s="15">
        <v>8192</v>
      </c>
      <c r="D46">
        <v>1</v>
      </c>
      <c r="E46">
        <v>2.7055212432438764E-2</v>
      </c>
      <c r="F46">
        <v>2.6463665079361855E-2</v>
      </c>
      <c r="G46">
        <v>5.0198493000007144E-2</v>
      </c>
      <c r="H46" s="15">
        <v>185</v>
      </c>
      <c r="I46" s="15">
        <v>189</v>
      </c>
      <c r="J46" s="15">
        <v>100</v>
      </c>
      <c r="K46" s="15" t="s">
        <v>70</v>
      </c>
      <c r="L46" s="15">
        <v>278528</v>
      </c>
    </row>
    <row r="47" spans="1:12" x14ac:dyDescent="0.45">
      <c r="A47">
        <f t="shared" si="1"/>
        <v>32</v>
      </c>
      <c r="B47" t="str">
        <f t="shared" si="2"/>
        <v>xxxxxxxxxxxxxxxxxxxxxxxxxxxxxxxx</v>
      </c>
      <c r="C47" s="15">
        <v>16384</v>
      </c>
      <c r="D47">
        <v>1</v>
      </c>
      <c r="E47">
        <v>5.6172302222229416E-2</v>
      </c>
      <c r="F47">
        <v>5.0571818181821861E-2</v>
      </c>
      <c r="G47">
        <v>9.6531917307682027E-2</v>
      </c>
      <c r="H47" s="15">
        <v>90</v>
      </c>
      <c r="I47" s="15">
        <v>99</v>
      </c>
      <c r="J47" s="15">
        <v>52</v>
      </c>
      <c r="K47" s="15" t="s">
        <v>71</v>
      </c>
      <c r="L47" s="15">
        <v>557056</v>
      </c>
    </row>
    <row r="48" spans="1:12" x14ac:dyDescent="0.45">
      <c r="A48">
        <f t="shared" si="1"/>
        <v>32</v>
      </c>
      <c r="B48" t="str">
        <f t="shared" si="2"/>
        <v>xxxxxxxxxxxxxxxxxxxxxxxxxxxxxxxx</v>
      </c>
      <c r="C48" s="15">
        <v>32768</v>
      </c>
      <c r="D48">
        <v>1</v>
      </c>
      <c r="E48">
        <v>0.1080429361702161</v>
      </c>
      <c r="F48">
        <v>0.10883963404256142</v>
      </c>
      <c r="G48">
        <v>0.18798502962959496</v>
      </c>
      <c r="H48" s="15">
        <v>47</v>
      </c>
      <c r="I48" s="15">
        <v>47</v>
      </c>
      <c r="J48" s="15">
        <v>27</v>
      </c>
      <c r="K48" s="15" t="s">
        <v>72</v>
      </c>
      <c r="L48" s="15">
        <v>1114112</v>
      </c>
    </row>
    <row r="49" spans="1:12" x14ac:dyDescent="0.45">
      <c r="A49">
        <f t="shared" si="1"/>
        <v>32</v>
      </c>
      <c r="B49" t="str">
        <f t="shared" si="2"/>
        <v>xxxxxxxxxxxxxxxxxxxxxxxxxxxxxxxx</v>
      </c>
      <c r="C49" s="15">
        <v>65536</v>
      </c>
      <c r="D49">
        <v>1</v>
      </c>
      <c r="E49">
        <v>0.21789429999997714</v>
      </c>
      <c r="F49">
        <v>0.20836787500002174</v>
      </c>
      <c r="G49">
        <v>0.3881295384615861</v>
      </c>
      <c r="H49" s="15">
        <v>23</v>
      </c>
      <c r="I49" s="15">
        <v>24</v>
      </c>
      <c r="J49" s="15">
        <v>13</v>
      </c>
      <c r="K49" s="15" t="s">
        <v>73</v>
      </c>
      <c r="L49" s="15">
        <v>2228224</v>
      </c>
    </row>
    <row r="50" spans="1:12" x14ac:dyDescent="0.45">
      <c r="A50">
        <f t="shared" si="1"/>
        <v>32</v>
      </c>
      <c r="B50" t="str">
        <f t="shared" si="2"/>
        <v>xxxxxxxxxxxxxxxxxxxxxxxxxxxxxxxx</v>
      </c>
      <c r="C50" s="15">
        <v>131072</v>
      </c>
      <c r="D50">
        <v>1</v>
      </c>
      <c r="E50">
        <v>0.42822090833336307</v>
      </c>
      <c r="F50">
        <v>0.41175323076920622</v>
      </c>
      <c r="G50">
        <v>0.75083692857151618</v>
      </c>
      <c r="H50" s="15">
        <v>12</v>
      </c>
      <c r="I50" s="15">
        <v>13</v>
      </c>
      <c r="J50" s="15">
        <v>7</v>
      </c>
      <c r="K50" s="15" t="s">
        <v>74</v>
      </c>
      <c r="L50" s="15">
        <v>4456448</v>
      </c>
    </row>
    <row r="51" spans="1:12" x14ac:dyDescent="0.45">
      <c r="A51">
        <f t="shared" si="1"/>
        <v>32</v>
      </c>
      <c r="B51" t="str">
        <f t="shared" si="2"/>
        <v>xxxxxxxxxxxxxxxxxxxxxxxxxxxxxxxx</v>
      </c>
      <c r="C51" s="15">
        <v>262144</v>
      </c>
      <c r="D51">
        <v>1</v>
      </c>
      <c r="E51">
        <v>0.86779139999998733</v>
      </c>
      <c r="F51">
        <v>0.8477728499998799</v>
      </c>
      <c r="G51">
        <v>1.5137419750003573</v>
      </c>
      <c r="H51" s="15">
        <v>6</v>
      </c>
      <c r="I51" s="15">
        <v>6</v>
      </c>
      <c r="J51" s="15">
        <v>4</v>
      </c>
      <c r="K51" s="15" t="s">
        <v>75</v>
      </c>
      <c r="L51" s="15">
        <v>8912896</v>
      </c>
    </row>
    <row r="52" spans="1:12" x14ac:dyDescent="0.45">
      <c r="A52">
        <f t="shared" si="1"/>
        <v>32</v>
      </c>
      <c r="B52" t="str">
        <f t="shared" si="2"/>
        <v>xxxxxxxxxxxxxxxxxxxxxxxxxxxxxxxx</v>
      </c>
      <c r="C52" s="15">
        <v>524288</v>
      </c>
      <c r="D52">
        <v>1</v>
      </c>
      <c r="E52">
        <v>1.7959464333331805</v>
      </c>
      <c r="F52">
        <v>1.8226661000001816</v>
      </c>
      <c r="G52">
        <v>2.8933888500005196</v>
      </c>
      <c r="H52" s="15">
        <v>3</v>
      </c>
      <c r="I52" s="15">
        <v>3</v>
      </c>
      <c r="J52" s="15">
        <v>2</v>
      </c>
      <c r="K52" s="15" t="s">
        <v>76</v>
      </c>
      <c r="L52" s="15">
        <v>17825792</v>
      </c>
    </row>
    <row r="53" spans="1:12" x14ac:dyDescent="0.45">
      <c r="A53">
        <f t="shared" si="1"/>
        <v>32</v>
      </c>
      <c r="B53" t="str">
        <f t="shared" si="2"/>
        <v>xxxxxxxxxxxxxxxxxxxxxxxxxxxxxxxx</v>
      </c>
      <c r="C53" s="15">
        <v>1048576</v>
      </c>
      <c r="D53">
        <v>1</v>
      </c>
      <c r="E53">
        <v>3.582008549999955</v>
      </c>
      <c r="F53">
        <v>3.4363585999999486</v>
      </c>
      <c r="G53">
        <v>5.8959924000009778</v>
      </c>
      <c r="H53" s="15">
        <v>2</v>
      </c>
      <c r="I53" s="15">
        <v>2</v>
      </c>
      <c r="J53" s="15">
        <v>1</v>
      </c>
      <c r="K53" s="15" t="s">
        <v>77</v>
      </c>
      <c r="L53" s="15">
        <v>35651584</v>
      </c>
    </row>
    <row r="54" spans="1:12" x14ac:dyDescent="0.45">
      <c r="C54" s="15"/>
      <c r="H54" s="15"/>
      <c r="I54" s="15"/>
      <c r="J54" s="15"/>
    </row>
    <row r="55" spans="1:12" x14ac:dyDescent="0.45">
      <c r="H55" s="15"/>
      <c r="I55" s="15"/>
      <c r="J55" s="15"/>
    </row>
    <row r="56" spans="1:12" x14ac:dyDescent="0.45">
      <c r="H56" s="15"/>
      <c r="I56" s="15"/>
      <c r="J56" s="15"/>
    </row>
    <row r="57" spans="1:12" x14ac:dyDescent="0.45">
      <c r="H57" s="15"/>
      <c r="I57" s="15"/>
      <c r="J57" s="15"/>
    </row>
    <row r="58" spans="1:12" x14ac:dyDescent="0.45">
      <c r="H58" s="15"/>
      <c r="I58" s="15"/>
      <c r="J58" s="15"/>
      <c r="K58" s="19" t="s">
        <v>78</v>
      </c>
    </row>
    <row r="59" spans="1:12" ht="28.5" x14ac:dyDescent="0.45">
      <c r="A59" s="16" t="s">
        <v>21</v>
      </c>
      <c r="B59" s="16" t="s">
        <v>22</v>
      </c>
      <c r="C59" s="16" t="s">
        <v>23</v>
      </c>
      <c r="D59" s="16" t="s">
        <v>24</v>
      </c>
      <c r="E59" s="16" t="s">
        <v>25</v>
      </c>
      <c r="F59" s="16" t="s">
        <v>26</v>
      </c>
      <c r="G59" s="16" t="s">
        <v>27</v>
      </c>
      <c r="H59" s="17" t="s">
        <v>28</v>
      </c>
      <c r="I59" s="17" t="s">
        <v>29</v>
      </c>
      <c r="J59" s="17" t="s">
        <v>30</v>
      </c>
      <c r="K59" s="16" t="s">
        <v>31</v>
      </c>
      <c r="L59" s="16" t="s">
        <v>32</v>
      </c>
    </row>
    <row r="60" spans="1:12" x14ac:dyDescent="0.45">
      <c r="A60">
        <f>LEN(B60)</f>
        <v>20</v>
      </c>
      <c r="B60" t="str">
        <f>"""xxxxxxxx"&amp;CHAR(13)&amp;CHAR(10)&amp;"yyyyyyyy"""</f>
        <v>"xxxxxxxx_x000D_
yyyyyyyy"</v>
      </c>
      <c r="C60" s="15">
        <v>1</v>
      </c>
      <c r="D60">
        <v>1</v>
      </c>
      <c r="E60">
        <v>1.3567349812775112E-4</v>
      </c>
      <c r="F60">
        <v>1.3170781813871631E-4</v>
      </c>
      <c r="G60">
        <v>2.1205321882948533E-3</v>
      </c>
      <c r="H60" s="15">
        <v>36854</v>
      </c>
      <c r="I60" s="15">
        <v>37963</v>
      </c>
      <c r="J60" s="15">
        <v>2358</v>
      </c>
      <c r="K60" s="15" t="s">
        <v>79</v>
      </c>
      <c r="L60" s="15">
        <v>22</v>
      </c>
    </row>
    <row r="61" spans="1:12" x14ac:dyDescent="0.45">
      <c r="A61">
        <f t="shared" ref="A61:A80" si="3">LEN(B61)</f>
        <v>20</v>
      </c>
      <c r="B61" t="str">
        <f t="shared" ref="B61:B80" si="4">"""xxxxxxxx"&amp;CHAR(13)&amp;CHAR(10)&amp;"yyyyyyyy"""</f>
        <v>"xxxxxxxx_x000D_
yyyyyyyy"</v>
      </c>
      <c r="C61" s="15">
        <v>2</v>
      </c>
      <c r="D61">
        <v>1</v>
      </c>
      <c r="E61">
        <v>1.3225410638238616E-4</v>
      </c>
      <c r="F61">
        <v>1.3077067608213924E-4</v>
      </c>
      <c r="G61">
        <v>2.1399235772357511E-3</v>
      </c>
      <c r="H61" s="15">
        <v>37807</v>
      </c>
      <c r="I61" s="15">
        <v>38235</v>
      </c>
      <c r="J61" s="15">
        <v>2337</v>
      </c>
      <c r="K61" s="15" t="s">
        <v>80</v>
      </c>
      <c r="L61" s="15">
        <v>44</v>
      </c>
    </row>
    <row r="62" spans="1:12" x14ac:dyDescent="0.45">
      <c r="A62">
        <f t="shared" si="3"/>
        <v>20</v>
      </c>
      <c r="B62" t="str">
        <f t="shared" si="4"/>
        <v>"xxxxxxxx_x000D_
yyyyyyyy"</v>
      </c>
      <c r="C62" s="15">
        <v>4</v>
      </c>
      <c r="D62">
        <v>1</v>
      </c>
      <c r="E62">
        <v>1.3949159157486467E-4</v>
      </c>
      <c r="F62">
        <v>1.3916558768685533E-4</v>
      </c>
      <c r="G62">
        <v>2.2125548230090002E-3</v>
      </c>
      <c r="H62" s="15">
        <v>35845</v>
      </c>
      <c r="I62" s="15">
        <v>35929</v>
      </c>
      <c r="J62" s="15">
        <v>2260</v>
      </c>
      <c r="K62" s="15" t="s">
        <v>81</v>
      </c>
      <c r="L62" s="15">
        <v>88</v>
      </c>
    </row>
    <row r="63" spans="1:12" x14ac:dyDescent="0.45">
      <c r="A63">
        <f t="shared" si="3"/>
        <v>20</v>
      </c>
      <c r="B63" t="str">
        <f t="shared" si="4"/>
        <v>"xxxxxxxx_x000D_
yyyyyyyy"</v>
      </c>
      <c r="C63" s="15">
        <v>8</v>
      </c>
      <c r="D63">
        <v>1</v>
      </c>
      <c r="E63">
        <v>1.7221753117033228E-4</v>
      </c>
      <c r="F63">
        <v>1.9038297985759768E-4</v>
      </c>
      <c r="G63">
        <v>2.4365383341457764E-3</v>
      </c>
      <c r="H63" s="15">
        <v>29034</v>
      </c>
      <c r="I63" s="15">
        <v>26263</v>
      </c>
      <c r="J63" s="15">
        <v>2053</v>
      </c>
      <c r="K63" s="15" t="s">
        <v>82</v>
      </c>
      <c r="L63" s="15">
        <v>176</v>
      </c>
    </row>
    <row r="64" spans="1:12" x14ac:dyDescent="0.45">
      <c r="A64">
        <f t="shared" si="3"/>
        <v>20</v>
      </c>
      <c r="B64" t="str">
        <f t="shared" si="4"/>
        <v>"xxxxxxxx_x000D_
yyyyyyyy"</v>
      </c>
      <c r="C64" s="15">
        <v>16</v>
      </c>
      <c r="D64">
        <v>1</v>
      </c>
      <c r="E64">
        <v>1.8136480467190202E-4</v>
      </c>
      <c r="F64">
        <v>1.8695294447563797E-4</v>
      </c>
      <c r="G64">
        <v>2.7876381270908641E-3</v>
      </c>
      <c r="H64" s="15">
        <v>27569</v>
      </c>
      <c r="I64" s="15">
        <v>26745</v>
      </c>
      <c r="J64" s="15">
        <v>1794</v>
      </c>
      <c r="K64" s="15" t="s">
        <v>83</v>
      </c>
      <c r="L64" s="15">
        <v>352</v>
      </c>
    </row>
    <row r="65" spans="1:12" x14ac:dyDescent="0.45">
      <c r="A65">
        <f t="shared" si="3"/>
        <v>20</v>
      </c>
      <c r="B65" t="str">
        <f t="shared" si="4"/>
        <v>"xxxxxxxx_x000D_
yyyyyyyy"</v>
      </c>
      <c r="C65" s="15">
        <v>32</v>
      </c>
      <c r="D65">
        <v>1</v>
      </c>
      <c r="E65">
        <v>2.1690347041472587E-4</v>
      </c>
      <c r="F65">
        <v>2.4684732424956412E-4</v>
      </c>
      <c r="G65">
        <v>3.4859562369333442E-3</v>
      </c>
      <c r="H65" s="15">
        <v>23052</v>
      </c>
      <c r="I65" s="15">
        <v>20256</v>
      </c>
      <c r="J65" s="15">
        <v>1435</v>
      </c>
      <c r="K65" s="15" t="s">
        <v>84</v>
      </c>
      <c r="L65" s="15">
        <v>704</v>
      </c>
    </row>
    <row r="66" spans="1:12" x14ac:dyDescent="0.45">
      <c r="A66">
        <f t="shared" si="3"/>
        <v>20</v>
      </c>
      <c r="B66" t="str">
        <f t="shared" si="4"/>
        <v>"xxxxxxxx_x000D_
yyyyyyyy"</v>
      </c>
      <c r="C66" s="15">
        <v>64</v>
      </c>
      <c r="D66">
        <v>1</v>
      </c>
      <c r="E66">
        <v>3.0753628759459334E-4</v>
      </c>
      <c r="F66">
        <v>3.5893744885506535E-4</v>
      </c>
      <c r="G66">
        <v>4.9010044074429392E-3</v>
      </c>
      <c r="H66" s="15">
        <v>16259</v>
      </c>
      <c r="I66" s="15">
        <v>13931</v>
      </c>
      <c r="J66" s="15">
        <v>1021</v>
      </c>
      <c r="K66" s="15" t="s">
        <v>85</v>
      </c>
      <c r="L66" s="15">
        <v>1408</v>
      </c>
    </row>
    <row r="67" spans="1:12" x14ac:dyDescent="0.45">
      <c r="A67">
        <f t="shared" si="3"/>
        <v>20</v>
      </c>
      <c r="B67" t="str">
        <f t="shared" si="4"/>
        <v>"xxxxxxxx_x000D_
yyyyyyyy"</v>
      </c>
      <c r="C67" s="15">
        <v>128</v>
      </c>
      <c r="D67">
        <v>1</v>
      </c>
      <c r="E67">
        <v>4.7192518168947672E-4</v>
      </c>
      <c r="F67">
        <v>6.4075115325486686E-4</v>
      </c>
      <c r="G67">
        <v>7.7835065318822318E-3</v>
      </c>
      <c r="H67" s="15">
        <v>10595</v>
      </c>
      <c r="I67" s="15">
        <v>7804</v>
      </c>
      <c r="J67" s="15">
        <v>643</v>
      </c>
      <c r="K67" s="15" t="s">
        <v>86</v>
      </c>
      <c r="L67" s="15">
        <v>2816</v>
      </c>
    </row>
    <row r="68" spans="1:12" x14ac:dyDescent="0.45">
      <c r="A68">
        <f t="shared" si="3"/>
        <v>20</v>
      </c>
      <c r="B68" t="str">
        <f t="shared" si="4"/>
        <v>"xxxxxxxx_x000D_
yyyyyyyy"</v>
      </c>
      <c r="C68" s="15">
        <v>256</v>
      </c>
      <c r="D68">
        <v>1</v>
      </c>
      <c r="E68">
        <v>8.5133971739877223E-4</v>
      </c>
      <c r="F68">
        <v>1.0669829528483189E-3</v>
      </c>
      <c r="G68">
        <v>1.3360757866665759E-2</v>
      </c>
      <c r="H68" s="15">
        <v>5874</v>
      </c>
      <c r="I68" s="15">
        <v>4687</v>
      </c>
      <c r="J68" s="15">
        <v>375</v>
      </c>
      <c r="K68" s="15" t="s">
        <v>87</v>
      </c>
      <c r="L68" s="15">
        <v>5632</v>
      </c>
    </row>
    <row r="69" spans="1:12" x14ac:dyDescent="0.45">
      <c r="A69">
        <f t="shared" si="3"/>
        <v>20</v>
      </c>
      <c r="B69" t="str">
        <f t="shared" si="4"/>
        <v>"xxxxxxxx_x000D_
yyyyyyyy"</v>
      </c>
      <c r="C69" s="15">
        <v>512</v>
      </c>
      <c r="D69">
        <v>1</v>
      </c>
      <c r="E69">
        <v>1.5580145794395484E-3</v>
      </c>
      <c r="F69">
        <v>2.0273659910822733E-3</v>
      </c>
      <c r="G69">
        <v>2.465726600984915E-2</v>
      </c>
      <c r="H69" s="15">
        <v>3210</v>
      </c>
      <c r="I69" s="15">
        <v>2467</v>
      </c>
      <c r="J69" s="15">
        <v>203</v>
      </c>
      <c r="K69" s="15" t="s">
        <v>88</v>
      </c>
      <c r="L69" s="15">
        <v>11264</v>
      </c>
    </row>
    <row r="70" spans="1:12" x14ac:dyDescent="0.45">
      <c r="A70">
        <f t="shared" si="3"/>
        <v>20</v>
      </c>
      <c r="B70" t="str">
        <f t="shared" si="4"/>
        <v>"xxxxxxxx_x000D_
yyyyyyyy"</v>
      </c>
      <c r="C70" s="15">
        <v>1024</v>
      </c>
      <c r="D70">
        <v>1</v>
      </c>
      <c r="E70">
        <v>2.9377303760288248E-3</v>
      </c>
      <c r="F70">
        <v>3.9924034317649817E-3</v>
      </c>
      <c r="G70">
        <v>4.7666095238084724E-2</v>
      </c>
      <c r="H70" s="15">
        <v>1702</v>
      </c>
      <c r="I70" s="15">
        <v>1253</v>
      </c>
      <c r="J70" s="15">
        <v>105</v>
      </c>
      <c r="K70" s="15" t="s">
        <v>89</v>
      </c>
      <c r="L70" s="15">
        <v>22528</v>
      </c>
    </row>
    <row r="71" spans="1:12" x14ac:dyDescent="0.45">
      <c r="A71">
        <f t="shared" si="3"/>
        <v>20</v>
      </c>
      <c r="B71" t="str">
        <f t="shared" si="4"/>
        <v>"xxxxxxxx_x000D_
yyyyyyyy"</v>
      </c>
      <c r="C71" s="15">
        <v>2048</v>
      </c>
      <c r="D71">
        <v>1</v>
      </c>
      <c r="E71">
        <v>6.0274114457833233E-3</v>
      </c>
      <c r="F71">
        <v>7.977871451356134E-3</v>
      </c>
      <c r="G71">
        <v>9.0674260714260005E-2</v>
      </c>
      <c r="H71" s="15">
        <v>830</v>
      </c>
      <c r="I71" s="15">
        <v>627</v>
      </c>
      <c r="J71" s="15">
        <v>56</v>
      </c>
      <c r="K71" s="15" t="s">
        <v>90</v>
      </c>
      <c r="L71" s="15">
        <v>45056</v>
      </c>
    </row>
    <row r="72" spans="1:12" x14ac:dyDescent="0.45">
      <c r="A72">
        <f t="shared" si="3"/>
        <v>20</v>
      </c>
      <c r="B72" t="str">
        <f t="shared" si="4"/>
        <v>"xxxxxxxx_x000D_
yyyyyyyy"</v>
      </c>
      <c r="C72" s="15">
        <v>4096</v>
      </c>
      <c r="D72">
        <v>1</v>
      </c>
      <c r="E72">
        <v>1.1897668408548568E-2</v>
      </c>
      <c r="F72">
        <v>1.7183045205481355E-2</v>
      </c>
      <c r="G72">
        <v>0.17943677857140625</v>
      </c>
      <c r="H72" s="15">
        <v>421</v>
      </c>
      <c r="I72" s="15">
        <v>292</v>
      </c>
      <c r="J72" s="15">
        <v>28</v>
      </c>
      <c r="K72" s="15" t="s">
        <v>91</v>
      </c>
      <c r="L72" s="15">
        <v>90112</v>
      </c>
    </row>
    <row r="73" spans="1:12" x14ac:dyDescent="0.45">
      <c r="A73">
        <f t="shared" si="3"/>
        <v>20</v>
      </c>
      <c r="B73" t="str">
        <f t="shared" si="4"/>
        <v>"xxxxxxxx_x000D_
yyyyyyyy"</v>
      </c>
      <c r="C73" s="15">
        <v>8192</v>
      </c>
      <c r="D73">
        <v>1</v>
      </c>
      <c r="E73">
        <v>2.4520391219514905E-2</v>
      </c>
      <c r="F73">
        <v>3.929657265625508E-2</v>
      </c>
      <c r="G73">
        <v>0.36980856428570924</v>
      </c>
      <c r="H73" s="15">
        <v>205</v>
      </c>
      <c r="I73" s="15">
        <v>128</v>
      </c>
      <c r="J73" s="15">
        <v>14</v>
      </c>
      <c r="K73" s="15" t="s">
        <v>92</v>
      </c>
      <c r="L73" s="15">
        <v>180224</v>
      </c>
    </row>
    <row r="74" spans="1:12" x14ac:dyDescent="0.45">
      <c r="A74">
        <f t="shared" si="3"/>
        <v>20</v>
      </c>
      <c r="B74" t="str">
        <f t="shared" si="4"/>
        <v>"xxxxxxxx_x000D_
yyyyyyyy"</v>
      </c>
      <c r="C74" s="15">
        <v>16384</v>
      </c>
      <c r="D74">
        <v>1</v>
      </c>
      <c r="E74">
        <v>4.9144540196079216E-2</v>
      </c>
      <c r="F74">
        <v>6.6956312000014201E-2</v>
      </c>
      <c r="G74">
        <v>0.68389747499986697</v>
      </c>
      <c r="H74" s="15">
        <v>102</v>
      </c>
      <c r="I74" s="15">
        <v>75</v>
      </c>
      <c r="J74" s="15">
        <v>8</v>
      </c>
      <c r="K74" s="15" t="s">
        <v>93</v>
      </c>
      <c r="L74" s="15">
        <v>360448</v>
      </c>
    </row>
    <row r="75" spans="1:12" x14ac:dyDescent="0.45">
      <c r="A75">
        <f t="shared" si="3"/>
        <v>20</v>
      </c>
      <c r="B75" t="str">
        <f t="shared" si="4"/>
        <v>"xxxxxxxx_x000D_
yyyyyyyy"</v>
      </c>
      <c r="C75" s="15">
        <v>32768</v>
      </c>
      <c r="D75">
        <v>1</v>
      </c>
      <c r="E75">
        <v>9.8250663461525473E-2</v>
      </c>
      <c r="F75">
        <v>0.12941028205130303</v>
      </c>
      <c r="G75">
        <v>1.3799760750002861</v>
      </c>
      <c r="H75" s="15">
        <v>52</v>
      </c>
      <c r="I75" s="15">
        <v>39</v>
      </c>
      <c r="J75" s="15">
        <v>4</v>
      </c>
      <c r="K75" s="15" t="s">
        <v>94</v>
      </c>
      <c r="L75" s="15">
        <v>720896</v>
      </c>
    </row>
    <row r="76" spans="1:12" x14ac:dyDescent="0.45">
      <c r="A76">
        <f t="shared" si="3"/>
        <v>20</v>
      </c>
      <c r="B76" t="str">
        <f t="shared" si="4"/>
        <v>"xxxxxxxx_x000D_
yyyyyyyy"</v>
      </c>
      <c r="C76" s="15">
        <v>65536</v>
      </c>
      <c r="D76">
        <v>1</v>
      </c>
      <c r="E76">
        <v>0.18622684444441498</v>
      </c>
      <c r="F76">
        <v>0.24686819523811296</v>
      </c>
      <c r="G76">
        <v>2.6827184499998111</v>
      </c>
      <c r="H76" s="15">
        <v>27</v>
      </c>
      <c r="I76" s="15">
        <v>21</v>
      </c>
      <c r="J76" s="15">
        <v>2</v>
      </c>
      <c r="K76" s="15" t="s">
        <v>95</v>
      </c>
      <c r="L76" s="15">
        <v>1441792</v>
      </c>
    </row>
    <row r="77" spans="1:12" x14ac:dyDescent="0.45">
      <c r="A77">
        <f t="shared" si="3"/>
        <v>20</v>
      </c>
      <c r="B77" t="str">
        <f t="shared" si="4"/>
        <v>"xxxxxxxx_x000D_
yyyyyyyy"</v>
      </c>
      <c r="C77" s="15">
        <v>131072</v>
      </c>
      <c r="D77">
        <v>1</v>
      </c>
      <c r="E77">
        <v>0.37313579285702353</v>
      </c>
      <c r="F77">
        <v>0.51129760999992868</v>
      </c>
      <c r="G77">
        <v>5.3784223999991809</v>
      </c>
      <c r="H77" s="15">
        <v>14</v>
      </c>
      <c r="I77" s="15">
        <v>10</v>
      </c>
      <c r="J77" s="15">
        <v>1</v>
      </c>
      <c r="K77" s="15" t="s">
        <v>96</v>
      </c>
      <c r="L77" s="15">
        <v>2883584</v>
      </c>
    </row>
    <row r="78" spans="1:12" x14ac:dyDescent="0.45">
      <c r="A78">
        <f t="shared" si="3"/>
        <v>20</v>
      </c>
      <c r="B78" t="str">
        <f t="shared" si="4"/>
        <v>"xxxxxxxx_x000D_
yyyyyyyy"</v>
      </c>
      <c r="C78" s="15">
        <v>262144</v>
      </c>
      <c r="D78">
        <v>1</v>
      </c>
      <c r="E78">
        <v>0.75582249999985962</v>
      </c>
      <c r="F78">
        <v>1.0205561999999191</v>
      </c>
      <c r="G78">
        <v>10.586581199999273</v>
      </c>
      <c r="H78" s="15">
        <v>7</v>
      </c>
      <c r="I78" s="15">
        <v>5</v>
      </c>
      <c r="J78" s="15">
        <v>1</v>
      </c>
      <c r="K78" s="15" t="s">
        <v>97</v>
      </c>
      <c r="L78" s="15">
        <v>5767168</v>
      </c>
    </row>
    <row r="79" spans="1:12" x14ac:dyDescent="0.45">
      <c r="A79">
        <f t="shared" si="3"/>
        <v>20</v>
      </c>
      <c r="B79" t="str">
        <f t="shared" si="4"/>
        <v>"xxxxxxxx_x000D_
yyyyyyyy"</v>
      </c>
      <c r="C79" s="15">
        <v>524288</v>
      </c>
      <c r="D79">
        <v>1</v>
      </c>
      <c r="E79">
        <v>1.4738968249998834</v>
      </c>
      <c r="F79">
        <v>1.9751824999996945</v>
      </c>
      <c r="G79">
        <v>21.460097799999858</v>
      </c>
      <c r="H79" s="15">
        <v>4</v>
      </c>
      <c r="I79" s="15">
        <v>3</v>
      </c>
      <c r="J79" s="15">
        <v>1</v>
      </c>
      <c r="K79" s="15" t="s">
        <v>98</v>
      </c>
      <c r="L79" s="15">
        <v>11534336</v>
      </c>
    </row>
    <row r="80" spans="1:12" x14ac:dyDescent="0.45">
      <c r="A80">
        <f t="shared" si="3"/>
        <v>20</v>
      </c>
      <c r="B80" t="str">
        <f t="shared" si="4"/>
        <v>"xxxxxxxx_x000D_
yyyyyyyy"</v>
      </c>
      <c r="C80" s="15">
        <v>1048576</v>
      </c>
      <c r="D80">
        <v>1</v>
      </c>
      <c r="E80">
        <v>3.044153599999845</v>
      </c>
      <c r="F80">
        <v>4.3303928499999529</v>
      </c>
      <c r="G80">
        <v>45.975075800000923</v>
      </c>
      <c r="H80" s="15">
        <v>2</v>
      </c>
      <c r="I80" s="15">
        <v>2</v>
      </c>
      <c r="J80" s="15">
        <v>1</v>
      </c>
      <c r="K80" s="15" t="s">
        <v>99</v>
      </c>
      <c r="L80" s="15">
        <v>23068672</v>
      </c>
    </row>
    <row r="81" spans="1:12" x14ac:dyDescent="0.45">
      <c r="C81" s="15"/>
      <c r="H81" s="15"/>
      <c r="I81" s="15"/>
      <c r="J81" s="15"/>
    </row>
    <row r="82" spans="1:12" x14ac:dyDescent="0.45">
      <c r="H82" s="15"/>
      <c r="I82" s="15"/>
      <c r="J82" s="15"/>
    </row>
    <row r="83" spans="1:12" x14ac:dyDescent="0.45">
      <c r="H83" s="15"/>
      <c r="I83" s="15"/>
      <c r="J83" s="15"/>
    </row>
    <row r="84" spans="1:12" x14ac:dyDescent="0.45">
      <c r="H84" s="15"/>
      <c r="I84" s="15"/>
      <c r="J84" s="15"/>
    </row>
    <row r="85" spans="1:12" x14ac:dyDescent="0.45">
      <c r="H85" s="15"/>
      <c r="I85" s="15"/>
      <c r="J85" s="15"/>
      <c r="K85" s="19" t="s">
        <v>100</v>
      </c>
    </row>
    <row r="86" spans="1:12" ht="28.5" x14ac:dyDescent="0.45">
      <c r="A86" s="16" t="s">
        <v>21</v>
      </c>
      <c r="B86" s="16" t="s">
        <v>22</v>
      </c>
      <c r="C86" s="16" t="s">
        <v>23</v>
      </c>
      <c r="D86" s="16" t="s">
        <v>24</v>
      </c>
      <c r="E86" s="16" t="s">
        <v>25</v>
      </c>
      <c r="F86" s="16" t="s">
        <v>26</v>
      </c>
      <c r="G86" s="16" t="s">
        <v>27</v>
      </c>
      <c r="H86" s="17" t="s">
        <v>28</v>
      </c>
      <c r="I86" s="17" t="s">
        <v>29</v>
      </c>
      <c r="J86" s="17" t="s">
        <v>30</v>
      </c>
      <c r="K86" s="16" t="s">
        <v>31</v>
      </c>
      <c r="L86" s="16" t="s">
        <v>32</v>
      </c>
    </row>
    <row r="87" spans="1:12" x14ac:dyDescent="0.45">
      <c r="A87">
        <f>LEN(B87)</f>
        <v>17</v>
      </c>
      <c r="B87">
        <v>0.71905720709757637</v>
      </c>
      <c r="C87" s="20">
        <v>1</v>
      </c>
      <c r="D87" s="21">
        <v>10</v>
      </c>
      <c r="E87">
        <v>1.4908748285526142E-4</v>
      </c>
      <c r="F87">
        <v>1.4728784906324128E-4</v>
      </c>
      <c r="G87">
        <v>2.2751768425840783E-3</v>
      </c>
      <c r="H87" s="15">
        <v>33538</v>
      </c>
      <c r="I87" s="15">
        <v>33948</v>
      </c>
      <c r="J87" s="15">
        <v>2198</v>
      </c>
      <c r="K87" s="15" t="s">
        <v>101</v>
      </c>
      <c r="L87" s="15">
        <v>181</v>
      </c>
    </row>
    <row r="88" spans="1:12" x14ac:dyDescent="0.45">
      <c r="A88">
        <f t="shared" ref="A88:A105" si="5">LEN(B88)</f>
        <v>17</v>
      </c>
      <c r="B88">
        <v>0.71905720709757637</v>
      </c>
      <c r="C88" s="20">
        <v>2</v>
      </c>
      <c r="D88" s="21">
        <v>10</v>
      </c>
      <c r="E88">
        <v>1.716066101520495E-4</v>
      </c>
      <c r="F88">
        <v>1.7214758478225641E-4</v>
      </c>
      <c r="G88">
        <v>2.1500276870164048E-3</v>
      </c>
      <c r="H88" s="15">
        <v>29137</v>
      </c>
      <c r="I88" s="15">
        <v>29045</v>
      </c>
      <c r="J88" s="15">
        <v>2326</v>
      </c>
      <c r="K88" s="15" t="s">
        <v>102</v>
      </c>
      <c r="L88" s="15">
        <v>362</v>
      </c>
    </row>
    <row r="89" spans="1:12" x14ac:dyDescent="0.45">
      <c r="A89">
        <f t="shared" si="5"/>
        <v>17</v>
      </c>
      <c r="B89">
        <v>0.71905720709757637</v>
      </c>
      <c r="C89" s="20">
        <v>4</v>
      </c>
      <c r="D89" s="21">
        <v>10</v>
      </c>
      <c r="E89">
        <v>2.1159209936095759E-4</v>
      </c>
      <c r="F89">
        <v>2.0275161185675589E-4</v>
      </c>
      <c r="G89">
        <v>2.2272576391978893E-3</v>
      </c>
      <c r="H89" s="15">
        <v>23631</v>
      </c>
      <c r="I89" s="15">
        <v>24661</v>
      </c>
      <c r="J89" s="15">
        <v>2245</v>
      </c>
      <c r="K89" s="15" t="s">
        <v>103</v>
      </c>
      <c r="L89" s="15">
        <v>724</v>
      </c>
    </row>
    <row r="90" spans="1:12" x14ac:dyDescent="0.45">
      <c r="A90">
        <f t="shared" si="5"/>
        <v>17</v>
      </c>
      <c r="B90">
        <v>0.71905720709757637</v>
      </c>
      <c r="C90" s="20">
        <v>8</v>
      </c>
      <c r="D90" s="21">
        <v>10</v>
      </c>
      <c r="E90">
        <v>2.9114004891115486E-4</v>
      </c>
      <c r="F90">
        <v>2.8029233701441937E-4</v>
      </c>
      <c r="G90">
        <v>2.3697644549761144E-3</v>
      </c>
      <c r="H90" s="15">
        <v>17174</v>
      </c>
      <c r="I90" s="15">
        <v>17839</v>
      </c>
      <c r="J90" s="15">
        <v>2110</v>
      </c>
      <c r="K90" s="15" t="s">
        <v>104</v>
      </c>
      <c r="L90" s="15">
        <v>1448</v>
      </c>
    </row>
    <row r="91" spans="1:12" x14ac:dyDescent="0.45">
      <c r="A91">
        <f t="shared" si="5"/>
        <v>17</v>
      </c>
      <c r="B91">
        <v>0.71905720709757637</v>
      </c>
      <c r="C91" s="20">
        <v>16</v>
      </c>
      <c r="D91" s="21">
        <v>10</v>
      </c>
      <c r="E91">
        <v>4.4315184791271126E-4</v>
      </c>
      <c r="F91">
        <v>4.447645258851006E-4</v>
      </c>
      <c r="G91">
        <v>2.6333427066884884E-3</v>
      </c>
      <c r="H91" s="15">
        <v>11283</v>
      </c>
      <c r="I91" s="15">
        <v>11242</v>
      </c>
      <c r="J91" s="15">
        <v>1899</v>
      </c>
      <c r="K91" s="15" t="s">
        <v>105</v>
      </c>
      <c r="L91" s="15">
        <v>2896</v>
      </c>
    </row>
    <row r="92" spans="1:12" x14ac:dyDescent="0.45">
      <c r="A92">
        <f t="shared" si="5"/>
        <v>17</v>
      </c>
      <c r="B92">
        <v>0.71905720709757637</v>
      </c>
      <c r="C92" s="20">
        <v>32</v>
      </c>
      <c r="D92" s="21">
        <v>10</v>
      </c>
      <c r="E92">
        <v>7.8184856160086165E-4</v>
      </c>
      <c r="F92">
        <v>7.591890980869091E-4</v>
      </c>
      <c r="G92">
        <v>3.3135860172295488E-3</v>
      </c>
      <c r="H92" s="15">
        <v>6396</v>
      </c>
      <c r="I92" s="15">
        <v>6586</v>
      </c>
      <c r="J92" s="15">
        <v>1509</v>
      </c>
      <c r="K92" s="15" t="s">
        <v>106</v>
      </c>
      <c r="L92" s="15">
        <v>5792</v>
      </c>
    </row>
    <row r="93" spans="1:12" x14ac:dyDescent="0.45">
      <c r="A93">
        <f t="shared" si="5"/>
        <v>17</v>
      </c>
      <c r="B93">
        <v>0.71905720709757637</v>
      </c>
      <c r="C93" s="20">
        <v>64</v>
      </c>
      <c r="D93" s="21">
        <v>10</v>
      </c>
      <c r="E93">
        <v>1.3699836712326593E-3</v>
      </c>
      <c r="F93">
        <v>1.3565876831253055E-3</v>
      </c>
      <c r="G93">
        <v>4.5541735883411448E-3</v>
      </c>
      <c r="H93" s="15">
        <v>3650</v>
      </c>
      <c r="I93" s="15">
        <v>3686</v>
      </c>
      <c r="J93" s="15">
        <v>1098</v>
      </c>
      <c r="K93" s="15" t="s">
        <v>107</v>
      </c>
      <c r="L93" s="15">
        <v>11584</v>
      </c>
    </row>
    <row r="94" spans="1:12" x14ac:dyDescent="0.45">
      <c r="A94">
        <f t="shared" si="5"/>
        <v>17</v>
      </c>
      <c r="B94">
        <v>0.71905720709757637</v>
      </c>
      <c r="C94" s="20">
        <v>128</v>
      </c>
      <c r="D94" s="21">
        <v>10</v>
      </c>
      <c r="E94">
        <v>2.7140311448727548E-3</v>
      </c>
      <c r="F94">
        <v>2.7553950413222424E-3</v>
      </c>
      <c r="G94">
        <v>7.027487780901078E-3</v>
      </c>
      <c r="H94" s="15">
        <v>1843</v>
      </c>
      <c r="I94" s="15">
        <v>1815</v>
      </c>
      <c r="J94" s="15">
        <v>712</v>
      </c>
      <c r="K94" s="15" t="s">
        <v>108</v>
      </c>
      <c r="L94" s="15">
        <v>23168</v>
      </c>
    </row>
    <row r="95" spans="1:12" x14ac:dyDescent="0.45">
      <c r="A95">
        <f t="shared" si="5"/>
        <v>17</v>
      </c>
      <c r="B95">
        <v>0.71905720709757637</v>
      </c>
      <c r="C95" s="20">
        <v>256</v>
      </c>
      <c r="D95" s="21">
        <v>10</v>
      </c>
      <c r="E95">
        <v>5.4469502178651008E-3</v>
      </c>
      <c r="F95">
        <v>5.3792437634402508E-3</v>
      </c>
      <c r="G95">
        <v>1.2420081141438461E-2</v>
      </c>
      <c r="H95" s="15">
        <v>918</v>
      </c>
      <c r="I95" s="15">
        <v>930</v>
      </c>
      <c r="J95" s="15">
        <v>403</v>
      </c>
      <c r="K95" s="15" t="s">
        <v>109</v>
      </c>
      <c r="L95" s="15">
        <v>46336</v>
      </c>
    </row>
    <row r="96" spans="1:12" x14ac:dyDescent="0.45">
      <c r="A96">
        <f t="shared" si="5"/>
        <v>17</v>
      </c>
      <c r="B96">
        <v>0.71905720709757637</v>
      </c>
      <c r="C96" s="20">
        <v>512</v>
      </c>
      <c r="D96" s="21">
        <v>10</v>
      </c>
      <c r="E96">
        <v>1.16097552204179E-2</v>
      </c>
      <c r="F96">
        <v>1.0368268737058567E-2</v>
      </c>
      <c r="G96">
        <v>2.3272099999997218E-2</v>
      </c>
      <c r="H96" s="15">
        <v>431</v>
      </c>
      <c r="I96" s="15">
        <v>483</v>
      </c>
      <c r="J96" s="15">
        <v>215</v>
      </c>
      <c r="K96" s="15" t="s">
        <v>110</v>
      </c>
      <c r="L96" s="15">
        <v>92672</v>
      </c>
    </row>
    <row r="97" spans="1:12" x14ac:dyDescent="0.45">
      <c r="A97">
        <f t="shared" si="5"/>
        <v>17</v>
      </c>
      <c r="B97">
        <v>0.71905720709757637</v>
      </c>
      <c r="C97" s="20">
        <v>1024</v>
      </c>
      <c r="D97" s="21">
        <v>10</v>
      </c>
      <c r="E97">
        <v>2.3379114953271388E-2</v>
      </c>
      <c r="F97">
        <v>2.1248462711864088E-2</v>
      </c>
      <c r="G97">
        <v>4.2885149572658779E-2</v>
      </c>
      <c r="H97" s="15">
        <v>214</v>
      </c>
      <c r="I97" s="15">
        <v>236</v>
      </c>
      <c r="J97" s="15">
        <v>117</v>
      </c>
      <c r="K97" s="15" t="s">
        <v>111</v>
      </c>
      <c r="L97" s="15">
        <v>185344</v>
      </c>
    </row>
    <row r="98" spans="1:12" x14ac:dyDescent="0.45">
      <c r="A98">
        <f t="shared" si="5"/>
        <v>17</v>
      </c>
      <c r="B98">
        <v>0.71905720709757637</v>
      </c>
      <c r="C98" s="20">
        <v>2048</v>
      </c>
      <c r="D98" s="21">
        <v>10</v>
      </c>
      <c r="E98">
        <v>4.2608741525435694E-2</v>
      </c>
      <c r="F98">
        <v>4.1864097499986506E-2</v>
      </c>
      <c r="G98">
        <v>7.7602578461525046E-2</v>
      </c>
      <c r="H98" s="15">
        <v>118</v>
      </c>
      <c r="I98" s="15">
        <v>120</v>
      </c>
      <c r="J98" s="15">
        <v>65</v>
      </c>
      <c r="K98" s="15" t="s">
        <v>112</v>
      </c>
      <c r="L98" s="15">
        <v>370688</v>
      </c>
    </row>
    <row r="99" spans="1:12" x14ac:dyDescent="0.45">
      <c r="A99">
        <f t="shared" si="5"/>
        <v>17</v>
      </c>
      <c r="B99">
        <v>0.71905720709757637</v>
      </c>
      <c r="C99" s="20">
        <v>4096</v>
      </c>
      <c r="D99" s="21">
        <v>10</v>
      </c>
      <c r="E99">
        <v>8.7385989655182322E-2</v>
      </c>
      <c r="F99">
        <v>9.0400624999996834E-2</v>
      </c>
      <c r="G99">
        <v>0.15297396666667765</v>
      </c>
      <c r="H99" s="15">
        <v>58</v>
      </c>
      <c r="I99" s="15">
        <v>56</v>
      </c>
      <c r="J99" s="15">
        <v>33</v>
      </c>
      <c r="K99" s="15" t="s">
        <v>113</v>
      </c>
      <c r="L99" s="15">
        <v>741376</v>
      </c>
    </row>
    <row r="100" spans="1:12" x14ac:dyDescent="0.45">
      <c r="A100">
        <f t="shared" si="5"/>
        <v>17</v>
      </c>
      <c r="B100">
        <v>0.71905720709757637</v>
      </c>
      <c r="C100" s="20">
        <v>8192</v>
      </c>
      <c r="D100" s="21">
        <v>10</v>
      </c>
      <c r="E100">
        <v>0.19905589999997084</v>
      </c>
      <c r="F100">
        <v>0.17310248620686189</v>
      </c>
      <c r="G100">
        <v>0.30184307058816023</v>
      </c>
      <c r="H100" s="15">
        <v>26</v>
      </c>
      <c r="I100" s="15">
        <v>29</v>
      </c>
      <c r="J100" s="15">
        <v>17</v>
      </c>
      <c r="K100" s="15" t="s">
        <v>114</v>
      </c>
      <c r="L100" s="15">
        <v>1482752</v>
      </c>
    </row>
    <row r="101" spans="1:12" x14ac:dyDescent="0.45">
      <c r="A101">
        <f t="shared" si="5"/>
        <v>17</v>
      </c>
      <c r="B101">
        <v>0.71905720709757637</v>
      </c>
      <c r="C101" s="20">
        <v>16384</v>
      </c>
      <c r="D101" s="21">
        <v>10</v>
      </c>
      <c r="E101">
        <v>0.36150306428563844</v>
      </c>
      <c r="F101">
        <v>0.3449957066666684</v>
      </c>
      <c r="G101">
        <v>0.63830669999993006</v>
      </c>
      <c r="H101" s="15">
        <v>14</v>
      </c>
      <c r="I101" s="15">
        <v>15</v>
      </c>
      <c r="J101" s="15">
        <v>8</v>
      </c>
      <c r="K101" s="15" t="s">
        <v>115</v>
      </c>
      <c r="L101" s="15">
        <v>2965504</v>
      </c>
    </row>
    <row r="102" spans="1:12" x14ac:dyDescent="0.45">
      <c r="A102">
        <f t="shared" si="5"/>
        <v>17</v>
      </c>
      <c r="B102">
        <v>0.71905720709757637</v>
      </c>
      <c r="C102" s="20">
        <v>32768</v>
      </c>
      <c r="D102" s="21">
        <v>10</v>
      </c>
      <c r="E102">
        <v>0.75963551428581666</v>
      </c>
      <c r="F102">
        <v>0.70787203750001026</v>
      </c>
      <c r="G102">
        <v>1.281009350000204</v>
      </c>
      <c r="H102" s="15">
        <v>7</v>
      </c>
      <c r="I102" s="15">
        <v>8</v>
      </c>
      <c r="J102" s="15">
        <v>4</v>
      </c>
      <c r="K102" s="15" t="s">
        <v>116</v>
      </c>
      <c r="L102" s="15">
        <v>5931008</v>
      </c>
    </row>
    <row r="103" spans="1:12" x14ac:dyDescent="0.45">
      <c r="A103">
        <f t="shared" si="5"/>
        <v>17</v>
      </c>
      <c r="B103">
        <v>0.71905720709757637</v>
      </c>
      <c r="C103" s="20">
        <v>65536</v>
      </c>
      <c r="D103" s="21">
        <v>10</v>
      </c>
      <c r="E103">
        <v>1.456787175000045</v>
      </c>
      <c r="F103">
        <v>1.4634674750000158</v>
      </c>
      <c r="G103">
        <v>2.3865486666666889</v>
      </c>
      <c r="H103" s="15">
        <v>4</v>
      </c>
      <c r="I103" s="15">
        <v>4</v>
      </c>
      <c r="J103" s="15">
        <v>3</v>
      </c>
      <c r="K103" s="15" t="s">
        <v>117</v>
      </c>
      <c r="L103" s="15">
        <v>11862016</v>
      </c>
    </row>
    <row r="104" spans="1:12" x14ac:dyDescent="0.45">
      <c r="A104">
        <f t="shared" si="5"/>
        <v>17</v>
      </c>
      <c r="B104">
        <v>0.71905720709757637</v>
      </c>
      <c r="C104" s="20">
        <v>131072</v>
      </c>
      <c r="D104" s="21">
        <v>10</v>
      </c>
      <c r="E104">
        <v>2.9693039999992834</v>
      </c>
      <c r="F104">
        <v>2.8707864999996673</v>
      </c>
      <c r="G104">
        <v>5.1312687000008737</v>
      </c>
      <c r="H104" s="15">
        <v>2</v>
      </c>
      <c r="I104" s="15">
        <v>2</v>
      </c>
      <c r="J104" s="15">
        <v>1</v>
      </c>
      <c r="K104" s="15" t="s">
        <v>118</v>
      </c>
      <c r="L104" s="15">
        <v>23724032</v>
      </c>
    </row>
    <row r="105" spans="1:12" x14ac:dyDescent="0.45">
      <c r="A105">
        <f t="shared" si="5"/>
        <v>17</v>
      </c>
      <c r="B105">
        <v>0.71905720709757637</v>
      </c>
      <c r="C105" s="20">
        <v>262144</v>
      </c>
      <c r="D105" s="21">
        <v>10</v>
      </c>
      <c r="E105">
        <v>6.0965317000009236</v>
      </c>
      <c r="F105">
        <v>6.1190550000010262</v>
      </c>
      <c r="G105">
        <v>10.362777500000448</v>
      </c>
      <c r="H105" s="15">
        <v>1</v>
      </c>
      <c r="I105" s="15">
        <v>1</v>
      </c>
      <c r="J105" s="15">
        <v>1</v>
      </c>
      <c r="K105" s="15" t="s">
        <v>119</v>
      </c>
      <c r="L105" s="15">
        <v>47448064</v>
      </c>
    </row>
    <row r="106" spans="1:12" x14ac:dyDescent="0.45">
      <c r="C106" s="15"/>
      <c r="H106" s="15"/>
      <c r="I106" s="15"/>
      <c r="J106" s="15"/>
      <c r="K106" s="15"/>
    </row>
    <row r="107" spans="1:12" x14ac:dyDescent="0.45">
      <c r="C107" s="15"/>
      <c r="H107" s="15"/>
      <c r="I107" s="15"/>
      <c r="J107" s="15"/>
      <c r="K107" s="15"/>
    </row>
    <row r="108" spans="1:12" x14ac:dyDescent="0.45">
      <c r="H108" s="15"/>
      <c r="I108" s="15"/>
      <c r="J108" s="15"/>
    </row>
    <row r="109" spans="1:12" x14ac:dyDescent="0.45">
      <c r="C109" s="20"/>
      <c r="D109" s="21"/>
      <c r="H109" s="15"/>
      <c r="I109" s="15"/>
      <c r="J109" s="15"/>
      <c r="K109" s="15"/>
    </row>
    <row r="110" spans="1:12" x14ac:dyDescent="0.45">
      <c r="H110" s="15"/>
      <c r="I110" s="15"/>
      <c r="J110" s="15"/>
    </row>
    <row r="111" spans="1:12" x14ac:dyDescent="0.45">
      <c r="H111" s="15"/>
      <c r="I111" s="15"/>
      <c r="J111" s="15"/>
    </row>
    <row r="112" spans="1:12" x14ac:dyDescent="0.45">
      <c r="H112" s="15"/>
      <c r="I112" s="15"/>
      <c r="J112" s="15"/>
      <c r="K112" t="s">
        <v>492</v>
      </c>
    </row>
    <row r="113" spans="1:12" ht="28.5" x14ac:dyDescent="0.45">
      <c r="A113" s="16" t="s">
        <v>21</v>
      </c>
      <c r="B113" s="16" t="s">
        <v>22</v>
      </c>
      <c r="C113" s="16" t="s">
        <v>23</v>
      </c>
      <c r="D113" s="16" t="s">
        <v>24</v>
      </c>
      <c r="E113" s="16" t="s">
        <v>25</v>
      </c>
      <c r="F113" s="16" t="s">
        <v>26</v>
      </c>
      <c r="G113" s="16" t="s">
        <v>27</v>
      </c>
      <c r="H113" s="17" t="s">
        <v>28</v>
      </c>
      <c r="I113" s="17" t="s">
        <v>29</v>
      </c>
      <c r="J113" s="17" t="s">
        <v>30</v>
      </c>
      <c r="K113" s="16" t="s">
        <v>31</v>
      </c>
      <c r="L113" s="16" t="s">
        <v>32</v>
      </c>
    </row>
    <row r="114" spans="1:12" x14ac:dyDescent="0.45">
      <c r="A114">
        <f>LEN(B114)</f>
        <v>16</v>
      </c>
      <c r="B114" t="str">
        <f>REPT("x",16)</f>
        <v>xxxxxxxxxxxxxxxx</v>
      </c>
      <c r="C114" s="20">
        <v>8</v>
      </c>
      <c r="D114" s="20">
        <v>1</v>
      </c>
      <c r="E114">
        <v>1.4573020022734889E-4</v>
      </c>
      <c r="F114">
        <v>1.4187597820846661E-4</v>
      </c>
      <c r="G114">
        <v>2.0586885137915192E-3</v>
      </c>
      <c r="H114" s="15">
        <v>34311</v>
      </c>
      <c r="I114" s="15">
        <v>35243</v>
      </c>
      <c r="J114" s="15">
        <v>2429</v>
      </c>
      <c r="K114" s="15" t="s">
        <v>120</v>
      </c>
      <c r="L114" s="15">
        <v>144</v>
      </c>
    </row>
    <row r="115" spans="1:12" x14ac:dyDescent="0.45">
      <c r="A115">
        <f t="shared" ref="A115:A127" si="6">LEN(B115)</f>
        <v>16</v>
      </c>
      <c r="B115" t="str">
        <f t="shared" ref="B115:B127" si="7">REPT("x",16)</f>
        <v>xxxxxxxxxxxxxxxx</v>
      </c>
      <c r="C115" s="20">
        <v>8</v>
      </c>
      <c r="D115" s="20">
        <v>2</v>
      </c>
      <c r="E115">
        <v>1.6701056147505055E-4</v>
      </c>
      <c r="F115">
        <v>1.6037493665198115E-4</v>
      </c>
      <c r="G115">
        <v>2.0618650721652811E-3</v>
      </c>
      <c r="H115" s="15">
        <v>29939</v>
      </c>
      <c r="I115" s="15">
        <v>31177</v>
      </c>
      <c r="J115" s="15">
        <v>2425</v>
      </c>
      <c r="K115" s="15" t="s">
        <v>121</v>
      </c>
      <c r="L115" s="15">
        <v>280</v>
      </c>
    </row>
    <row r="116" spans="1:12" x14ac:dyDescent="0.45">
      <c r="A116">
        <f t="shared" si="6"/>
        <v>16</v>
      </c>
      <c r="B116" t="str">
        <f t="shared" si="7"/>
        <v>xxxxxxxxxxxxxxxx</v>
      </c>
      <c r="C116" s="20">
        <v>8</v>
      </c>
      <c r="D116" s="20">
        <v>4</v>
      </c>
      <c r="E116">
        <v>1.9822696241673961E-4</v>
      </c>
      <c r="F116">
        <v>1.8787608777333709E-4</v>
      </c>
      <c r="G116">
        <v>2.066795289256559E-3</v>
      </c>
      <c r="H116" s="15">
        <v>25224</v>
      </c>
      <c r="I116" s="15">
        <v>26614</v>
      </c>
      <c r="J116" s="15">
        <v>2420</v>
      </c>
      <c r="K116" s="15" t="s">
        <v>122</v>
      </c>
      <c r="L116" s="15">
        <v>552</v>
      </c>
    </row>
    <row r="117" spans="1:12" x14ac:dyDescent="0.45">
      <c r="A117">
        <f t="shared" si="6"/>
        <v>16</v>
      </c>
      <c r="B117" t="str">
        <f t="shared" si="7"/>
        <v>xxxxxxxxxxxxxxxx</v>
      </c>
      <c r="C117" s="20">
        <v>8</v>
      </c>
      <c r="D117" s="20">
        <v>8</v>
      </c>
      <c r="E117">
        <v>3.7782687018287974E-4</v>
      </c>
      <c r="F117">
        <v>3.1016623658581329E-4</v>
      </c>
      <c r="G117">
        <v>2.2343689901694439E-3</v>
      </c>
      <c r="H117" s="15">
        <v>13234</v>
      </c>
      <c r="I117" s="15">
        <v>16121</v>
      </c>
      <c r="J117" s="15">
        <v>2238</v>
      </c>
      <c r="K117" s="15" t="s">
        <v>123</v>
      </c>
      <c r="L117" s="15">
        <v>1096</v>
      </c>
    </row>
    <row r="118" spans="1:12" x14ac:dyDescent="0.45">
      <c r="A118">
        <f t="shared" si="6"/>
        <v>16</v>
      </c>
      <c r="B118" t="str">
        <f t="shared" si="7"/>
        <v>xxxxxxxxxxxxxxxx</v>
      </c>
      <c r="C118" s="20">
        <v>8</v>
      </c>
      <c r="D118" s="20">
        <v>16</v>
      </c>
      <c r="E118">
        <v>3.9033631537868836E-4</v>
      </c>
      <c r="F118">
        <v>3.8011823019610977E-4</v>
      </c>
      <c r="G118">
        <v>2.6368918292046118E-3</v>
      </c>
      <c r="H118" s="15">
        <v>12810</v>
      </c>
      <c r="I118" s="15">
        <v>13154</v>
      </c>
      <c r="J118" s="15">
        <v>1897</v>
      </c>
      <c r="K118" s="15" t="s">
        <v>124</v>
      </c>
      <c r="L118" s="15">
        <v>2184</v>
      </c>
    </row>
    <row r="119" spans="1:12" x14ac:dyDescent="0.45">
      <c r="A119">
        <f t="shared" si="6"/>
        <v>16</v>
      </c>
      <c r="B119" t="str">
        <f t="shared" si="7"/>
        <v>xxxxxxxxxxxxxxxx</v>
      </c>
      <c r="C119" s="20">
        <v>8</v>
      </c>
      <c r="D119" s="20">
        <v>32</v>
      </c>
      <c r="E119">
        <v>6.8188388108559456E-4</v>
      </c>
      <c r="F119">
        <v>6.378927924481526E-4</v>
      </c>
      <c r="G119">
        <v>3.7947398330796587E-3</v>
      </c>
      <c r="H119" s="15">
        <v>7333</v>
      </c>
      <c r="I119" s="15">
        <v>7839</v>
      </c>
      <c r="J119" s="15">
        <v>1318</v>
      </c>
      <c r="K119" s="15" t="s">
        <v>125</v>
      </c>
      <c r="L119" s="15">
        <v>4360</v>
      </c>
    </row>
    <row r="120" spans="1:12" x14ac:dyDescent="0.45">
      <c r="A120">
        <f t="shared" si="6"/>
        <v>16</v>
      </c>
      <c r="B120" t="str">
        <f t="shared" si="7"/>
        <v>xxxxxxxxxxxxxxxx</v>
      </c>
      <c r="C120" s="20">
        <v>8</v>
      </c>
      <c r="D120" s="20">
        <v>64</v>
      </c>
      <c r="E120">
        <v>1.1489073759190995E-3</v>
      </c>
      <c r="F120">
        <v>1.1395088195079361E-3</v>
      </c>
      <c r="G120">
        <v>7.9031323854674759E-3</v>
      </c>
      <c r="H120" s="15">
        <v>4352</v>
      </c>
      <c r="I120" s="15">
        <v>4388</v>
      </c>
      <c r="J120" s="15">
        <v>633</v>
      </c>
      <c r="K120" s="15" t="s">
        <v>126</v>
      </c>
      <c r="L120" s="15">
        <v>8712</v>
      </c>
    </row>
    <row r="121" spans="1:12" x14ac:dyDescent="0.45">
      <c r="A121">
        <f t="shared" si="6"/>
        <v>16</v>
      </c>
      <c r="B121" t="str">
        <f t="shared" si="7"/>
        <v>xxxxxxxxxxxxxxxx</v>
      </c>
      <c r="C121" s="20">
        <v>8</v>
      </c>
      <c r="D121" s="20">
        <v>128</v>
      </c>
      <c r="E121">
        <v>2.1573956859359399E-3</v>
      </c>
      <c r="F121">
        <v>2.1160725042304361E-3</v>
      </c>
      <c r="G121">
        <v>2.2487971748875266E-2</v>
      </c>
      <c r="H121" s="15">
        <v>2318</v>
      </c>
      <c r="I121" s="15">
        <v>2364</v>
      </c>
      <c r="J121" s="15">
        <v>223</v>
      </c>
      <c r="K121" s="15" t="s">
        <v>127</v>
      </c>
      <c r="L121" s="15">
        <v>17416</v>
      </c>
    </row>
    <row r="122" spans="1:12" x14ac:dyDescent="0.45">
      <c r="A122">
        <f t="shared" si="6"/>
        <v>16</v>
      </c>
      <c r="B122" t="str">
        <f t="shared" si="7"/>
        <v>xxxxxxxxxxxxxxxx</v>
      </c>
      <c r="C122" s="20">
        <v>8</v>
      </c>
      <c r="D122" s="20">
        <v>256</v>
      </c>
      <c r="E122">
        <v>4.3243195332763025E-3</v>
      </c>
      <c r="F122">
        <v>4.1303000825769435E-3</v>
      </c>
      <c r="G122">
        <v>7.9334281249998639E-2</v>
      </c>
      <c r="H122" s="15">
        <v>1157</v>
      </c>
      <c r="I122" s="15">
        <v>1211</v>
      </c>
      <c r="J122" s="15">
        <v>64</v>
      </c>
      <c r="K122" s="15" t="s">
        <v>128</v>
      </c>
      <c r="L122" s="15">
        <v>34824</v>
      </c>
    </row>
    <row r="123" spans="1:12" x14ac:dyDescent="0.45">
      <c r="A123">
        <f t="shared" si="6"/>
        <v>16</v>
      </c>
      <c r="B123" t="str">
        <f t="shared" si="7"/>
        <v>xxxxxxxxxxxxxxxx</v>
      </c>
      <c r="C123" s="20">
        <v>8</v>
      </c>
      <c r="D123" s="20">
        <v>512</v>
      </c>
      <c r="E123">
        <v>8.0859657512127037E-3</v>
      </c>
      <c r="F123">
        <v>7.8943682965301135E-3</v>
      </c>
      <c r="G123">
        <v>0.29469721176471519</v>
      </c>
      <c r="H123" s="15">
        <v>619</v>
      </c>
      <c r="I123" s="15">
        <v>634</v>
      </c>
      <c r="J123" s="15">
        <v>17</v>
      </c>
      <c r="K123" s="15" t="s">
        <v>129</v>
      </c>
      <c r="L123" s="15">
        <v>69640</v>
      </c>
    </row>
    <row r="124" spans="1:12" x14ac:dyDescent="0.45">
      <c r="A124">
        <f t="shared" si="6"/>
        <v>16</v>
      </c>
      <c r="B124" t="str">
        <f t="shared" si="7"/>
        <v>xxxxxxxxxxxxxxxx</v>
      </c>
      <c r="C124" s="20">
        <v>8</v>
      </c>
      <c r="D124" s="20">
        <v>1024</v>
      </c>
      <c r="E124">
        <v>1.674072976588847E-2</v>
      </c>
      <c r="F124">
        <v>1.5669506562500147E-2</v>
      </c>
      <c r="G124">
        <v>1.0933015000002342</v>
      </c>
      <c r="H124" s="15">
        <v>299</v>
      </c>
      <c r="I124" s="15">
        <v>320</v>
      </c>
      <c r="J124" s="15">
        <v>5</v>
      </c>
      <c r="K124" s="15" t="s">
        <v>130</v>
      </c>
      <c r="L124" s="15">
        <v>139272</v>
      </c>
    </row>
    <row r="125" spans="1:12" x14ac:dyDescent="0.45">
      <c r="A125">
        <f t="shared" si="6"/>
        <v>16</v>
      </c>
      <c r="B125" t="str">
        <f t="shared" si="7"/>
        <v>xxxxxxxxxxxxxxxx</v>
      </c>
      <c r="C125" s="20">
        <v>8</v>
      </c>
      <c r="D125" s="20">
        <v>2048</v>
      </c>
      <c r="E125">
        <v>3.3222623178806206E-2</v>
      </c>
      <c r="F125">
        <v>3.1313824999995174E-2</v>
      </c>
      <c r="G125">
        <v>4.0480279499997778</v>
      </c>
      <c r="H125" s="15">
        <v>151</v>
      </c>
      <c r="I125" s="15">
        <v>160</v>
      </c>
      <c r="J125" s="15">
        <v>2</v>
      </c>
      <c r="K125" s="15" t="s">
        <v>131</v>
      </c>
      <c r="L125" s="15">
        <v>278536</v>
      </c>
    </row>
    <row r="126" spans="1:12" x14ac:dyDescent="0.45">
      <c r="A126">
        <f t="shared" si="6"/>
        <v>16</v>
      </c>
      <c r="B126" t="str">
        <f t="shared" si="7"/>
        <v>xxxxxxxxxxxxxxxx</v>
      </c>
      <c r="C126" s="20">
        <v>8</v>
      </c>
      <c r="D126" s="20">
        <v>4096</v>
      </c>
      <c r="E126">
        <v>6.6979869333323824E-2</v>
      </c>
      <c r="F126">
        <v>6.7954608108118777E-2</v>
      </c>
      <c r="G126">
        <v>16.529796200000419</v>
      </c>
      <c r="H126" s="15">
        <v>75</v>
      </c>
      <c r="I126" s="15">
        <v>74</v>
      </c>
      <c r="J126" s="15">
        <v>1</v>
      </c>
      <c r="K126" s="15" t="s">
        <v>132</v>
      </c>
      <c r="L126" s="15">
        <v>557064</v>
      </c>
    </row>
    <row r="127" spans="1:12" x14ac:dyDescent="0.45">
      <c r="A127">
        <f t="shared" si="6"/>
        <v>16</v>
      </c>
      <c r="B127" t="str">
        <f t="shared" si="7"/>
        <v>xxxxxxxxxxxxxxxx</v>
      </c>
      <c r="C127" s="20">
        <v>8</v>
      </c>
      <c r="D127" s="20">
        <v>8192</v>
      </c>
      <c r="E127">
        <v>0.13736128648648643</v>
      </c>
      <c r="F127">
        <v>0.13063880512821086</v>
      </c>
      <c r="G127">
        <v>63.28988599999866</v>
      </c>
      <c r="H127" s="15">
        <v>37</v>
      </c>
      <c r="I127" s="15">
        <v>39</v>
      </c>
      <c r="J127" s="15">
        <v>1</v>
      </c>
      <c r="K127" s="15" t="s">
        <v>133</v>
      </c>
      <c r="L127" s="15">
        <v>1114120</v>
      </c>
    </row>
    <row r="128" spans="1:12" x14ac:dyDescent="0.45">
      <c r="H128" s="15"/>
      <c r="I128" s="15"/>
      <c r="J128" s="15"/>
    </row>
    <row r="129" spans="1:12" x14ac:dyDescent="0.45">
      <c r="H129" s="15"/>
      <c r="I129" s="15"/>
      <c r="J129" s="15"/>
    </row>
    <row r="130" spans="1:12" x14ac:dyDescent="0.45">
      <c r="H130" s="15"/>
      <c r="I130" s="15"/>
      <c r="J130" s="15"/>
    </row>
    <row r="131" spans="1:12" x14ac:dyDescent="0.45">
      <c r="H131" s="15"/>
      <c r="I131" s="15"/>
      <c r="J131" s="15"/>
    </row>
    <row r="132" spans="1:12" x14ac:dyDescent="0.45">
      <c r="H132" s="15"/>
      <c r="I132" s="15"/>
      <c r="J132" s="15"/>
    </row>
    <row r="133" spans="1:12" x14ac:dyDescent="0.45">
      <c r="H133" s="15"/>
      <c r="I133" s="15"/>
      <c r="J133" s="15"/>
    </row>
    <row r="134" spans="1:12" x14ac:dyDescent="0.45">
      <c r="H134" s="15"/>
      <c r="I134" s="15"/>
      <c r="J134" s="15"/>
    </row>
    <row r="135" spans="1:12" x14ac:dyDescent="0.45">
      <c r="H135" s="15"/>
      <c r="I135" s="15"/>
      <c r="J135" s="15"/>
    </row>
    <row r="136" spans="1:12" x14ac:dyDescent="0.45">
      <c r="H136" s="15"/>
      <c r="I136" s="15"/>
      <c r="J136" s="15"/>
    </row>
    <row r="137" spans="1:12" x14ac:dyDescent="0.45">
      <c r="H137" s="15"/>
      <c r="I137" s="15"/>
      <c r="J137" s="15"/>
    </row>
    <row r="138" spans="1:12" x14ac:dyDescent="0.45">
      <c r="H138" s="15"/>
      <c r="I138" s="15"/>
      <c r="J138" s="15"/>
    </row>
    <row r="139" spans="1:12" x14ac:dyDescent="0.45">
      <c r="H139" s="15"/>
      <c r="I139" s="15"/>
      <c r="J139" s="15"/>
      <c r="K139" s="19" t="s">
        <v>134</v>
      </c>
    </row>
    <row r="140" spans="1:12" ht="28.5" x14ac:dyDescent="0.45">
      <c r="A140" s="16" t="s">
        <v>21</v>
      </c>
      <c r="B140" s="16" t="s">
        <v>22</v>
      </c>
      <c r="C140" s="16" t="s">
        <v>23</v>
      </c>
      <c r="D140" s="16" t="s">
        <v>24</v>
      </c>
      <c r="E140" s="16" t="s">
        <v>25</v>
      </c>
      <c r="F140" s="16" t="s">
        <v>26</v>
      </c>
      <c r="G140" s="16" t="s">
        <v>27</v>
      </c>
      <c r="H140" s="17" t="s">
        <v>28</v>
      </c>
      <c r="I140" s="17" t="s">
        <v>29</v>
      </c>
      <c r="J140" s="17" t="s">
        <v>30</v>
      </c>
      <c r="K140" s="16" t="s">
        <v>31</v>
      </c>
      <c r="L140" s="16" t="s">
        <v>32</v>
      </c>
    </row>
    <row r="141" spans="1:12" x14ac:dyDescent="0.45">
      <c r="A141" cm="1">
        <f t="array" ref="A141:A155">LEN(B141:B155)</f>
        <v>1</v>
      </c>
      <c r="B141" t="s">
        <v>33</v>
      </c>
      <c r="C141" s="15">
        <v>1024</v>
      </c>
      <c r="D141">
        <v>8</v>
      </c>
      <c r="E141">
        <v>9.1886755963293473E-3</v>
      </c>
      <c r="F141">
        <v>1.0550611603374884E-2</v>
      </c>
      <c r="G141">
        <v>3.1076334782607452E-2</v>
      </c>
      <c r="H141" s="15">
        <v>545</v>
      </c>
      <c r="I141" s="15">
        <v>474</v>
      </c>
      <c r="J141" s="15">
        <v>161</v>
      </c>
      <c r="K141" s="15" t="s">
        <v>135</v>
      </c>
      <c r="L141" s="15">
        <v>17408</v>
      </c>
    </row>
    <row r="142" spans="1:12" x14ac:dyDescent="0.45">
      <c r="A142">
        <v>2</v>
      </c>
      <c r="B142" t="s">
        <v>136</v>
      </c>
      <c r="C142" s="15">
        <v>1024</v>
      </c>
      <c r="D142">
        <v>8</v>
      </c>
      <c r="E142">
        <v>1.0247036809816678E-2</v>
      </c>
      <c r="F142">
        <v>9.7153322330113152E-3</v>
      </c>
      <c r="G142">
        <v>2.8119816292131505E-2</v>
      </c>
      <c r="H142" s="15">
        <v>489</v>
      </c>
      <c r="I142" s="15">
        <v>515</v>
      </c>
      <c r="J142" s="15">
        <v>178</v>
      </c>
      <c r="K142" s="15" t="s">
        <v>137</v>
      </c>
      <c r="L142" s="15">
        <v>25600</v>
      </c>
    </row>
    <row r="143" spans="1:12" x14ac:dyDescent="0.45">
      <c r="A143">
        <v>4</v>
      </c>
      <c r="B143" t="s">
        <v>138</v>
      </c>
      <c r="C143" s="15">
        <v>1024</v>
      </c>
      <c r="D143">
        <v>8</v>
      </c>
      <c r="E143">
        <v>1.1837764622639026E-2</v>
      </c>
      <c r="F143">
        <v>1.1505235402297727E-2</v>
      </c>
      <c r="G143">
        <v>2.9976407784423047E-2</v>
      </c>
      <c r="H143" s="15">
        <v>424</v>
      </c>
      <c r="I143" s="15">
        <v>435</v>
      </c>
      <c r="J143" s="15">
        <v>167</v>
      </c>
      <c r="K143" s="15" t="s">
        <v>139</v>
      </c>
      <c r="L143" s="15">
        <v>41984</v>
      </c>
    </row>
    <row r="144" spans="1:12" x14ac:dyDescent="0.45">
      <c r="A144">
        <v>8</v>
      </c>
      <c r="B144" t="s">
        <v>140</v>
      </c>
      <c r="C144" s="15">
        <v>1024</v>
      </c>
      <c r="D144">
        <v>8</v>
      </c>
      <c r="E144">
        <v>1.2954919430052107E-2</v>
      </c>
      <c r="F144">
        <v>1.2973464766841004E-2</v>
      </c>
      <c r="G144">
        <v>2.9248878362570969E-2</v>
      </c>
      <c r="H144" s="15">
        <v>386</v>
      </c>
      <c r="I144" s="15">
        <v>386</v>
      </c>
      <c r="J144" s="15">
        <v>171</v>
      </c>
      <c r="K144" s="15" t="s">
        <v>141</v>
      </c>
      <c r="L144" s="15">
        <v>74752</v>
      </c>
    </row>
    <row r="145" spans="1:12" x14ac:dyDescent="0.45">
      <c r="A145">
        <v>16</v>
      </c>
      <c r="B145" t="s">
        <v>142</v>
      </c>
      <c r="C145" s="15">
        <v>1024</v>
      </c>
      <c r="D145">
        <v>8</v>
      </c>
      <c r="E145">
        <v>1.6040917891371988E-2</v>
      </c>
      <c r="F145">
        <v>1.5989127476039141E-2</v>
      </c>
      <c r="G145">
        <v>3.1679584177220048E-2</v>
      </c>
      <c r="H145" s="15">
        <v>313</v>
      </c>
      <c r="I145" s="15">
        <v>313</v>
      </c>
      <c r="J145" s="15">
        <v>158</v>
      </c>
      <c r="K145" s="15" t="s">
        <v>143</v>
      </c>
      <c r="L145" s="15">
        <v>140288</v>
      </c>
    </row>
    <row r="146" spans="1:12" x14ac:dyDescent="0.45">
      <c r="A146">
        <v>32</v>
      </c>
      <c r="B146" t="s">
        <v>144</v>
      </c>
      <c r="C146" s="15">
        <v>1024</v>
      </c>
      <c r="D146">
        <v>8</v>
      </c>
      <c r="E146">
        <v>2.4064823076925607E-2</v>
      </c>
      <c r="F146">
        <v>2.3891418095237375E-2</v>
      </c>
      <c r="G146">
        <v>3.214446217949584E-2</v>
      </c>
      <c r="H146" s="15">
        <v>208</v>
      </c>
      <c r="I146" s="15">
        <v>210</v>
      </c>
      <c r="J146" s="15">
        <v>156</v>
      </c>
      <c r="K146" s="15" t="s">
        <v>145</v>
      </c>
      <c r="L146" s="15">
        <v>271360</v>
      </c>
    </row>
    <row r="147" spans="1:12" x14ac:dyDescent="0.45">
      <c r="A147">
        <v>64</v>
      </c>
      <c r="B147" t="s">
        <v>146</v>
      </c>
      <c r="C147" s="15">
        <v>1024</v>
      </c>
      <c r="D147">
        <v>8</v>
      </c>
      <c r="E147">
        <v>3.909713643410806E-2</v>
      </c>
      <c r="F147">
        <v>3.7652818045119475E-2</v>
      </c>
      <c r="G147">
        <v>3.328897152317685E-2</v>
      </c>
      <c r="H147" s="15">
        <v>129</v>
      </c>
      <c r="I147" s="15">
        <v>133</v>
      </c>
      <c r="J147" s="15">
        <v>151</v>
      </c>
      <c r="K147" s="15" t="s">
        <v>147</v>
      </c>
      <c r="L147" s="15">
        <v>533504</v>
      </c>
    </row>
    <row r="148" spans="1:12" x14ac:dyDescent="0.45">
      <c r="A148">
        <v>128</v>
      </c>
      <c r="B148" t="s">
        <v>148</v>
      </c>
      <c r="C148" s="15">
        <v>1024</v>
      </c>
      <c r="D148">
        <v>8</v>
      </c>
      <c r="E148">
        <v>6.8527932876711259E-2</v>
      </c>
      <c r="F148">
        <v>6.7095161333345463E-2</v>
      </c>
      <c r="G148">
        <v>4.1202611475410614E-2</v>
      </c>
      <c r="H148" s="15">
        <v>73</v>
      </c>
      <c r="I148" s="15">
        <v>75</v>
      </c>
      <c r="J148" s="15">
        <v>122</v>
      </c>
      <c r="K148" s="15" t="s">
        <v>149</v>
      </c>
      <c r="L148" s="15">
        <v>1057792</v>
      </c>
    </row>
    <row r="149" spans="1:12" x14ac:dyDescent="0.45">
      <c r="A149">
        <v>256</v>
      </c>
      <c r="B149" t="s">
        <v>150</v>
      </c>
      <c r="C149" s="15">
        <v>1024</v>
      </c>
      <c r="D149">
        <v>8</v>
      </c>
      <c r="E149">
        <v>0.12943471538463386</v>
      </c>
      <c r="F149">
        <v>0.12067578333331073</v>
      </c>
      <c r="G149">
        <v>4.8883220388357518E-2</v>
      </c>
      <c r="H149" s="15">
        <v>39</v>
      </c>
      <c r="I149" s="15">
        <v>42</v>
      </c>
      <c r="J149" s="15">
        <v>103</v>
      </c>
      <c r="K149" s="15" t="s">
        <v>151</v>
      </c>
      <c r="L149" s="15">
        <v>2106368</v>
      </c>
    </row>
    <row r="150" spans="1:12" x14ac:dyDescent="0.45">
      <c r="A150">
        <v>512</v>
      </c>
      <c r="B150" t="s">
        <v>152</v>
      </c>
      <c r="C150" s="15">
        <v>1024</v>
      </c>
      <c r="D150">
        <v>8</v>
      </c>
      <c r="E150">
        <v>0.25547054999997271</v>
      </c>
      <c r="F150">
        <v>0.22876205454543774</v>
      </c>
      <c r="G150">
        <v>8.2865080327866936E-2</v>
      </c>
      <c r="H150" s="15">
        <v>20</v>
      </c>
      <c r="I150" s="15">
        <v>22</v>
      </c>
      <c r="J150" s="15">
        <v>61</v>
      </c>
      <c r="K150" s="15" t="s">
        <v>153</v>
      </c>
      <c r="L150" s="15">
        <v>4203520</v>
      </c>
    </row>
    <row r="151" spans="1:12" x14ac:dyDescent="0.45">
      <c r="A151">
        <v>1024</v>
      </c>
      <c r="B151" t="s">
        <v>154</v>
      </c>
      <c r="C151" s="15">
        <v>1024</v>
      </c>
      <c r="D151">
        <v>8</v>
      </c>
      <c r="E151">
        <v>0.51128527999990181</v>
      </c>
      <c r="F151">
        <v>0.44841162500006249</v>
      </c>
      <c r="G151">
        <v>0.19417215769233456</v>
      </c>
      <c r="H151" s="15">
        <v>10</v>
      </c>
      <c r="I151" s="15">
        <v>12</v>
      </c>
      <c r="J151" s="15">
        <v>26</v>
      </c>
      <c r="K151" s="15" t="s">
        <v>155</v>
      </c>
      <c r="L151" s="15">
        <v>8397824</v>
      </c>
    </row>
    <row r="152" spans="1:12" x14ac:dyDescent="0.45">
      <c r="A152">
        <v>2048</v>
      </c>
      <c r="B152" t="s">
        <v>156</v>
      </c>
      <c r="C152" s="15">
        <v>1024</v>
      </c>
      <c r="D152">
        <v>8</v>
      </c>
      <c r="E152">
        <v>0.98530250000021624</v>
      </c>
      <c r="F152">
        <v>0.8878271166668128</v>
      </c>
      <c r="G152">
        <v>0.58207654444453916</v>
      </c>
      <c r="H152" s="15">
        <v>6</v>
      </c>
      <c r="I152" s="15">
        <v>6</v>
      </c>
      <c r="J152" s="15">
        <v>9</v>
      </c>
      <c r="K152" s="15" t="s">
        <v>157</v>
      </c>
      <c r="L152" s="15">
        <v>16786432</v>
      </c>
    </row>
    <row r="153" spans="1:12" x14ac:dyDescent="0.45">
      <c r="A153">
        <v>4096</v>
      </c>
      <c r="B153" t="s">
        <v>158</v>
      </c>
      <c r="C153" s="15">
        <v>1024</v>
      </c>
      <c r="D153">
        <v>8</v>
      </c>
      <c r="E153">
        <v>1.9293865666671384</v>
      </c>
      <c r="F153">
        <v>1.7982287000001331</v>
      </c>
      <c r="G153">
        <v>2.159546833333176</v>
      </c>
      <c r="H153" s="15">
        <v>3</v>
      </c>
      <c r="I153" s="15">
        <v>3</v>
      </c>
      <c r="J153" s="15">
        <v>3</v>
      </c>
      <c r="K153" s="15" t="s">
        <v>159</v>
      </c>
      <c r="L153" s="15">
        <v>33563648</v>
      </c>
    </row>
    <row r="154" spans="1:12" x14ac:dyDescent="0.45">
      <c r="A154">
        <v>8192</v>
      </c>
      <c r="B154" t="s">
        <v>160</v>
      </c>
      <c r="C154" s="15">
        <v>1024</v>
      </c>
      <c r="D154">
        <v>8</v>
      </c>
      <c r="E154">
        <v>4.2776761000004626</v>
      </c>
      <c r="F154">
        <v>3.7155519500001901</v>
      </c>
      <c r="G154">
        <v>9.0872770999994827</v>
      </c>
      <c r="H154" s="15">
        <v>2</v>
      </c>
      <c r="I154" s="15">
        <v>2</v>
      </c>
      <c r="J154" s="15">
        <v>1</v>
      </c>
      <c r="K154" s="15" t="s">
        <v>161</v>
      </c>
      <c r="L154" s="15">
        <v>67118080</v>
      </c>
    </row>
    <row r="155" spans="1:12" x14ac:dyDescent="0.45">
      <c r="A155">
        <v>16384</v>
      </c>
      <c r="B155" t="s">
        <v>162</v>
      </c>
      <c r="C155" s="15">
        <v>1024</v>
      </c>
      <c r="D155">
        <v>8</v>
      </c>
      <c r="E155">
        <v>8.4546872999999323</v>
      </c>
      <c r="F155">
        <v>7.8420533999997133</v>
      </c>
      <c r="G155">
        <v>53.35228669999924</v>
      </c>
      <c r="H155" s="15">
        <v>1</v>
      </c>
      <c r="I155" s="15">
        <v>1</v>
      </c>
      <c r="J155" s="15">
        <v>1</v>
      </c>
      <c r="K155" s="15" t="s">
        <v>163</v>
      </c>
      <c r="L155" s="15">
        <v>134226944</v>
      </c>
    </row>
    <row r="156" spans="1:12" x14ac:dyDescent="0.45">
      <c r="H156" s="15"/>
      <c r="I156" s="15"/>
      <c r="J156" s="15"/>
    </row>
    <row r="157" spans="1:12" x14ac:dyDescent="0.45">
      <c r="H157" s="15"/>
      <c r="I157" s="15"/>
      <c r="J157" s="15"/>
    </row>
    <row r="158" spans="1:12" x14ac:dyDescent="0.45">
      <c r="H158" s="15"/>
      <c r="I158" s="15"/>
      <c r="J158" s="15"/>
    </row>
    <row r="159" spans="1:12" x14ac:dyDescent="0.45">
      <c r="H159" s="15"/>
      <c r="I159" s="15"/>
      <c r="J159" s="15"/>
    </row>
    <row r="160" spans="1:12" x14ac:dyDescent="0.45">
      <c r="H160" s="15"/>
      <c r="I160" s="15"/>
      <c r="J160" s="15"/>
    </row>
    <row r="161" spans="1:12" x14ac:dyDescent="0.45">
      <c r="H161" s="15"/>
      <c r="I161" s="15"/>
      <c r="J161" s="15"/>
    </row>
    <row r="162" spans="1:12" x14ac:dyDescent="0.45">
      <c r="H162" s="15"/>
      <c r="I162" s="15"/>
      <c r="J162" s="15"/>
    </row>
    <row r="163" spans="1:12" x14ac:dyDescent="0.45">
      <c r="H163" s="15"/>
      <c r="I163" s="15"/>
      <c r="J163" s="15"/>
    </row>
    <row r="164" spans="1:12" x14ac:dyDescent="0.45">
      <c r="H164" s="15"/>
      <c r="I164" s="15"/>
      <c r="J164" s="15"/>
    </row>
    <row r="165" spans="1:12" x14ac:dyDescent="0.45">
      <c r="H165" s="15"/>
      <c r="I165" s="15"/>
      <c r="J165" s="15"/>
    </row>
    <row r="166" spans="1:12" x14ac:dyDescent="0.45">
      <c r="H166" s="15"/>
      <c r="I166" s="15"/>
      <c r="J166" s="15"/>
      <c r="K166" s="19" t="s">
        <v>164</v>
      </c>
    </row>
    <row r="167" spans="1:12" ht="28.5" x14ac:dyDescent="0.45">
      <c r="A167" s="16" t="s">
        <v>21</v>
      </c>
      <c r="B167" s="16" t="s">
        <v>22</v>
      </c>
      <c r="C167" s="16" t="s">
        <v>23</v>
      </c>
      <c r="D167" s="16" t="s">
        <v>24</v>
      </c>
      <c r="E167" s="16" t="s">
        <v>25</v>
      </c>
      <c r="F167" s="16" t="s">
        <v>26</v>
      </c>
      <c r="G167" s="16" t="s">
        <v>27</v>
      </c>
      <c r="H167" s="17" t="s">
        <v>28</v>
      </c>
      <c r="I167" s="17" t="s">
        <v>29</v>
      </c>
      <c r="J167" s="17" t="s">
        <v>30</v>
      </c>
      <c r="K167" s="16" t="s">
        <v>31</v>
      </c>
      <c r="L167" s="16" t="s">
        <v>32</v>
      </c>
    </row>
    <row r="168" spans="1:12" x14ac:dyDescent="0.45">
      <c r="A168">
        <v>3</v>
      </c>
      <c r="B168" t="s">
        <v>165</v>
      </c>
      <c r="C168" s="15">
        <v>1024</v>
      </c>
      <c r="D168">
        <v>8</v>
      </c>
      <c r="E168">
        <v>1.2717566497462593E-2</v>
      </c>
      <c r="F168">
        <v>1.8777289138577114E-2</v>
      </c>
      <c r="G168">
        <v>3.6633002189787107E-2</v>
      </c>
      <c r="H168" s="15">
        <v>394</v>
      </c>
      <c r="I168" s="15">
        <v>267</v>
      </c>
      <c r="J168" s="15">
        <v>137</v>
      </c>
      <c r="K168" s="15" t="s">
        <v>166</v>
      </c>
      <c r="L168" s="15">
        <v>33792</v>
      </c>
    </row>
    <row r="169" spans="1:12" x14ac:dyDescent="0.45">
      <c r="A169">
        <v>4</v>
      </c>
      <c r="B169" t="s">
        <v>167</v>
      </c>
      <c r="C169" s="15">
        <v>1024</v>
      </c>
      <c r="D169">
        <v>8</v>
      </c>
      <c r="E169">
        <v>1.3023545572915888E-2</v>
      </c>
      <c r="F169">
        <v>1.8812364419478426E-2</v>
      </c>
      <c r="G169">
        <v>3.7049154814815632E-2</v>
      </c>
      <c r="H169" s="15">
        <v>384</v>
      </c>
      <c r="I169" s="15">
        <v>267</v>
      </c>
      <c r="J169" s="15">
        <v>135</v>
      </c>
      <c r="K169" s="15" t="s">
        <v>139</v>
      </c>
      <c r="L169" s="15">
        <v>41984</v>
      </c>
    </row>
    <row r="170" spans="1:12" x14ac:dyDescent="0.45">
      <c r="A170">
        <v>6</v>
      </c>
      <c r="B170" t="s">
        <v>168</v>
      </c>
      <c r="C170" s="15">
        <v>1024</v>
      </c>
      <c r="D170">
        <v>8</v>
      </c>
      <c r="E170">
        <v>1.4103126197179836E-2</v>
      </c>
      <c r="F170">
        <v>1.7642682746477924E-2</v>
      </c>
      <c r="G170">
        <v>3.6183048201433955E-2</v>
      </c>
      <c r="H170" s="15">
        <v>355</v>
      </c>
      <c r="I170" s="15">
        <v>284</v>
      </c>
      <c r="J170" s="15">
        <v>139</v>
      </c>
      <c r="K170" s="15" t="s">
        <v>169</v>
      </c>
      <c r="L170" s="15">
        <v>58368</v>
      </c>
    </row>
    <row r="171" spans="1:12" x14ac:dyDescent="0.45">
      <c r="A171">
        <v>10</v>
      </c>
      <c r="B171" t="s">
        <v>170</v>
      </c>
      <c r="C171" s="15">
        <v>1024</v>
      </c>
      <c r="D171">
        <v>8</v>
      </c>
      <c r="E171">
        <v>1.6223575404533324E-2</v>
      </c>
      <c r="F171">
        <v>2.0175442338709656E-2</v>
      </c>
      <c r="G171">
        <v>3.9453239370081654E-2</v>
      </c>
      <c r="H171" s="15">
        <v>309</v>
      </c>
      <c r="I171" s="15">
        <v>248</v>
      </c>
      <c r="J171" s="15">
        <v>127</v>
      </c>
      <c r="K171" s="15" t="s">
        <v>171</v>
      </c>
      <c r="L171" s="15">
        <v>91136</v>
      </c>
    </row>
    <row r="172" spans="1:12" x14ac:dyDescent="0.45">
      <c r="A172">
        <v>18</v>
      </c>
      <c r="B172" t="s">
        <v>172</v>
      </c>
      <c r="C172" s="15">
        <v>1024</v>
      </c>
      <c r="D172">
        <v>8</v>
      </c>
      <c r="E172">
        <v>1.9577109374999679E-2</v>
      </c>
      <c r="F172">
        <v>2.3062459446998727E-2</v>
      </c>
      <c r="G172">
        <v>4.0353445967749361E-2</v>
      </c>
      <c r="H172" s="15">
        <v>256</v>
      </c>
      <c r="I172" s="15">
        <v>217</v>
      </c>
      <c r="J172" s="15">
        <v>124</v>
      </c>
      <c r="K172" s="15" t="s">
        <v>173</v>
      </c>
      <c r="L172" s="15">
        <v>156672</v>
      </c>
    </row>
    <row r="173" spans="1:12" x14ac:dyDescent="0.45">
      <c r="A173">
        <v>34</v>
      </c>
      <c r="B173" t="s">
        <v>174</v>
      </c>
      <c r="C173" s="15">
        <v>1024</v>
      </c>
      <c r="D173">
        <v>8</v>
      </c>
      <c r="E173">
        <v>2.7268639130437332E-2</v>
      </c>
      <c r="F173">
        <v>3.0730895705513874E-2</v>
      </c>
      <c r="G173">
        <v>3.9715022222221057E-2</v>
      </c>
      <c r="H173" s="15">
        <v>184</v>
      </c>
      <c r="I173" s="15">
        <v>163</v>
      </c>
      <c r="J173" s="15">
        <v>126</v>
      </c>
      <c r="K173" s="15" t="s">
        <v>175</v>
      </c>
      <c r="L173" s="15">
        <v>287744</v>
      </c>
    </row>
    <row r="174" spans="1:12" x14ac:dyDescent="0.45">
      <c r="A174">
        <v>66</v>
      </c>
      <c r="B174" t="s">
        <v>176</v>
      </c>
      <c r="C174" s="15">
        <v>1024</v>
      </c>
      <c r="D174">
        <v>8</v>
      </c>
      <c r="E174">
        <v>4.119479180327125E-2</v>
      </c>
      <c r="F174">
        <v>4.4471384070796142E-2</v>
      </c>
      <c r="G174">
        <v>4.0342499999995549E-2</v>
      </c>
      <c r="H174" s="15">
        <v>122</v>
      </c>
      <c r="I174" s="15">
        <v>113</v>
      </c>
      <c r="J174" s="15">
        <v>124</v>
      </c>
      <c r="K174" s="15" t="s">
        <v>177</v>
      </c>
      <c r="L174" s="15">
        <v>549888</v>
      </c>
    </row>
    <row r="175" spans="1:12" x14ac:dyDescent="0.45">
      <c r="A175">
        <v>130</v>
      </c>
      <c r="B175" t="s">
        <v>178</v>
      </c>
      <c r="C175" s="15">
        <v>1024</v>
      </c>
      <c r="D175">
        <v>8</v>
      </c>
      <c r="E175">
        <v>7.354379558824696E-2</v>
      </c>
      <c r="F175">
        <v>7.4068232352949376E-2</v>
      </c>
      <c r="G175">
        <v>4.9613728712873777E-2</v>
      </c>
      <c r="H175" s="15">
        <v>68</v>
      </c>
      <c r="I175" s="15">
        <v>68</v>
      </c>
      <c r="J175" s="15">
        <v>101</v>
      </c>
      <c r="K175" s="15" t="s">
        <v>179</v>
      </c>
      <c r="L175" s="15">
        <v>1074176</v>
      </c>
    </row>
    <row r="176" spans="1:12" x14ac:dyDescent="0.45">
      <c r="A176">
        <v>258</v>
      </c>
      <c r="B176" t="s">
        <v>180</v>
      </c>
      <c r="C176" s="15">
        <v>1024</v>
      </c>
      <c r="D176">
        <v>8</v>
      </c>
      <c r="E176">
        <v>0.12945027948714993</v>
      </c>
      <c r="F176">
        <v>0.130125584615365</v>
      </c>
      <c r="G176">
        <v>5.6333715730350661E-2</v>
      </c>
      <c r="H176" s="15">
        <v>39</v>
      </c>
      <c r="I176" s="15">
        <v>39</v>
      </c>
      <c r="J176" s="15">
        <v>89</v>
      </c>
      <c r="K176" s="15" t="s">
        <v>181</v>
      </c>
      <c r="L176" s="15">
        <v>2122752</v>
      </c>
    </row>
    <row r="177" spans="1:12" x14ac:dyDescent="0.45">
      <c r="A177">
        <v>514</v>
      </c>
      <c r="B177" t="s">
        <v>182</v>
      </c>
      <c r="C177" s="15">
        <v>1024</v>
      </c>
      <c r="D177">
        <v>8</v>
      </c>
      <c r="E177">
        <v>0.24719157142862969</v>
      </c>
      <c r="F177">
        <v>0.23753377727271899</v>
      </c>
      <c r="G177">
        <v>8.3807956666684433E-2</v>
      </c>
      <c r="H177" s="15">
        <v>21</v>
      </c>
      <c r="I177" s="15">
        <v>22</v>
      </c>
      <c r="J177" s="15">
        <v>60</v>
      </c>
      <c r="K177" s="15" t="s">
        <v>183</v>
      </c>
      <c r="L177" s="15">
        <v>4219904</v>
      </c>
    </row>
    <row r="178" spans="1:12" x14ac:dyDescent="0.45">
      <c r="A178">
        <v>1026</v>
      </c>
      <c r="B178" t="s">
        <v>184</v>
      </c>
      <c r="C178" s="15">
        <v>1024</v>
      </c>
      <c r="D178">
        <v>8</v>
      </c>
      <c r="E178">
        <v>0.50626344000011159</v>
      </c>
      <c r="F178">
        <v>0.45456238181809155</v>
      </c>
      <c r="G178">
        <v>0.18886797037042993</v>
      </c>
      <c r="H178" s="15">
        <v>10</v>
      </c>
      <c r="I178" s="15">
        <v>11</v>
      </c>
      <c r="J178" s="15">
        <v>27</v>
      </c>
      <c r="K178" s="15" t="s">
        <v>185</v>
      </c>
      <c r="L178" s="15">
        <v>8414208</v>
      </c>
    </row>
    <row r="179" spans="1:12" x14ac:dyDescent="0.45">
      <c r="A179">
        <v>2050</v>
      </c>
      <c r="B179" t="s">
        <v>186</v>
      </c>
      <c r="C179" s="15">
        <v>1024</v>
      </c>
      <c r="D179">
        <v>8</v>
      </c>
      <c r="E179">
        <v>0.9819684000000658</v>
      </c>
      <c r="F179">
        <v>0.87966298333321902</v>
      </c>
      <c r="G179">
        <v>0.59742733333344711</v>
      </c>
      <c r="H179" s="15">
        <v>6</v>
      </c>
      <c r="I179" s="15">
        <v>6</v>
      </c>
      <c r="J179" s="15">
        <v>9</v>
      </c>
      <c r="K179" s="15" t="s">
        <v>187</v>
      </c>
      <c r="L179" s="15">
        <v>16802816</v>
      </c>
    </row>
    <row r="180" spans="1:12" x14ac:dyDescent="0.45">
      <c r="A180">
        <v>4098</v>
      </c>
      <c r="B180" t="s">
        <v>188</v>
      </c>
      <c r="C180" s="15">
        <v>1024</v>
      </c>
      <c r="D180">
        <v>8</v>
      </c>
      <c r="E180">
        <v>1.9549785666670989</v>
      </c>
      <c r="F180">
        <v>1.7441486999996414</v>
      </c>
      <c r="G180">
        <v>2.0770916666666985</v>
      </c>
      <c r="H180" s="15">
        <v>3</v>
      </c>
      <c r="I180" s="15">
        <v>3</v>
      </c>
      <c r="J180" s="15">
        <v>3</v>
      </c>
      <c r="K180" s="15" t="s">
        <v>189</v>
      </c>
      <c r="L180" s="15">
        <v>33580032</v>
      </c>
    </row>
    <row r="181" spans="1:12" x14ac:dyDescent="0.45">
      <c r="A181">
        <v>8194</v>
      </c>
      <c r="B181" t="s">
        <v>190</v>
      </c>
      <c r="C181" s="15">
        <v>1024</v>
      </c>
      <c r="D181">
        <v>8</v>
      </c>
      <c r="E181">
        <v>4.2433115999992879</v>
      </c>
      <c r="F181">
        <v>3.8600196500001402</v>
      </c>
      <c r="G181">
        <v>9.3040644000011525</v>
      </c>
      <c r="H181" s="15">
        <v>2</v>
      </c>
      <c r="I181" s="15">
        <v>2</v>
      </c>
      <c r="J181" s="15">
        <v>1</v>
      </c>
      <c r="K181" s="15" t="s">
        <v>191</v>
      </c>
      <c r="L181" s="15">
        <v>67134464</v>
      </c>
    </row>
    <row r="182" spans="1:12" x14ac:dyDescent="0.45">
      <c r="A182">
        <v>16386</v>
      </c>
      <c r="B182" t="s">
        <v>192</v>
      </c>
      <c r="C182" s="15">
        <v>1024</v>
      </c>
      <c r="D182">
        <v>8</v>
      </c>
      <c r="E182">
        <v>8.7412566000002698</v>
      </c>
      <c r="F182">
        <v>8.021360900000218</v>
      </c>
      <c r="G182">
        <v>53.964022800000748</v>
      </c>
      <c r="H182" s="15">
        <v>1</v>
      </c>
      <c r="I182" s="15">
        <v>1</v>
      </c>
      <c r="J182" s="15">
        <v>1</v>
      </c>
      <c r="K182" s="15" t="s">
        <v>193</v>
      </c>
      <c r="L182" s="15">
        <v>134243328</v>
      </c>
    </row>
    <row r="183" spans="1:12" x14ac:dyDescent="0.45">
      <c r="H183" s="15"/>
      <c r="I183" s="15"/>
      <c r="J183" s="15"/>
    </row>
    <row r="184" spans="1:12" x14ac:dyDescent="0.45">
      <c r="H184" s="15"/>
      <c r="I184" s="15"/>
      <c r="J184" s="15"/>
    </row>
    <row r="185" spans="1:12" x14ac:dyDescent="0.45">
      <c r="H185" s="15"/>
      <c r="I185" s="15"/>
      <c r="J185" s="15"/>
    </row>
    <row r="186" spans="1:12" x14ac:dyDescent="0.45">
      <c r="H186" s="15"/>
      <c r="I186" s="15"/>
      <c r="J186" s="15"/>
    </row>
    <row r="187" spans="1:12" x14ac:dyDescent="0.45">
      <c r="H187" s="15"/>
      <c r="I187" s="15"/>
      <c r="J187" s="15"/>
    </row>
    <row r="188" spans="1:12" x14ac:dyDescent="0.45">
      <c r="H188" s="15"/>
      <c r="I188" s="15"/>
      <c r="J188" s="15"/>
    </row>
    <row r="189" spans="1:12" x14ac:dyDescent="0.45">
      <c r="H189" s="15"/>
      <c r="I189" s="15"/>
      <c r="J189" s="15"/>
    </row>
    <row r="190" spans="1:12" x14ac:dyDescent="0.45">
      <c r="H190" s="15"/>
      <c r="I190" s="15"/>
      <c r="J190" s="15"/>
    </row>
    <row r="191" spans="1:12" x14ac:dyDescent="0.45">
      <c r="H191" s="15"/>
      <c r="I191" s="15"/>
      <c r="J191" s="15"/>
    </row>
    <row r="192" spans="1:12" x14ac:dyDescent="0.45">
      <c r="H192" s="15"/>
      <c r="I192" s="15"/>
      <c r="J192" s="15"/>
    </row>
    <row r="193" spans="8:10" x14ac:dyDescent="0.45">
      <c r="H193" s="15"/>
      <c r="I193" s="15"/>
      <c r="J193" s="15"/>
    </row>
    <row r="194" spans="8:10" x14ac:dyDescent="0.45">
      <c r="H194" s="15"/>
      <c r="I194" s="15"/>
      <c r="J194" s="15"/>
    </row>
    <row r="195" spans="8:10" x14ac:dyDescent="0.45">
      <c r="H195" s="15"/>
      <c r="I195" s="15"/>
      <c r="J195" s="15"/>
    </row>
    <row r="196" spans="8:10" x14ac:dyDescent="0.45">
      <c r="H196" s="15"/>
      <c r="I196" s="15"/>
      <c r="J196" s="15"/>
    </row>
    <row r="197" spans="8:10" x14ac:dyDescent="0.45">
      <c r="H197" s="15"/>
      <c r="I197" s="15"/>
      <c r="J197" s="15"/>
    </row>
    <row r="198" spans="8:10" x14ac:dyDescent="0.45">
      <c r="H198" s="15"/>
      <c r="I198" s="15"/>
      <c r="J198" s="15"/>
    </row>
    <row r="199" spans="8:10" x14ac:dyDescent="0.45">
      <c r="H199" s="15"/>
      <c r="I199" s="15"/>
      <c r="J199" s="15"/>
    </row>
    <row r="200" spans="8:10" x14ac:dyDescent="0.45">
      <c r="H200" s="15"/>
      <c r="I200" s="15"/>
      <c r="J200" s="15"/>
    </row>
    <row r="201" spans="8:10" x14ac:dyDescent="0.45">
      <c r="H201" s="15"/>
      <c r="I201" s="15"/>
      <c r="J201" s="15"/>
    </row>
    <row r="202" spans="8:10" x14ac:dyDescent="0.45">
      <c r="H202" s="15"/>
      <c r="I202" s="15"/>
      <c r="J202" s="15"/>
    </row>
    <row r="203" spans="8:10" x14ac:dyDescent="0.45">
      <c r="H203" s="15"/>
      <c r="I203" s="15"/>
      <c r="J203" s="15"/>
    </row>
    <row r="204" spans="8:10" x14ac:dyDescent="0.45">
      <c r="H204" s="15"/>
      <c r="I204" s="15"/>
      <c r="J204" s="15"/>
    </row>
    <row r="205" spans="8:10" x14ac:dyDescent="0.45">
      <c r="H205" s="15"/>
      <c r="I205" s="15"/>
      <c r="J205" s="15"/>
    </row>
    <row r="206" spans="8:10" x14ac:dyDescent="0.45">
      <c r="H206" s="15"/>
      <c r="I206" s="15"/>
      <c r="J206" s="15"/>
    </row>
    <row r="207" spans="8:10" x14ac:dyDescent="0.45">
      <c r="H207" s="15"/>
      <c r="I207" s="15"/>
      <c r="J207" s="15"/>
    </row>
    <row r="208" spans="8:10" x14ac:dyDescent="0.45">
      <c r="H208" s="15"/>
      <c r="I208" s="15"/>
      <c r="J208" s="15"/>
    </row>
    <row r="209" spans="8:10" x14ac:dyDescent="0.45">
      <c r="H209" s="15"/>
      <c r="I209" s="15"/>
      <c r="J209" s="15"/>
    </row>
    <row r="210" spans="8:10" x14ac:dyDescent="0.45">
      <c r="H210" s="15"/>
      <c r="I210" s="15"/>
      <c r="J210" s="15"/>
    </row>
    <row r="211" spans="8:10" x14ac:dyDescent="0.45">
      <c r="H211" s="15"/>
      <c r="I211" s="15"/>
      <c r="J211" s="15"/>
    </row>
    <row r="212" spans="8:10" x14ac:dyDescent="0.45">
      <c r="H212" s="15"/>
      <c r="I212" s="15"/>
      <c r="J212" s="15"/>
    </row>
    <row r="213" spans="8:10" x14ac:dyDescent="0.45">
      <c r="H213" s="15"/>
      <c r="I213" s="15"/>
      <c r="J213" s="15"/>
    </row>
    <row r="214" spans="8:10" x14ac:dyDescent="0.45">
      <c r="H214" s="15"/>
      <c r="I214" s="15"/>
      <c r="J214" s="15"/>
    </row>
    <row r="215" spans="8:10" x14ac:dyDescent="0.45">
      <c r="H215" s="15"/>
      <c r="I215" s="15"/>
      <c r="J215" s="15"/>
    </row>
    <row r="216" spans="8:10" x14ac:dyDescent="0.45">
      <c r="H216" s="15"/>
      <c r="I216" s="15"/>
      <c r="J216" s="15"/>
    </row>
    <row r="217" spans="8:10" x14ac:dyDescent="0.45">
      <c r="H217" s="15"/>
      <c r="I217" s="15"/>
      <c r="J217" s="15"/>
    </row>
  </sheetData>
  <sheetProtection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 sizeWithCells="1">
                  <from>
                    <xdr:col>4</xdr:col>
                    <xdr:colOff>352425</xdr:colOff>
                    <xdr:row>0</xdr:row>
                    <xdr:rowOff>114300</xdr:rowOff>
                  </from>
                  <to>
                    <xdr:col>5</xdr:col>
                    <xdr:colOff>647700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>
                <anchor moveWithCells="1" sizeWithCells="1">
                  <from>
                    <xdr:col>6</xdr:col>
                    <xdr:colOff>57150</xdr:colOff>
                    <xdr:row>0</xdr:row>
                    <xdr:rowOff>123825</xdr:rowOff>
                  </from>
                  <to>
                    <xdr:col>6</xdr:col>
                    <xdr:colOff>1042988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5C733-FCD2-4368-931F-6DB63E6C610C}">
  <sheetPr codeName="shConvertTypes"/>
  <dimension ref="B1:I60"/>
  <sheetViews>
    <sheetView showGridLines="0" showRowColHeaders="0" workbookViewId="0"/>
  </sheetViews>
  <sheetFormatPr defaultRowHeight="14.25" x14ac:dyDescent="0.45"/>
  <cols>
    <col min="1" max="1" width="1.59765625" customWidth="1"/>
    <col min="2" max="2" width="10.6640625" bestFit="1" customWidth="1"/>
    <col min="3" max="3" width="18.6640625" bestFit="1" customWidth="1"/>
    <col min="4" max="4" width="1.59765625" customWidth="1"/>
    <col min="5" max="5" width="18.06640625" bestFit="1" customWidth="1"/>
    <col min="6" max="6" width="1.59765625" customWidth="1"/>
    <col min="7" max="7" width="18.06640625" bestFit="1" customWidth="1"/>
    <col min="8" max="8" width="1.59765625" customWidth="1"/>
    <col min="9" max="9" width="18.06640625" bestFit="1" customWidth="1"/>
    <col min="10" max="10" width="1.59765625" customWidth="1"/>
    <col min="11" max="11" width="18.06640625" bestFit="1" customWidth="1"/>
    <col min="12" max="12" width="1.59765625" customWidth="1"/>
    <col min="13" max="13" width="18.06640625" bestFit="1" customWidth="1"/>
    <col min="14" max="14" width="1.59765625" customWidth="1"/>
    <col min="15" max="15" width="19.6640625" bestFit="1" customWidth="1"/>
    <col min="16" max="16" width="1.59765625" customWidth="1"/>
    <col min="17" max="17" width="19.6640625" bestFit="1" customWidth="1"/>
    <col min="18" max="18" width="1.59765625" customWidth="1"/>
    <col min="19" max="19" width="19.6640625" bestFit="1" customWidth="1"/>
    <col min="20" max="20" width="1.59765625" customWidth="1"/>
    <col min="21" max="21" width="19.6640625" bestFit="1" customWidth="1"/>
    <col min="22" max="22" width="1.59765625" customWidth="1"/>
    <col min="23" max="23" width="18.06640625" bestFit="1" customWidth="1"/>
    <col min="24" max="24" width="1.59765625" customWidth="1"/>
    <col min="25" max="25" width="18.06640625" bestFit="1" customWidth="1"/>
  </cols>
  <sheetData>
    <row r="1" spans="2:9" ht="28.5" x14ac:dyDescent="0.85">
      <c r="B1" s="14" t="s">
        <v>404</v>
      </c>
    </row>
    <row r="3" spans="2:9" x14ac:dyDescent="0.45">
      <c r="B3" s="3" t="s">
        <v>403</v>
      </c>
      <c r="E3" s="3" t="s">
        <v>2</v>
      </c>
    </row>
    <row r="4" spans="2:9" x14ac:dyDescent="0.45">
      <c r="B4" s="37" t="str" cm="1">
        <f t="array" ref="B4">_xlfn.IFS(ISNUMBER(C4),"Number",ISTEXT(C4),"String",ISLOGICAL(C4),"Boolean",ISERROR(C4),"Error")</f>
        <v>Number</v>
      </c>
      <c r="C4" s="81">
        <v>44424</v>
      </c>
      <c r="E4" s="4" t="s">
        <v>4</v>
      </c>
      <c r="F4" s="4"/>
      <c r="G4" s="4"/>
      <c r="H4" s="4"/>
      <c r="I4" s="4"/>
    </row>
    <row r="5" spans="2:9" x14ac:dyDescent="0.45">
      <c r="B5" s="79" t="s">
        <v>199</v>
      </c>
      <c r="C5" s="82">
        <v>44432.534178240741</v>
      </c>
      <c r="E5" s="10" t="s">
        <v>407</v>
      </c>
      <c r="F5" s="10"/>
      <c r="G5" s="10"/>
      <c r="H5" s="10"/>
      <c r="I5" s="10"/>
    </row>
    <row r="6" spans="2:9" x14ac:dyDescent="0.45">
      <c r="B6" s="37" t="str" cm="1">
        <f t="array" ref="B6">_xlfn.IFS(ISNUMBER(C6),"Number",ISTEXT(C6),"String",ISLOGICAL(C6),"Boolean",ISERROR(C6),"Error")</f>
        <v>Boolean</v>
      </c>
      <c r="C6" s="78" t="b">
        <v>1</v>
      </c>
      <c r="E6" s="9" t="s">
        <v>11</v>
      </c>
      <c r="F6" s="9"/>
      <c r="G6" s="9"/>
      <c r="H6" s="9"/>
      <c r="I6" s="9"/>
    </row>
    <row r="7" spans="2:9" x14ac:dyDescent="0.45">
      <c r="B7" s="37" t="str" cm="1">
        <f t="array" ref="B7">_xlfn.IFS(ISNUMBER(C7),"Number",ISTEXT(C7),"String",ISLOGICAL(C7),"Boolean",ISERROR(C7),"Error")</f>
        <v>Error</v>
      </c>
      <c r="C7" s="78" t="e">
        <f>1/0</f>
        <v>#DIV/0!</v>
      </c>
      <c r="E7" s="6" t="s">
        <v>6</v>
      </c>
      <c r="F7" s="6"/>
      <c r="G7" s="6"/>
      <c r="H7" s="6"/>
      <c r="I7" s="6"/>
    </row>
    <row r="8" spans="2:9" x14ac:dyDescent="0.45">
      <c r="B8" s="37" t="str" cm="1">
        <f t="array" ref="B8">_xlfn.IFS(ISNUMBER(C8),"Number",ISTEXT(C8),"String",ISLOGICAL(C8),"Boolean",ISERROR(C8),"Error")</f>
        <v>String</v>
      </c>
      <c r="C8" s="78" t="s">
        <v>388</v>
      </c>
      <c r="E8" s="87" t="s">
        <v>406</v>
      </c>
      <c r="F8" s="8"/>
      <c r="G8" s="8"/>
      <c r="H8" s="8"/>
      <c r="I8" s="8"/>
    </row>
    <row r="9" spans="2:9" x14ac:dyDescent="0.45">
      <c r="B9" s="37" t="s">
        <v>6</v>
      </c>
      <c r="C9" s="82" t="s">
        <v>511</v>
      </c>
      <c r="E9" s="86" t="s">
        <v>567</v>
      </c>
      <c r="F9" s="80"/>
      <c r="G9" s="80"/>
      <c r="H9" s="80"/>
      <c r="I9" s="80"/>
    </row>
    <row r="10" spans="2:9" x14ac:dyDescent="0.45">
      <c r="B10" s="37" t="str" cm="1">
        <f t="array" ref="B10">_xlfn.IFS(ISNUMBER(C10),"Number",ISTEXT(C10),"String",ISLOGICAL(C10),"Boolean",ISERROR(C10),"Error")</f>
        <v>String</v>
      </c>
      <c r="C10" s="78" t="s">
        <v>389</v>
      </c>
    </row>
    <row r="11" spans="2:9" x14ac:dyDescent="0.45">
      <c r="B11" s="37" t="str" cm="1">
        <f t="array" ref="B11">_xlfn.IFS(ISNUMBER(C11),"Number",ISTEXT(C11),"String",ISLOGICAL(C11),"Boolean",ISERROR(C11),"Error")</f>
        <v>String</v>
      </c>
      <c r="C11" s="78" t="s">
        <v>391</v>
      </c>
    </row>
    <row r="12" spans="2:9" x14ac:dyDescent="0.45">
      <c r="B12" s="37" t="str" cm="1">
        <f t="array" ref="B12">_xlfn.IFS(ISNUMBER(C12),"Number",ISTEXT(C12),"String",ISLOGICAL(C12),"Boolean",ISERROR(C12),"Error")</f>
        <v>String</v>
      </c>
      <c r="C12" s="78" t="s">
        <v>390</v>
      </c>
    </row>
    <row r="13" spans="2:9" x14ac:dyDescent="0.45">
      <c r="B13" s="37" t="s">
        <v>6</v>
      </c>
      <c r="C13" s="78" t="s">
        <v>394</v>
      </c>
    </row>
    <row r="14" spans="2:9" ht="28.5" x14ac:dyDescent="0.45">
      <c r="B14" s="37" t="str" cm="1">
        <f t="array" ref="B14">_xlfn.IFS(ISNUMBER(C14),"Number",ISTEXT(C14),"String",ISLOGICAL(C14),"Boolean",ISERROR(C14),"Error")</f>
        <v>String</v>
      </c>
      <c r="C14" s="83" t="s">
        <v>566</v>
      </c>
    </row>
    <row r="16" spans="2:9" x14ac:dyDescent="0.45">
      <c r="B16" s="2" t="s">
        <v>509</v>
      </c>
    </row>
    <row r="17" spans="2:9" x14ac:dyDescent="0.45">
      <c r="B17" t="s">
        <v>510</v>
      </c>
      <c r="C17" t="str" cm="1">
        <f t="array" ref="C17">CSVWrite(Data,,,"ISO")</f>
        <v xml:space="preserve">"Number",44424
"Date",2021-08-24T12:49:13
"Boolean",True
"Error",#DIV/0!
"String","1"
"String","2021-08-24T12:49:13"
"String","TRUE"
"String","#DIV/0!"
"String","abc"
"String","abc""def"
"String","Line
Feed"
</v>
      </c>
    </row>
    <row r="19" spans="2:9" x14ac:dyDescent="0.45">
      <c r="B19" s="3" t="s">
        <v>405</v>
      </c>
    </row>
    <row r="20" spans="2:9" x14ac:dyDescent="0.45">
      <c r="B20" s="3"/>
      <c r="C20" s="84" t="b">
        <v>1</v>
      </c>
      <c r="D20" s="41"/>
      <c r="E20" s="85" t="b">
        <v>0</v>
      </c>
      <c r="G20" s="84" t="s">
        <v>392</v>
      </c>
      <c r="H20" s="41"/>
      <c r="I20" s="85" t="s">
        <v>393</v>
      </c>
    </row>
    <row r="21" spans="2:9" x14ac:dyDescent="0.45">
      <c r="B21" s="3"/>
      <c r="C21" s="41"/>
      <c r="D21" s="41"/>
      <c r="E21" s="41"/>
      <c r="G21" s="41"/>
      <c r="H21" s="41"/>
      <c r="I21" s="41"/>
    </row>
    <row r="22" spans="2:9" x14ac:dyDescent="0.45">
      <c r="B22" s="3"/>
      <c r="C22" s="81" cm="1">
        <f t="array" ref="C22:C32">CSVRead(CSVContents,C20,,,"ISO",,,,2)</f>
        <v>44424</v>
      </c>
      <c r="E22" s="81" t="str" cm="1">
        <f t="array" ref="E22:E32">CSVRead(CSVContents,E20,,,"ISO",,,,2)</f>
        <v>44424</v>
      </c>
      <c r="G22" s="81" cm="1">
        <f t="array" ref="G22:G32">CSVRead(CSVContents,G20,,,"ISO",,,,2)</f>
        <v>44424</v>
      </c>
      <c r="I22" s="81" cm="1">
        <f t="array" ref="I22:I32">CSVRead(CSVContents,I20,,,"ISO",,,,2)</f>
        <v>44424</v>
      </c>
    </row>
    <row r="23" spans="2:9" x14ac:dyDescent="0.45">
      <c r="B23" s="3"/>
      <c r="C23" s="82">
        <v>44432.534178240741</v>
      </c>
      <c r="E23" s="82" t="str">
        <v>2021-08-24T12:49:13</v>
      </c>
      <c r="G23" s="82">
        <v>44432.534178240741</v>
      </c>
      <c r="I23" s="82">
        <v>44432.534178240741</v>
      </c>
    </row>
    <row r="24" spans="2:9" x14ac:dyDescent="0.45">
      <c r="B24" s="3"/>
      <c r="C24" s="78" t="b">
        <v>1</v>
      </c>
      <c r="E24" s="78" t="str">
        <v>True</v>
      </c>
      <c r="G24" s="78" t="b">
        <v>1</v>
      </c>
      <c r="I24" s="78" t="b">
        <v>1</v>
      </c>
    </row>
    <row r="25" spans="2:9" x14ac:dyDescent="0.45">
      <c r="B25" s="3"/>
      <c r="C25" s="78" t="str">
        <v>#DIV/0!</v>
      </c>
      <c r="E25" s="78" t="str">
        <v>#DIV/0!</v>
      </c>
      <c r="G25" s="78" t="e">
        <v>#DIV/0!</v>
      </c>
      <c r="I25" s="78" t="e">
        <v>#DIV/0!</v>
      </c>
    </row>
    <row r="26" spans="2:9" x14ac:dyDescent="0.45">
      <c r="B26" s="3"/>
      <c r="C26" s="78" t="str">
        <v>1</v>
      </c>
      <c r="E26" s="78" t="str">
        <v>1</v>
      </c>
      <c r="G26" s="78" t="str">
        <v>1</v>
      </c>
      <c r="I26" s="78">
        <v>1</v>
      </c>
    </row>
    <row r="27" spans="2:9" x14ac:dyDescent="0.45">
      <c r="B27" s="3"/>
      <c r="C27" s="82" t="str">
        <v>2021-08-24T12:49:13</v>
      </c>
      <c r="E27" s="82" t="str">
        <v>2021-08-24T12:49:13</v>
      </c>
      <c r="G27" s="82" t="str">
        <v>2021-08-24T12:49:13</v>
      </c>
      <c r="I27" s="82">
        <v>44432.534178240741</v>
      </c>
    </row>
    <row r="28" spans="2:9" x14ac:dyDescent="0.45">
      <c r="B28" s="3"/>
      <c r="C28" s="78" t="str">
        <v>TRUE</v>
      </c>
      <c r="E28" s="78" t="str">
        <v>TRUE</v>
      </c>
      <c r="G28" s="78" t="str">
        <v>TRUE</v>
      </c>
      <c r="I28" s="78" t="b">
        <v>1</v>
      </c>
    </row>
    <row r="29" spans="2:9" x14ac:dyDescent="0.45">
      <c r="B29" s="3"/>
      <c r="C29" s="78" t="str">
        <v>#DIV/0!</v>
      </c>
      <c r="E29" s="78" t="str">
        <v>#DIV/0!</v>
      </c>
      <c r="G29" s="78" t="str">
        <v>#DIV/0!</v>
      </c>
      <c r="I29" s="78" t="e">
        <v>#DIV/0!</v>
      </c>
    </row>
    <row r="30" spans="2:9" x14ac:dyDescent="0.45">
      <c r="B30" s="3"/>
      <c r="C30" s="78" t="str">
        <v>abc</v>
      </c>
      <c r="E30" s="78" t="str">
        <v>abc</v>
      </c>
      <c r="G30" s="78" t="str">
        <v>abc</v>
      </c>
      <c r="I30" s="78" t="str">
        <v>abc</v>
      </c>
    </row>
    <row r="31" spans="2:9" x14ac:dyDescent="0.45">
      <c r="B31" s="3"/>
      <c r="C31" s="78" t="str">
        <v>abc"def</v>
      </c>
      <c r="E31" s="78" t="str">
        <v>abc"def</v>
      </c>
      <c r="G31" s="78" t="str">
        <v>abc"def</v>
      </c>
      <c r="I31" s="78" t="str">
        <v>abc"def</v>
      </c>
    </row>
    <row r="32" spans="2:9" ht="28.5" x14ac:dyDescent="0.45">
      <c r="B32" s="3"/>
      <c r="C32" s="83" t="str">
        <v>Line
Feed</v>
      </c>
      <c r="E32" s="83" t="str">
        <v>Line
Feed</v>
      </c>
      <c r="G32" s="83" t="str">
        <v>Line
Feed</v>
      </c>
      <c r="I32" s="83" t="str">
        <v>Line
Feed</v>
      </c>
    </row>
    <row r="33" spans="2:9" x14ac:dyDescent="0.45">
      <c r="B33" s="3"/>
    </row>
    <row r="34" spans="2:9" x14ac:dyDescent="0.45">
      <c r="C34" s="84" t="s">
        <v>385</v>
      </c>
      <c r="D34" s="41"/>
      <c r="E34" s="85" t="s">
        <v>395</v>
      </c>
      <c r="G34" s="84" t="s">
        <v>396</v>
      </c>
      <c r="H34" s="41"/>
      <c r="I34" s="85" t="s">
        <v>397</v>
      </c>
    </row>
    <row r="35" spans="2:9" x14ac:dyDescent="0.45">
      <c r="C35" s="41"/>
      <c r="D35" s="41"/>
      <c r="E35" s="41"/>
      <c r="F35" s="41"/>
      <c r="G35" s="41"/>
      <c r="H35" s="41"/>
      <c r="I35" s="41"/>
    </row>
    <row r="36" spans="2:9" x14ac:dyDescent="0.45">
      <c r="C36" s="81" cm="1">
        <f t="array" ref="C36:C46">CSVRead(CSVContents,C34,,,"ISO",,,,2)</f>
        <v>44424</v>
      </c>
      <c r="E36" s="81" t="str" cm="1">
        <f t="array" ref="E36:E46">CSVRead(CSVContents,E34,,,"ISO",,,,2)</f>
        <v>44424</v>
      </c>
      <c r="G36" s="81" t="str" cm="1">
        <f t="array" ref="G36:G46">CSVRead(CSVContents,G34,,,"ISO",,,,2)</f>
        <v>44424</v>
      </c>
      <c r="I36" s="81" t="str" cm="1">
        <f t="array" ref="I36:I46">CSVRead(CSVContents,I34,,,"ISO",,,,2)</f>
        <v>44424</v>
      </c>
    </row>
    <row r="37" spans="2:9" x14ac:dyDescent="0.45">
      <c r="C37" s="82" t="str">
        <v>2021-08-24T12:49:13</v>
      </c>
      <c r="E37" s="82">
        <v>44432.534178240741</v>
      </c>
      <c r="G37" s="82" t="str">
        <v>2021-08-24T12:49:13</v>
      </c>
      <c r="I37" s="82" t="str">
        <v>2021-08-24T12:49:13</v>
      </c>
    </row>
    <row r="38" spans="2:9" x14ac:dyDescent="0.45">
      <c r="C38" s="78" t="str">
        <v>True</v>
      </c>
      <c r="E38" s="78" t="str">
        <v>True</v>
      </c>
      <c r="G38" s="78" t="b">
        <v>1</v>
      </c>
      <c r="I38" s="78" t="str">
        <v>True</v>
      </c>
    </row>
    <row r="39" spans="2:9" x14ac:dyDescent="0.45">
      <c r="C39" s="78" t="str">
        <v>#DIV/0!</v>
      </c>
      <c r="E39" s="78" t="str">
        <v>#DIV/0!</v>
      </c>
      <c r="G39" s="78" t="str">
        <v>#DIV/0!</v>
      </c>
      <c r="I39" s="78" t="e">
        <v>#DIV/0!</v>
      </c>
    </row>
    <row r="40" spans="2:9" x14ac:dyDescent="0.45">
      <c r="C40" s="78" t="str">
        <v>1</v>
      </c>
      <c r="E40" s="78" t="str">
        <v>1</v>
      </c>
      <c r="G40" s="78" t="str">
        <v>1</v>
      </c>
      <c r="I40" s="78" t="str">
        <v>1</v>
      </c>
    </row>
    <row r="41" spans="2:9" x14ac:dyDescent="0.45">
      <c r="C41" s="82" t="str">
        <v>2021-08-24T12:49:13</v>
      </c>
      <c r="E41" s="82" t="str">
        <v>2021-08-24T12:49:13</v>
      </c>
      <c r="G41" s="82" t="str">
        <v>2021-08-24T12:49:13</v>
      </c>
      <c r="I41" s="82" t="str">
        <v>2021-08-24T12:49:13</v>
      </c>
    </row>
    <row r="42" spans="2:9" x14ac:dyDescent="0.45">
      <c r="C42" s="78" t="str">
        <v>TRUE</v>
      </c>
      <c r="E42" s="78" t="str">
        <v>TRUE</v>
      </c>
      <c r="G42" s="78" t="str">
        <v>TRUE</v>
      </c>
      <c r="I42" s="78" t="str">
        <v>TRUE</v>
      </c>
    </row>
    <row r="43" spans="2:9" x14ac:dyDescent="0.45">
      <c r="C43" s="78" t="str">
        <v>#DIV/0!</v>
      </c>
      <c r="E43" s="78" t="str">
        <v>#DIV/0!</v>
      </c>
      <c r="G43" s="78" t="str">
        <v>#DIV/0!</v>
      </c>
      <c r="I43" s="78" t="str">
        <v>#DIV/0!</v>
      </c>
    </row>
    <row r="44" spans="2:9" x14ac:dyDescent="0.45">
      <c r="C44" s="78" t="str">
        <v>abc</v>
      </c>
      <c r="E44" s="78" t="str">
        <v>abc</v>
      </c>
      <c r="G44" s="78" t="str">
        <v>abc</v>
      </c>
      <c r="I44" s="78" t="str">
        <v>abc</v>
      </c>
    </row>
    <row r="45" spans="2:9" x14ac:dyDescent="0.45">
      <c r="C45" s="78" t="str">
        <v>abc"def</v>
      </c>
      <c r="E45" s="78" t="str">
        <v>abc"def</v>
      </c>
      <c r="G45" s="78" t="str">
        <v>abc"def</v>
      </c>
      <c r="I45" s="78" t="str">
        <v>abc"def</v>
      </c>
    </row>
    <row r="46" spans="2:9" ht="28.5" x14ac:dyDescent="0.45">
      <c r="C46" s="83" t="str">
        <v>Line
Feed</v>
      </c>
      <c r="E46" s="83" t="str">
        <v>Line
Feed</v>
      </c>
      <c r="G46" s="83" t="str">
        <v>Line
Feed</v>
      </c>
      <c r="I46" s="83" t="str">
        <v>Line
Feed</v>
      </c>
    </row>
    <row r="48" spans="2:9" x14ac:dyDescent="0.45">
      <c r="C48" s="84" t="str">
        <f>C34&amp;"Q"</f>
        <v>NQ</v>
      </c>
      <c r="D48" s="41"/>
      <c r="E48" s="85" t="str">
        <f>E34&amp;"Q"</f>
        <v>DQ</v>
      </c>
      <c r="G48" s="84" t="str">
        <f>G34&amp;"Q"</f>
        <v>BQ</v>
      </c>
      <c r="H48" s="41"/>
      <c r="I48" s="85" t="str">
        <f>I34&amp;"Q"</f>
        <v>EQ</v>
      </c>
    </row>
    <row r="49" spans="3:9" x14ac:dyDescent="0.45">
      <c r="C49" s="41"/>
      <c r="D49" s="41"/>
      <c r="E49" s="41"/>
      <c r="F49" s="41"/>
      <c r="G49" s="41"/>
      <c r="H49" s="41"/>
      <c r="I49" s="41"/>
    </row>
    <row r="50" spans="3:9" x14ac:dyDescent="0.45">
      <c r="C50" s="81" cm="1">
        <f t="array" ref="C50:C60">CSVRead(CSVContents,C48,,,"ISO",,,,2)</f>
        <v>44424</v>
      </c>
      <c r="E50" s="81" t="str" cm="1">
        <f t="array" ref="E50:E60">CSVRead(CSVContents,E48,,,"ISO",,,,2)</f>
        <v>44424</v>
      </c>
      <c r="G50" s="81" t="str" cm="1">
        <f t="array" ref="G50:G60">CSVRead(CSVContents,G48,,,"ISO",,,,2)</f>
        <v>44424</v>
      </c>
      <c r="I50" s="81" t="str" cm="1">
        <f t="array" ref="I50:I60">CSVRead(CSVContents,I48,,,"ISO",,,,2)</f>
        <v>44424</v>
      </c>
    </row>
    <row r="51" spans="3:9" x14ac:dyDescent="0.45">
      <c r="C51" s="82" t="str">
        <v>2021-08-24T12:49:13</v>
      </c>
      <c r="E51" s="82">
        <v>44432.534178240741</v>
      </c>
      <c r="G51" s="82" t="str">
        <v>2021-08-24T12:49:13</v>
      </c>
      <c r="I51" s="82" t="str">
        <v>2021-08-24T12:49:13</v>
      </c>
    </row>
    <row r="52" spans="3:9" x14ac:dyDescent="0.45">
      <c r="C52" s="78" t="str">
        <v>True</v>
      </c>
      <c r="E52" s="78" t="str">
        <v>True</v>
      </c>
      <c r="G52" s="78" t="b">
        <v>1</v>
      </c>
      <c r="I52" s="78" t="str">
        <v>True</v>
      </c>
    </row>
    <row r="53" spans="3:9" x14ac:dyDescent="0.45">
      <c r="C53" s="78" t="str">
        <v>#DIV/0!</v>
      </c>
      <c r="E53" s="78" t="str">
        <v>#DIV/0!</v>
      </c>
      <c r="G53" s="78" t="str">
        <v>#DIV/0!</v>
      </c>
      <c r="I53" s="78" t="e">
        <v>#DIV/0!</v>
      </c>
    </row>
    <row r="54" spans="3:9" x14ac:dyDescent="0.45">
      <c r="C54" s="78">
        <v>1</v>
      </c>
      <c r="E54" s="78" t="str">
        <v>1</v>
      </c>
      <c r="G54" s="78" t="str">
        <v>1</v>
      </c>
      <c r="I54" s="78" t="str">
        <v>1</v>
      </c>
    </row>
    <row r="55" spans="3:9" x14ac:dyDescent="0.45">
      <c r="C55" s="82" t="str">
        <v>2021-08-24T12:49:13</v>
      </c>
      <c r="E55" s="82">
        <v>44432.534178240741</v>
      </c>
      <c r="G55" s="82" t="str">
        <v>2021-08-24T12:49:13</v>
      </c>
      <c r="I55" s="82" t="str">
        <v>2021-08-24T12:49:13</v>
      </c>
    </row>
    <row r="56" spans="3:9" x14ac:dyDescent="0.45">
      <c r="C56" s="78" t="str">
        <v>TRUE</v>
      </c>
      <c r="E56" s="78" t="str">
        <v>TRUE</v>
      </c>
      <c r="G56" s="78" t="b">
        <v>1</v>
      </c>
      <c r="I56" s="78" t="str">
        <v>TRUE</v>
      </c>
    </row>
    <row r="57" spans="3:9" x14ac:dyDescent="0.45">
      <c r="C57" s="78" t="str">
        <v>#DIV/0!</v>
      </c>
      <c r="E57" s="78" t="str">
        <v>#DIV/0!</v>
      </c>
      <c r="G57" s="78" t="str">
        <v>#DIV/0!</v>
      </c>
      <c r="I57" s="78" t="e">
        <v>#DIV/0!</v>
      </c>
    </row>
    <row r="58" spans="3:9" x14ac:dyDescent="0.45">
      <c r="C58" s="78" t="str">
        <v>abc</v>
      </c>
      <c r="E58" s="78" t="str">
        <v>abc</v>
      </c>
      <c r="G58" s="78" t="str">
        <v>abc</v>
      </c>
      <c r="I58" s="78" t="str">
        <v>abc</v>
      </c>
    </row>
    <row r="59" spans="3:9" x14ac:dyDescent="0.45">
      <c r="C59" s="78" t="str">
        <v>abc"def</v>
      </c>
      <c r="E59" s="78" t="str">
        <v>abc"def</v>
      </c>
      <c r="G59" s="78" t="str">
        <v>abc"def</v>
      </c>
      <c r="I59" s="78" t="str">
        <v>abc"def</v>
      </c>
    </row>
    <row r="60" spans="3:9" ht="28.5" x14ac:dyDescent="0.45">
      <c r="C60" s="83" t="str">
        <v>Line
Feed</v>
      </c>
      <c r="E60" s="83" t="str">
        <v>Line
Feed</v>
      </c>
      <c r="G60" s="83" t="str">
        <v>Line
Feed</v>
      </c>
      <c r="I60" s="83" t="str">
        <v>Line
Feed</v>
      </c>
    </row>
  </sheetData>
  <sheetProtection sheet="1" objects="1" scenarios="1"/>
  <conditionalFormatting sqref="B4 B6:B14">
    <cfRule type="expression" dxfId="178" priority="611">
      <formula>ISLOGICAL(B4)</formula>
    </cfRule>
    <cfRule type="expression" dxfId="177" priority="612">
      <formula>ISNUMBER(B4)</formula>
    </cfRule>
    <cfRule type="expression" dxfId="176" priority="613">
      <formula>ISNUMBER(SEARCH("""",B4))</formula>
    </cfRule>
    <cfRule type="expression" dxfId="175" priority="614">
      <formula>ISTEXT(B4)</formula>
    </cfRule>
    <cfRule type="expression" dxfId="174" priority="615">
      <formula>ISERROR(B4)</formula>
    </cfRule>
  </conditionalFormatting>
  <conditionalFormatting sqref="B5">
    <cfRule type="expression" dxfId="173" priority="606">
      <formula>ISLOGICAL(B5)</formula>
    </cfRule>
    <cfRule type="expression" dxfId="172" priority="607">
      <formula>ISNUMBER(B5)</formula>
    </cfRule>
    <cfRule type="expression" dxfId="171" priority="608">
      <formula>ISNUMBER(SEARCH("""",B5))</formula>
    </cfRule>
    <cfRule type="expression" dxfId="170" priority="609">
      <formula>ISTEXT(B5)</formula>
    </cfRule>
    <cfRule type="expression" dxfId="169" priority="610">
      <formula>ISERROR(B5)</formula>
    </cfRule>
  </conditionalFormatting>
  <conditionalFormatting sqref="C22:C32">
    <cfRule type="expression" dxfId="168" priority="169">
      <formula>ISNUMBER(C22)</formula>
    </cfRule>
    <cfRule type="expression" dxfId="167" priority="341">
      <formula>ISLOGICAL(C22)</formula>
    </cfRule>
    <cfRule type="expression" dxfId="166" priority="342">
      <formula>ISERROR(C22)</formula>
    </cfRule>
    <cfRule type="expression" dxfId="165" priority="343">
      <formula>ISNUMBER(SEARCH(CHAR(10),C22))</formula>
    </cfRule>
    <cfRule type="expression" dxfId="164" priority="344">
      <formula>ISNUMBER(SEARCH("""",C22))</formula>
    </cfRule>
    <cfRule type="expression" dxfId="163" priority="345">
      <formula>ISTEXT(C22)</formula>
    </cfRule>
  </conditionalFormatting>
  <conditionalFormatting sqref="E22:E32">
    <cfRule type="expression" dxfId="162" priority="115">
      <formula>ISNUMBER(E22)</formula>
    </cfRule>
    <cfRule type="expression" dxfId="161" priority="116">
      <formula>ISLOGICAL(E22)</formula>
    </cfRule>
    <cfRule type="expression" dxfId="160" priority="117">
      <formula>ISERROR(E22)</formula>
    </cfRule>
    <cfRule type="expression" dxfId="159" priority="118">
      <formula>ISNUMBER(SEARCH(CHAR(10),E22))</formula>
    </cfRule>
    <cfRule type="expression" dxfId="158" priority="119">
      <formula>ISNUMBER(SEARCH("""",E22))</formula>
    </cfRule>
    <cfRule type="expression" dxfId="157" priority="120">
      <formula>ISTEXT(E22)</formula>
    </cfRule>
  </conditionalFormatting>
  <conditionalFormatting sqref="G22:G32">
    <cfRule type="expression" dxfId="156" priority="109">
      <formula>ISNUMBER(G22)</formula>
    </cfRule>
    <cfRule type="expression" dxfId="155" priority="110">
      <formula>ISLOGICAL(G22)</formula>
    </cfRule>
    <cfRule type="expression" dxfId="154" priority="111">
      <formula>ISERROR(G22)</formula>
    </cfRule>
    <cfRule type="expression" dxfId="153" priority="112">
      <formula>ISNUMBER(SEARCH(CHAR(10),G22))</formula>
    </cfRule>
    <cfRule type="expression" dxfId="152" priority="113">
      <formula>ISNUMBER(SEARCH("""",G22))</formula>
    </cfRule>
    <cfRule type="expression" dxfId="151" priority="114">
      <formula>ISTEXT(G22)</formula>
    </cfRule>
  </conditionalFormatting>
  <conditionalFormatting sqref="I22:I32">
    <cfRule type="expression" dxfId="150" priority="103">
      <formula>ISNUMBER(I22)</formula>
    </cfRule>
    <cfRule type="expression" dxfId="149" priority="104">
      <formula>ISLOGICAL(I22)</formula>
    </cfRule>
    <cfRule type="expression" dxfId="148" priority="105">
      <formula>ISERROR(I22)</formula>
    </cfRule>
    <cfRule type="expression" dxfId="147" priority="106">
      <formula>ISNUMBER(SEARCH(CHAR(10),I22))</formula>
    </cfRule>
    <cfRule type="expression" dxfId="146" priority="107">
      <formula>ISNUMBER(SEARCH("""",I22))</formula>
    </cfRule>
    <cfRule type="expression" dxfId="145" priority="108">
      <formula>ISTEXT(I22)</formula>
    </cfRule>
  </conditionalFormatting>
  <conditionalFormatting sqref="E36:E46">
    <cfRule type="expression" dxfId="144" priority="43">
      <formula>ISNUMBER(E36)</formula>
    </cfRule>
    <cfRule type="expression" dxfId="143" priority="44">
      <formula>ISLOGICAL(E36)</formula>
    </cfRule>
    <cfRule type="expression" dxfId="142" priority="45">
      <formula>ISERROR(E36)</formula>
    </cfRule>
    <cfRule type="expression" dxfId="141" priority="46">
      <formula>ISNUMBER(SEARCH(CHAR(10),E36))</formula>
    </cfRule>
    <cfRule type="expression" dxfId="140" priority="47">
      <formula>ISNUMBER(SEARCH("""",E36))</formula>
    </cfRule>
    <cfRule type="expression" dxfId="139" priority="48">
      <formula>ISTEXT(E36)</formula>
    </cfRule>
  </conditionalFormatting>
  <conditionalFormatting sqref="G36:G46">
    <cfRule type="expression" dxfId="138" priority="37">
      <formula>ISNUMBER(G36)</formula>
    </cfRule>
    <cfRule type="expression" dxfId="137" priority="38">
      <formula>ISLOGICAL(G36)</formula>
    </cfRule>
    <cfRule type="expression" dxfId="136" priority="39">
      <formula>ISERROR(G36)</formula>
    </cfRule>
    <cfRule type="expression" dxfId="135" priority="40">
      <formula>ISNUMBER(SEARCH(CHAR(10),G36))</formula>
    </cfRule>
    <cfRule type="expression" dxfId="134" priority="41">
      <formula>ISNUMBER(SEARCH("""",G36))</formula>
    </cfRule>
    <cfRule type="expression" dxfId="133" priority="42">
      <formula>ISTEXT(G36)</formula>
    </cfRule>
  </conditionalFormatting>
  <conditionalFormatting sqref="I36:I46">
    <cfRule type="expression" dxfId="132" priority="31">
      <formula>ISNUMBER(I36)</formula>
    </cfRule>
    <cfRule type="expression" dxfId="131" priority="32">
      <formula>ISLOGICAL(I36)</formula>
    </cfRule>
    <cfRule type="expression" dxfId="130" priority="33">
      <formula>ISERROR(I36)</formula>
    </cfRule>
    <cfRule type="expression" dxfId="129" priority="34">
      <formula>ISNUMBER(SEARCH(CHAR(10),I36))</formula>
    </cfRule>
    <cfRule type="expression" dxfId="128" priority="35">
      <formula>ISNUMBER(SEARCH("""",I36))</formula>
    </cfRule>
    <cfRule type="expression" dxfId="127" priority="36">
      <formula>ISTEXT(I36)</formula>
    </cfRule>
  </conditionalFormatting>
  <conditionalFormatting sqref="C50:C60">
    <cfRule type="expression" dxfId="126" priority="25">
      <formula>ISNUMBER(C50)</formula>
    </cfRule>
    <cfRule type="expression" dxfId="125" priority="26">
      <formula>ISLOGICAL(C50)</formula>
    </cfRule>
    <cfRule type="expression" dxfId="124" priority="27">
      <formula>ISERROR(C50)</formula>
    </cfRule>
    <cfRule type="expression" dxfId="123" priority="28">
      <formula>ISNUMBER(SEARCH(CHAR(10),C50))</formula>
    </cfRule>
    <cfRule type="expression" dxfId="122" priority="29">
      <formula>ISNUMBER(SEARCH("""",C50))</formula>
    </cfRule>
    <cfRule type="expression" dxfId="121" priority="30">
      <formula>ISTEXT(C50)</formula>
    </cfRule>
  </conditionalFormatting>
  <conditionalFormatting sqref="C36:C46">
    <cfRule type="expression" dxfId="120" priority="49">
      <formula>ISNUMBER(C36)</formula>
    </cfRule>
    <cfRule type="expression" dxfId="119" priority="50">
      <formula>ISLOGICAL(C36)</formula>
    </cfRule>
    <cfRule type="expression" dxfId="118" priority="51">
      <formula>ISERROR(C36)</formula>
    </cfRule>
    <cfRule type="expression" dxfId="117" priority="52">
      <formula>ISNUMBER(SEARCH(CHAR(10),C36))</formula>
    </cfRule>
    <cfRule type="expression" dxfId="116" priority="53">
      <formula>ISNUMBER(SEARCH("""",C36))</formula>
    </cfRule>
    <cfRule type="expression" dxfId="115" priority="54">
      <formula>ISTEXT(C36)</formula>
    </cfRule>
  </conditionalFormatting>
  <conditionalFormatting sqref="E50:E60">
    <cfRule type="expression" dxfId="114" priority="19">
      <formula>ISNUMBER(E50)</formula>
    </cfRule>
    <cfRule type="expression" dxfId="113" priority="20">
      <formula>ISLOGICAL(E50)</formula>
    </cfRule>
    <cfRule type="expression" dxfId="112" priority="21">
      <formula>ISERROR(E50)</formula>
    </cfRule>
    <cfRule type="expression" dxfId="111" priority="22">
      <formula>ISNUMBER(SEARCH(CHAR(10),E50))</formula>
    </cfRule>
    <cfRule type="expression" dxfId="110" priority="23">
      <formula>ISNUMBER(SEARCH("""",E50))</formula>
    </cfRule>
    <cfRule type="expression" dxfId="109" priority="24">
      <formula>ISTEXT(E50)</formula>
    </cfRule>
  </conditionalFormatting>
  <conditionalFormatting sqref="G50:G60">
    <cfRule type="expression" dxfId="108" priority="13">
      <formula>ISNUMBER(G50)</formula>
    </cfRule>
    <cfRule type="expression" dxfId="107" priority="14">
      <formula>ISLOGICAL(G50)</formula>
    </cfRule>
    <cfRule type="expression" dxfId="106" priority="15">
      <formula>ISERROR(G50)</formula>
    </cfRule>
    <cfRule type="expression" dxfId="105" priority="16">
      <formula>ISNUMBER(SEARCH(CHAR(10),G50))</formula>
    </cfRule>
    <cfRule type="expression" dxfId="104" priority="17">
      <formula>ISNUMBER(SEARCH("""",G50))</formula>
    </cfRule>
    <cfRule type="expression" dxfId="103" priority="18">
      <formula>ISTEXT(G50)</formula>
    </cfRule>
  </conditionalFormatting>
  <conditionalFormatting sqref="I50:I60">
    <cfRule type="expression" dxfId="102" priority="7">
      <formula>ISNUMBER(I50)</formula>
    </cfRule>
    <cfRule type="expression" dxfId="101" priority="8">
      <formula>ISLOGICAL(I50)</formula>
    </cfRule>
    <cfRule type="expression" dxfId="100" priority="9">
      <formula>ISERROR(I50)</formula>
    </cfRule>
    <cfRule type="expression" dxfId="99" priority="10">
      <formula>ISNUMBER(SEARCH(CHAR(10),I50))</formula>
    </cfRule>
    <cfRule type="expression" dxfId="98" priority="11">
      <formula>ISNUMBER(SEARCH("""",I50))</formula>
    </cfRule>
    <cfRule type="expression" dxfId="97" priority="12">
      <formula>ISTEXT(I50)</formula>
    </cfRule>
  </conditionalFormatting>
  <conditionalFormatting sqref="C4:C14">
    <cfRule type="expression" dxfId="96" priority="1">
      <formula>ISNUMBER(C4)</formula>
    </cfRule>
    <cfRule type="expression" dxfId="95" priority="2">
      <formula>ISLOGICAL(C4)</formula>
    </cfRule>
    <cfRule type="expression" dxfId="94" priority="3">
      <formula>ISERROR(C4)</formula>
    </cfRule>
    <cfRule type="expression" dxfId="93" priority="4">
      <formula>ISNUMBER(SEARCH(CHAR(10),C4))</formula>
    </cfRule>
    <cfRule type="expression" dxfId="92" priority="5">
      <formula>ISNUMBER(SEARCH("""",C4))</formula>
    </cfRule>
    <cfRule type="expression" dxfId="91" priority="6">
      <formula>ISTEXT(C4)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781E1-B220-4449-A5D9-C29407EF9035}">
  <sheetPr codeName="shTest"/>
  <dimension ref="B1:BY160"/>
  <sheetViews>
    <sheetView showGridLines="0" showRowColHeaders="0" zoomScaleNormal="100" workbookViewId="0">
      <pane ySplit="7" topLeftCell="A8" activePane="bottomLeft" state="frozen"/>
      <selection pane="bottomLeft"/>
    </sheetView>
  </sheetViews>
  <sheetFormatPr defaultRowHeight="14.25" x14ac:dyDescent="0.45"/>
  <cols>
    <col min="1" max="1" width="2.59765625" customWidth="1"/>
    <col min="2" max="2" width="10.265625" bestFit="1" customWidth="1"/>
    <col min="3" max="3" width="6.796875" bestFit="1" customWidth="1"/>
    <col min="4" max="4" width="27.3984375" bestFit="1" customWidth="1"/>
    <col min="5" max="6" width="6.53125" bestFit="1" customWidth="1"/>
    <col min="7" max="7" width="5.33203125" bestFit="1" customWidth="1"/>
    <col min="8" max="9" width="6.06640625" bestFit="1" customWidth="1"/>
    <col min="10" max="10" width="6.06640625" customWidth="1"/>
    <col min="11" max="14" width="6.06640625" bestFit="1" customWidth="1"/>
    <col min="15" max="17" width="6.06640625" customWidth="1"/>
    <col min="18" max="18" width="8.59765625" customWidth="1"/>
    <col min="19" max="19" width="6.06640625" bestFit="1" customWidth="1"/>
    <col min="20" max="20" width="30.59765625" customWidth="1"/>
    <col min="21" max="21" width="2.59765625" customWidth="1"/>
    <col min="22" max="22" width="29.1328125" bestFit="1" customWidth="1"/>
    <col min="23" max="23" width="4.59765625" customWidth="1"/>
    <col min="24" max="24" width="55.265625" bestFit="1" customWidth="1"/>
    <col min="25" max="25" width="4.59765625" customWidth="1"/>
    <col min="26" max="26" width="56.46484375" bestFit="1" customWidth="1"/>
    <col min="27" max="27" width="4.59765625" customWidth="1"/>
    <col min="28" max="30" width="4" bestFit="1" customWidth="1"/>
    <col min="31" max="31" width="10.9296875" bestFit="1" customWidth="1"/>
    <col min="32" max="32" width="11" bestFit="1" customWidth="1"/>
    <col min="33" max="36" width="10.73046875" bestFit="1" customWidth="1"/>
    <col min="37" max="37" width="15.6640625" bestFit="1" customWidth="1"/>
    <col min="38" max="38" width="15.73046875" bestFit="1" customWidth="1"/>
    <col min="39" max="39" width="14.796875" bestFit="1" customWidth="1"/>
    <col min="40" max="40" width="15" bestFit="1" customWidth="1"/>
    <col min="41" max="41" width="11.9296875" bestFit="1" customWidth="1"/>
    <col min="42" max="42" width="13.33203125" bestFit="1" customWidth="1"/>
    <col min="43" max="43" width="10.06640625" bestFit="1" customWidth="1"/>
    <col min="44" max="44" width="16.73046875" bestFit="1" customWidth="1"/>
    <col min="45" max="45" width="14.46484375" bestFit="1" customWidth="1"/>
    <col min="46" max="46" width="12.33203125" bestFit="1" customWidth="1"/>
    <col min="47" max="47" width="10.06640625" bestFit="1" customWidth="1"/>
    <col min="48" max="48" width="11.73046875" bestFit="1" customWidth="1"/>
    <col min="49" max="49" width="10.06640625" bestFit="1" customWidth="1"/>
    <col min="50" max="50" width="9.73046875" bestFit="1" customWidth="1"/>
    <col min="51" max="52" width="10.06640625" bestFit="1" customWidth="1"/>
    <col min="53" max="77" width="2.73046875" bestFit="1" customWidth="1"/>
  </cols>
  <sheetData>
    <row r="1" spans="2:77" ht="28.5" x14ac:dyDescent="0.85">
      <c r="B1" s="14" t="s">
        <v>432</v>
      </c>
      <c r="C1" s="14"/>
    </row>
    <row r="2" spans="2:77" x14ac:dyDescent="0.45">
      <c r="B2" s="42" t="s">
        <v>271</v>
      </c>
      <c r="C2" t="s">
        <v>419</v>
      </c>
    </row>
    <row r="3" spans="2:77" x14ac:dyDescent="0.45">
      <c r="B3" s="42" t="s">
        <v>3</v>
      </c>
      <c r="C3" t="str" cm="1">
        <f t="array" ref="C3">C2&amp;INDEX(Tests[FileName],RowNo)</f>
        <v>C:\Projects\VBA-CSV\testfiles\test_float_in_int_column.csv</v>
      </c>
      <c r="M3" s="73" t="s">
        <v>563</v>
      </c>
      <c r="N3" s="67" t="b">
        <v>0</v>
      </c>
    </row>
    <row r="4" spans="2:77" x14ac:dyDescent="0.45">
      <c r="B4" s="42" t="s">
        <v>438</v>
      </c>
      <c r="C4" s="67">
        <v>80</v>
      </c>
      <c r="M4" s="42" t="s">
        <v>440</v>
      </c>
      <c r="N4">
        <v>126</v>
      </c>
    </row>
    <row r="5" spans="2:77" x14ac:dyDescent="0.45">
      <c r="B5" s="42" t="s">
        <v>437</v>
      </c>
      <c r="C5">
        <f>MATCH(CaseNo,Tests[CaseNo],0)</f>
        <v>80</v>
      </c>
      <c r="M5" s="42" t="s">
        <v>441</v>
      </c>
      <c r="N5">
        <v>0</v>
      </c>
    </row>
    <row r="6" spans="2:77" x14ac:dyDescent="0.45">
      <c r="B6" s="58" t="s">
        <v>452</v>
      </c>
      <c r="M6" s="42" t="s">
        <v>564</v>
      </c>
      <c r="N6">
        <v>3</v>
      </c>
      <c r="U6" t="str" cm="1">
        <f t="array" ref="U6:U160">sfill("",2+ROWS(Tests[CaseNo]),1)</f>
        <v/>
      </c>
    </row>
    <row r="7" spans="2:77" ht="86.65" x14ac:dyDescent="0.45">
      <c r="B7" s="53" t="s">
        <v>442</v>
      </c>
      <c r="C7" s="53" t="s">
        <v>438</v>
      </c>
      <c r="D7" s="54" t="s">
        <v>3</v>
      </c>
      <c r="E7" s="53" t="s">
        <v>237</v>
      </c>
      <c r="F7" s="53" t="s">
        <v>238</v>
      </c>
      <c r="G7" s="53" t="s">
        <v>239</v>
      </c>
      <c r="H7" s="53" t="s">
        <v>7</v>
      </c>
      <c r="I7" s="53" t="s">
        <v>202</v>
      </c>
      <c r="J7" s="53" t="s">
        <v>542</v>
      </c>
      <c r="K7" s="53" t="s">
        <v>240</v>
      </c>
      <c r="L7" s="53" t="s">
        <v>241</v>
      </c>
      <c r="M7" s="53" t="s">
        <v>242</v>
      </c>
      <c r="N7" s="53" t="s">
        <v>243</v>
      </c>
      <c r="O7" s="53" t="s">
        <v>470</v>
      </c>
      <c r="P7" s="53" t="s">
        <v>471</v>
      </c>
      <c r="Q7" s="53" t="s">
        <v>469</v>
      </c>
      <c r="R7" s="53" t="s">
        <v>454</v>
      </c>
      <c r="S7" s="53" t="s">
        <v>244</v>
      </c>
      <c r="T7" s="55" t="s">
        <v>245</v>
      </c>
      <c r="U7" t="str">
        <v/>
      </c>
      <c r="V7" s="3" t="s">
        <v>443</v>
      </c>
      <c r="X7" s="3" t="str">
        <f>"VBA code for test "&amp;CaseNo</f>
        <v>VBA code for test 80</v>
      </c>
      <c r="Y7" s="52"/>
      <c r="Z7" s="3" t="s">
        <v>248</v>
      </c>
      <c r="AA7" s="52"/>
      <c r="AB7" s="3" t="s">
        <v>25</v>
      </c>
      <c r="AC7" t="str">
        <f>ROWS(_xlfn.ANCHORARRAY(CallToCSVRead))&amp;" x "&amp;COLUMNS(_xlfn.ANCHORARRAY(CallToCSVRead))</f>
        <v>4 x 3</v>
      </c>
    </row>
    <row r="8" spans="2:77" x14ac:dyDescent="0.45">
      <c r="B8" s="68" cm="1">
        <f t="array" ref="B8">filesize(Folder&amp;Tests[[#This Row],[FileName]])</f>
        <v>5</v>
      </c>
      <c r="C8" s="47">
        <v>1</v>
      </c>
      <c r="D8" s="38" t="s">
        <v>274</v>
      </c>
      <c r="E8" s="37" t="b">
        <v>1</v>
      </c>
      <c r="F8" s="39" t="s">
        <v>246</v>
      </c>
      <c r="G8" s="39" t="b">
        <v>0</v>
      </c>
      <c r="H8" s="39" t="s">
        <v>246</v>
      </c>
      <c r="I8" s="39" t="s">
        <v>246</v>
      </c>
      <c r="J8" s="39" t="b">
        <v>1</v>
      </c>
      <c r="K8" s="37">
        <v>1</v>
      </c>
      <c r="L8" s="37">
        <v>1</v>
      </c>
      <c r="M8" s="37">
        <v>0</v>
      </c>
      <c r="N8" s="37">
        <v>0</v>
      </c>
      <c r="O8" s="37"/>
      <c r="P8" s="37"/>
      <c r="Q8" s="37"/>
      <c r="R8" s="37"/>
      <c r="S8" s="37" t="s">
        <v>247</v>
      </c>
      <c r="T8" s="49"/>
      <c r="U8" t="str">
        <v/>
      </c>
      <c r="W8" t="str">
        <f t="array" ref="W8:W53">""</f>
        <v/>
      </c>
      <c r="X8" t="str">
        <f>"Case "&amp;CaseNo</f>
        <v>Case 80</v>
      </c>
      <c r="Y8" t="str">
        <f t="array" ref="Y8:Y53">""</f>
        <v/>
      </c>
      <c r="Z8" s="48" t="str" cm="1">
        <f t="array" ref="Z8:Z11">CSVRead(FileName,FALSE,FALSE)</f>
        <v>col1,col2,col3</v>
      </c>
      <c r="AB8" s="57" t="str" cm="1">
        <f t="array" ref="AB8:AD11">CSVRead(Folder&amp;INDEX(Tests[FileName],RowNo),
INDEX(Tests[ConvertTypes],RowNo),
INDEX(Tests[Delimiter],RowNo),
INDEX(Tests[IgnoreRepeated],RowNo),
INDEX(Tests[DateFormat],RowNo),
INDEX(Tests[Comment],RowNo),
INDEX(Tests[IgnoreEmptyLines],RowNo),
INDEX(Tests[SkipToRow],RowNo),
INDEX(Tests[SkipToCol],RowNo),
INDEX(Tests[NumRows],RowNo),
INDEX(Tests[NumCols],RowNo),
INDEX(Tests[TrueStrings],RowNo),
INDEX(Tests[FalseStrings],RowNo),
INDEX(Tests[MissingStrings],RowNo),
"I'm missing!",
INDEX(Tests[Encoding],RowNo),
INDEX(Tests[DecimalSeparator],RowNo))</f>
        <v>col1</v>
      </c>
      <c r="AC8" s="57" t="str">
        <v>col2</v>
      </c>
      <c r="AD8" s="57" t="str">
        <v>col3</v>
      </c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6"/>
      <c r="AR8" s="56"/>
      <c r="AS8" s="56"/>
      <c r="AT8" s="56"/>
      <c r="AU8" s="56"/>
      <c r="AV8" s="56"/>
      <c r="AW8" s="56"/>
      <c r="AX8" s="56"/>
      <c r="AY8" s="56"/>
      <c r="AZ8" s="56"/>
      <c r="BA8" s="56"/>
      <c r="BB8" s="56"/>
      <c r="BC8" s="56"/>
      <c r="BD8" s="56"/>
      <c r="BE8" s="56"/>
      <c r="BF8" s="56"/>
      <c r="BG8" s="56"/>
      <c r="BH8" s="56"/>
      <c r="BI8" s="56"/>
      <c r="BJ8" s="56"/>
      <c r="BK8" s="56"/>
      <c r="BL8" s="56"/>
      <c r="BM8" s="56"/>
      <c r="BN8" s="56"/>
      <c r="BO8" s="56"/>
      <c r="BP8" s="56"/>
      <c r="BQ8" s="56"/>
      <c r="BR8" s="56"/>
      <c r="BS8" s="56"/>
      <c r="BT8" s="56"/>
      <c r="BU8" s="56"/>
      <c r="BV8" s="56"/>
      <c r="BW8" s="56"/>
      <c r="BX8" s="56"/>
      <c r="BY8" s="56"/>
    </row>
    <row r="9" spans="2:77" x14ac:dyDescent="0.45">
      <c r="B9" s="68" cm="1">
        <f t="array" ref="B9">filesize(Folder&amp;Tests[[#This Row],[FileName]])</f>
        <v>10</v>
      </c>
      <c r="C9" s="47">
        <v>2</v>
      </c>
      <c r="D9" s="38" t="s">
        <v>277</v>
      </c>
      <c r="E9" s="37" t="b">
        <v>1</v>
      </c>
      <c r="F9" s="39" t="s">
        <v>246</v>
      </c>
      <c r="G9" s="39" t="b">
        <v>0</v>
      </c>
      <c r="H9" s="39" t="s">
        <v>246</v>
      </c>
      <c r="I9" s="39" t="s">
        <v>246</v>
      </c>
      <c r="J9" s="39" t="b">
        <v>0</v>
      </c>
      <c r="K9" s="37">
        <v>1</v>
      </c>
      <c r="L9" s="37">
        <v>1</v>
      </c>
      <c r="M9" s="37">
        <v>0</v>
      </c>
      <c r="N9" s="37">
        <v>0</v>
      </c>
      <c r="O9" s="37"/>
      <c r="P9" s="37"/>
      <c r="Q9" s="37"/>
      <c r="R9" s="37"/>
      <c r="S9" s="37" t="s">
        <v>247</v>
      </c>
      <c r="T9" s="49"/>
      <c r="U9" t="str">
        <v/>
      </c>
      <c r="W9" t="str">
        <v/>
      </c>
      <c r="X9" t="str" cm="1">
        <f t="array" ref="X9">"TestDescription = """&amp;SUBSTITUTE(SUBSTITUTE(INDEX(Tests[FileName],RowNo,1),"_"," "),".csv","")&amp;""""</f>
        <v>TestDescription = "test float in int column"</v>
      </c>
      <c r="Y9" t="str">
        <v/>
      </c>
      <c r="Z9" s="48" t="str">
        <v>1,2,3</v>
      </c>
      <c r="AB9" s="57">
        <v>1</v>
      </c>
      <c r="AC9" s="57">
        <v>2</v>
      </c>
      <c r="AD9" s="57">
        <v>3</v>
      </c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6"/>
      <c r="AR9" s="56"/>
      <c r="AS9" s="56"/>
      <c r="AT9" s="56"/>
      <c r="AU9" s="56"/>
      <c r="AV9" s="56"/>
      <c r="AW9" s="56"/>
      <c r="AX9" s="56"/>
      <c r="AY9" s="56"/>
      <c r="AZ9" s="56"/>
      <c r="BA9" s="56"/>
      <c r="BB9" s="56"/>
      <c r="BC9" s="56"/>
      <c r="BD9" s="56"/>
      <c r="BE9" s="56"/>
      <c r="BF9" s="56"/>
      <c r="BG9" s="56"/>
      <c r="BH9" s="56"/>
      <c r="BI9" s="56"/>
      <c r="BJ9" s="56"/>
      <c r="BK9" s="56"/>
      <c r="BL9" s="56"/>
      <c r="BM9" s="56"/>
      <c r="BN9" s="56"/>
      <c r="BO9" s="56"/>
      <c r="BP9" s="56"/>
      <c r="BQ9" s="56"/>
      <c r="BR9" s="56"/>
      <c r="BS9" s="56"/>
      <c r="BT9" s="56"/>
      <c r="BU9" s="56"/>
      <c r="BV9" s="56"/>
      <c r="BW9" s="56"/>
      <c r="BX9" s="56"/>
      <c r="BY9" s="56"/>
    </row>
    <row r="10" spans="2:77" x14ac:dyDescent="0.45">
      <c r="B10" s="68" cm="1">
        <f t="array" ref="B10">filesize(Folder&amp;Tests[[#This Row],[FileName]])</f>
        <v>10</v>
      </c>
      <c r="C10" s="47">
        <v>3</v>
      </c>
      <c r="D10" s="38" t="s">
        <v>278</v>
      </c>
      <c r="E10" s="37" t="b">
        <v>1</v>
      </c>
      <c r="F10" s="39" t="s">
        <v>246</v>
      </c>
      <c r="G10" s="39" t="b">
        <v>0</v>
      </c>
      <c r="H10" s="39" t="s">
        <v>246</v>
      </c>
      <c r="I10" s="39" t="s">
        <v>246</v>
      </c>
      <c r="J10" s="39" t="b">
        <v>1</v>
      </c>
      <c r="K10" s="37">
        <v>1</v>
      </c>
      <c r="L10" s="37">
        <v>1</v>
      </c>
      <c r="M10" s="37">
        <v>0</v>
      </c>
      <c r="N10" s="37">
        <v>0</v>
      </c>
      <c r="O10" s="37"/>
      <c r="P10" s="37"/>
      <c r="Q10" s="37"/>
      <c r="R10" s="37"/>
      <c r="S10" s="37" t="s">
        <v>247</v>
      </c>
      <c r="T10" s="49"/>
      <c r="U10" t="str">
        <v/>
      </c>
      <c r="W10" t="str">
        <v/>
      </c>
      <c r="X10" t="str" cm="1">
        <f t="array" ref="X10">"FileName = """&amp;INDEX(Tests[FileName],RowNo,1)&amp;""""</f>
        <v>FileName = "test_float_in_int_column.csv"</v>
      </c>
      <c r="Y10" t="str">
        <v/>
      </c>
      <c r="Z10" s="48" t="str">
        <v>4,5.4,6</v>
      </c>
      <c r="AB10" s="57">
        <v>4</v>
      </c>
      <c r="AC10" s="57">
        <v>5.4</v>
      </c>
      <c r="AD10" s="57">
        <v>6</v>
      </c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6"/>
      <c r="AR10" s="56"/>
      <c r="AS10" s="56"/>
      <c r="AT10" s="56"/>
      <c r="AU10" s="56"/>
      <c r="AV10" s="56"/>
      <c r="AW10" s="56"/>
      <c r="AX10" s="56"/>
      <c r="AY10" s="56"/>
      <c r="AZ10" s="56"/>
      <c r="BA10" s="56"/>
      <c r="BB10" s="56"/>
      <c r="BC10" s="56"/>
      <c r="BD10" s="56"/>
      <c r="BE10" s="56"/>
      <c r="BF10" s="56"/>
      <c r="BG10" s="56"/>
      <c r="BH10" s="56"/>
      <c r="BI10" s="56"/>
      <c r="BJ10" s="56"/>
      <c r="BK10" s="56"/>
      <c r="BL10" s="56"/>
      <c r="BM10" s="56"/>
      <c r="BN10" s="56"/>
      <c r="BO10" s="56"/>
      <c r="BP10" s="56"/>
      <c r="BQ10" s="56"/>
      <c r="BR10" s="56"/>
      <c r="BS10" s="56"/>
      <c r="BT10" s="56"/>
      <c r="BU10" s="56"/>
      <c r="BV10" s="56"/>
      <c r="BW10" s="56"/>
      <c r="BX10" s="56"/>
      <c r="BY10" s="56"/>
    </row>
    <row r="11" spans="2:77" x14ac:dyDescent="0.45">
      <c r="B11" s="68" cm="1">
        <f t="array" ref="B11">filesize(Folder&amp;Tests[[#This Row],[FileName]])</f>
        <v>16</v>
      </c>
      <c r="C11" s="47">
        <v>4</v>
      </c>
      <c r="D11" s="38" t="s">
        <v>282</v>
      </c>
      <c r="E11" s="37" t="b">
        <v>1</v>
      </c>
      <c r="F11" s="39" t="s">
        <v>246</v>
      </c>
      <c r="G11" s="37" t="b">
        <v>0</v>
      </c>
      <c r="H11" s="39" t="s">
        <v>246</v>
      </c>
      <c r="I11" s="39" t="s">
        <v>246</v>
      </c>
      <c r="J11" s="39" t="b">
        <v>1</v>
      </c>
      <c r="K11" s="37">
        <v>1</v>
      </c>
      <c r="L11" s="37">
        <v>1</v>
      </c>
      <c r="M11" s="37">
        <v>0</v>
      </c>
      <c r="N11" s="37">
        <v>0</v>
      </c>
      <c r="O11" s="37"/>
      <c r="P11" s="37"/>
      <c r="Q11" s="37"/>
      <c r="R11" s="37"/>
      <c r="S11" s="37" t="s">
        <v>249</v>
      </c>
      <c r="T11" s="49"/>
      <c r="U11" t="str">
        <v/>
      </c>
      <c r="W11" t="str">
        <v/>
      </c>
      <c r="X11" t="str" cm="1">
        <f t="array" ref="X11:X14">VStack(ArrayToVBALitteral(_xlfn.ANCHORARRAY(AB8),"Expected"),GenerateTestCode(
INDEX(Tests[ConvertTypes],RowNo),
INDEX(Tests[Delimiter],RowNo),
INDEX(Tests[IgnoreRepeated],RowNo),
INDEX(Tests[DateFormat],RowNo),
INDEX(Tests[Comment],RowNo),
INDEX(Tests[SkipToRow],RowNo),
INDEX(Tests[SkipToCol],RowNo),
INDEX(Tests[NumRows],RowNo),
INDEX(Tests[NumCols],RowNo),
INDEX(Tests[TrueStrings],RowNo),
INDEX(Tests[FalseStrings],RowNo),
INDEX(Tests[MissingStrings],RowNo),
INDEX(Tests[Encoding],RowNo),
INDEX(Tests[DecimalSeparator],RowNo)))</f>
        <v>Expected = HStack(Array("col1",1#,4#,7#),Array("col2",2#,5.4#,8#),Array("col3",3#,6#,9#))</v>
      </c>
      <c r="Y11" t="str">
        <v/>
      </c>
      <c r="Z11" s="48" t="str">
        <v>7,8,9</v>
      </c>
      <c r="AB11" s="57">
        <v>7</v>
      </c>
      <c r="AC11" s="57">
        <v>8</v>
      </c>
      <c r="AD11" s="57">
        <v>9</v>
      </c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6"/>
      <c r="AR11" s="56"/>
      <c r="AS11" s="56"/>
      <c r="AT11" s="56"/>
      <c r="AU11" s="56"/>
      <c r="AV11" s="56"/>
      <c r="AW11" s="56"/>
      <c r="AX11" s="56"/>
      <c r="AY11" s="56"/>
      <c r="AZ11" s="56"/>
      <c r="BA11" s="56"/>
      <c r="BB11" s="56"/>
      <c r="BC11" s="56"/>
      <c r="BD11" s="56"/>
      <c r="BE11" s="56"/>
      <c r="BF11" s="56"/>
      <c r="BG11" s="56"/>
      <c r="BH11" s="56"/>
      <c r="BI11" s="56"/>
      <c r="BJ11" s="56"/>
      <c r="BK11" s="56"/>
      <c r="BL11" s="56"/>
      <c r="BM11" s="56"/>
      <c r="BN11" s="56"/>
      <c r="BO11" s="56"/>
      <c r="BP11" s="56"/>
      <c r="BQ11" s="56"/>
      <c r="BR11" s="56"/>
      <c r="BS11" s="56"/>
      <c r="BT11" s="56"/>
      <c r="BU11" s="56"/>
      <c r="BV11" s="56"/>
      <c r="BW11" s="56"/>
      <c r="BX11" s="56"/>
      <c r="BY11" s="56"/>
    </row>
    <row r="12" spans="2:77" x14ac:dyDescent="0.45">
      <c r="B12" s="68" cm="1">
        <f t="array" ref="B12">filesize(Folder&amp;Tests[[#This Row],[FileName]])</f>
        <v>19</v>
      </c>
      <c r="C12" s="47">
        <v>5</v>
      </c>
      <c r="D12" s="38" t="s">
        <v>284</v>
      </c>
      <c r="E12" s="37" t="b">
        <v>1</v>
      </c>
      <c r="F12" s="39" t="s">
        <v>246</v>
      </c>
      <c r="G12" s="39" t="b">
        <v>0</v>
      </c>
      <c r="H12" s="39" t="s">
        <v>246</v>
      </c>
      <c r="I12" s="39" t="s">
        <v>246</v>
      </c>
      <c r="J12" s="39" t="b">
        <v>1</v>
      </c>
      <c r="K12" s="37">
        <v>1</v>
      </c>
      <c r="L12" s="37">
        <v>1</v>
      </c>
      <c r="M12" s="37">
        <v>0</v>
      </c>
      <c r="N12" s="37">
        <v>0</v>
      </c>
      <c r="O12" s="37"/>
      <c r="P12" s="37"/>
      <c r="Q12" s="37"/>
      <c r="R12" s="37"/>
      <c r="S12" s="37" t="s">
        <v>247</v>
      </c>
      <c r="T12" s="49"/>
      <c r="U12" t="str">
        <v/>
      </c>
      <c r="W12" t="str">
        <v/>
      </c>
      <c r="X12" t="str">
        <v>TestRes = TestCSVRead(i, TestDescription, Expected, Folder + FileName, Observed, WhatDiffers, _</v>
      </c>
      <c r="Y12" t="str">
        <v/>
      </c>
      <c r="Z12" s="48"/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  <c r="BD12" s="56"/>
      <c r="BE12" s="56"/>
      <c r="BF12" s="56"/>
      <c r="BG12" s="56"/>
      <c r="BH12" s="56"/>
      <c r="BI12" s="56"/>
      <c r="BJ12" s="56"/>
      <c r="BK12" s="56"/>
      <c r="BL12" s="56"/>
      <c r="BM12" s="56"/>
      <c r="BN12" s="56"/>
      <c r="BO12" s="56"/>
      <c r="BP12" s="56"/>
      <c r="BQ12" s="56"/>
      <c r="BR12" s="56"/>
      <c r="BS12" s="56"/>
      <c r="BT12" s="56"/>
      <c r="BU12" s="56"/>
      <c r="BV12" s="56"/>
      <c r="BW12" s="56"/>
      <c r="BX12" s="56"/>
      <c r="BY12" s="56"/>
    </row>
    <row r="13" spans="2:77" x14ac:dyDescent="0.45">
      <c r="B13" s="68" cm="1">
        <f t="array" ref="B13">filesize(Folder&amp;Tests[[#This Row],[FileName]])</f>
        <v>21</v>
      </c>
      <c r="C13" s="47">
        <v>6</v>
      </c>
      <c r="D13" s="38" t="s">
        <v>285</v>
      </c>
      <c r="E13" s="37" t="b">
        <v>1</v>
      </c>
      <c r="F13" s="39" t="s">
        <v>250</v>
      </c>
      <c r="G13" s="39" t="b">
        <v>1</v>
      </c>
      <c r="H13" s="39" t="s">
        <v>246</v>
      </c>
      <c r="I13" s="39" t="s">
        <v>246</v>
      </c>
      <c r="J13" s="39" t="b">
        <v>1</v>
      </c>
      <c r="K13" s="37">
        <v>1</v>
      </c>
      <c r="L13" s="37">
        <v>1</v>
      </c>
      <c r="M13" s="37">
        <v>0</v>
      </c>
      <c r="N13" s="37">
        <v>0</v>
      </c>
      <c r="O13" s="37"/>
      <c r="P13" s="37"/>
      <c r="Q13" s="37"/>
      <c r="R13" s="37"/>
      <c r="S13" s="37" t="s">
        <v>247</v>
      </c>
      <c r="T13" s="46"/>
      <c r="U13" t="str">
        <v/>
      </c>
      <c r="W13" t="str">
        <v/>
      </c>
      <c r="X13" t="str">
        <v xml:space="preserve">    ConvertTypes := True, _</v>
      </c>
      <c r="Y13" t="str">
        <v/>
      </c>
      <c r="Z13" s="48"/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  <c r="BD13" s="56"/>
      <c r="BE13" s="56"/>
      <c r="BF13" s="56"/>
      <c r="BG13" s="56"/>
      <c r="BH13" s="56"/>
      <c r="BI13" s="56"/>
      <c r="BJ13" s="56"/>
      <c r="BK13" s="56"/>
      <c r="BL13" s="56"/>
      <c r="BM13" s="56"/>
      <c r="BN13" s="56"/>
      <c r="BO13" s="56"/>
      <c r="BP13" s="56"/>
      <c r="BQ13" s="56"/>
      <c r="BR13" s="56"/>
      <c r="BS13" s="56"/>
      <c r="BT13" s="56"/>
      <c r="BU13" s="56"/>
      <c r="BV13" s="56"/>
      <c r="BW13" s="56"/>
      <c r="BX13" s="56"/>
      <c r="BY13" s="56"/>
    </row>
    <row r="14" spans="2:77" x14ac:dyDescent="0.45">
      <c r="B14" s="68" cm="1">
        <f t="array" ref="B14">filesize(Folder&amp;Tests[[#This Row],[FileName]])</f>
        <v>21</v>
      </c>
      <c r="C14" s="47">
        <v>7</v>
      </c>
      <c r="D14" s="38" t="s">
        <v>286</v>
      </c>
      <c r="E14" s="37" t="b">
        <v>1</v>
      </c>
      <c r="F14" s="39" t="s">
        <v>246</v>
      </c>
      <c r="G14" s="39" t="b">
        <v>0</v>
      </c>
      <c r="H14" s="39" t="s">
        <v>246</v>
      </c>
      <c r="I14" s="39" t="s">
        <v>246</v>
      </c>
      <c r="J14" s="39" t="b">
        <v>1</v>
      </c>
      <c r="K14" s="37">
        <v>1</v>
      </c>
      <c r="L14" s="37">
        <v>1</v>
      </c>
      <c r="M14" s="37">
        <v>0</v>
      </c>
      <c r="N14" s="37">
        <v>0</v>
      </c>
      <c r="O14" s="37"/>
      <c r="P14" s="37"/>
      <c r="Q14" s="37"/>
      <c r="R14" s="37"/>
      <c r="S14" s="37" t="s">
        <v>247</v>
      </c>
      <c r="T14" s="49"/>
      <c r="U14" t="str">
        <v/>
      </c>
      <c r="W14" t="str">
        <v/>
      </c>
      <c r="X14" t="str">
        <v xml:space="preserve">    ShowMissingsAs := Empty)</v>
      </c>
      <c r="Y14" t="str">
        <v/>
      </c>
      <c r="Z14" s="48"/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  <c r="BD14" s="56"/>
      <c r="BE14" s="56"/>
      <c r="BF14" s="56"/>
      <c r="BG14" s="56"/>
      <c r="BH14" s="56"/>
      <c r="BI14" s="56"/>
      <c r="BJ14" s="56"/>
      <c r="BK14" s="56"/>
      <c r="BL14" s="56"/>
      <c r="BM14" s="56"/>
      <c r="BN14" s="56"/>
      <c r="BO14" s="56"/>
      <c r="BP14" s="56"/>
      <c r="BQ14" s="56"/>
      <c r="BR14" s="56"/>
      <c r="BS14" s="56"/>
      <c r="BT14" s="56"/>
      <c r="BU14" s="56"/>
      <c r="BV14" s="56"/>
      <c r="BW14" s="56"/>
      <c r="BX14" s="56"/>
      <c r="BY14" s="56"/>
    </row>
    <row r="15" spans="2:77" x14ac:dyDescent="0.45">
      <c r="B15" s="68" cm="1">
        <f t="array" ref="B15">filesize(Folder&amp;Tests[[#This Row],[FileName]])</f>
        <v>24</v>
      </c>
      <c r="C15" s="47">
        <v>8</v>
      </c>
      <c r="D15" s="38" t="s">
        <v>287</v>
      </c>
      <c r="E15" s="37" t="b">
        <v>1</v>
      </c>
      <c r="F15" s="39" t="s">
        <v>246</v>
      </c>
      <c r="G15" s="39" t="b">
        <v>0</v>
      </c>
      <c r="H15" s="39" t="s">
        <v>246</v>
      </c>
      <c r="I15" s="39" t="s">
        <v>415</v>
      </c>
      <c r="J15" s="39" t="b">
        <v>1</v>
      </c>
      <c r="K15" s="37">
        <v>1</v>
      </c>
      <c r="L15" s="37">
        <v>1</v>
      </c>
      <c r="M15" s="37">
        <v>0</v>
      </c>
      <c r="N15" s="37">
        <v>0</v>
      </c>
      <c r="O15" s="37"/>
      <c r="P15" s="37"/>
      <c r="Q15" s="37"/>
      <c r="R15" s="37"/>
      <c r="S15" s="37" t="s">
        <v>247</v>
      </c>
      <c r="T15" s="49"/>
      <c r="U15" t="str">
        <v/>
      </c>
      <c r="W15" t="str">
        <v/>
      </c>
      <c r="Y15" t="str">
        <v/>
      </c>
      <c r="Z15" s="48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  <c r="BD15" s="56"/>
      <c r="BE15" s="56"/>
      <c r="BF15" s="56"/>
      <c r="BG15" s="56"/>
      <c r="BH15" s="56"/>
      <c r="BI15" s="56"/>
      <c r="BJ15" s="56"/>
      <c r="BK15" s="56"/>
      <c r="BL15" s="56"/>
      <c r="BM15" s="56"/>
      <c r="BN15" s="56"/>
      <c r="BO15" s="56"/>
      <c r="BP15" s="56"/>
      <c r="BQ15" s="56"/>
      <c r="BR15" s="56"/>
      <c r="BS15" s="56"/>
      <c r="BT15" s="56"/>
      <c r="BU15" s="56"/>
      <c r="BV15" s="56"/>
      <c r="BW15" s="56"/>
      <c r="BX15" s="56"/>
      <c r="BY15" s="56"/>
    </row>
    <row r="16" spans="2:77" x14ac:dyDescent="0.45">
      <c r="B16" s="68" cm="1">
        <f t="array" ref="B16">filesize(Folder&amp;Tests[[#This Row],[FileName]])</f>
        <v>25</v>
      </c>
      <c r="C16" s="47">
        <v>9</v>
      </c>
      <c r="D16" s="38" t="s">
        <v>288</v>
      </c>
      <c r="E16" s="37" t="b">
        <v>1</v>
      </c>
      <c r="F16" s="39" t="s">
        <v>246</v>
      </c>
      <c r="G16" s="39" t="b">
        <v>0</v>
      </c>
      <c r="H16" s="39" t="s">
        <v>246</v>
      </c>
      <c r="I16" s="39" t="s">
        <v>416</v>
      </c>
      <c r="J16" s="39" t="b">
        <v>1</v>
      </c>
      <c r="K16" s="37">
        <v>1</v>
      </c>
      <c r="L16" s="37">
        <v>1</v>
      </c>
      <c r="M16" s="37">
        <v>0</v>
      </c>
      <c r="N16" s="37">
        <v>0</v>
      </c>
      <c r="O16" s="37"/>
      <c r="P16" s="37"/>
      <c r="Q16" s="37"/>
      <c r="R16" s="37"/>
      <c r="S16" s="37" t="s">
        <v>247</v>
      </c>
      <c r="T16" s="49"/>
      <c r="U16" t="str">
        <v/>
      </c>
      <c r="W16" t="str">
        <v/>
      </c>
      <c r="Y16" t="str">
        <v/>
      </c>
      <c r="Z16" s="48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  <c r="BD16" s="56"/>
      <c r="BE16" s="56"/>
      <c r="BF16" s="56"/>
      <c r="BG16" s="56"/>
      <c r="BH16" s="56"/>
      <c r="BI16" s="56"/>
      <c r="BJ16" s="56"/>
      <c r="BK16" s="56"/>
      <c r="BL16" s="56"/>
      <c r="BM16" s="56"/>
      <c r="BN16" s="56"/>
      <c r="BO16" s="56"/>
      <c r="BP16" s="56"/>
      <c r="BQ16" s="56"/>
      <c r="BR16" s="56"/>
      <c r="BS16" s="56"/>
      <c r="BT16" s="56"/>
      <c r="BU16" s="56"/>
      <c r="BV16" s="56"/>
      <c r="BW16" s="56"/>
      <c r="BX16" s="56"/>
      <c r="BY16" s="56"/>
    </row>
    <row r="17" spans="2:77" x14ac:dyDescent="0.45">
      <c r="B17" s="68" cm="1">
        <f t="array" ref="B17">filesize(Folder&amp;Tests[[#This Row],[FileName]])</f>
        <v>25</v>
      </c>
      <c r="C17" s="62">
        <v>10</v>
      </c>
      <c r="D17" s="38" t="s">
        <v>289</v>
      </c>
      <c r="E17" s="37" t="b">
        <v>1</v>
      </c>
      <c r="F17" s="39" t="s">
        <v>246</v>
      </c>
      <c r="G17" s="39" t="b">
        <v>0</v>
      </c>
      <c r="H17" s="39" t="s">
        <v>246</v>
      </c>
      <c r="I17" s="39" t="s">
        <v>246</v>
      </c>
      <c r="J17" s="39" t="b">
        <v>1</v>
      </c>
      <c r="K17" s="37">
        <v>1</v>
      </c>
      <c r="L17" s="37">
        <v>1</v>
      </c>
      <c r="M17" s="37">
        <v>0</v>
      </c>
      <c r="N17" s="37">
        <v>0</v>
      </c>
      <c r="O17" s="37"/>
      <c r="P17" s="37"/>
      <c r="Q17" s="37"/>
      <c r="R17" s="37"/>
      <c r="S17" s="37" t="s">
        <v>247</v>
      </c>
      <c r="T17" s="49"/>
      <c r="U17" t="str">
        <v/>
      </c>
      <c r="W17" t="str">
        <v/>
      </c>
      <c r="Y17" t="str">
        <v/>
      </c>
      <c r="Z17" s="48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  <c r="BD17" s="56"/>
      <c r="BE17" s="56"/>
      <c r="BF17" s="56"/>
      <c r="BG17" s="56"/>
      <c r="BH17" s="56"/>
      <c r="BI17" s="56"/>
      <c r="BJ17" s="56"/>
      <c r="BK17" s="56"/>
      <c r="BL17" s="56"/>
      <c r="BM17" s="56"/>
      <c r="BN17" s="56"/>
      <c r="BO17" s="56"/>
      <c r="BP17" s="56"/>
      <c r="BQ17" s="56"/>
      <c r="BR17" s="56"/>
      <c r="BS17" s="56"/>
      <c r="BT17" s="56"/>
      <c r="BU17" s="56"/>
      <c r="BV17" s="56"/>
      <c r="BW17" s="56"/>
      <c r="BX17" s="56"/>
      <c r="BY17" s="56"/>
    </row>
    <row r="18" spans="2:77" x14ac:dyDescent="0.45">
      <c r="B18" s="68" cm="1">
        <f t="array" ref="B18">filesize(Folder&amp;Tests[[#This Row],[FileName]])</f>
        <v>25</v>
      </c>
      <c r="C18" s="47">
        <v>11</v>
      </c>
      <c r="D18" s="38" t="s">
        <v>290</v>
      </c>
      <c r="E18" s="37" t="b">
        <v>1</v>
      </c>
      <c r="F18" s="39" t="s">
        <v>246</v>
      </c>
      <c r="G18" s="39" t="b">
        <v>0</v>
      </c>
      <c r="H18" s="39" t="s">
        <v>246</v>
      </c>
      <c r="I18" s="39" t="s">
        <v>246</v>
      </c>
      <c r="J18" s="39" t="b">
        <v>1</v>
      </c>
      <c r="K18" s="37">
        <v>1</v>
      </c>
      <c r="L18" s="37">
        <v>1</v>
      </c>
      <c r="M18" s="37">
        <v>0</v>
      </c>
      <c r="N18" s="37">
        <v>0</v>
      </c>
      <c r="O18" s="37"/>
      <c r="P18" s="37"/>
      <c r="Q18" s="37"/>
      <c r="R18" s="37"/>
      <c r="S18" s="37" t="s">
        <v>247</v>
      </c>
      <c r="T18" s="49"/>
      <c r="U18" t="str">
        <v/>
      </c>
      <c r="W18" t="str">
        <v/>
      </c>
      <c r="Y18" t="str">
        <v/>
      </c>
      <c r="Z18" s="48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  <c r="BD18" s="56"/>
      <c r="BE18" s="56"/>
      <c r="BF18" s="56"/>
      <c r="BG18" s="56"/>
      <c r="BH18" s="56"/>
      <c r="BI18" s="56"/>
      <c r="BJ18" s="56"/>
      <c r="BK18" s="56"/>
      <c r="BL18" s="56"/>
      <c r="BM18" s="56"/>
      <c r="BN18" s="56"/>
      <c r="BO18" s="56"/>
      <c r="BP18" s="56"/>
      <c r="BQ18" s="56"/>
      <c r="BR18" s="56"/>
      <c r="BS18" s="56"/>
      <c r="BT18" s="56"/>
      <c r="BU18" s="56"/>
      <c r="BV18" s="56"/>
      <c r="BW18" s="56"/>
      <c r="BX18" s="56"/>
      <c r="BY18" s="56"/>
    </row>
    <row r="19" spans="2:77" x14ac:dyDescent="0.45">
      <c r="B19" s="68" cm="1">
        <f t="array" ref="B19">filesize(Folder&amp;Tests[[#This Row],[FileName]])</f>
        <v>30</v>
      </c>
      <c r="C19" s="47">
        <v>12</v>
      </c>
      <c r="D19" s="38" t="s">
        <v>292</v>
      </c>
      <c r="E19" s="37" t="b">
        <v>1</v>
      </c>
      <c r="F19" s="39" t="s">
        <v>246</v>
      </c>
      <c r="G19" s="39" t="b">
        <v>0</v>
      </c>
      <c r="H19" s="39" t="s">
        <v>246</v>
      </c>
      <c r="I19" s="39" t="s">
        <v>246</v>
      </c>
      <c r="J19" s="39" t="b">
        <v>1</v>
      </c>
      <c r="K19" s="37">
        <v>1</v>
      </c>
      <c r="L19" s="37">
        <v>1</v>
      </c>
      <c r="M19" s="37">
        <v>0</v>
      </c>
      <c r="N19" s="37">
        <v>0</v>
      </c>
      <c r="O19" s="37"/>
      <c r="P19" s="37"/>
      <c r="Q19" s="37"/>
      <c r="R19" s="37"/>
      <c r="S19" s="37" t="s">
        <v>247</v>
      </c>
      <c r="T19" s="49"/>
      <c r="U19" t="str">
        <v/>
      </c>
      <c r="W19" t="str">
        <v/>
      </c>
      <c r="Y19" t="str">
        <v/>
      </c>
      <c r="Z19" s="48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  <c r="BD19" s="56"/>
      <c r="BE19" s="56"/>
      <c r="BF19" s="56"/>
      <c r="BG19" s="56"/>
      <c r="BH19" s="56"/>
      <c r="BI19" s="56"/>
      <c r="BJ19" s="56"/>
      <c r="BK19" s="56"/>
      <c r="BL19" s="56"/>
      <c r="BM19" s="56"/>
      <c r="BN19" s="56"/>
      <c r="BO19" s="56"/>
      <c r="BP19" s="56"/>
      <c r="BQ19" s="56"/>
      <c r="BR19" s="56"/>
      <c r="BS19" s="56"/>
      <c r="BT19" s="56"/>
      <c r="BU19" s="56"/>
      <c r="BV19" s="56"/>
      <c r="BW19" s="56"/>
      <c r="BX19" s="56"/>
      <c r="BY19" s="56"/>
    </row>
    <row r="20" spans="2:77" x14ac:dyDescent="0.45">
      <c r="B20" s="68" cm="1">
        <f t="array" ref="B20">filesize(Folder&amp;Tests[[#This Row],[FileName]])</f>
        <v>32</v>
      </c>
      <c r="C20" s="47">
        <v>13</v>
      </c>
      <c r="D20" s="38" t="s">
        <v>293</v>
      </c>
      <c r="E20" s="37" t="b">
        <v>1</v>
      </c>
      <c r="F20" s="39" t="s">
        <v>246</v>
      </c>
      <c r="G20" s="39" t="b">
        <v>0</v>
      </c>
      <c r="H20" s="39" t="s">
        <v>246</v>
      </c>
      <c r="I20" s="39" t="s">
        <v>246</v>
      </c>
      <c r="J20" s="39" t="b">
        <v>1</v>
      </c>
      <c r="K20" s="37">
        <v>1</v>
      </c>
      <c r="L20" s="37">
        <v>1</v>
      </c>
      <c r="M20" s="37">
        <v>0</v>
      </c>
      <c r="N20" s="37">
        <v>0</v>
      </c>
      <c r="O20" s="37"/>
      <c r="P20" s="37"/>
      <c r="Q20" s="37"/>
      <c r="R20" s="37"/>
      <c r="S20" s="37" t="s">
        <v>247</v>
      </c>
      <c r="T20" s="49"/>
      <c r="U20" t="str">
        <v/>
      </c>
      <c r="W20" t="str">
        <v/>
      </c>
      <c r="Y20" t="str">
        <v/>
      </c>
      <c r="Z20" s="48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  <c r="BD20" s="56"/>
      <c r="BE20" s="56"/>
      <c r="BF20" s="56"/>
      <c r="BG20" s="56"/>
      <c r="BH20" s="56"/>
      <c r="BI20" s="56"/>
      <c r="BJ20" s="56"/>
      <c r="BK20" s="56"/>
      <c r="BL20" s="56"/>
      <c r="BM20" s="56"/>
      <c r="BN20" s="56"/>
      <c r="BO20" s="56"/>
      <c r="BP20" s="56"/>
      <c r="BQ20" s="56"/>
      <c r="BR20" s="56"/>
      <c r="BS20" s="56"/>
      <c r="BT20" s="56"/>
      <c r="BU20" s="56"/>
      <c r="BV20" s="56"/>
      <c r="BW20" s="56"/>
      <c r="BX20" s="56"/>
      <c r="BY20" s="56"/>
    </row>
    <row r="21" spans="2:77" x14ac:dyDescent="0.45">
      <c r="B21" s="68" cm="1">
        <f t="array" ref="B21">filesize(Folder&amp;Tests[[#This Row],[FileName]])</f>
        <v>32</v>
      </c>
      <c r="C21" s="47">
        <v>14</v>
      </c>
      <c r="D21" s="38" t="s">
        <v>294</v>
      </c>
      <c r="E21" s="37" t="b">
        <v>1</v>
      </c>
      <c r="F21" s="39" t="s">
        <v>246</v>
      </c>
      <c r="G21" s="39" t="b">
        <v>0</v>
      </c>
      <c r="H21" s="39" t="s">
        <v>246</v>
      </c>
      <c r="I21" s="39" t="s">
        <v>246</v>
      </c>
      <c r="J21" s="39" t="b">
        <v>1</v>
      </c>
      <c r="K21" s="37">
        <v>1</v>
      </c>
      <c r="L21" s="37">
        <v>1</v>
      </c>
      <c r="M21" s="37">
        <v>0</v>
      </c>
      <c r="N21" s="37">
        <v>0</v>
      </c>
      <c r="O21" s="37"/>
      <c r="P21" s="37"/>
      <c r="Q21" s="37"/>
      <c r="R21" s="37"/>
      <c r="S21" s="37" t="s">
        <v>247</v>
      </c>
      <c r="T21" s="49"/>
      <c r="U21" t="str">
        <v/>
      </c>
      <c r="W21" t="str">
        <v/>
      </c>
      <c r="Y21" t="str">
        <v/>
      </c>
      <c r="Z21" s="48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  <c r="BD21" s="56"/>
      <c r="BE21" s="56"/>
      <c r="BF21" s="56"/>
      <c r="BG21" s="56"/>
      <c r="BH21" s="56"/>
      <c r="BI21" s="56"/>
      <c r="BJ21" s="56"/>
      <c r="BK21" s="56"/>
      <c r="BL21" s="56"/>
      <c r="BM21" s="56"/>
      <c r="BN21" s="56"/>
      <c r="BO21" s="56"/>
      <c r="BP21" s="56"/>
      <c r="BQ21" s="56"/>
      <c r="BR21" s="56"/>
      <c r="BS21" s="56"/>
      <c r="BT21" s="56"/>
      <c r="BU21" s="56"/>
      <c r="BV21" s="56"/>
      <c r="BW21" s="56"/>
      <c r="BX21" s="56"/>
      <c r="BY21" s="56"/>
    </row>
    <row r="22" spans="2:77" x14ac:dyDescent="0.45">
      <c r="B22" s="68" cm="1">
        <f t="array" ref="B22">filesize(Folder&amp;Tests[[#This Row],[FileName]])</f>
        <v>32</v>
      </c>
      <c r="C22" s="62">
        <v>15</v>
      </c>
      <c r="D22" s="38" t="s">
        <v>295</v>
      </c>
      <c r="E22" s="37" t="b">
        <v>1</v>
      </c>
      <c r="F22" s="39" t="s">
        <v>246</v>
      </c>
      <c r="G22" s="39" t="b">
        <v>0</v>
      </c>
      <c r="H22" s="39" t="s">
        <v>246</v>
      </c>
      <c r="I22" s="39" t="s">
        <v>246</v>
      </c>
      <c r="J22" s="39" t="b">
        <v>1</v>
      </c>
      <c r="K22" s="37">
        <v>1</v>
      </c>
      <c r="L22" s="37">
        <v>1</v>
      </c>
      <c r="M22" s="37">
        <v>0</v>
      </c>
      <c r="N22" s="37">
        <v>0</v>
      </c>
      <c r="O22" s="37"/>
      <c r="P22" s="37"/>
      <c r="Q22" s="37"/>
      <c r="R22" s="37"/>
      <c r="S22" s="37" t="s">
        <v>247</v>
      </c>
      <c r="T22" s="49"/>
      <c r="U22" t="str">
        <v/>
      </c>
      <c r="W22" t="str">
        <v/>
      </c>
      <c r="Y22" t="str">
        <v/>
      </c>
      <c r="Z22" s="48"/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  <c r="BD22" s="56"/>
      <c r="BE22" s="56"/>
      <c r="BF22" s="56"/>
      <c r="BG22" s="56"/>
      <c r="BH22" s="56"/>
      <c r="BI22" s="56"/>
      <c r="BJ22" s="56"/>
      <c r="BK22" s="56"/>
      <c r="BL22" s="56"/>
      <c r="BM22" s="56"/>
      <c r="BN22" s="56"/>
      <c r="BO22" s="56"/>
      <c r="BP22" s="56"/>
      <c r="BQ22" s="56"/>
      <c r="BR22" s="56"/>
      <c r="BS22" s="56"/>
      <c r="BT22" s="56"/>
      <c r="BU22" s="56"/>
      <c r="BV22" s="56"/>
      <c r="BW22" s="56"/>
      <c r="BX22" s="56"/>
      <c r="BY22" s="56"/>
    </row>
    <row r="23" spans="2:77" x14ac:dyDescent="0.45">
      <c r="B23" s="68" cm="1">
        <f t="array" ref="B23">filesize(Folder&amp;Tests[[#This Row],[FileName]])</f>
        <v>32</v>
      </c>
      <c r="C23" s="47">
        <v>16</v>
      </c>
      <c r="D23" s="38" t="s">
        <v>296</v>
      </c>
      <c r="E23" s="37" t="b">
        <v>1</v>
      </c>
      <c r="F23" s="39" t="s">
        <v>246</v>
      </c>
      <c r="G23" s="39" t="b">
        <v>0</v>
      </c>
      <c r="H23" s="39" t="s">
        <v>246</v>
      </c>
      <c r="I23" s="39" t="s">
        <v>246</v>
      </c>
      <c r="J23" s="39" t="b">
        <v>1</v>
      </c>
      <c r="K23" s="37">
        <v>1</v>
      </c>
      <c r="L23" s="37">
        <v>1</v>
      </c>
      <c r="M23" s="37">
        <v>0</v>
      </c>
      <c r="N23" s="37">
        <v>0</v>
      </c>
      <c r="O23" s="37"/>
      <c r="P23" s="37"/>
      <c r="Q23" s="37"/>
      <c r="R23" s="37"/>
      <c r="S23" s="37" t="s">
        <v>247</v>
      </c>
      <c r="T23" s="49"/>
      <c r="U23" t="str">
        <v/>
      </c>
      <c r="W23" t="str">
        <v/>
      </c>
      <c r="Y23" t="str">
        <v/>
      </c>
      <c r="Z23" s="48"/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  <c r="BD23" s="56"/>
      <c r="BE23" s="56"/>
      <c r="BF23" s="56"/>
      <c r="BG23" s="56"/>
      <c r="BH23" s="56"/>
      <c r="BI23" s="56"/>
      <c r="BJ23" s="56"/>
      <c r="BK23" s="56"/>
      <c r="BL23" s="56"/>
      <c r="BM23" s="56"/>
      <c r="BN23" s="56"/>
      <c r="BO23" s="56"/>
      <c r="BP23" s="56"/>
      <c r="BQ23" s="56"/>
      <c r="BR23" s="56"/>
      <c r="BS23" s="56"/>
      <c r="BT23" s="56"/>
      <c r="BU23" s="56"/>
      <c r="BV23" s="56"/>
      <c r="BW23" s="56"/>
      <c r="BX23" s="56"/>
      <c r="BY23" s="56"/>
    </row>
    <row r="24" spans="2:77" x14ac:dyDescent="0.45">
      <c r="B24" s="68" cm="1">
        <f t="array" ref="B24">filesize(Folder&amp;Tests[[#This Row],[FileName]])</f>
        <v>33</v>
      </c>
      <c r="C24" s="47">
        <v>17</v>
      </c>
      <c r="D24" s="38" t="s">
        <v>300</v>
      </c>
      <c r="E24" s="37" t="b">
        <v>1</v>
      </c>
      <c r="F24" s="39" t="s">
        <v>246</v>
      </c>
      <c r="G24" s="39" t="b">
        <v>0</v>
      </c>
      <c r="H24" s="39" t="s">
        <v>246</v>
      </c>
      <c r="I24" s="39" t="s">
        <v>246</v>
      </c>
      <c r="J24" s="39" t="b">
        <v>1</v>
      </c>
      <c r="K24" s="37">
        <v>1</v>
      </c>
      <c r="L24" s="37">
        <v>1</v>
      </c>
      <c r="M24" s="37">
        <v>0</v>
      </c>
      <c r="N24" s="37">
        <v>0</v>
      </c>
      <c r="O24" s="37"/>
      <c r="P24" s="37"/>
      <c r="Q24" s="37"/>
      <c r="R24" s="37"/>
      <c r="S24" s="37" t="s">
        <v>247</v>
      </c>
      <c r="T24" s="49"/>
      <c r="U24" t="str">
        <v/>
      </c>
      <c r="W24" t="str">
        <v/>
      </c>
      <c r="Y24" t="str">
        <v/>
      </c>
      <c r="Z24" s="48"/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  <c r="BD24" s="56"/>
      <c r="BE24" s="56"/>
      <c r="BF24" s="56"/>
      <c r="BG24" s="56"/>
      <c r="BH24" s="56"/>
      <c r="BI24" s="56"/>
      <c r="BJ24" s="56"/>
      <c r="BK24" s="56"/>
      <c r="BL24" s="56"/>
      <c r="BM24" s="56"/>
      <c r="BN24" s="56"/>
      <c r="BO24" s="56"/>
      <c r="BP24" s="56"/>
      <c r="BQ24" s="56"/>
      <c r="BR24" s="56"/>
      <c r="BS24" s="56"/>
      <c r="BT24" s="56"/>
      <c r="BU24" s="56"/>
      <c r="BV24" s="56"/>
      <c r="BW24" s="56"/>
      <c r="BX24" s="56"/>
      <c r="BY24" s="56"/>
    </row>
    <row r="25" spans="2:77" x14ac:dyDescent="0.45">
      <c r="B25" s="68" cm="1">
        <f t="array" ref="B25">filesize(Folder&amp;Tests[[#This Row],[FileName]])</f>
        <v>33</v>
      </c>
      <c r="C25" s="47">
        <v>18</v>
      </c>
      <c r="D25" s="38" t="s">
        <v>301</v>
      </c>
      <c r="E25" s="37" t="b">
        <v>1</v>
      </c>
      <c r="F25" s="39" t="s">
        <v>250</v>
      </c>
      <c r="G25" s="39" t="b">
        <v>0</v>
      </c>
      <c r="H25" s="39" t="s">
        <v>246</v>
      </c>
      <c r="I25" s="39" t="s">
        <v>246</v>
      </c>
      <c r="J25" s="39" t="b">
        <v>1</v>
      </c>
      <c r="K25" s="37">
        <v>1</v>
      </c>
      <c r="L25" s="37">
        <v>1</v>
      </c>
      <c r="M25" s="37">
        <v>0</v>
      </c>
      <c r="N25" s="37">
        <v>0</v>
      </c>
      <c r="O25" s="37"/>
      <c r="P25" s="37"/>
      <c r="Q25" s="37"/>
      <c r="R25" s="37"/>
      <c r="S25" s="37" t="s">
        <v>247</v>
      </c>
      <c r="T25" s="49"/>
      <c r="U25" t="str">
        <v/>
      </c>
      <c r="W25" t="str">
        <v/>
      </c>
      <c r="Y25" t="str">
        <v/>
      </c>
      <c r="Z25" s="48"/>
      <c r="AB25" s="57"/>
      <c r="AC25" s="57"/>
      <c r="AD25" s="57"/>
      <c r="AE25" s="57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  <c r="BD25" s="56"/>
      <c r="BE25" s="56"/>
      <c r="BF25" s="56"/>
      <c r="BG25" s="56"/>
      <c r="BH25" s="56"/>
      <c r="BI25" s="56"/>
      <c r="BJ25" s="56"/>
      <c r="BK25" s="56"/>
      <c r="BL25" s="56"/>
      <c r="BM25" s="56"/>
      <c r="BN25" s="56"/>
      <c r="BO25" s="56"/>
      <c r="BP25" s="56"/>
      <c r="BQ25" s="56"/>
      <c r="BR25" s="56"/>
      <c r="BS25" s="56"/>
      <c r="BT25" s="56"/>
      <c r="BU25" s="56"/>
      <c r="BV25" s="56"/>
      <c r="BW25" s="56"/>
      <c r="BX25" s="56"/>
      <c r="BY25" s="56"/>
    </row>
    <row r="26" spans="2:77" x14ac:dyDescent="0.45">
      <c r="B26" s="68" cm="1">
        <f t="array" ref="B26">filesize(Folder&amp;Tests[[#This Row],[FileName]])</f>
        <v>34</v>
      </c>
      <c r="C26" s="47">
        <v>19</v>
      </c>
      <c r="D26" s="38" t="s">
        <v>305</v>
      </c>
      <c r="E26" s="37" t="b">
        <v>1</v>
      </c>
      <c r="F26" s="39" t="s">
        <v>246</v>
      </c>
      <c r="G26" s="39" t="b">
        <v>0</v>
      </c>
      <c r="H26" s="39" t="s">
        <v>246</v>
      </c>
      <c r="I26" s="39" t="s">
        <v>246</v>
      </c>
      <c r="J26" s="39" t="b">
        <v>1</v>
      </c>
      <c r="K26" s="37">
        <v>1</v>
      </c>
      <c r="L26" s="37">
        <v>1</v>
      </c>
      <c r="M26" s="37">
        <v>0</v>
      </c>
      <c r="N26" s="37">
        <v>0</v>
      </c>
      <c r="O26" s="37"/>
      <c r="P26" s="37"/>
      <c r="Q26" s="39" t="s">
        <v>496</v>
      </c>
      <c r="R26" s="37"/>
      <c r="S26" s="37" t="s">
        <v>247</v>
      </c>
      <c r="T26" s="49"/>
      <c r="U26" t="str">
        <v/>
      </c>
      <c r="W26" t="str">
        <v/>
      </c>
      <c r="Y26" t="str">
        <v/>
      </c>
      <c r="Z26" s="48"/>
      <c r="AB26" s="57"/>
      <c r="AC26" s="57"/>
      <c r="AD26" s="57"/>
      <c r="AE26" s="57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6"/>
      <c r="AR26" s="56"/>
      <c r="AS26" s="56"/>
      <c r="AT26" s="56"/>
      <c r="AU26" s="56"/>
      <c r="AV26" s="56"/>
      <c r="AW26" s="56"/>
      <c r="AX26" s="56"/>
      <c r="AY26" s="56"/>
      <c r="AZ26" s="56"/>
      <c r="BA26" s="56"/>
      <c r="BB26" s="56"/>
      <c r="BC26" s="56"/>
      <c r="BD26" s="56"/>
      <c r="BE26" s="56"/>
      <c r="BF26" s="56"/>
      <c r="BG26" s="56"/>
      <c r="BH26" s="56"/>
      <c r="BI26" s="56"/>
      <c r="BJ26" s="56"/>
      <c r="BK26" s="56"/>
      <c r="BL26" s="56"/>
      <c r="BM26" s="56"/>
      <c r="BN26" s="56"/>
      <c r="BO26" s="56"/>
      <c r="BP26" s="56"/>
      <c r="BQ26" s="56"/>
      <c r="BR26" s="56"/>
      <c r="BS26" s="56"/>
      <c r="BT26" s="56"/>
      <c r="BU26" s="56"/>
      <c r="BV26" s="56"/>
      <c r="BW26" s="56"/>
      <c r="BX26" s="56"/>
      <c r="BY26" s="56"/>
    </row>
    <row r="27" spans="2:77" x14ac:dyDescent="0.45">
      <c r="B27" s="68" cm="1">
        <f t="array" ref="B27">filesize(Folder&amp;Tests[[#This Row],[FileName]])</f>
        <v>35</v>
      </c>
      <c r="C27" s="47">
        <v>20</v>
      </c>
      <c r="D27" s="38" t="s">
        <v>306</v>
      </c>
      <c r="E27" s="37" t="b">
        <v>1</v>
      </c>
      <c r="F27" s="39" t="s">
        <v>246</v>
      </c>
      <c r="G27" s="39" t="b">
        <v>0</v>
      </c>
      <c r="H27" s="39" t="s">
        <v>246</v>
      </c>
      <c r="I27" s="39" t="s">
        <v>246</v>
      </c>
      <c r="J27" s="39" t="b">
        <v>1</v>
      </c>
      <c r="K27" s="37">
        <v>1</v>
      </c>
      <c r="L27" s="37">
        <v>1</v>
      </c>
      <c r="M27" s="37">
        <v>0</v>
      </c>
      <c r="N27" s="37">
        <v>0</v>
      </c>
      <c r="O27" s="37"/>
      <c r="P27" s="37"/>
      <c r="Q27" s="37"/>
      <c r="R27" s="37"/>
      <c r="S27" s="37" t="s">
        <v>247</v>
      </c>
      <c r="T27" s="49"/>
      <c r="U27" t="str">
        <v/>
      </c>
      <c r="W27" t="str">
        <v/>
      </c>
      <c r="Y27" t="str">
        <v/>
      </c>
      <c r="Z27" s="48"/>
      <c r="AB27" s="57"/>
      <c r="AC27" s="57"/>
      <c r="AD27" s="57"/>
      <c r="AE27" s="57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6"/>
      <c r="AR27" s="56"/>
      <c r="AS27" s="56"/>
      <c r="AT27" s="56"/>
      <c r="AU27" s="56"/>
      <c r="AV27" s="56"/>
      <c r="AW27" s="56"/>
      <c r="AX27" s="56"/>
      <c r="AY27" s="56"/>
      <c r="AZ27" s="56"/>
      <c r="BA27" s="56"/>
      <c r="BB27" s="56"/>
      <c r="BC27" s="56"/>
      <c r="BD27" s="56"/>
      <c r="BE27" s="56"/>
      <c r="BF27" s="56"/>
      <c r="BG27" s="56"/>
      <c r="BH27" s="56"/>
      <c r="BI27" s="56"/>
      <c r="BJ27" s="56"/>
      <c r="BK27" s="56"/>
      <c r="BL27" s="56"/>
      <c r="BM27" s="56"/>
      <c r="BN27" s="56"/>
      <c r="BO27" s="56"/>
      <c r="BP27" s="56"/>
      <c r="BQ27" s="56"/>
      <c r="BR27" s="56"/>
      <c r="BS27" s="56"/>
      <c r="BT27" s="56"/>
      <c r="BU27" s="56"/>
      <c r="BV27" s="56"/>
      <c r="BW27" s="56"/>
      <c r="BX27" s="56"/>
      <c r="BY27" s="56"/>
    </row>
    <row r="28" spans="2:77" x14ac:dyDescent="0.45">
      <c r="B28" s="68" cm="1">
        <f t="array" ref="B28">filesize(Folder&amp;Tests[[#This Row],[FileName]])</f>
        <v>35</v>
      </c>
      <c r="C28" s="47">
        <v>21</v>
      </c>
      <c r="D28" s="38" t="s">
        <v>307</v>
      </c>
      <c r="E28" s="37" t="b">
        <v>1</v>
      </c>
      <c r="F28" s="39" t="s">
        <v>246</v>
      </c>
      <c r="G28" s="39" t="b">
        <v>0</v>
      </c>
      <c r="H28" s="39" t="s">
        <v>246</v>
      </c>
      <c r="I28" s="39" t="s">
        <v>246</v>
      </c>
      <c r="J28" s="39" t="b">
        <v>1</v>
      </c>
      <c r="K28" s="37">
        <v>4</v>
      </c>
      <c r="L28" s="37">
        <v>1</v>
      </c>
      <c r="M28" s="37">
        <v>0</v>
      </c>
      <c r="N28" s="37">
        <v>0</v>
      </c>
      <c r="O28" s="37"/>
      <c r="P28" s="37"/>
      <c r="Q28" s="37"/>
      <c r="R28" s="37"/>
      <c r="S28" s="37" t="s">
        <v>247</v>
      </c>
      <c r="T28" s="49"/>
      <c r="U28" t="str">
        <v/>
      </c>
      <c r="W28" t="str">
        <v/>
      </c>
      <c r="Y28" t="str">
        <v/>
      </c>
      <c r="Z28" s="48"/>
      <c r="AB28" s="57"/>
      <c r="AC28" s="57"/>
      <c r="AD28" s="57"/>
      <c r="AE28" s="57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  <c r="BD28" s="56"/>
      <c r="BE28" s="56"/>
      <c r="BF28" s="56"/>
      <c r="BG28" s="56"/>
      <c r="BH28" s="56"/>
      <c r="BI28" s="56"/>
      <c r="BJ28" s="56"/>
      <c r="BK28" s="56"/>
      <c r="BL28" s="56"/>
      <c r="BM28" s="56"/>
      <c r="BN28" s="56"/>
      <c r="BO28" s="56"/>
      <c r="BP28" s="56"/>
      <c r="BQ28" s="56"/>
      <c r="BR28" s="56"/>
      <c r="BS28" s="56"/>
      <c r="BT28" s="56"/>
      <c r="BU28" s="56"/>
      <c r="BV28" s="56"/>
      <c r="BW28" s="56"/>
      <c r="BX28" s="56"/>
      <c r="BY28" s="56"/>
    </row>
    <row r="29" spans="2:77" x14ac:dyDescent="0.45">
      <c r="B29" s="68" cm="1">
        <f t="array" ref="B29">filesize(Folder&amp;Tests[[#This Row],[FileName]])</f>
        <v>35</v>
      </c>
      <c r="C29" s="47">
        <v>22</v>
      </c>
      <c r="D29" s="38" t="s">
        <v>308</v>
      </c>
      <c r="E29" s="37" t="b">
        <v>1</v>
      </c>
      <c r="F29" s="39" t="s">
        <v>246</v>
      </c>
      <c r="G29" s="39" t="b">
        <v>0</v>
      </c>
      <c r="H29" s="39" t="s">
        <v>246</v>
      </c>
      <c r="I29" s="39" t="s">
        <v>246</v>
      </c>
      <c r="J29" s="39" t="b">
        <v>1</v>
      </c>
      <c r="K29" s="37">
        <v>1</v>
      </c>
      <c r="L29" s="37">
        <v>1</v>
      </c>
      <c r="M29" s="37">
        <v>0</v>
      </c>
      <c r="N29" s="37">
        <v>0</v>
      </c>
      <c r="O29" s="37"/>
      <c r="P29" s="37"/>
      <c r="Q29" s="37"/>
      <c r="R29" s="37"/>
      <c r="S29" s="37" t="s">
        <v>247</v>
      </c>
      <c r="T29" s="49"/>
      <c r="U29" t="str">
        <v/>
      </c>
      <c r="W29" t="str">
        <v/>
      </c>
      <c r="Y29" t="str">
        <v/>
      </c>
      <c r="Z29" s="48"/>
      <c r="AB29" s="57"/>
      <c r="AC29" s="57"/>
      <c r="AD29" s="57"/>
      <c r="AE29" s="57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  <c r="BD29" s="56"/>
      <c r="BE29" s="56"/>
      <c r="BF29" s="56"/>
      <c r="BG29" s="56"/>
      <c r="BH29" s="56"/>
      <c r="BI29" s="56"/>
      <c r="BJ29" s="56"/>
      <c r="BK29" s="56"/>
      <c r="BL29" s="56"/>
      <c r="BM29" s="56"/>
      <c r="BN29" s="56"/>
      <c r="BO29" s="56"/>
      <c r="BP29" s="56"/>
      <c r="BQ29" s="56"/>
      <c r="BR29" s="56"/>
      <c r="BS29" s="56"/>
      <c r="BT29" s="56"/>
      <c r="BU29" s="56"/>
      <c r="BV29" s="56"/>
      <c r="BW29" s="56"/>
      <c r="BX29" s="56"/>
      <c r="BY29" s="56"/>
    </row>
    <row r="30" spans="2:77" x14ac:dyDescent="0.45">
      <c r="B30" s="68" cm="1">
        <f t="array" ref="B30">filesize(Folder&amp;Tests[[#This Row],[FileName]])</f>
        <v>35</v>
      </c>
      <c r="C30" s="47">
        <v>23</v>
      </c>
      <c r="D30" s="38" t="s">
        <v>309</v>
      </c>
      <c r="E30" s="37" t="b">
        <v>1</v>
      </c>
      <c r="F30" s="39" t="s">
        <v>246</v>
      </c>
      <c r="G30" s="39" t="b">
        <v>0</v>
      </c>
      <c r="H30" s="39" t="s">
        <v>246</v>
      </c>
      <c r="I30" s="39" t="s">
        <v>246</v>
      </c>
      <c r="J30" s="39" t="b">
        <v>1</v>
      </c>
      <c r="K30" s="37">
        <v>1</v>
      </c>
      <c r="L30" s="37">
        <v>1</v>
      </c>
      <c r="M30" s="37">
        <v>0</v>
      </c>
      <c r="N30" s="37">
        <v>0</v>
      </c>
      <c r="O30" s="37"/>
      <c r="P30" s="37"/>
      <c r="Q30" s="37"/>
      <c r="R30" s="37"/>
      <c r="S30" s="37" t="s">
        <v>247</v>
      </c>
      <c r="T30" s="49"/>
      <c r="U30" t="str">
        <v/>
      </c>
      <c r="W30" t="str">
        <v/>
      </c>
      <c r="Y30" t="str">
        <v/>
      </c>
      <c r="Z30" s="48"/>
      <c r="AB30" s="57"/>
      <c r="AC30" s="57"/>
      <c r="AD30" s="57"/>
      <c r="AE30" s="57"/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  <c r="BD30" s="56"/>
      <c r="BE30" s="56"/>
      <c r="BF30" s="56"/>
      <c r="BG30" s="56"/>
      <c r="BH30" s="56"/>
      <c r="BI30" s="56"/>
      <c r="BJ30" s="56"/>
      <c r="BK30" s="56"/>
      <c r="BL30" s="56"/>
      <c r="BM30" s="56"/>
      <c r="BN30" s="56"/>
      <c r="BO30" s="56"/>
      <c r="BP30" s="56"/>
      <c r="BQ30" s="56"/>
      <c r="BR30" s="56"/>
      <c r="BS30" s="56"/>
      <c r="BT30" s="56"/>
      <c r="BU30" s="56"/>
      <c r="BV30" s="56"/>
      <c r="BW30" s="56"/>
      <c r="BX30" s="56"/>
      <c r="BY30" s="56"/>
    </row>
    <row r="31" spans="2:77" x14ac:dyDescent="0.45">
      <c r="B31" s="68" cm="1">
        <f t="array" ref="B31">filesize(Folder&amp;Tests[[#This Row],[FileName]])</f>
        <v>37</v>
      </c>
      <c r="C31" s="47">
        <v>24</v>
      </c>
      <c r="D31" s="38" t="s">
        <v>310</v>
      </c>
      <c r="E31" s="37" t="b">
        <v>1</v>
      </c>
      <c r="F31" s="39" t="s">
        <v>246</v>
      </c>
      <c r="G31" s="39" t="b">
        <v>0</v>
      </c>
      <c r="H31" s="39" t="s">
        <v>482</v>
      </c>
      <c r="I31" s="39" t="s">
        <v>246</v>
      </c>
      <c r="J31" s="39" t="b">
        <v>1</v>
      </c>
      <c r="K31" s="37">
        <v>1</v>
      </c>
      <c r="L31" s="37">
        <v>1</v>
      </c>
      <c r="M31" s="37">
        <v>0</v>
      </c>
      <c r="N31" s="37">
        <v>0</v>
      </c>
      <c r="O31" s="37"/>
      <c r="P31" s="37"/>
      <c r="Q31" s="37"/>
      <c r="R31" s="37"/>
      <c r="S31" s="37" t="s">
        <v>247</v>
      </c>
      <c r="T31" s="49"/>
      <c r="U31" t="str">
        <v/>
      </c>
      <c r="W31" t="str">
        <v/>
      </c>
      <c r="Y31" t="str">
        <v/>
      </c>
      <c r="Z31" s="48"/>
      <c r="AB31" s="57"/>
      <c r="AC31" s="57"/>
      <c r="AD31" s="57"/>
      <c r="AE31" s="57"/>
      <c r="AF31" s="57"/>
      <c r="AG31" s="57"/>
      <c r="AH31" s="57"/>
      <c r="AI31" s="57"/>
      <c r="AJ31" s="57"/>
      <c r="AK31" s="57"/>
      <c r="AL31" s="57"/>
      <c r="AM31" s="57"/>
      <c r="AN31" s="57"/>
      <c r="AO31" s="57"/>
      <c r="AP31" s="57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  <c r="BD31" s="56"/>
      <c r="BE31" s="56"/>
      <c r="BF31" s="56"/>
      <c r="BG31" s="56"/>
      <c r="BH31" s="56"/>
      <c r="BI31" s="56"/>
      <c r="BJ31" s="56"/>
      <c r="BK31" s="56"/>
      <c r="BL31" s="56"/>
      <c r="BM31" s="56"/>
      <c r="BN31" s="56"/>
      <c r="BO31" s="56"/>
      <c r="BP31" s="56"/>
      <c r="BQ31" s="56"/>
      <c r="BR31" s="56"/>
      <c r="BS31" s="56"/>
      <c r="BT31" s="56"/>
      <c r="BU31" s="56"/>
      <c r="BV31" s="56"/>
      <c r="BW31" s="56"/>
      <c r="BX31" s="56"/>
      <c r="BY31" s="56"/>
    </row>
    <row r="32" spans="2:77" x14ac:dyDescent="0.45">
      <c r="B32" s="68" cm="1">
        <f t="array" ref="B32">filesize(Folder&amp;Tests[[#This Row],[FileName]])</f>
        <v>37</v>
      </c>
      <c r="C32" s="63">
        <v>25</v>
      </c>
      <c r="D32" s="38" t="s">
        <v>311</v>
      </c>
      <c r="E32" s="37" t="b">
        <v>1</v>
      </c>
      <c r="F32" s="39" t="s">
        <v>246</v>
      </c>
      <c r="G32" s="39" t="b">
        <v>0</v>
      </c>
      <c r="H32" s="37" t="s">
        <v>254</v>
      </c>
      <c r="I32" s="39" t="s">
        <v>246</v>
      </c>
      <c r="J32" s="39" t="b">
        <v>1</v>
      </c>
      <c r="K32" s="37">
        <v>1</v>
      </c>
      <c r="L32" s="37">
        <v>1</v>
      </c>
      <c r="M32" s="37">
        <v>0</v>
      </c>
      <c r="N32" s="37">
        <v>0</v>
      </c>
      <c r="O32" s="37"/>
      <c r="P32" s="37"/>
      <c r="Q32" s="37"/>
      <c r="R32" s="37"/>
      <c r="S32" s="37" t="s">
        <v>247</v>
      </c>
      <c r="T32" s="49"/>
      <c r="U32" t="str">
        <v/>
      </c>
      <c r="W32" t="str">
        <v/>
      </c>
      <c r="Y32" t="str">
        <v/>
      </c>
      <c r="Z32" s="48"/>
      <c r="AB32" s="57"/>
      <c r="AC32" s="57"/>
      <c r="AD32" s="57"/>
      <c r="AE32" s="57"/>
      <c r="AF32" s="57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  <c r="BD32" s="56"/>
      <c r="BE32" s="56"/>
      <c r="BF32" s="56"/>
      <c r="BG32" s="56"/>
      <c r="BH32" s="56"/>
      <c r="BI32" s="56"/>
      <c r="BJ32" s="56"/>
      <c r="BK32" s="56"/>
      <c r="BL32" s="56"/>
      <c r="BM32" s="56"/>
      <c r="BN32" s="56"/>
      <c r="BO32" s="56"/>
      <c r="BP32" s="56"/>
      <c r="BQ32" s="56"/>
      <c r="BR32" s="56"/>
      <c r="BS32" s="56"/>
      <c r="BT32" s="56"/>
      <c r="BU32" s="56"/>
      <c r="BV32" s="56"/>
      <c r="BW32" s="56"/>
      <c r="BX32" s="56"/>
      <c r="BY32" s="56"/>
    </row>
    <row r="33" spans="2:77" x14ac:dyDescent="0.45">
      <c r="B33" s="68" cm="1">
        <f t="array" ref="B33">filesize(Folder&amp;Tests[[#This Row],[FileName]])</f>
        <v>43</v>
      </c>
      <c r="C33" s="47">
        <v>26</v>
      </c>
      <c r="D33" s="38" t="s">
        <v>312</v>
      </c>
      <c r="E33" s="37" t="b">
        <v>1</v>
      </c>
      <c r="F33" s="39" t="s">
        <v>250</v>
      </c>
      <c r="G33" s="39" t="b">
        <v>1</v>
      </c>
      <c r="H33" s="39" t="s">
        <v>246</v>
      </c>
      <c r="I33" s="39" t="s">
        <v>246</v>
      </c>
      <c r="J33" s="39" t="b">
        <v>1</v>
      </c>
      <c r="K33" s="37">
        <v>1</v>
      </c>
      <c r="L33" s="37">
        <v>1</v>
      </c>
      <c r="M33" s="37">
        <v>0</v>
      </c>
      <c r="N33" s="37">
        <v>0</v>
      </c>
      <c r="O33" s="37"/>
      <c r="P33" s="37"/>
      <c r="Q33" s="37"/>
      <c r="R33" s="37"/>
      <c r="S33" s="37" t="s">
        <v>247</v>
      </c>
      <c r="T33" s="49"/>
      <c r="U33" t="str">
        <v/>
      </c>
      <c r="W33" t="str">
        <v/>
      </c>
      <c r="Y33" t="str">
        <v/>
      </c>
      <c r="Z33" s="48"/>
      <c r="AB33" s="57"/>
      <c r="AC33" s="57"/>
      <c r="AD33" s="57"/>
      <c r="AE33" s="57"/>
      <c r="AF33" s="57"/>
      <c r="AG33" s="57"/>
      <c r="AH33" s="57"/>
      <c r="AI33" s="57"/>
      <c r="AJ33" s="57"/>
      <c r="AK33" s="57"/>
      <c r="AL33" s="57"/>
      <c r="AM33" s="57"/>
      <c r="AN33" s="57"/>
      <c r="AO33" s="57"/>
      <c r="AP33" s="57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  <c r="BD33" s="56"/>
      <c r="BE33" s="56"/>
      <c r="BF33" s="56"/>
      <c r="BG33" s="56"/>
      <c r="BH33" s="56"/>
      <c r="BI33" s="56"/>
      <c r="BJ33" s="56"/>
      <c r="BK33" s="56"/>
      <c r="BL33" s="56"/>
      <c r="BM33" s="56"/>
      <c r="BN33" s="56"/>
      <c r="BO33" s="56"/>
      <c r="BP33" s="56"/>
      <c r="BQ33" s="56"/>
      <c r="BR33" s="56"/>
      <c r="BS33" s="56"/>
      <c r="BT33" s="56"/>
      <c r="BU33" s="56"/>
      <c r="BV33" s="56"/>
      <c r="BW33" s="56"/>
      <c r="BX33" s="56"/>
      <c r="BY33" s="56"/>
    </row>
    <row r="34" spans="2:77" x14ac:dyDescent="0.45">
      <c r="B34" s="68" cm="1">
        <f t="array" ref="B34">filesize(Folder&amp;Tests[[#This Row],[FileName]])</f>
        <v>43</v>
      </c>
      <c r="C34" s="62">
        <v>27</v>
      </c>
      <c r="D34" s="38" t="s">
        <v>313</v>
      </c>
      <c r="E34" s="37" t="b">
        <v>0</v>
      </c>
      <c r="F34" s="39" t="s">
        <v>246</v>
      </c>
      <c r="G34" s="39" t="b">
        <v>0</v>
      </c>
      <c r="H34" s="39" t="s">
        <v>246</v>
      </c>
      <c r="I34" s="39" t="s">
        <v>246</v>
      </c>
      <c r="J34" s="39" t="b">
        <v>1</v>
      </c>
      <c r="K34" s="37">
        <v>1</v>
      </c>
      <c r="L34" s="37">
        <v>1</v>
      </c>
      <c r="M34" s="37">
        <v>0</v>
      </c>
      <c r="N34" s="37">
        <v>0</v>
      </c>
      <c r="O34" s="37"/>
      <c r="P34" s="37"/>
      <c r="Q34" s="37"/>
      <c r="R34" s="37"/>
      <c r="S34" s="37" t="s">
        <v>247</v>
      </c>
      <c r="T34" s="49"/>
      <c r="U34" t="str">
        <v/>
      </c>
      <c r="W34" t="str">
        <v/>
      </c>
      <c r="Y34" t="str">
        <v/>
      </c>
      <c r="Z34" s="48"/>
      <c r="AB34" s="57"/>
      <c r="AC34" s="57"/>
      <c r="AD34" s="57"/>
      <c r="AE34" s="57"/>
      <c r="AF34" s="57"/>
      <c r="AG34" s="57"/>
      <c r="AH34" s="57"/>
      <c r="AI34" s="57"/>
      <c r="AJ34" s="57"/>
      <c r="AK34" s="57"/>
      <c r="AL34" s="57"/>
      <c r="AM34" s="57"/>
      <c r="AN34" s="57"/>
      <c r="AO34" s="57"/>
      <c r="AP34" s="57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  <c r="BD34" s="56"/>
      <c r="BE34" s="56"/>
      <c r="BF34" s="56"/>
      <c r="BG34" s="56"/>
      <c r="BH34" s="56"/>
      <c r="BI34" s="56"/>
      <c r="BJ34" s="56"/>
      <c r="BK34" s="56"/>
      <c r="BL34" s="56"/>
      <c r="BM34" s="56"/>
      <c r="BN34" s="56"/>
      <c r="BO34" s="56"/>
      <c r="BP34" s="56"/>
      <c r="BQ34" s="56"/>
      <c r="BR34" s="56"/>
      <c r="BS34" s="56"/>
      <c r="BT34" s="56"/>
      <c r="BU34" s="56"/>
      <c r="BV34" s="56"/>
      <c r="BW34" s="56"/>
      <c r="BX34" s="56"/>
      <c r="BY34" s="56"/>
    </row>
    <row r="35" spans="2:77" x14ac:dyDescent="0.45">
      <c r="B35" s="68" cm="1">
        <f t="array" ref="B35">filesize(Folder&amp;Tests[[#This Row],[FileName]])</f>
        <v>45</v>
      </c>
      <c r="C35" s="47">
        <v>28</v>
      </c>
      <c r="D35" s="38" t="s">
        <v>314</v>
      </c>
      <c r="E35" s="37" t="b">
        <v>0</v>
      </c>
      <c r="F35" s="39" t="s">
        <v>246</v>
      </c>
      <c r="G35" s="39" t="b">
        <v>0</v>
      </c>
      <c r="H35" s="39" t="s">
        <v>246</v>
      </c>
      <c r="I35" s="39" t="s">
        <v>246</v>
      </c>
      <c r="J35" s="39" t="b">
        <v>1</v>
      </c>
      <c r="K35" s="37">
        <v>1</v>
      </c>
      <c r="L35" s="37">
        <v>1</v>
      </c>
      <c r="M35" s="37">
        <v>0</v>
      </c>
      <c r="N35" s="37">
        <v>0</v>
      </c>
      <c r="O35" s="37"/>
      <c r="P35" s="37"/>
      <c r="Q35" s="37"/>
      <c r="R35" s="37"/>
      <c r="S35" s="37" t="s">
        <v>247</v>
      </c>
      <c r="T35" s="49" t="s">
        <v>255</v>
      </c>
      <c r="U35" t="str">
        <v/>
      </c>
      <c r="W35" t="str">
        <v/>
      </c>
      <c r="Y35" t="str">
        <v/>
      </c>
      <c r="Z35" s="48"/>
      <c r="AB35" s="57"/>
      <c r="AC35" s="57"/>
      <c r="AD35" s="57"/>
      <c r="AE35" s="57"/>
      <c r="AF35" s="57"/>
      <c r="AG35" s="57"/>
      <c r="AH35" s="57"/>
      <c r="AI35" s="57"/>
      <c r="AJ35" s="57"/>
      <c r="AK35" s="57"/>
      <c r="AL35" s="57"/>
      <c r="AM35" s="57"/>
      <c r="AN35" s="57"/>
      <c r="AO35" s="57"/>
      <c r="AP35" s="57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  <c r="BD35" s="56"/>
      <c r="BE35" s="56"/>
      <c r="BF35" s="56"/>
      <c r="BG35" s="56"/>
      <c r="BH35" s="56"/>
      <c r="BI35" s="56"/>
      <c r="BJ35" s="56"/>
      <c r="BK35" s="56"/>
      <c r="BL35" s="56"/>
      <c r="BM35" s="56"/>
      <c r="BN35" s="56"/>
      <c r="BO35" s="56"/>
      <c r="BP35" s="56"/>
      <c r="BQ35" s="56"/>
      <c r="BR35" s="56"/>
      <c r="BS35" s="56"/>
      <c r="BT35" s="56"/>
      <c r="BU35" s="56"/>
      <c r="BV35" s="56"/>
      <c r="BW35" s="56"/>
      <c r="BX35" s="56"/>
      <c r="BY35" s="56"/>
    </row>
    <row r="36" spans="2:77" x14ac:dyDescent="0.45">
      <c r="B36" s="68" cm="1">
        <f t="array" ref="B36">filesize(Folder&amp;Tests[[#This Row],[FileName]])</f>
        <v>45</v>
      </c>
      <c r="C36" s="47">
        <v>29</v>
      </c>
      <c r="D36" s="38" t="s">
        <v>315</v>
      </c>
      <c r="E36" s="37" t="b">
        <v>0</v>
      </c>
      <c r="F36" s="39" t="s">
        <v>246</v>
      </c>
      <c r="G36" s="39" t="b">
        <v>0</v>
      </c>
      <c r="H36" s="39" t="s">
        <v>246</v>
      </c>
      <c r="I36" s="39" t="s">
        <v>246</v>
      </c>
      <c r="J36" s="39" t="b">
        <v>1</v>
      </c>
      <c r="K36" s="37">
        <v>1</v>
      </c>
      <c r="L36" s="37">
        <v>1</v>
      </c>
      <c r="M36" s="37">
        <v>0</v>
      </c>
      <c r="N36" s="37">
        <v>0</v>
      </c>
      <c r="O36" s="37"/>
      <c r="P36" s="37"/>
      <c r="Q36" s="37"/>
      <c r="R36" s="37"/>
      <c r="S36" s="37" t="s">
        <v>247</v>
      </c>
      <c r="T36" s="49"/>
      <c r="U36" t="str">
        <v/>
      </c>
      <c r="W36" t="str">
        <v/>
      </c>
      <c r="Y36" t="str">
        <v/>
      </c>
      <c r="Z36" s="48"/>
      <c r="AB36" s="57"/>
      <c r="AC36" s="57"/>
      <c r="AD36" s="57"/>
      <c r="AE36" s="57"/>
      <c r="AF36" s="57"/>
      <c r="AG36" s="57"/>
      <c r="AH36" s="57"/>
      <c r="AI36" s="57"/>
      <c r="AJ36" s="57"/>
      <c r="AK36" s="57"/>
      <c r="AL36" s="57"/>
      <c r="AM36" s="57"/>
      <c r="AN36" s="57"/>
      <c r="AO36" s="57"/>
      <c r="AP36" s="57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  <c r="BD36" s="56"/>
      <c r="BE36" s="56"/>
      <c r="BF36" s="56"/>
      <c r="BG36" s="56"/>
      <c r="BH36" s="56"/>
      <c r="BI36" s="56"/>
      <c r="BJ36" s="56"/>
      <c r="BK36" s="56"/>
      <c r="BL36" s="56"/>
      <c r="BM36" s="56"/>
      <c r="BN36" s="56"/>
      <c r="BO36" s="56"/>
      <c r="BP36" s="56"/>
      <c r="BQ36" s="56"/>
      <c r="BR36" s="56"/>
      <c r="BS36" s="56"/>
      <c r="BT36" s="56"/>
      <c r="BU36" s="56"/>
      <c r="BV36" s="56"/>
      <c r="BW36" s="56"/>
      <c r="BX36" s="56"/>
      <c r="BY36" s="56"/>
    </row>
    <row r="37" spans="2:77" x14ac:dyDescent="0.45">
      <c r="B37" s="68" cm="1">
        <f t="array" ref="B37">filesize(Folder&amp;Tests[[#This Row],[FileName]])</f>
        <v>47</v>
      </c>
      <c r="C37" s="47">
        <v>30</v>
      </c>
      <c r="D37" s="38" t="s">
        <v>316</v>
      </c>
      <c r="E37" s="37" t="b">
        <v>1</v>
      </c>
      <c r="F37" s="39" t="s">
        <v>246</v>
      </c>
      <c r="G37" s="39" t="b">
        <v>0</v>
      </c>
      <c r="H37" s="39" t="s">
        <v>246</v>
      </c>
      <c r="I37" s="39" t="s">
        <v>246</v>
      </c>
      <c r="J37" s="39" t="b">
        <v>1</v>
      </c>
      <c r="K37" s="37">
        <v>1</v>
      </c>
      <c r="L37" s="37">
        <v>1</v>
      </c>
      <c r="M37" s="37">
        <v>0</v>
      </c>
      <c r="N37" s="37">
        <v>0</v>
      </c>
      <c r="O37" s="37"/>
      <c r="P37" s="37"/>
      <c r="Q37" s="37"/>
      <c r="R37" s="37"/>
      <c r="S37" s="37" t="s">
        <v>247</v>
      </c>
      <c r="T37" s="49"/>
      <c r="U37" t="str">
        <v/>
      </c>
      <c r="W37" t="str">
        <v/>
      </c>
      <c r="Y37" t="str">
        <v/>
      </c>
      <c r="Z37" s="48"/>
      <c r="AB37" s="57"/>
      <c r="AC37" s="57"/>
      <c r="AD37" s="57"/>
      <c r="AE37" s="57"/>
      <c r="AF37" s="57"/>
      <c r="AG37" s="57"/>
      <c r="AH37" s="57"/>
      <c r="AI37" s="57"/>
      <c r="AJ37" s="57"/>
      <c r="AK37" s="57"/>
      <c r="AL37" s="57"/>
      <c r="AM37" s="57"/>
      <c r="AN37" s="57"/>
      <c r="AO37" s="57"/>
      <c r="AP37" s="57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  <c r="BD37" s="56"/>
      <c r="BE37" s="56"/>
      <c r="BF37" s="56"/>
      <c r="BG37" s="56"/>
      <c r="BH37" s="56"/>
      <c r="BI37" s="56"/>
      <c r="BJ37" s="56"/>
      <c r="BK37" s="56"/>
      <c r="BL37" s="56"/>
      <c r="BM37" s="56"/>
      <c r="BN37" s="56"/>
      <c r="BO37" s="56"/>
      <c r="BP37" s="56"/>
      <c r="BQ37" s="56"/>
      <c r="BR37" s="56"/>
      <c r="BS37" s="56"/>
      <c r="BT37" s="56"/>
      <c r="BU37" s="56"/>
      <c r="BV37" s="56"/>
      <c r="BW37" s="56"/>
      <c r="BX37" s="56"/>
      <c r="BY37" s="56"/>
    </row>
    <row r="38" spans="2:77" x14ac:dyDescent="0.45">
      <c r="B38" s="68" cm="1">
        <f t="array" ref="B38">filesize(Folder&amp;Tests[[#This Row],[FileName]])</f>
        <v>47</v>
      </c>
      <c r="C38" s="47">
        <v>31</v>
      </c>
      <c r="D38" s="38" t="s">
        <v>317</v>
      </c>
      <c r="E38" s="37" t="b">
        <v>1</v>
      </c>
      <c r="F38" s="39" t="s">
        <v>246</v>
      </c>
      <c r="G38" s="39" t="b">
        <v>0</v>
      </c>
      <c r="H38" s="39" t="s">
        <v>246</v>
      </c>
      <c r="I38" s="39" t="s">
        <v>246</v>
      </c>
      <c r="J38" s="39" t="b">
        <v>1</v>
      </c>
      <c r="K38" s="37">
        <v>1</v>
      </c>
      <c r="L38" s="37">
        <v>1</v>
      </c>
      <c r="M38" s="37">
        <v>0</v>
      </c>
      <c r="N38" s="37">
        <v>0</v>
      </c>
      <c r="O38" s="37" t="s">
        <v>497</v>
      </c>
      <c r="P38" s="37" t="s">
        <v>498</v>
      </c>
      <c r="Q38" s="37"/>
      <c r="R38" s="37"/>
      <c r="S38" s="37" t="s">
        <v>247</v>
      </c>
      <c r="T38" s="49"/>
      <c r="U38" t="str">
        <v/>
      </c>
      <c r="W38" t="str">
        <v/>
      </c>
      <c r="Y38" t="str">
        <v/>
      </c>
      <c r="Z38" s="48"/>
      <c r="AB38" s="57"/>
      <c r="AC38" s="57"/>
      <c r="AD38" s="57"/>
      <c r="AE38" s="57"/>
      <c r="AF38" s="57"/>
      <c r="AG38" s="57"/>
      <c r="AH38" s="57"/>
      <c r="AI38" s="57"/>
      <c r="AJ38" s="57"/>
      <c r="AK38" s="57"/>
      <c r="AL38" s="57"/>
      <c r="AM38" s="57"/>
      <c r="AN38" s="57"/>
      <c r="AO38" s="57"/>
      <c r="AP38" s="57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  <c r="BD38" s="56"/>
      <c r="BE38" s="56"/>
      <c r="BF38" s="56"/>
      <c r="BG38" s="56"/>
      <c r="BH38" s="56"/>
      <c r="BI38" s="56"/>
      <c r="BJ38" s="56"/>
      <c r="BK38" s="56"/>
      <c r="BL38" s="56"/>
      <c r="BM38" s="56"/>
      <c r="BN38" s="56"/>
      <c r="BO38" s="56"/>
      <c r="BP38" s="56"/>
      <c r="BQ38" s="56"/>
      <c r="BR38" s="56"/>
      <c r="BS38" s="56"/>
      <c r="BT38" s="56"/>
      <c r="BU38" s="56"/>
      <c r="BV38" s="56"/>
      <c r="BW38" s="56"/>
      <c r="BX38" s="56"/>
      <c r="BY38" s="56"/>
    </row>
    <row r="39" spans="2:77" x14ac:dyDescent="0.45">
      <c r="B39" s="68" cm="1">
        <f t="array" ref="B39">filesize(Folder&amp;Tests[[#This Row],[FileName]])</f>
        <v>50</v>
      </c>
      <c r="C39" s="47">
        <v>32</v>
      </c>
      <c r="D39" s="38" t="s">
        <v>318</v>
      </c>
      <c r="E39" s="37" t="b">
        <v>1</v>
      </c>
      <c r="F39" s="39" t="s">
        <v>246</v>
      </c>
      <c r="G39" s="39" t="b">
        <v>0</v>
      </c>
      <c r="H39" s="39" t="s">
        <v>246</v>
      </c>
      <c r="I39" s="39" t="s">
        <v>246</v>
      </c>
      <c r="J39" s="39" t="b">
        <v>1</v>
      </c>
      <c r="K39" s="37">
        <v>1</v>
      </c>
      <c r="L39" s="37">
        <v>1</v>
      </c>
      <c r="M39" s="37">
        <v>0</v>
      </c>
      <c r="N39" s="37">
        <v>0</v>
      </c>
      <c r="O39" s="37"/>
      <c r="P39" s="37"/>
      <c r="Q39" s="37"/>
      <c r="R39" s="37"/>
      <c r="S39" s="37" t="s">
        <v>247</v>
      </c>
      <c r="T39" s="49"/>
      <c r="U39" t="str">
        <v/>
      </c>
      <c r="W39" t="str">
        <v/>
      </c>
      <c r="Y39" t="str">
        <v/>
      </c>
      <c r="Z39" s="48"/>
      <c r="AB39" s="57"/>
      <c r="AC39" s="57"/>
      <c r="AD39" s="57"/>
      <c r="AE39" s="57"/>
      <c r="AF39" s="57"/>
      <c r="AG39" s="57"/>
      <c r="AH39" s="57"/>
      <c r="AI39" s="57"/>
      <c r="AJ39" s="57"/>
      <c r="AK39" s="57"/>
      <c r="AL39" s="57"/>
      <c r="AM39" s="57"/>
      <c r="AN39" s="57"/>
      <c r="AO39" s="57"/>
      <c r="AP39" s="57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  <c r="BD39" s="56"/>
      <c r="BE39" s="56"/>
      <c r="BF39" s="56"/>
      <c r="BG39" s="56"/>
      <c r="BH39" s="56"/>
      <c r="BI39" s="56"/>
      <c r="BJ39" s="56"/>
      <c r="BK39" s="56"/>
      <c r="BL39" s="56"/>
      <c r="BM39" s="56"/>
      <c r="BN39" s="56"/>
      <c r="BO39" s="56"/>
      <c r="BP39" s="56"/>
      <c r="BQ39" s="56"/>
      <c r="BR39" s="56"/>
      <c r="BS39" s="56"/>
      <c r="BT39" s="56"/>
      <c r="BU39" s="56"/>
      <c r="BV39" s="56"/>
      <c r="BW39" s="56"/>
      <c r="BX39" s="56"/>
      <c r="BY39" s="56"/>
    </row>
    <row r="40" spans="2:77" x14ac:dyDescent="0.45">
      <c r="B40" s="68" cm="1">
        <f t="array" ref="B40">filesize(Folder&amp;Tests[[#This Row],[FileName]])</f>
        <v>50</v>
      </c>
      <c r="C40" s="62">
        <v>33</v>
      </c>
      <c r="D40" s="38" t="s">
        <v>319</v>
      </c>
      <c r="E40" s="37" t="b">
        <v>1</v>
      </c>
      <c r="F40" s="39" t="s">
        <v>246</v>
      </c>
      <c r="G40" s="39" t="b">
        <v>0</v>
      </c>
      <c r="H40" s="39" t="s">
        <v>246</v>
      </c>
      <c r="I40" s="39" t="s">
        <v>246</v>
      </c>
      <c r="J40" s="39" t="b">
        <v>1</v>
      </c>
      <c r="K40" s="37">
        <v>1</v>
      </c>
      <c r="L40" s="37">
        <v>1</v>
      </c>
      <c r="M40" s="37">
        <v>0</v>
      </c>
      <c r="N40" s="37">
        <v>0</v>
      </c>
      <c r="O40" s="37"/>
      <c r="P40" s="37"/>
      <c r="Q40" s="37"/>
      <c r="R40" s="37"/>
      <c r="S40" s="37" t="s">
        <v>247</v>
      </c>
      <c r="T40" s="49"/>
      <c r="U40" t="str">
        <v/>
      </c>
      <c r="W40" t="str">
        <v/>
      </c>
      <c r="Y40" t="str">
        <v/>
      </c>
      <c r="Z40" s="48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  <c r="BD40" s="56"/>
      <c r="BE40" s="56"/>
      <c r="BF40" s="56"/>
      <c r="BG40" s="56"/>
      <c r="BH40" s="56"/>
      <c r="BI40" s="56"/>
      <c r="BJ40" s="56"/>
      <c r="BK40" s="56"/>
      <c r="BL40" s="56"/>
      <c r="BM40" s="56"/>
      <c r="BN40" s="56"/>
      <c r="BO40" s="56"/>
      <c r="BP40" s="56"/>
      <c r="BQ40" s="56"/>
      <c r="BR40" s="56"/>
      <c r="BS40" s="56"/>
      <c r="BT40" s="56"/>
      <c r="BU40" s="56"/>
      <c r="BV40" s="56"/>
      <c r="BW40" s="56"/>
      <c r="BX40" s="56"/>
      <c r="BY40" s="56"/>
    </row>
    <row r="41" spans="2:77" x14ac:dyDescent="0.45">
      <c r="B41" s="68" cm="1">
        <f t="array" ref="B41">filesize(Folder&amp;Tests[[#This Row],[FileName]])</f>
        <v>50</v>
      </c>
      <c r="C41" s="62">
        <v>34</v>
      </c>
      <c r="D41" s="38" t="s">
        <v>320</v>
      </c>
      <c r="E41" s="37" t="b">
        <v>1</v>
      </c>
      <c r="F41" s="39" t="s">
        <v>246</v>
      </c>
      <c r="G41" s="39" t="b">
        <v>0</v>
      </c>
      <c r="H41" s="39" t="s">
        <v>246</v>
      </c>
      <c r="I41" s="39" t="s">
        <v>246</v>
      </c>
      <c r="J41" s="39" t="b">
        <v>1</v>
      </c>
      <c r="K41" s="37">
        <v>1</v>
      </c>
      <c r="L41" s="37">
        <v>1</v>
      </c>
      <c r="M41" s="37">
        <v>0</v>
      </c>
      <c r="N41" s="37">
        <v>0</v>
      </c>
      <c r="O41" s="37"/>
      <c r="P41" s="37"/>
      <c r="Q41" s="37"/>
      <c r="R41" s="37"/>
      <c r="S41" s="37" t="s">
        <v>247</v>
      </c>
      <c r="T41" s="46" t="s">
        <v>578</v>
      </c>
      <c r="U41" t="str">
        <v/>
      </c>
      <c r="W41" t="str">
        <v/>
      </c>
      <c r="Y41" t="str">
        <v/>
      </c>
      <c r="Z41" s="48"/>
      <c r="AB41" s="57"/>
      <c r="AC41" s="57"/>
      <c r="AD41" s="57"/>
      <c r="AE41" s="57"/>
      <c r="AF41" s="57"/>
      <c r="AG41" s="57"/>
      <c r="AH41" s="57"/>
      <c r="AI41" s="57"/>
      <c r="AJ41" s="57"/>
      <c r="AK41" s="57"/>
      <c r="AL41" s="57"/>
      <c r="AM41" s="57"/>
      <c r="AN41" s="57"/>
      <c r="AO41" s="57"/>
      <c r="AP41" s="57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  <c r="BD41" s="56"/>
      <c r="BE41" s="56"/>
      <c r="BF41" s="56"/>
      <c r="BG41" s="56"/>
      <c r="BH41" s="56"/>
      <c r="BI41" s="56"/>
      <c r="BJ41" s="56"/>
      <c r="BK41" s="56"/>
      <c r="BL41" s="56"/>
      <c r="BM41" s="56"/>
      <c r="BN41" s="56"/>
      <c r="BO41" s="56"/>
      <c r="BP41" s="56"/>
      <c r="BQ41" s="56"/>
      <c r="BR41" s="56"/>
      <c r="BS41" s="56"/>
      <c r="BT41" s="56"/>
      <c r="BU41" s="56"/>
      <c r="BV41" s="56"/>
      <c r="BW41" s="56"/>
      <c r="BX41" s="56"/>
      <c r="BY41" s="56"/>
    </row>
    <row r="42" spans="2:77" x14ac:dyDescent="0.45">
      <c r="B42" s="68" cm="1">
        <f t="array" ref="B42">filesize(Folder&amp;Tests[[#This Row],[FileName]])</f>
        <v>51</v>
      </c>
      <c r="C42" s="47">
        <v>35</v>
      </c>
      <c r="D42" s="38" t="s">
        <v>321</v>
      </c>
      <c r="E42" s="37" t="b">
        <v>1</v>
      </c>
      <c r="F42" s="39" t="s">
        <v>246</v>
      </c>
      <c r="G42" s="39" t="b">
        <v>0</v>
      </c>
      <c r="H42" s="39" t="s">
        <v>246</v>
      </c>
      <c r="I42" s="39" t="s">
        <v>246</v>
      </c>
      <c r="J42" s="39" t="b">
        <v>1</v>
      </c>
      <c r="K42" s="37">
        <v>1</v>
      </c>
      <c r="L42" s="37">
        <v>1</v>
      </c>
      <c r="M42" s="37">
        <v>0</v>
      </c>
      <c r="N42" s="37">
        <v>0</v>
      </c>
      <c r="O42" s="37"/>
      <c r="P42" s="37"/>
      <c r="Q42" s="37" t="s">
        <v>496</v>
      </c>
      <c r="R42" s="37"/>
      <c r="S42" s="37" t="s">
        <v>247</v>
      </c>
      <c r="T42" s="49"/>
      <c r="U42" t="str">
        <v/>
      </c>
      <c r="W42" t="str">
        <v/>
      </c>
      <c r="Y42" t="str">
        <v/>
      </c>
      <c r="Z42" s="48"/>
      <c r="AB42" s="57"/>
      <c r="AC42" s="57"/>
      <c r="AD42" s="57"/>
      <c r="AE42" s="57"/>
      <c r="AF42" s="57"/>
      <c r="AG42" s="57"/>
      <c r="AH42" s="57"/>
      <c r="AI42" s="57"/>
      <c r="AJ42" s="57"/>
      <c r="AK42" s="57"/>
      <c r="AL42" s="57"/>
      <c r="AM42" s="57"/>
      <c r="AN42" s="57"/>
      <c r="AO42" s="57"/>
      <c r="AP42" s="57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  <c r="BD42" s="56"/>
      <c r="BE42" s="56"/>
      <c r="BF42" s="56"/>
      <c r="BG42" s="56"/>
      <c r="BH42" s="56"/>
      <c r="BI42" s="56"/>
      <c r="BJ42" s="56"/>
      <c r="BK42" s="56"/>
      <c r="BL42" s="56"/>
      <c r="BM42" s="56"/>
      <c r="BN42" s="56"/>
      <c r="BO42" s="56"/>
      <c r="BP42" s="56"/>
      <c r="BQ42" s="56"/>
      <c r="BR42" s="56"/>
      <c r="BS42" s="56"/>
      <c r="BT42" s="56"/>
      <c r="BU42" s="56"/>
      <c r="BV42" s="56"/>
      <c r="BW42" s="56"/>
      <c r="BX42" s="56"/>
      <c r="BY42" s="56"/>
    </row>
    <row r="43" spans="2:77" x14ac:dyDescent="0.45">
      <c r="B43" s="68" cm="1">
        <f t="array" ref="B43">filesize(Folder&amp;Tests[[#This Row],[FileName]])</f>
        <v>52</v>
      </c>
      <c r="C43" s="47">
        <v>36</v>
      </c>
      <c r="D43" s="38" t="s">
        <v>322</v>
      </c>
      <c r="E43" s="37" t="s">
        <v>399</v>
      </c>
      <c r="F43" s="39" t="s">
        <v>246</v>
      </c>
      <c r="G43" s="39" t="b">
        <v>0</v>
      </c>
      <c r="H43" s="39" t="s">
        <v>246</v>
      </c>
      <c r="I43" s="39" t="s">
        <v>246</v>
      </c>
      <c r="J43" s="39" t="b">
        <v>1</v>
      </c>
      <c r="K43" s="37">
        <v>1</v>
      </c>
      <c r="L43" s="37">
        <v>1</v>
      </c>
      <c r="M43" s="37">
        <v>0</v>
      </c>
      <c r="N43" s="37">
        <v>0</v>
      </c>
      <c r="O43" s="37"/>
      <c r="P43" s="37"/>
      <c r="Q43" s="37"/>
      <c r="R43" s="37"/>
      <c r="S43" s="37" t="s">
        <v>247</v>
      </c>
      <c r="T43" s="50"/>
      <c r="U43" t="str">
        <v/>
      </c>
      <c r="W43" t="str">
        <v/>
      </c>
      <c r="Y43" t="str">
        <v/>
      </c>
      <c r="Z43" s="48"/>
      <c r="AB43" s="57"/>
      <c r="AC43" s="57"/>
      <c r="AD43" s="57"/>
      <c r="AE43" s="57"/>
      <c r="AF43" s="57"/>
      <c r="AG43" s="57"/>
      <c r="AH43" s="57"/>
      <c r="AI43" s="57"/>
      <c r="AJ43" s="57"/>
      <c r="AK43" s="57"/>
      <c r="AL43" s="57"/>
      <c r="AM43" s="57"/>
      <c r="AN43" s="57"/>
      <c r="AO43" s="57"/>
      <c r="AP43" s="57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  <c r="BD43" s="56"/>
      <c r="BE43" s="56"/>
      <c r="BF43" s="56"/>
      <c r="BG43" s="56"/>
      <c r="BH43" s="56"/>
      <c r="BI43" s="56"/>
      <c r="BJ43" s="56"/>
      <c r="BK43" s="56"/>
      <c r="BL43" s="56"/>
      <c r="BM43" s="56"/>
      <c r="BN43" s="56"/>
      <c r="BO43" s="56"/>
      <c r="BP43" s="56"/>
      <c r="BQ43" s="56"/>
      <c r="BR43" s="56"/>
      <c r="BS43" s="56"/>
      <c r="BT43" s="56"/>
      <c r="BU43" s="56"/>
      <c r="BV43" s="56"/>
      <c r="BW43" s="56"/>
      <c r="BX43" s="56"/>
      <c r="BY43" s="56"/>
    </row>
    <row r="44" spans="2:77" x14ac:dyDescent="0.45">
      <c r="B44" s="68" cm="1">
        <f t="array" ref="B44">filesize(Folder&amp;Tests[[#This Row],[FileName]])</f>
        <v>53</v>
      </c>
      <c r="C44" s="47">
        <v>37</v>
      </c>
      <c r="D44" s="38" t="s">
        <v>323</v>
      </c>
      <c r="E44" s="37" t="b">
        <v>1</v>
      </c>
      <c r="F44" s="39" t="s">
        <v>246</v>
      </c>
      <c r="G44" s="39" t="b">
        <v>0</v>
      </c>
      <c r="H44" s="39" t="s">
        <v>246</v>
      </c>
      <c r="I44" s="39" t="s">
        <v>246</v>
      </c>
      <c r="J44" s="39" t="b">
        <v>1</v>
      </c>
      <c r="K44" s="37">
        <v>1</v>
      </c>
      <c r="L44" s="37">
        <v>1</v>
      </c>
      <c r="M44" s="37">
        <v>0</v>
      </c>
      <c r="N44" s="37">
        <v>0</v>
      </c>
      <c r="O44" s="37"/>
      <c r="P44" s="37"/>
      <c r="Q44" s="37"/>
      <c r="R44" s="37"/>
      <c r="S44" s="37" t="s">
        <v>247</v>
      </c>
      <c r="T44" s="46" t="s">
        <v>386</v>
      </c>
      <c r="U44" t="str">
        <v/>
      </c>
      <c r="W44" t="str">
        <v/>
      </c>
      <c r="Y44" t="str">
        <v/>
      </c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  <c r="BD44" s="56"/>
      <c r="BE44" s="56"/>
      <c r="BF44" s="56"/>
      <c r="BG44" s="56"/>
      <c r="BH44" s="56"/>
      <c r="BI44" s="56"/>
      <c r="BJ44" s="56"/>
      <c r="BK44" s="56"/>
      <c r="BL44" s="56"/>
      <c r="BM44" s="56"/>
      <c r="BN44" s="56"/>
      <c r="BO44" s="56"/>
      <c r="BP44" s="56"/>
      <c r="BQ44" s="56"/>
      <c r="BR44" s="56"/>
      <c r="BS44" s="56"/>
      <c r="BT44" s="56"/>
      <c r="BU44" s="56"/>
      <c r="BV44" s="56"/>
      <c r="BW44" s="56"/>
      <c r="BX44" s="56"/>
      <c r="BY44" s="56"/>
    </row>
    <row r="45" spans="2:77" x14ac:dyDescent="0.45">
      <c r="B45" s="68" cm="1">
        <f t="array" ref="B45">filesize(Folder&amp;Tests[[#This Row],[FileName]])</f>
        <v>53</v>
      </c>
      <c r="C45" s="47">
        <v>38</v>
      </c>
      <c r="D45" s="38" t="s">
        <v>324</v>
      </c>
      <c r="E45" s="37" t="b">
        <v>1</v>
      </c>
      <c r="F45" s="39" t="s">
        <v>246</v>
      </c>
      <c r="G45" s="39" t="b">
        <v>0</v>
      </c>
      <c r="H45" s="39" t="s">
        <v>246</v>
      </c>
      <c r="I45" s="39" t="s">
        <v>246</v>
      </c>
      <c r="J45" s="39" t="b">
        <v>1</v>
      </c>
      <c r="K45" s="37">
        <v>1</v>
      </c>
      <c r="L45" s="37">
        <v>1</v>
      </c>
      <c r="M45" s="37">
        <v>0</v>
      </c>
      <c r="N45" s="37">
        <v>0</v>
      </c>
      <c r="O45" s="37"/>
      <c r="P45" s="37"/>
      <c r="Q45" s="37"/>
      <c r="R45" s="37"/>
      <c r="S45" s="37" t="s">
        <v>247</v>
      </c>
      <c r="T45" s="46"/>
      <c r="U45" t="str">
        <v/>
      </c>
      <c r="W45" t="str">
        <v/>
      </c>
      <c r="Y45" t="str">
        <v/>
      </c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  <c r="BD45" s="56"/>
      <c r="BE45" s="56"/>
      <c r="BF45" s="56"/>
      <c r="BG45" s="56"/>
      <c r="BH45" s="56"/>
      <c r="BI45" s="56"/>
      <c r="BJ45" s="56"/>
      <c r="BK45" s="56"/>
      <c r="BL45" s="56"/>
      <c r="BM45" s="56"/>
      <c r="BN45" s="56"/>
      <c r="BO45" s="56"/>
      <c r="BP45" s="56"/>
      <c r="BQ45" s="56"/>
      <c r="BR45" s="56"/>
      <c r="BS45" s="56"/>
      <c r="BT45" s="56"/>
      <c r="BU45" s="56"/>
      <c r="BV45" s="56"/>
      <c r="BW45" s="56"/>
      <c r="BX45" s="56"/>
      <c r="BY45" s="56"/>
    </row>
    <row r="46" spans="2:77" x14ac:dyDescent="0.45">
      <c r="B46" s="68" cm="1">
        <f t="array" ref="B46">filesize(Folder&amp;Tests[[#This Row],[FileName]])</f>
        <v>57</v>
      </c>
      <c r="C46" s="47">
        <v>39</v>
      </c>
      <c r="D46" s="38" t="s">
        <v>325</v>
      </c>
      <c r="E46" s="37" t="b">
        <v>1</v>
      </c>
      <c r="F46" s="39" t="s">
        <v>246</v>
      </c>
      <c r="G46" s="39" t="b">
        <v>0</v>
      </c>
      <c r="H46" s="39" t="s">
        <v>246</v>
      </c>
      <c r="I46" s="39" t="s">
        <v>246</v>
      </c>
      <c r="J46" s="39" t="b">
        <v>1</v>
      </c>
      <c r="K46" s="37">
        <v>1</v>
      </c>
      <c r="L46" s="37">
        <v>1</v>
      </c>
      <c r="M46" s="37">
        <v>0</v>
      </c>
      <c r="N46" s="37">
        <v>0</v>
      </c>
      <c r="O46" s="37"/>
      <c r="P46" s="37"/>
      <c r="Q46" s="37"/>
      <c r="R46" s="37"/>
      <c r="S46" s="37" t="s">
        <v>247</v>
      </c>
      <c r="T46" s="49"/>
      <c r="U46" t="str">
        <v/>
      </c>
      <c r="W46" t="str">
        <v/>
      </c>
      <c r="Y46" t="str">
        <v/>
      </c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  <c r="BD46" s="56"/>
      <c r="BE46" s="56"/>
      <c r="BF46" s="56"/>
      <c r="BG46" s="56"/>
      <c r="BH46" s="56"/>
      <c r="BI46" s="56"/>
      <c r="BJ46" s="56"/>
      <c r="BK46" s="56"/>
      <c r="BL46" s="56"/>
      <c r="BM46" s="56"/>
      <c r="BN46" s="56"/>
      <c r="BO46" s="56"/>
      <c r="BP46" s="56"/>
      <c r="BQ46" s="56"/>
      <c r="BR46" s="56"/>
      <c r="BS46" s="56"/>
      <c r="BT46" s="56"/>
      <c r="BU46" s="56"/>
      <c r="BV46" s="56"/>
      <c r="BW46" s="56"/>
      <c r="BX46" s="56"/>
      <c r="BY46" s="56"/>
    </row>
    <row r="47" spans="2:77" x14ac:dyDescent="0.45">
      <c r="B47" s="68" cm="1">
        <f t="array" ref="B47">filesize(Folder&amp;Tests[[#This Row],[FileName]])</f>
        <v>59</v>
      </c>
      <c r="C47" s="47">
        <v>40</v>
      </c>
      <c r="D47" s="38" t="s">
        <v>327</v>
      </c>
      <c r="E47" s="37" t="b">
        <v>1</v>
      </c>
      <c r="F47" s="39" t="s">
        <v>246</v>
      </c>
      <c r="G47" s="39" t="b">
        <v>0</v>
      </c>
      <c r="H47" s="39" t="s">
        <v>246</v>
      </c>
      <c r="I47" s="39" t="s">
        <v>246</v>
      </c>
      <c r="J47" s="39" t="b">
        <v>1</v>
      </c>
      <c r="K47" s="37">
        <v>1</v>
      </c>
      <c r="L47" s="37">
        <v>1</v>
      </c>
      <c r="M47" s="37">
        <v>0</v>
      </c>
      <c r="N47" s="37">
        <v>0</v>
      </c>
      <c r="O47" s="37"/>
      <c r="P47" s="37"/>
      <c r="Q47" s="61" t="s">
        <v>499</v>
      </c>
      <c r="R47" s="37"/>
      <c r="S47" s="37" t="s">
        <v>249</v>
      </c>
      <c r="T47" s="49"/>
      <c r="U47" t="str">
        <v/>
      </c>
      <c r="W47" t="str">
        <v/>
      </c>
      <c r="Y47" t="str">
        <v/>
      </c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6"/>
      <c r="BA47" s="56"/>
      <c r="BB47" s="56"/>
      <c r="BC47" s="56"/>
      <c r="BD47" s="56"/>
      <c r="BE47" s="56"/>
      <c r="BF47" s="56"/>
      <c r="BG47" s="56"/>
      <c r="BH47" s="56"/>
      <c r="BI47" s="56"/>
      <c r="BJ47" s="56"/>
      <c r="BK47" s="56"/>
      <c r="BL47" s="56"/>
      <c r="BM47" s="56"/>
      <c r="BN47" s="56"/>
      <c r="BO47" s="56"/>
      <c r="BP47" s="56"/>
      <c r="BQ47" s="56"/>
      <c r="BR47" s="56"/>
      <c r="BS47" s="56"/>
      <c r="BT47" s="56"/>
      <c r="BU47" s="56"/>
      <c r="BV47" s="56"/>
      <c r="BW47" s="56"/>
      <c r="BX47" s="56"/>
      <c r="BY47" s="56"/>
    </row>
    <row r="48" spans="2:77" x14ac:dyDescent="0.45">
      <c r="B48" s="68" cm="1">
        <f t="array" ref="B48">filesize(Folder&amp;Tests[[#This Row],[FileName]])</f>
        <v>59</v>
      </c>
      <c r="C48" s="47">
        <v>41</v>
      </c>
      <c r="D48" s="38" t="s">
        <v>328</v>
      </c>
      <c r="E48" s="37" t="b">
        <v>1</v>
      </c>
      <c r="F48" s="39" t="s">
        <v>246</v>
      </c>
      <c r="G48" s="39" t="b">
        <v>0</v>
      </c>
      <c r="H48" s="39" t="s">
        <v>482</v>
      </c>
      <c r="I48" s="39" t="s">
        <v>246</v>
      </c>
      <c r="J48" s="39" t="b">
        <v>1</v>
      </c>
      <c r="K48" s="37">
        <v>1</v>
      </c>
      <c r="L48" s="37">
        <v>1</v>
      </c>
      <c r="M48" s="37">
        <v>0</v>
      </c>
      <c r="N48" s="37">
        <v>0</v>
      </c>
      <c r="O48" s="37"/>
      <c r="P48" s="37"/>
      <c r="Q48" s="37"/>
      <c r="R48" s="37"/>
      <c r="S48" s="37" t="s">
        <v>247</v>
      </c>
      <c r="T48" s="49" t="s">
        <v>257</v>
      </c>
      <c r="U48" t="str">
        <v/>
      </c>
      <c r="W48" t="str">
        <v/>
      </c>
      <c r="Y48" t="str">
        <v/>
      </c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6"/>
      <c r="BD48" s="56"/>
      <c r="BE48" s="56"/>
      <c r="BF48" s="56"/>
      <c r="BG48" s="56"/>
      <c r="BH48" s="56"/>
      <c r="BI48" s="56"/>
      <c r="BJ48" s="56"/>
      <c r="BK48" s="56"/>
      <c r="BL48" s="56"/>
      <c r="BM48" s="56"/>
      <c r="BN48" s="56"/>
      <c r="BO48" s="56"/>
      <c r="BP48" s="56"/>
      <c r="BQ48" s="56"/>
      <c r="BR48" s="56"/>
      <c r="BS48" s="56"/>
      <c r="BT48" s="56"/>
      <c r="BU48" s="56"/>
      <c r="BV48" s="56"/>
      <c r="BW48" s="56"/>
      <c r="BX48" s="56"/>
      <c r="BY48" s="56"/>
    </row>
    <row r="49" spans="2:77" x14ac:dyDescent="0.45">
      <c r="B49" s="68" cm="1">
        <f t="array" ref="B49">filesize(Folder&amp;Tests[[#This Row],[FileName]])</f>
        <v>61</v>
      </c>
      <c r="C49" s="47">
        <v>42</v>
      </c>
      <c r="D49" s="38" t="s">
        <v>329</v>
      </c>
      <c r="E49" s="37" t="b">
        <v>1</v>
      </c>
      <c r="F49" s="39" t="s">
        <v>246</v>
      </c>
      <c r="G49" s="39" t="b">
        <v>0</v>
      </c>
      <c r="H49" s="39" t="s">
        <v>246</v>
      </c>
      <c r="I49" s="39" t="s">
        <v>246</v>
      </c>
      <c r="J49" s="39" t="b">
        <v>1</v>
      </c>
      <c r="K49" s="37">
        <v>1</v>
      </c>
      <c r="L49" s="37">
        <v>1</v>
      </c>
      <c r="M49" s="37">
        <v>0</v>
      </c>
      <c r="N49" s="37">
        <v>0</v>
      </c>
      <c r="O49" s="37"/>
      <c r="P49" s="37"/>
      <c r="Q49" s="37" t="s">
        <v>500</v>
      </c>
      <c r="R49" s="37"/>
      <c r="S49" s="37" t="s">
        <v>247</v>
      </c>
      <c r="T49" s="49"/>
      <c r="U49" t="str">
        <v/>
      </c>
      <c r="W49" t="str">
        <v/>
      </c>
      <c r="Y49" t="str">
        <v/>
      </c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A49" s="56"/>
      <c r="BB49" s="56"/>
      <c r="BC49" s="56"/>
      <c r="BD49" s="56"/>
      <c r="BE49" s="56"/>
      <c r="BF49" s="56"/>
      <c r="BG49" s="56"/>
      <c r="BH49" s="56"/>
      <c r="BI49" s="56"/>
      <c r="BJ49" s="56"/>
      <c r="BK49" s="56"/>
      <c r="BL49" s="56"/>
      <c r="BM49" s="56"/>
      <c r="BN49" s="56"/>
      <c r="BO49" s="56"/>
      <c r="BP49" s="56"/>
      <c r="BQ49" s="56"/>
      <c r="BR49" s="56"/>
      <c r="BS49" s="56"/>
      <c r="BT49" s="56"/>
      <c r="BU49" s="56"/>
      <c r="BV49" s="56"/>
      <c r="BW49" s="56"/>
      <c r="BX49" s="56"/>
      <c r="BY49" s="56"/>
    </row>
    <row r="50" spans="2:77" x14ac:dyDescent="0.45">
      <c r="B50" s="68" cm="1">
        <f t="array" ref="B50">filesize(Folder&amp;Tests[[#This Row],[FileName]])</f>
        <v>65</v>
      </c>
      <c r="C50" s="47">
        <v>43</v>
      </c>
      <c r="D50" s="38" t="s">
        <v>333</v>
      </c>
      <c r="E50" s="37" t="b">
        <v>1</v>
      </c>
      <c r="F50" s="39" t="s">
        <v>261</v>
      </c>
      <c r="G50" s="39" t="b">
        <v>0</v>
      </c>
      <c r="H50" s="39" t="s">
        <v>246</v>
      </c>
      <c r="I50" s="39" t="s">
        <v>246</v>
      </c>
      <c r="J50" s="39" t="b">
        <v>1</v>
      </c>
      <c r="K50" s="37">
        <v>1</v>
      </c>
      <c r="L50" s="37">
        <v>1</v>
      </c>
      <c r="M50" s="37">
        <v>0</v>
      </c>
      <c r="N50" s="37">
        <v>0</v>
      </c>
      <c r="O50" s="37"/>
      <c r="P50" s="37"/>
      <c r="Q50" s="37"/>
      <c r="R50" s="37"/>
      <c r="S50" s="37" t="s">
        <v>247</v>
      </c>
      <c r="T50" s="49"/>
      <c r="U50" t="str">
        <v/>
      </c>
      <c r="W50" t="str">
        <v/>
      </c>
      <c r="Y50" t="str">
        <v/>
      </c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A50" s="56"/>
      <c r="BB50" s="56"/>
      <c r="BC50" s="56"/>
      <c r="BD50" s="56"/>
      <c r="BE50" s="56"/>
      <c r="BF50" s="56"/>
      <c r="BG50" s="56"/>
      <c r="BH50" s="56"/>
      <c r="BI50" s="56"/>
      <c r="BJ50" s="56"/>
      <c r="BK50" s="56"/>
      <c r="BL50" s="56"/>
      <c r="BM50" s="56"/>
      <c r="BN50" s="56"/>
      <c r="BO50" s="56"/>
      <c r="BP50" s="56"/>
      <c r="BQ50" s="56"/>
      <c r="BR50" s="56"/>
      <c r="BS50" s="56"/>
      <c r="BT50" s="56"/>
      <c r="BU50" s="56"/>
      <c r="BV50" s="56"/>
      <c r="BW50" s="56"/>
      <c r="BX50" s="56"/>
      <c r="BY50" s="56"/>
    </row>
    <row r="51" spans="2:77" x14ac:dyDescent="0.45">
      <c r="B51" s="68" cm="1">
        <f t="array" ref="B51">filesize(Folder&amp;Tests[[#This Row],[FileName]])</f>
        <v>66</v>
      </c>
      <c r="C51" s="62">
        <v>44</v>
      </c>
      <c r="D51" s="38" t="s">
        <v>334</v>
      </c>
      <c r="E51" s="37" t="b">
        <v>1</v>
      </c>
      <c r="F51" s="39" t="s">
        <v>246</v>
      </c>
      <c r="G51" s="39" t="b">
        <v>0</v>
      </c>
      <c r="H51" s="39" t="s">
        <v>246</v>
      </c>
      <c r="I51" s="39" t="s">
        <v>246</v>
      </c>
      <c r="J51" s="39" t="b">
        <v>1</v>
      </c>
      <c r="K51" s="37">
        <v>1</v>
      </c>
      <c r="L51" s="37">
        <v>1</v>
      </c>
      <c r="M51" s="37">
        <v>0</v>
      </c>
      <c r="N51" s="37">
        <v>0</v>
      </c>
      <c r="O51" s="37"/>
      <c r="P51" s="37"/>
      <c r="Q51" s="37"/>
      <c r="R51" s="37"/>
      <c r="S51" s="37" t="s">
        <v>247</v>
      </c>
      <c r="T51" s="49"/>
      <c r="U51" t="str">
        <v/>
      </c>
      <c r="W51" t="str">
        <v/>
      </c>
      <c r="Y51" t="str">
        <v/>
      </c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56"/>
      <c r="BB51" s="56"/>
      <c r="BC51" s="56"/>
      <c r="BD51" s="56"/>
      <c r="BE51" s="56"/>
      <c r="BF51" s="56"/>
      <c r="BG51" s="56"/>
      <c r="BH51" s="56"/>
      <c r="BI51" s="56"/>
      <c r="BJ51" s="56"/>
      <c r="BK51" s="56"/>
      <c r="BL51" s="56"/>
      <c r="BM51" s="56"/>
      <c r="BN51" s="56"/>
      <c r="BO51" s="56"/>
      <c r="BP51" s="56"/>
      <c r="BQ51" s="56"/>
      <c r="BR51" s="56"/>
      <c r="BS51" s="56"/>
      <c r="BT51" s="56"/>
      <c r="BU51" s="56"/>
      <c r="BV51" s="56"/>
      <c r="BW51" s="56"/>
      <c r="BX51" s="56"/>
      <c r="BY51" s="56"/>
    </row>
    <row r="52" spans="2:77" x14ac:dyDescent="0.45">
      <c r="B52" s="68" cm="1">
        <f t="array" ref="B52">filesize(Folder&amp;Tests[[#This Row],[FileName]])</f>
        <v>67</v>
      </c>
      <c r="C52" s="47">
        <v>45</v>
      </c>
      <c r="D52" s="38" t="s">
        <v>335</v>
      </c>
      <c r="E52" s="37" t="b">
        <v>1</v>
      </c>
      <c r="F52" s="39" t="s">
        <v>246</v>
      </c>
      <c r="G52" s="39" t="b">
        <v>0</v>
      </c>
      <c r="H52" s="39" t="s">
        <v>246</v>
      </c>
      <c r="I52" s="39" t="s">
        <v>246</v>
      </c>
      <c r="J52" s="39" t="b">
        <v>1</v>
      </c>
      <c r="K52" s="37">
        <v>1</v>
      </c>
      <c r="L52" s="37">
        <v>1</v>
      </c>
      <c r="M52" s="37">
        <v>0</v>
      </c>
      <c r="N52" s="37">
        <v>0</v>
      </c>
      <c r="O52" s="37"/>
      <c r="P52" s="37"/>
      <c r="Q52" s="37"/>
      <c r="R52" s="37"/>
      <c r="S52" s="37" t="s">
        <v>247</v>
      </c>
      <c r="T52" s="49"/>
      <c r="U52" t="str">
        <v/>
      </c>
      <c r="W52" t="str">
        <v/>
      </c>
      <c r="Y52" t="str">
        <v/>
      </c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A52" s="56"/>
      <c r="BB52" s="56"/>
      <c r="BC52" s="56"/>
      <c r="BD52" s="56"/>
      <c r="BE52" s="56"/>
      <c r="BF52" s="56"/>
      <c r="BG52" s="56"/>
      <c r="BH52" s="56"/>
      <c r="BI52" s="56"/>
      <c r="BJ52" s="56"/>
      <c r="BK52" s="56"/>
      <c r="BL52" s="56"/>
      <c r="BM52" s="56"/>
      <c r="BN52" s="56"/>
      <c r="BO52" s="56"/>
      <c r="BP52" s="56"/>
      <c r="BQ52" s="56"/>
      <c r="BR52" s="56"/>
      <c r="BS52" s="56"/>
      <c r="BT52" s="56"/>
      <c r="BU52" s="56"/>
      <c r="BV52" s="56"/>
      <c r="BW52" s="56"/>
      <c r="BX52" s="56"/>
      <c r="BY52" s="56"/>
    </row>
    <row r="53" spans="2:77" x14ac:dyDescent="0.45">
      <c r="B53" s="68" cm="1">
        <f t="array" ref="B53">filesize(Folder&amp;Tests[[#This Row],[FileName]])</f>
        <v>84</v>
      </c>
      <c r="C53" s="47">
        <v>46</v>
      </c>
      <c r="D53" s="38" t="s">
        <v>338</v>
      </c>
      <c r="E53" s="37" t="b">
        <v>1</v>
      </c>
      <c r="F53" s="39" t="s">
        <v>246</v>
      </c>
      <c r="G53" s="39" t="b">
        <v>0</v>
      </c>
      <c r="H53" s="39" t="s">
        <v>246</v>
      </c>
      <c r="I53" s="39" t="s">
        <v>415</v>
      </c>
      <c r="J53" s="39" t="b">
        <v>1</v>
      </c>
      <c r="K53" s="37">
        <v>1</v>
      </c>
      <c r="L53" s="37">
        <v>1</v>
      </c>
      <c r="M53" s="37">
        <v>0</v>
      </c>
      <c r="N53" s="37">
        <v>0</v>
      </c>
      <c r="O53" s="37"/>
      <c r="P53" s="37"/>
      <c r="Q53" s="37"/>
      <c r="R53" s="37"/>
      <c r="S53" s="37" t="s">
        <v>247</v>
      </c>
      <c r="T53" s="49"/>
      <c r="U53" t="str">
        <v/>
      </c>
      <c r="W53" t="str">
        <v/>
      </c>
      <c r="Y53" t="str">
        <v/>
      </c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  <c r="BD53" s="56"/>
      <c r="BE53" s="56"/>
      <c r="BF53" s="56"/>
      <c r="BG53" s="56"/>
      <c r="BH53" s="56"/>
      <c r="BI53" s="56"/>
      <c r="BJ53" s="56"/>
      <c r="BK53" s="56"/>
      <c r="BL53" s="56"/>
      <c r="BM53" s="56"/>
      <c r="BN53" s="56"/>
      <c r="BO53" s="56"/>
      <c r="BP53" s="56"/>
      <c r="BQ53" s="56"/>
      <c r="BR53" s="56"/>
      <c r="BS53" s="56"/>
      <c r="BT53" s="56"/>
      <c r="BU53" s="56"/>
      <c r="BV53" s="56"/>
      <c r="BW53" s="56"/>
      <c r="BX53" s="56"/>
      <c r="BY53" s="56"/>
    </row>
    <row r="54" spans="2:77" x14ac:dyDescent="0.45">
      <c r="B54" s="68" cm="1">
        <f t="array" ref="B54">filesize(Folder&amp;Tests[[#This Row],[FileName]])</f>
        <v>91</v>
      </c>
      <c r="C54" s="47">
        <v>47</v>
      </c>
      <c r="D54" s="38" t="s">
        <v>339</v>
      </c>
      <c r="E54" s="37" t="b">
        <v>1</v>
      </c>
      <c r="F54" s="39" t="s">
        <v>246</v>
      </c>
      <c r="G54" s="39" t="b">
        <v>0</v>
      </c>
      <c r="H54" s="39" t="s">
        <v>246</v>
      </c>
      <c r="I54" s="39" t="s">
        <v>246</v>
      </c>
      <c r="J54" s="39" t="b">
        <v>1</v>
      </c>
      <c r="K54" s="37">
        <v>1</v>
      </c>
      <c r="L54" s="37">
        <v>1</v>
      </c>
      <c r="M54" s="37">
        <v>0</v>
      </c>
      <c r="N54" s="37">
        <v>0</v>
      </c>
      <c r="O54" s="37"/>
      <c r="P54" s="37"/>
      <c r="Q54" s="37"/>
      <c r="R54" s="37"/>
      <c r="S54" s="37" t="s">
        <v>247</v>
      </c>
      <c r="T54" s="49"/>
      <c r="U54" t="str">
        <v/>
      </c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  <c r="BD54" s="56"/>
      <c r="BE54" s="56"/>
      <c r="BF54" s="56"/>
      <c r="BG54" s="56"/>
      <c r="BH54" s="56"/>
      <c r="BI54" s="56"/>
      <c r="BJ54" s="56"/>
      <c r="BK54" s="56"/>
      <c r="BL54" s="56"/>
      <c r="BM54" s="56"/>
      <c r="BN54" s="56"/>
      <c r="BO54" s="56"/>
      <c r="BP54" s="56"/>
      <c r="BQ54" s="56"/>
      <c r="BR54" s="56"/>
      <c r="BS54" s="56"/>
      <c r="BT54" s="56"/>
      <c r="BU54" s="56"/>
      <c r="BV54" s="56"/>
      <c r="BW54" s="56"/>
      <c r="BX54" s="56"/>
      <c r="BY54" s="56"/>
    </row>
    <row r="55" spans="2:77" x14ac:dyDescent="0.45">
      <c r="B55" s="68" cm="1">
        <f t="array" ref="B55">filesize(Folder&amp;Tests[[#This Row],[FileName]])</f>
        <v>96</v>
      </c>
      <c r="C55" s="47">
        <v>48</v>
      </c>
      <c r="D55" s="38" t="s">
        <v>340</v>
      </c>
      <c r="E55" s="37" t="b">
        <v>1</v>
      </c>
      <c r="F55" s="39" t="s">
        <v>246</v>
      </c>
      <c r="G55" s="39" t="b">
        <v>0</v>
      </c>
      <c r="H55" s="39" t="s">
        <v>246</v>
      </c>
      <c r="I55" s="39" t="s">
        <v>415</v>
      </c>
      <c r="J55" s="39" t="b">
        <v>1</v>
      </c>
      <c r="K55" s="37">
        <v>1</v>
      </c>
      <c r="L55" s="37">
        <v>1</v>
      </c>
      <c r="M55" s="37">
        <v>0</v>
      </c>
      <c r="N55" s="37">
        <v>0</v>
      </c>
      <c r="O55" s="37"/>
      <c r="P55" s="37"/>
      <c r="Q55" s="37"/>
      <c r="R55" s="37"/>
      <c r="S55" s="37" t="s">
        <v>247</v>
      </c>
      <c r="T55" s="46"/>
      <c r="U55" t="str">
        <v/>
      </c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  <c r="BD55" s="56"/>
      <c r="BE55" s="56"/>
      <c r="BF55" s="56"/>
      <c r="BG55" s="56"/>
      <c r="BH55" s="56"/>
      <c r="BI55" s="56"/>
      <c r="BJ55" s="56"/>
      <c r="BK55" s="56"/>
      <c r="BL55" s="56"/>
      <c r="BM55" s="56"/>
      <c r="BN55" s="56"/>
      <c r="BO55" s="56"/>
      <c r="BP55" s="56"/>
      <c r="BQ55" s="56"/>
      <c r="BR55" s="56"/>
      <c r="BS55" s="56"/>
      <c r="BT55" s="56"/>
      <c r="BU55" s="56"/>
      <c r="BV55" s="56"/>
      <c r="BW55" s="56"/>
      <c r="BX55" s="56"/>
      <c r="BY55" s="56"/>
    </row>
    <row r="56" spans="2:77" x14ac:dyDescent="0.45">
      <c r="B56" s="68" cm="1">
        <f t="array" ref="B56">filesize(Folder&amp;Tests[[#This Row],[FileName]])</f>
        <v>100</v>
      </c>
      <c r="C56" s="47">
        <v>49</v>
      </c>
      <c r="D56" s="38" t="s">
        <v>341</v>
      </c>
      <c r="E56" s="37" t="b">
        <v>1</v>
      </c>
      <c r="F56" s="39" t="s">
        <v>246</v>
      </c>
      <c r="G56" s="39" t="b">
        <v>0</v>
      </c>
      <c r="H56" s="39" t="s">
        <v>246</v>
      </c>
      <c r="I56" s="39" t="s">
        <v>246</v>
      </c>
      <c r="J56" s="39" t="b">
        <v>1</v>
      </c>
      <c r="K56" s="37">
        <v>1</v>
      </c>
      <c r="L56" s="37">
        <v>1</v>
      </c>
      <c r="M56" s="37">
        <v>0</v>
      </c>
      <c r="N56" s="37">
        <v>0</v>
      </c>
      <c r="O56" s="37"/>
      <c r="P56" s="37"/>
      <c r="Q56" s="37"/>
      <c r="R56" s="40" t="s">
        <v>467</v>
      </c>
      <c r="S56" s="37" t="s">
        <v>247</v>
      </c>
      <c r="T56" s="46" t="s">
        <v>263</v>
      </c>
      <c r="U56" t="str">
        <v/>
      </c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  <c r="BD56" s="56"/>
      <c r="BE56" s="56"/>
      <c r="BF56" s="56"/>
      <c r="BG56" s="56"/>
      <c r="BH56" s="56"/>
      <c r="BI56" s="56"/>
      <c r="BJ56" s="56"/>
      <c r="BK56" s="56"/>
      <c r="BL56" s="56"/>
      <c r="BM56" s="56"/>
      <c r="BN56" s="56"/>
      <c r="BO56" s="56"/>
      <c r="BP56" s="56"/>
      <c r="BQ56" s="56"/>
      <c r="BR56" s="56"/>
      <c r="BS56" s="56"/>
      <c r="BT56" s="56"/>
      <c r="BU56" s="56"/>
      <c r="BV56" s="56"/>
      <c r="BW56" s="56"/>
      <c r="BX56" s="56"/>
      <c r="BY56" s="56"/>
    </row>
    <row r="57" spans="2:77" x14ac:dyDescent="0.45">
      <c r="B57" s="68" cm="1">
        <f t="array" ref="B57">filesize(Folder&amp;Tests[[#This Row],[FileName]])</f>
        <v>100</v>
      </c>
      <c r="C57" s="47">
        <v>50</v>
      </c>
      <c r="D57" s="38" t="s">
        <v>343</v>
      </c>
      <c r="E57" s="37" t="b">
        <v>1</v>
      </c>
      <c r="F57" s="39" t="s">
        <v>246</v>
      </c>
      <c r="G57" s="39" t="b">
        <v>0</v>
      </c>
      <c r="H57" s="39" t="s">
        <v>246</v>
      </c>
      <c r="I57" s="39" t="s">
        <v>246</v>
      </c>
      <c r="J57" s="39" t="b">
        <v>1</v>
      </c>
      <c r="K57" s="37">
        <v>1</v>
      </c>
      <c r="L57" s="37">
        <v>1</v>
      </c>
      <c r="M57" s="37">
        <v>0</v>
      </c>
      <c r="N57" s="37">
        <v>0</v>
      </c>
      <c r="O57" s="37"/>
      <c r="P57" s="37"/>
      <c r="Q57" s="37"/>
      <c r="R57" s="40" t="s">
        <v>467</v>
      </c>
      <c r="S57" s="37" t="s">
        <v>247</v>
      </c>
      <c r="T57" s="46" t="s">
        <v>263</v>
      </c>
      <c r="U57" t="str">
        <v/>
      </c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  <c r="BD57" s="56"/>
      <c r="BE57" s="56"/>
      <c r="BF57" s="56"/>
      <c r="BG57" s="56"/>
      <c r="BH57" s="56"/>
      <c r="BI57" s="56"/>
      <c r="BJ57" s="56"/>
      <c r="BK57" s="56"/>
      <c r="BL57" s="56"/>
      <c r="BM57" s="56"/>
      <c r="BN57" s="56"/>
      <c r="BO57" s="56"/>
      <c r="BP57" s="56"/>
      <c r="BQ57" s="56"/>
      <c r="BR57" s="56"/>
      <c r="BS57" s="56"/>
      <c r="BT57" s="56"/>
      <c r="BU57" s="56"/>
      <c r="BV57" s="56"/>
      <c r="BW57" s="56"/>
      <c r="BX57" s="56"/>
      <c r="BY57" s="56"/>
    </row>
    <row r="58" spans="2:77" x14ac:dyDescent="0.45">
      <c r="B58" s="68" cm="1">
        <f t="array" ref="B58">filesize(Folder&amp;Tests[[#This Row],[FileName]])</f>
        <v>110</v>
      </c>
      <c r="C58" s="47">
        <v>51</v>
      </c>
      <c r="D58" s="38" t="s">
        <v>345</v>
      </c>
      <c r="E58" s="37" t="b">
        <v>1</v>
      </c>
      <c r="F58" s="39" t="s">
        <v>246</v>
      </c>
      <c r="G58" s="39" t="b">
        <v>0</v>
      </c>
      <c r="H58" s="39" t="s">
        <v>506</v>
      </c>
      <c r="I58" s="39" t="s">
        <v>246</v>
      </c>
      <c r="J58" s="39" t="b">
        <v>1</v>
      </c>
      <c r="K58" s="37">
        <v>1</v>
      </c>
      <c r="L58" s="37">
        <v>1</v>
      </c>
      <c r="M58" s="37">
        <v>0</v>
      </c>
      <c r="N58" s="37">
        <v>0</v>
      </c>
      <c r="O58" s="37"/>
      <c r="P58" s="37"/>
      <c r="Q58" s="37"/>
      <c r="R58" s="37"/>
      <c r="S58" s="37" t="s">
        <v>247</v>
      </c>
      <c r="T58" s="49"/>
      <c r="U58" t="str">
        <v/>
      </c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  <c r="BD58" s="56"/>
      <c r="BE58" s="56"/>
      <c r="BF58" s="56"/>
      <c r="BG58" s="56"/>
      <c r="BH58" s="56"/>
      <c r="BI58" s="56"/>
      <c r="BJ58" s="56"/>
      <c r="BK58" s="56"/>
      <c r="BL58" s="56"/>
      <c r="BM58" s="56"/>
      <c r="BN58" s="56"/>
      <c r="BO58" s="56"/>
      <c r="BP58" s="56"/>
      <c r="BQ58" s="56"/>
      <c r="BR58" s="56"/>
      <c r="BS58" s="56"/>
      <c r="BT58" s="56"/>
      <c r="BU58" s="56"/>
      <c r="BV58" s="56"/>
      <c r="BW58" s="56"/>
      <c r="BX58" s="56"/>
      <c r="BY58" s="56"/>
    </row>
    <row r="59" spans="2:77" x14ac:dyDescent="0.45">
      <c r="B59" s="68" cm="1">
        <f t="array" ref="B59">filesize(Folder&amp;Tests[[#This Row],[FileName]])</f>
        <v>115</v>
      </c>
      <c r="C59" s="47">
        <v>52</v>
      </c>
      <c r="D59" s="38" t="s">
        <v>346</v>
      </c>
      <c r="E59" s="37" t="b">
        <v>1</v>
      </c>
      <c r="F59" s="39" t="s">
        <v>246</v>
      </c>
      <c r="G59" s="39" t="b">
        <v>0</v>
      </c>
      <c r="H59" s="39" t="s">
        <v>246</v>
      </c>
      <c r="I59" s="39" t="s">
        <v>415</v>
      </c>
      <c r="J59" s="39" t="b">
        <v>1</v>
      </c>
      <c r="K59" s="37">
        <v>1</v>
      </c>
      <c r="L59" s="37">
        <v>1</v>
      </c>
      <c r="M59" s="37">
        <v>0</v>
      </c>
      <c r="N59" s="37">
        <v>0</v>
      </c>
      <c r="O59" s="37"/>
      <c r="P59" s="37"/>
      <c r="Q59" s="37"/>
      <c r="R59" s="37"/>
      <c r="S59" s="37" t="s">
        <v>247</v>
      </c>
      <c r="T59" s="49"/>
      <c r="U59" t="str">
        <v/>
      </c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  <c r="BD59" s="56"/>
      <c r="BE59" s="56"/>
      <c r="BF59" s="56"/>
      <c r="BG59" s="56"/>
      <c r="BH59" s="56"/>
      <c r="BI59" s="56"/>
      <c r="BJ59" s="56"/>
      <c r="BK59" s="56"/>
      <c r="BL59" s="56"/>
      <c r="BM59" s="56"/>
      <c r="BN59" s="56"/>
      <c r="BO59" s="56"/>
      <c r="BP59" s="56"/>
      <c r="BQ59" s="56"/>
      <c r="BR59" s="56"/>
      <c r="BS59" s="56"/>
      <c r="BT59" s="56"/>
      <c r="BU59" s="56"/>
      <c r="BV59" s="56"/>
      <c r="BW59" s="56"/>
      <c r="BX59" s="56"/>
      <c r="BY59" s="56"/>
    </row>
    <row r="60" spans="2:77" x14ac:dyDescent="0.45">
      <c r="B60" s="68" cm="1">
        <f t="array" ref="B60">filesize(Folder&amp;Tests[[#This Row],[FileName]])</f>
        <v>382</v>
      </c>
      <c r="C60" s="62">
        <v>53</v>
      </c>
      <c r="D60" s="38" t="s">
        <v>348</v>
      </c>
      <c r="E60" s="37" t="b">
        <v>1</v>
      </c>
      <c r="F60" s="39" t="s">
        <v>246</v>
      </c>
      <c r="G60" s="39" t="b">
        <v>0</v>
      </c>
      <c r="H60" s="39" t="s">
        <v>254</v>
      </c>
      <c r="I60" s="39" t="s">
        <v>246</v>
      </c>
      <c r="J60" s="39" t="b">
        <v>1</v>
      </c>
      <c r="K60" s="37">
        <v>1</v>
      </c>
      <c r="L60" s="37">
        <v>1</v>
      </c>
      <c r="M60" s="37">
        <v>0</v>
      </c>
      <c r="N60" s="37">
        <v>0</v>
      </c>
      <c r="O60" s="37"/>
      <c r="P60" s="37"/>
      <c r="Q60" s="61" t="s">
        <v>501</v>
      </c>
      <c r="R60" s="37"/>
      <c r="S60" s="37" t="s">
        <v>249</v>
      </c>
      <c r="T60" s="46" t="s">
        <v>568</v>
      </c>
      <c r="U60" t="str">
        <v/>
      </c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  <c r="BD60" s="56"/>
      <c r="BE60" s="56"/>
      <c r="BF60" s="56"/>
      <c r="BG60" s="56"/>
      <c r="BH60" s="56"/>
      <c r="BI60" s="56"/>
      <c r="BJ60" s="56"/>
      <c r="BK60" s="56"/>
      <c r="BL60" s="56"/>
      <c r="BM60" s="56"/>
      <c r="BN60" s="56"/>
      <c r="BO60" s="56"/>
      <c r="BP60" s="56"/>
      <c r="BQ60" s="56"/>
      <c r="BR60" s="56"/>
      <c r="BS60" s="56"/>
      <c r="BT60" s="56"/>
      <c r="BU60" s="56"/>
      <c r="BV60" s="56"/>
      <c r="BW60" s="56"/>
      <c r="BX60" s="56"/>
      <c r="BY60" s="56"/>
    </row>
    <row r="61" spans="2:77" x14ac:dyDescent="0.45">
      <c r="B61" s="68" cm="1">
        <f t="array" ref="B61">filesize(Folder&amp;Tests[[#This Row],[FileName]])</f>
        <v>400</v>
      </c>
      <c r="C61" s="62">
        <v>54</v>
      </c>
      <c r="D61" s="38" t="s">
        <v>349</v>
      </c>
      <c r="E61" s="37" t="s">
        <v>385</v>
      </c>
      <c r="F61" s="39" t="s">
        <v>246</v>
      </c>
      <c r="G61" s="39" t="b">
        <v>0</v>
      </c>
      <c r="H61" s="39" t="s">
        <v>246</v>
      </c>
      <c r="I61" s="39" t="s">
        <v>415</v>
      </c>
      <c r="J61" s="39" t="b">
        <v>1</v>
      </c>
      <c r="K61" s="37">
        <v>1</v>
      </c>
      <c r="L61" s="37">
        <v>1</v>
      </c>
      <c r="M61" s="37">
        <v>0</v>
      </c>
      <c r="N61" s="37">
        <v>0</v>
      </c>
      <c r="O61" s="37"/>
      <c r="P61" s="37"/>
      <c r="Q61" s="37"/>
      <c r="R61" s="37"/>
      <c r="S61" s="37" t="s">
        <v>247</v>
      </c>
      <c r="T61" s="49"/>
      <c r="U61" t="str">
        <v/>
      </c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  <c r="BD61" s="56"/>
      <c r="BE61" s="56"/>
      <c r="BF61" s="56"/>
      <c r="BG61" s="56"/>
      <c r="BH61" s="56"/>
      <c r="BI61" s="56"/>
      <c r="BJ61" s="56"/>
      <c r="BK61" s="56"/>
      <c r="BL61" s="56"/>
      <c r="BM61" s="56"/>
      <c r="BN61" s="56"/>
      <c r="BO61" s="56"/>
      <c r="BP61" s="56"/>
      <c r="BQ61" s="56"/>
      <c r="BR61" s="56"/>
      <c r="BS61" s="56"/>
      <c r="BT61" s="56"/>
      <c r="BU61" s="56"/>
      <c r="BV61" s="56"/>
      <c r="BW61" s="56"/>
      <c r="BX61" s="56"/>
      <c r="BY61" s="56"/>
    </row>
    <row r="62" spans="2:77" x14ac:dyDescent="0.45">
      <c r="B62" s="68" cm="1">
        <f t="array" ref="B62">filesize(Folder&amp;Tests[[#This Row],[FileName]])</f>
        <v>446</v>
      </c>
      <c r="C62" s="62">
        <v>55</v>
      </c>
      <c r="D62" s="38" t="s">
        <v>350</v>
      </c>
      <c r="E62" s="37" t="b">
        <v>1</v>
      </c>
      <c r="F62" s="39" t="s">
        <v>250</v>
      </c>
      <c r="G62" s="39" t="b">
        <v>1</v>
      </c>
      <c r="H62" s="39" t="s">
        <v>246</v>
      </c>
      <c r="I62" s="39" t="s">
        <v>246</v>
      </c>
      <c r="J62" s="39" t="b">
        <v>1</v>
      </c>
      <c r="K62" s="37">
        <v>1</v>
      </c>
      <c r="L62" s="37">
        <v>1</v>
      </c>
      <c r="M62" s="37">
        <v>0</v>
      </c>
      <c r="N62" s="37">
        <v>0</v>
      </c>
      <c r="O62" s="37"/>
      <c r="P62" s="37"/>
      <c r="Q62" s="37"/>
      <c r="R62" s="37"/>
      <c r="S62" s="37" t="s">
        <v>247</v>
      </c>
      <c r="T62" s="46"/>
      <c r="U62" t="str">
        <v/>
      </c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  <c r="BD62" s="56"/>
      <c r="BE62" s="56"/>
      <c r="BF62" s="56"/>
      <c r="BG62" s="56"/>
      <c r="BH62" s="56"/>
      <c r="BI62" s="56"/>
      <c r="BJ62" s="56"/>
      <c r="BK62" s="56"/>
      <c r="BL62" s="56"/>
      <c r="BM62" s="56"/>
      <c r="BN62" s="56"/>
      <c r="BO62" s="56"/>
      <c r="BP62" s="56"/>
      <c r="BQ62" s="56"/>
      <c r="BR62" s="56"/>
      <c r="BS62" s="56"/>
      <c r="BT62" s="56"/>
      <c r="BU62" s="56"/>
      <c r="BV62" s="56"/>
      <c r="BW62" s="56"/>
      <c r="BX62" s="56"/>
      <c r="BY62" s="56"/>
    </row>
    <row r="63" spans="2:77" x14ac:dyDescent="0.45">
      <c r="B63" s="68" cm="1">
        <f t="array" ref="B63">filesize(Folder&amp;Tests[[#This Row],[FileName]])</f>
        <v>585</v>
      </c>
      <c r="C63" s="62">
        <v>56</v>
      </c>
      <c r="D63" s="38" t="s">
        <v>352</v>
      </c>
      <c r="E63" s="37" t="b">
        <v>1</v>
      </c>
      <c r="F63" s="39" t="s">
        <v>246</v>
      </c>
      <c r="G63" s="39" t="b">
        <v>0</v>
      </c>
      <c r="H63" s="39" t="s">
        <v>506</v>
      </c>
      <c r="I63" s="39" t="s">
        <v>246</v>
      </c>
      <c r="J63" s="39" t="b">
        <v>1</v>
      </c>
      <c r="K63" s="37">
        <v>1</v>
      </c>
      <c r="L63" s="37">
        <v>1</v>
      </c>
      <c r="M63" s="37">
        <v>0</v>
      </c>
      <c r="N63" s="37">
        <v>0</v>
      </c>
      <c r="O63" s="37"/>
      <c r="P63" s="37"/>
      <c r="Q63" s="37"/>
      <c r="R63" s="37"/>
      <c r="S63" s="37" t="s">
        <v>247</v>
      </c>
      <c r="T63" s="46"/>
      <c r="U63" t="str">
        <v/>
      </c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  <c r="BD63" s="56"/>
      <c r="BE63" s="56"/>
      <c r="BF63" s="56"/>
      <c r="BG63" s="56"/>
      <c r="BH63" s="56"/>
      <c r="BI63" s="56"/>
      <c r="BJ63" s="56"/>
      <c r="BK63" s="56"/>
      <c r="BL63" s="56"/>
      <c r="BM63" s="56"/>
      <c r="BN63" s="56"/>
      <c r="BO63" s="56"/>
      <c r="BP63" s="56"/>
      <c r="BQ63" s="56"/>
      <c r="BR63" s="56"/>
      <c r="BS63" s="56"/>
      <c r="BT63" s="56"/>
      <c r="BU63" s="56"/>
      <c r="BV63" s="56"/>
      <c r="BW63" s="56"/>
      <c r="BX63" s="56"/>
      <c r="BY63" s="56"/>
    </row>
    <row r="64" spans="2:77" x14ac:dyDescent="0.45">
      <c r="B64" s="68" cm="1">
        <f t="array" ref="B64">filesize(Folder&amp;Tests[[#This Row],[FileName]])</f>
        <v>664</v>
      </c>
      <c r="C64" s="62">
        <v>57</v>
      </c>
      <c r="D64" s="38" t="s">
        <v>353</v>
      </c>
      <c r="E64" s="37" t="s">
        <v>447</v>
      </c>
      <c r="F64" s="39" t="s">
        <v>246</v>
      </c>
      <c r="G64" s="39" t="b">
        <v>0</v>
      </c>
      <c r="H64" s="39" t="s">
        <v>246</v>
      </c>
      <c r="I64" s="39" t="s">
        <v>246</v>
      </c>
      <c r="J64" s="39" t="b">
        <v>1</v>
      </c>
      <c r="K64" s="37">
        <v>1</v>
      </c>
      <c r="L64" s="37">
        <v>1</v>
      </c>
      <c r="M64" s="37">
        <v>0</v>
      </c>
      <c r="N64" s="37">
        <v>0</v>
      </c>
      <c r="O64" s="37"/>
      <c r="P64" s="37"/>
      <c r="Q64" s="37"/>
      <c r="R64" s="37"/>
      <c r="S64" s="37" t="s">
        <v>247</v>
      </c>
      <c r="T64" s="49"/>
      <c r="U64" t="str">
        <v/>
      </c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  <c r="BD64" s="56"/>
      <c r="BE64" s="56"/>
      <c r="BF64" s="56"/>
      <c r="BG64" s="56"/>
      <c r="BH64" s="56"/>
      <c r="BI64" s="56"/>
      <c r="BJ64" s="56"/>
      <c r="BK64" s="56"/>
      <c r="BL64" s="56"/>
      <c r="BM64" s="56"/>
      <c r="BN64" s="56"/>
      <c r="BO64" s="56"/>
      <c r="BP64" s="56"/>
      <c r="BQ64" s="56"/>
      <c r="BR64" s="56"/>
      <c r="BS64" s="56"/>
      <c r="BT64" s="56"/>
      <c r="BU64" s="56"/>
      <c r="BV64" s="56"/>
      <c r="BW64" s="56"/>
      <c r="BX64" s="56"/>
      <c r="BY64" s="56"/>
    </row>
    <row r="65" spans="2:77" x14ac:dyDescent="0.45">
      <c r="B65" s="68" cm="1">
        <f t="array" ref="B65">filesize(Folder&amp;Tests[[#This Row],[FileName]])</f>
        <v>716</v>
      </c>
      <c r="C65" s="62">
        <v>58</v>
      </c>
      <c r="D65" s="38" t="s">
        <v>354</v>
      </c>
      <c r="E65" s="37" t="b">
        <v>1</v>
      </c>
      <c r="F65" s="39" t="s">
        <v>250</v>
      </c>
      <c r="G65" s="39" t="b">
        <v>1</v>
      </c>
      <c r="H65" s="39" t="s">
        <v>246</v>
      </c>
      <c r="I65" s="39" t="s">
        <v>246</v>
      </c>
      <c r="J65" s="39" t="b">
        <v>1</v>
      </c>
      <c r="K65" s="37">
        <v>1</v>
      </c>
      <c r="L65" s="37">
        <v>1</v>
      </c>
      <c r="M65" s="37">
        <v>0</v>
      </c>
      <c r="N65" s="37">
        <v>0</v>
      </c>
      <c r="O65" s="37"/>
      <c r="P65" s="37"/>
      <c r="Q65" s="37"/>
      <c r="R65" s="37"/>
      <c r="S65" s="37" t="s">
        <v>247</v>
      </c>
      <c r="T65" s="46" t="s">
        <v>569</v>
      </c>
      <c r="U65" t="str">
        <v/>
      </c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  <c r="BD65" s="56"/>
      <c r="BE65" s="56"/>
      <c r="BF65" s="56"/>
      <c r="BG65" s="56"/>
      <c r="BH65" s="56"/>
      <c r="BI65" s="56"/>
      <c r="BJ65" s="56"/>
      <c r="BK65" s="56"/>
      <c r="BL65" s="56"/>
      <c r="BM65" s="56"/>
      <c r="BN65" s="56"/>
      <c r="BO65" s="56"/>
      <c r="BP65" s="56"/>
      <c r="BQ65" s="56"/>
      <c r="BR65" s="56"/>
      <c r="BS65" s="56"/>
      <c r="BT65" s="56"/>
      <c r="BU65" s="56"/>
      <c r="BV65" s="56"/>
      <c r="BW65" s="56"/>
      <c r="BX65" s="56"/>
      <c r="BY65" s="56"/>
    </row>
    <row r="66" spans="2:77" x14ac:dyDescent="0.45">
      <c r="B66" s="68" cm="1">
        <f t="array" ref="B66">filesize(Folder&amp;Tests[[#This Row],[FileName]])</f>
        <v>93536</v>
      </c>
      <c r="C66" s="62">
        <v>59</v>
      </c>
      <c r="D66" s="38" t="s">
        <v>363</v>
      </c>
      <c r="E66" s="37" t="s">
        <v>268</v>
      </c>
      <c r="F66" s="39" t="s">
        <v>246</v>
      </c>
      <c r="G66" s="39" t="b">
        <v>0</v>
      </c>
      <c r="H66" s="39" t="s">
        <v>477</v>
      </c>
      <c r="I66" s="39" t="s">
        <v>246</v>
      </c>
      <c r="J66" s="39" t="b">
        <v>1</v>
      </c>
      <c r="K66" s="37">
        <v>1</v>
      </c>
      <c r="L66" s="37">
        <v>1</v>
      </c>
      <c r="M66" s="37">
        <v>3</v>
      </c>
      <c r="N66" s="37">
        <v>0</v>
      </c>
      <c r="O66" s="37"/>
      <c r="P66" s="37"/>
      <c r="Q66" s="37"/>
      <c r="R66" s="37"/>
      <c r="S66" s="37" t="s">
        <v>247</v>
      </c>
      <c r="T66" s="49" t="s">
        <v>570</v>
      </c>
      <c r="U66" t="str">
        <v/>
      </c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  <c r="BD66" s="56"/>
      <c r="BE66" s="56"/>
      <c r="BF66" s="56"/>
      <c r="BG66" s="56"/>
      <c r="BH66" s="56"/>
      <c r="BI66" s="56"/>
      <c r="BJ66" s="56"/>
      <c r="BK66" s="56"/>
      <c r="BL66" s="56"/>
      <c r="BM66" s="56"/>
      <c r="BN66" s="56"/>
      <c r="BO66" s="56"/>
      <c r="BP66" s="56"/>
      <c r="BQ66" s="56"/>
      <c r="BR66" s="56"/>
      <c r="BS66" s="56"/>
      <c r="BT66" s="56"/>
      <c r="BU66" s="56"/>
      <c r="BV66" s="56"/>
      <c r="BW66" s="56"/>
      <c r="BX66" s="56"/>
      <c r="BY66" s="56"/>
    </row>
    <row r="67" spans="2:77" x14ac:dyDescent="0.45">
      <c r="B67" s="68" cm="1">
        <f t="array" ref="B67">filesize(Folder&amp;Tests[[#This Row],[FileName]])</f>
        <v>764</v>
      </c>
      <c r="C67" s="62">
        <v>60</v>
      </c>
      <c r="D67" s="38" t="s">
        <v>355</v>
      </c>
      <c r="E67" s="37" t="b">
        <v>1</v>
      </c>
      <c r="F67" s="39" t="s">
        <v>246</v>
      </c>
      <c r="G67" s="39" t="b">
        <v>0</v>
      </c>
      <c r="H67" s="39" t="s">
        <v>246</v>
      </c>
      <c r="I67" s="39" t="s">
        <v>246</v>
      </c>
      <c r="J67" s="39" t="b">
        <v>1</v>
      </c>
      <c r="K67" s="37">
        <v>1</v>
      </c>
      <c r="L67" s="37">
        <v>1</v>
      </c>
      <c r="M67" s="37">
        <v>0</v>
      </c>
      <c r="N67" s="37">
        <v>0</v>
      </c>
      <c r="O67" s="37"/>
      <c r="P67" s="37"/>
      <c r="Q67" s="37"/>
      <c r="R67" s="37"/>
      <c r="S67" s="37" t="s">
        <v>247</v>
      </c>
      <c r="T67" s="46" t="s">
        <v>270</v>
      </c>
      <c r="U67" t="str">
        <v/>
      </c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  <c r="BD67" s="56"/>
      <c r="BE67" s="56"/>
      <c r="BF67" s="56"/>
      <c r="BG67" s="56"/>
      <c r="BH67" s="56"/>
      <c r="BI67" s="56"/>
      <c r="BJ67" s="56"/>
      <c r="BK67" s="56"/>
      <c r="BL67" s="56"/>
      <c r="BM67" s="56"/>
      <c r="BN67" s="56"/>
      <c r="BO67" s="56"/>
      <c r="BP67" s="56"/>
      <c r="BQ67" s="56"/>
      <c r="BR67" s="56"/>
      <c r="BS67" s="56"/>
      <c r="BT67" s="56"/>
      <c r="BU67" s="56"/>
      <c r="BV67" s="56"/>
      <c r="BW67" s="56"/>
      <c r="BX67" s="56"/>
      <c r="BY67" s="56"/>
    </row>
    <row r="68" spans="2:77" x14ac:dyDescent="0.45">
      <c r="B68" s="68" cm="1">
        <f t="array" ref="B68">filesize(Folder&amp;Tests[[#This Row],[FileName]])</f>
        <v>793</v>
      </c>
      <c r="C68" s="62">
        <v>61</v>
      </c>
      <c r="D68" s="38" t="s">
        <v>356</v>
      </c>
      <c r="E68" s="37" t="s">
        <v>446</v>
      </c>
      <c r="F68" s="39" t="str">
        <f>CHAR(9)</f>
        <v xml:space="preserve">	</v>
      </c>
      <c r="G68" s="39" t="b">
        <v>0</v>
      </c>
      <c r="H68" s="39" t="s">
        <v>246</v>
      </c>
      <c r="I68" s="39" t="s">
        <v>246</v>
      </c>
      <c r="J68" s="39" t="b">
        <v>1</v>
      </c>
      <c r="K68" s="37">
        <v>1</v>
      </c>
      <c r="L68" s="37">
        <v>1</v>
      </c>
      <c r="M68" s="37">
        <v>0</v>
      </c>
      <c r="N68" s="37">
        <v>0</v>
      </c>
      <c r="O68" s="37"/>
      <c r="P68" s="37"/>
      <c r="Q68" s="37"/>
      <c r="R68" s="37"/>
      <c r="S68" s="37" t="s">
        <v>247</v>
      </c>
      <c r="T68" s="49" t="s">
        <v>266</v>
      </c>
      <c r="U68" t="str">
        <v/>
      </c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  <c r="BD68" s="56"/>
      <c r="BE68" s="56"/>
      <c r="BF68" s="56"/>
      <c r="BG68" s="56"/>
      <c r="BH68" s="56"/>
      <c r="BI68" s="56"/>
      <c r="BJ68" s="56"/>
      <c r="BK68" s="56"/>
      <c r="BL68" s="56"/>
      <c r="BM68" s="56"/>
      <c r="BN68" s="56"/>
      <c r="BO68" s="56"/>
      <c r="BP68" s="56"/>
      <c r="BQ68" s="56"/>
      <c r="BR68" s="56"/>
      <c r="BS68" s="56"/>
      <c r="BT68" s="56"/>
      <c r="BU68" s="56"/>
      <c r="BV68" s="56"/>
      <c r="BW68" s="56"/>
      <c r="BX68" s="56"/>
      <c r="BY68" s="56"/>
    </row>
    <row r="69" spans="2:77" x14ac:dyDescent="0.45">
      <c r="B69" s="68" cm="1">
        <f t="array" ref="B69">filesize(Folder&amp;Tests[[#This Row],[FileName]])</f>
        <v>1770</v>
      </c>
      <c r="C69" s="62">
        <v>62</v>
      </c>
      <c r="D69" s="38" t="s">
        <v>357</v>
      </c>
      <c r="E69" s="37" t="b">
        <v>1</v>
      </c>
      <c r="F69" s="39" t="s">
        <v>246</v>
      </c>
      <c r="G69" s="39" t="b">
        <v>0</v>
      </c>
      <c r="H69" s="39" t="s">
        <v>246</v>
      </c>
      <c r="I69" s="39" t="s">
        <v>246</v>
      </c>
      <c r="J69" s="39" t="b">
        <v>1</v>
      </c>
      <c r="K69" s="37">
        <v>1</v>
      </c>
      <c r="L69" s="37">
        <v>1</v>
      </c>
      <c r="M69" s="37">
        <v>0</v>
      </c>
      <c r="N69" s="37">
        <v>0</v>
      </c>
      <c r="O69" s="37"/>
      <c r="P69" s="37"/>
      <c r="Q69" s="37"/>
      <c r="R69" s="37"/>
      <c r="S69" s="37" t="s">
        <v>247</v>
      </c>
      <c r="T69" s="49"/>
      <c r="U69" t="str">
        <v/>
      </c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  <c r="BD69" s="56"/>
      <c r="BE69" s="56"/>
      <c r="BF69" s="56"/>
      <c r="BG69" s="56"/>
      <c r="BH69" s="56"/>
      <c r="BI69" s="56"/>
      <c r="BJ69" s="56"/>
      <c r="BK69" s="56"/>
      <c r="BL69" s="56"/>
      <c r="BM69" s="56"/>
      <c r="BN69" s="56"/>
      <c r="BO69" s="56"/>
      <c r="BP69" s="56"/>
      <c r="BQ69" s="56"/>
      <c r="BR69" s="56"/>
      <c r="BS69" s="56"/>
      <c r="BT69" s="56"/>
      <c r="BU69" s="56"/>
      <c r="BV69" s="56"/>
      <c r="BW69" s="56"/>
      <c r="BX69" s="56"/>
      <c r="BY69" s="56"/>
    </row>
    <row r="70" spans="2:77" x14ac:dyDescent="0.45">
      <c r="B70" s="68" cm="1">
        <f t="array" ref="B70">filesize(Folder&amp;Tests[[#This Row],[FileName]])</f>
        <v>2092</v>
      </c>
      <c r="C70" s="62">
        <v>63</v>
      </c>
      <c r="D70" s="38" t="s">
        <v>358</v>
      </c>
      <c r="E70" s="37" t="s">
        <v>385</v>
      </c>
      <c r="F70" s="39" t="s">
        <v>246</v>
      </c>
      <c r="G70" s="39" t="b">
        <v>0</v>
      </c>
      <c r="H70" s="39" t="s">
        <v>246</v>
      </c>
      <c r="I70" s="39" t="s">
        <v>246</v>
      </c>
      <c r="J70" s="39" t="b">
        <v>1</v>
      </c>
      <c r="K70" s="37">
        <v>1</v>
      </c>
      <c r="L70" s="37">
        <v>1</v>
      </c>
      <c r="M70" s="37">
        <v>0</v>
      </c>
      <c r="N70" s="37">
        <v>0</v>
      </c>
      <c r="O70" s="37"/>
      <c r="P70" s="37"/>
      <c r="Q70" s="37"/>
      <c r="R70" s="37"/>
      <c r="S70" s="37" t="s">
        <v>247</v>
      </c>
      <c r="T70" s="49"/>
      <c r="U70" t="str">
        <v/>
      </c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  <c r="BD70" s="56"/>
      <c r="BE70" s="56"/>
      <c r="BF70" s="56"/>
      <c r="BG70" s="56"/>
      <c r="BH70" s="56"/>
      <c r="BI70" s="56"/>
      <c r="BJ70" s="56"/>
      <c r="BK70" s="56"/>
      <c r="BL70" s="56"/>
      <c r="BM70" s="56"/>
      <c r="BN70" s="56"/>
      <c r="BO70" s="56"/>
      <c r="BP70" s="56"/>
      <c r="BQ70" s="56"/>
      <c r="BR70" s="56"/>
      <c r="BS70" s="56"/>
      <c r="BT70" s="56"/>
      <c r="BU70" s="56"/>
      <c r="BV70" s="56"/>
      <c r="BW70" s="56"/>
      <c r="BX70" s="56"/>
      <c r="BY70" s="56"/>
    </row>
    <row r="71" spans="2:77" x14ac:dyDescent="0.45">
      <c r="B71" s="68" cm="1">
        <f t="array" ref="B71">filesize(Folder&amp;Tests[[#This Row],[FileName]])</f>
        <v>180</v>
      </c>
      <c r="C71" s="62">
        <v>64</v>
      </c>
      <c r="D71" s="38" t="s">
        <v>418</v>
      </c>
      <c r="E71" s="37" t="b" cm="1">
        <v>1</v>
      </c>
      <c r="F71" s="39" t="s">
        <v>246</v>
      </c>
      <c r="G71" s="39" t="b">
        <v>0</v>
      </c>
      <c r="H71" s="39" t="s">
        <v>482</v>
      </c>
      <c r="I71" s="39" t="s">
        <v>246</v>
      </c>
      <c r="J71" s="39" t="b">
        <v>1</v>
      </c>
      <c r="K71" s="37">
        <v>1</v>
      </c>
      <c r="L71" s="37">
        <v>1</v>
      </c>
      <c r="M71" s="37">
        <v>0</v>
      </c>
      <c r="N71" s="37">
        <v>0</v>
      </c>
      <c r="O71" s="37"/>
      <c r="P71" s="37"/>
      <c r="Q71" s="37"/>
      <c r="R71" s="37"/>
      <c r="S71" s="37" t="s">
        <v>247</v>
      </c>
      <c r="T71" s="49"/>
      <c r="U71" t="str">
        <v/>
      </c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  <c r="BD71" s="56"/>
      <c r="BE71" s="56"/>
      <c r="BF71" s="56"/>
      <c r="BG71" s="56"/>
      <c r="BH71" s="56"/>
      <c r="BI71" s="56"/>
      <c r="BJ71" s="56"/>
      <c r="BK71" s="56"/>
      <c r="BL71" s="56"/>
      <c r="BM71" s="56"/>
      <c r="BN71" s="56"/>
      <c r="BO71" s="56"/>
      <c r="BP71" s="56"/>
      <c r="BQ71" s="56"/>
      <c r="BR71" s="56"/>
      <c r="BS71" s="56"/>
      <c r="BT71" s="56"/>
      <c r="BU71" s="56"/>
      <c r="BV71" s="56"/>
      <c r="BW71" s="56"/>
      <c r="BX71" s="56"/>
      <c r="BY71" s="56"/>
    </row>
    <row r="72" spans="2:77" x14ac:dyDescent="0.45">
      <c r="B72" s="68" cm="1">
        <f t="array" ref="B72">filesize(Folder&amp;Tests[[#This Row],[FileName]])</f>
        <v>180</v>
      </c>
      <c r="C72" s="62">
        <v>65</v>
      </c>
      <c r="D72" s="38" t="s">
        <v>418</v>
      </c>
      <c r="E72" s="37" t="b">
        <v>0</v>
      </c>
      <c r="F72" s="39" t="s">
        <v>246</v>
      </c>
      <c r="G72" s="39" t="b">
        <v>0</v>
      </c>
      <c r="H72" s="39" t="s">
        <v>246</v>
      </c>
      <c r="I72" s="39" t="s">
        <v>246</v>
      </c>
      <c r="J72" s="39" t="b">
        <v>1</v>
      </c>
      <c r="K72" s="37">
        <v>1</v>
      </c>
      <c r="L72" s="37">
        <v>1</v>
      </c>
      <c r="M72" s="37">
        <v>0</v>
      </c>
      <c r="N72" s="37">
        <v>0</v>
      </c>
      <c r="O72" s="37"/>
      <c r="P72" s="37"/>
      <c r="Q72" s="37"/>
      <c r="R72" s="37"/>
      <c r="S72" s="37" t="s">
        <v>247</v>
      </c>
      <c r="T72" s="49"/>
      <c r="U72" t="str">
        <v/>
      </c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  <c r="BD72" s="56"/>
      <c r="BE72" s="56"/>
      <c r="BF72" s="56"/>
      <c r="BG72" s="56"/>
      <c r="BH72" s="56"/>
      <c r="BI72" s="56"/>
      <c r="BJ72" s="56"/>
      <c r="BK72" s="56"/>
      <c r="BL72" s="56"/>
      <c r="BM72" s="56"/>
      <c r="BN72" s="56"/>
      <c r="BO72" s="56"/>
      <c r="BP72" s="56"/>
      <c r="BQ72" s="56"/>
      <c r="BR72" s="56"/>
      <c r="BS72" s="56"/>
      <c r="BT72" s="56"/>
      <c r="BU72" s="56"/>
      <c r="BV72" s="56"/>
      <c r="BW72" s="56"/>
      <c r="BX72" s="56"/>
      <c r="BY72" s="56"/>
    </row>
    <row r="73" spans="2:77" x14ac:dyDescent="0.45">
      <c r="B73" s="68" cm="1">
        <f t="array" ref="B73">filesize(Folder&amp;Tests[[#This Row],[FileName]])</f>
        <v>180</v>
      </c>
      <c r="C73" s="62">
        <v>66</v>
      </c>
      <c r="D73" s="38" t="s">
        <v>418</v>
      </c>
      <c r="E73" s="37" t="s">
        <v>385</v>
      </c>
      <c r="F73" s="39" t="s">
        <v>246</v>
      </c>
      <c r="G73" s="39" t="b">
        <v>0</v>
      </c>
      <c r="H73" s="39" t="s">
        <v>246</v>
      </c>
      <c r="I73" s="39" t="s">
        <v>246</v>
      </c>
      <c r="J73" s="39" t="b">
        <v>1</v>
      </c>
      <c r="K73" s="37">
        <v>1</v>
      </c>
      <c r="L73" s="37">
        <v>1</v>
      </c>
      <c r="M73" s="37">
        <v>0</v>
      </c>
      <c r="N73" s="37">
        <v>0</v>
      </c>
      <c r="O73" s="37"/>
      <c r="P73" s="37"/>
      <c r="Q73" s="37"/>
      <c r="R73" s="37"/>
      <c r="S73" s="37" t="s">
        <v>247</v>
      </c>
      <c r="T73" s="49"/>
      <c r="U73" t="str">
        <v/>
      </c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  <c r="BD73" s="56"/>
      <c r="BE73" s="56"/>
      <c r="BF73" s="56"/>
      <c r="BG73" s="56"/>
      <c r="BH73" s="56"/>
      <c r="BI73" s="56"/>
      <c r="BJ73" s="56"/>
      <c r="BK73" s="56"/>
      <c r="BL73" s="56"/>
      <c r="BM73" s="56"/>
      <c r="BN73" s="56"/>
      <c r="BO73" s="56"/>
      <c r="BP73" s="56"/>
      <c r="BQ73" s="56"/>
      <c r="BR73" s="56"/>
      <c r="BS73" s="56"/>
      <c r="BT73" s="56"/>
      <c r="BU73" s="56"/>
      <c r="BV73" s="56"/>
      <c r="BW73" s="56"/>
      <c r="BX73" s="56"/>
      <c r="BY73" s="56"/>
    </row>
    <row r="74" spans="2:77" x14ac:dyDescent="0.45">
      <c r="B74" s="68" cm="1">
        <f t="array" ref="B74">filesize(Folder&amp;Tests[[#This Row],[FileName]])</f>
        <v>180</v>
      </c>
      <c r="C74" s="62">
        <v>67</v>
      </c>
      <c r="D74" s="38" t="s">
        <v>418</v>
      </c>
      <c r="E74" s="37" t="s">
        <v>395</v>
      </c>
      <c r="F74" s="39" t="s">
        <v>246</v>
      </c>
      <c r="G74" s="39" t="b">
        <v>0</v>
      </c>
      <c r="H74" s="39" t="s">
        <v>482</v>
      </c>
      <c r="I74" s="39" t="s">
        <v>246</v>
      </c>
      <c r="J74" s="39" t="b">
        <v>1</v>
      </c>
      <c r="K74" s="37">
        <v>1</v>
      </c>
      <c r="L74" s="37">
        <v>1</v>
      </c>
      <c r="M74" s="37">
        <v>0</v>
      </c>
      <c r="N74" s="37">
        <v>0</v>
      </c>
      <c r="O74" s="37"/>
      <c r="P74" s="37"/>
      <c r="Q74" s="37"/>
      <c r="R74" s="37"/>
      <c r="S74" s="37" t="s">
        <v>247</v>
      </c>
      <c r="T74" s="49"/>
      <c r="U74" t="str">
        <v/>
      </c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  <c r="BD74" s="56"/>
      <c r="BE74" s="56"/>
      <c r="BF74" s="56"/>
      <c r="BG74" s="56"/>
      <c r="BH74" s="56"/>
      <c r="BI74" s="56"/>
      <c r="BJ74" s="56"/>
      <c r="BK74" s="56"/>
      <c r="BL74" s="56"/>
      <c r="BM74" s="56"/>
      <c r="BN74" s="56"/>
      <c r="BO74" s="56"/>
      <c r="BP74" s="56"/>
      <c r="BQ74" s="56"/>
      <c r="BR74" s="56"/>
      <c r="BS74" s="56"/>
      <c r="BT74" s="56"/>
      <c r="BU74" s="56"/>
      <c r="BV74" s="56"/>
      <c r="BW74" s="56"/>
      <c r="BX74" s="56"/>
      <c r="BY74" s="56"/>
    </row>
    <row r="75" spans="2:77" x14ac:dyDescent="0.45">
      <c r="B75" s="68" cm="1">
        <f t="array" ref="B75">filesize(Folder&amp;Tests[[#This Row],[FileName]])</f>
        <v>180</v>
      </c>
      <c r="C75" s="62">
        <v>68</v>
      </c>
      <c r="D75" s="38" t="s">
        <v>418</v>
      </c>
      <c r="E75" s="37" t="s">
        <v>396</v>
      </c>
      <c r="F75" s="39" t="s">
        <v>246</v>
      </c>
      <c r="G75" s="39" t="b">
        <v>0</v>
      </c>
      <c r="H75" s="39" t="s">
        <v>246</v>
      </c>
      <c r="I75" s="39" t="s">
        <v>246</v>
      </c>
      <c r="J75" s="39" t="b">
        <v>1</v>
      </c>
      <c r="K75" s="37">
        <v>1</v>
      </c>
      <c r="L75" s="37">
        <v>1</v>
      </c>
      <c r="M75" s="37">
        <v>0</v>
      </c>
      <c r="N75" s="37">
        <v>0</v>
      </c>
      <c r="O75" s="37"/>
      <c r="P75" s="37"/>
      <c r="Q75" s="37"/>
      <c r="R75" s="37"/>
      <c r="S75" s="37" t="s">
        <v>247</v>
      </c>
      <c r="T75" s="49"/>
      <c r="U75" t="str">
        <v/>
      </c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  <c r="BD75" s="56"/>
      <c r="BE75" s="56"/>
      <c r="BF75" s="56"/>
      <c r="BG75" s="56"/>
      <c r="BH75" s="56"/>
      <c r="BI75" s="56"/>
      <c r="BJ75" s="56"/>
      <c r="BK75" s="56"/>
      <c r="BL75" s="56"/>
      <c r="BM75" s="56"/>
      <c r="BN75" s="56"/>
      <c r="BO75" s="56"/>
      <c r="BP75" s="56"/>
      <c r="BQ75" s="56"/>
      <c r="BR75" s="56"/>
      <c r="BS75" s="56"/>
      <c r="BT75" s="56"/>
      <c r="BU75" s="56"/>
      <c r="BV75" s="56"/>
      <c r="BW75" s="56"/>
      <c r="BX75" s="56"/>
      <c r="BY75" s="56"/>
    </row>
    <row r="76" spans="2:77" x14ac:dyDescent="0.45">
      <c r="B76" s="68" cm="1">
        <f t="array" ref="B76">filesize(Folder&amp;Tests[[#This Row],[FileName]])</f>
        <v>180</v>
      </c>
      <c r="C76" s="62">
        <v>69</v>
      </c>
      <c r="D76" s="38" t="s">
        <v>418</v>
      </c>
      <c r="E76" s="37" t="s">
        <v>397</v>
      </c>
      <c r="F76" s="39" t="s">
        <v>246</v>
      </c>
      <c r="G76" s="39" t="b">
        <v>0</v>
      </c>
      <c r="H76" s="39" t="s">
        <v>246</v>
      </c>
      <c r="I76" s="39" t="s">
        <v>246</v>
      </c>
      <c r="J76" s="39" t="b">
        <v>1</v>
      </c>
      <c r="K76" s="37">
        <v>1</v>
      </c>
      <c r="L76" s="37">
        <v>1</v>
      </c>
      <c r="M76" s="37">
        <v>0</v>
      </c>
      <c r="N76" s="37">
        <v>0</v>
      </c>
      <c r="O76" s="37"/>
      <c r="P76" s="37"/>
      <c r="Q76" s="37"/>
      <c r="R76" s="37"/>
      <c r="S76" s="37" t="s">
        <v>247</v>
      </c>
      <c r="T76" s="49"/>
      <c r="U76" t="str">
        <v/>
      </c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  <c r="BD76" s="56"/>
      <c r="BE76" s="56"/>
      <c r="BF76" s="56"/>
      <c r="BG76" s="56"/>
      <c r="BH76" s="56"/>
      <c r="BI76" s="56"/>
      <c r="BJ76" s="56"/>
      <c r="BK76" s="56"/>
      <c r="BL76" s="56"/>
      <c r="BM76" s="56"/>
      <c r="BN76" s="56"/>
      <c r="BO76" s="56"/>
      <c r="BP76" s="56"/>
      <c r="BQ76" s="56"/>
      <c r="BR76" s="56"/>
      <c r="BS76" s="56"/>
      <c r="BT76" s="56"/>
      <c r="BU76" s="56"/>
      <c r="BV76" s="56"/>
      <c r="BW76" s="56"/>
      <c r="BX76" s="56"/>
      <c r="BY76" s="56"/>
    </row>
    <row r="77" spans="2:77" x14ac:dyDescent="0.45">
      <c r="B77" s="68" cm="1">
        <f t="array" ref="B77">filesize(Folder&amp;Tests[[#This Row],[FileName]])</f>
        <v>180</v>
      </c>
      <c r="C77" s="62">
        <v>70</v>
      </c>
      <c r="D77" s="38" t="s">
        <v>418</v>
      </c>
      <c r="E77" s="37" t="s">
        <v>399</v>
      </c>
      <c r="F77" s="39" t="s">
        <v>246</v>
      </c>
      <c r="G77" s="39" t="b">
        <v>0</v>
      </c>
      <c r="H77" s="39" t="s">
        <v>246</v>
      </c>
      <c r="I77" s="39" t="s">
        <v>246</v>
      </c>
      <c r="J77" s="39" t="b">
        <v>1</v>
      </c>
      <c r="K77" s="37">
        <v>1</v>
      </c>
      <c r="L77" s="37">
        <v>1</v>
      </c>
      <c r="M77" s="37">
        <v>0</v>
      </c>
      <c r="N77" s="37">
        <v>0</v>
      </c>
      <c r="O77" s="37"/>
      <c r="P77" s="37"/>
      <c r="Q77" s="37"/>
      <c r="R77" s="37"/>
      <c r="S77" s="37" t="s">
        <v>247</v>
      </c>
      <c r="T77" s="49"/>
      <c r="U77" t="str">
        <v/>
      </c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  <c r="BD77" s="56"/>
      <c r="BE77" s="56"/>
      <c r="BF77" s="56"/>
      <c r="BG77" s="56"/>
      <c r="BH77" s="56"/>
      <c r="BI77" s="56"/>
      <c r="BJ77" s="56"/>
      <c r="BK77" s="56"/>
      <c r="BL77" s="56"/>
      <c r="BM77" s="56"/>
      <c r="BN77" s="56"/>
      <c r="BO77" s="56"/>
      <c r="BP77" s="56"/>
      <c r="BQ77" s="56"/>
      <c r="BR77" s="56"/>
      <c r="BS77" s="56"/>
      <c r="BT77" s="56"/>
      <c r="BU77" s="56"/>
      <c r="BV77" s="56"/>
      <c r="BW77" s="56"/>
      <c r="BX77" s="56"/>
      <c r="BY77" s="56"/>
    </row>
    <row r="78" spans="2:77" x14ac:dyDescent="0.45">
      <c r="B78" s="68" cm="1">
        <f t="array" ref="B78">filesize(Folder&amp;Tests[[#This Row],[FileName]])</f>
        <v>180</v>
      </c>
      <c r="C78" s="62">
        <v>71</v>
      </c>
      <c r="D78" s="38" t="s">
        <v>418</v>
      </c>
      <c r="E78" s="37" t="s">
        <v>400</v>
      </c>
      <c r="F78" s="39" t="s">
        <v>246</v>
      </c>
      <c r="G78" s="39" t="b">
        <v>0</v>
      </c>
      <c r="H78" s="39" t="s">
        <v>482</v>
      </c>
      <c r="I78" s="39" t="s">
        <v>246</v>
      </c>
      <c r="J78" s="39" t="b">
        <v>1</v>
      </c>
      <c r="K78" s="37">
        <v>1</v>
      </c>
      <c r="L78" s="37">
        <v>1</v>
      </c>
      <c r="M78" s="37">
        <v>0</v>
      </c>
      <c r="N78" s="37">
        <v>0</v>
      </c>
      <c r="O78" s="37"/>
      <c r="P78" s="37"/>
      <c r="Q78" s="37"/>
      <c r="R78" s="37"/>
      <c r="S78" s="37" t="s">
        <v>247</v>
      </c>
      <c r="T78" s="49"/>
      <c r="U78" t="str">
        <v/>
      </c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  <c r="BD78" s="56"/>
      <c r="BE78" s="56"/>
      <c r="BF78" s="56"/>
      <c r="BG78" s="56"/>
      <c r="BH78" s="56"/>
      <c r="BI78" s="56"/>
      <c r="BJ78" s="56"/>
      <c r="BK78" s="56"/>
      <c r="BL78" s="56"/>
      <c r="BM78" s="56"/>
      <c r="BN78" s="56"/>
      <c r="BO78" s="56"/>
      <c r="BP78" s="56"/>
      <c r="BQ78" s="56"/>
      <c r="BR78" s="56"/>
      <c r="BS78" s="56"/>
      <c r="BT78" s="56"/>
      <c r="BU78" s="56"/>
      <c r="BV78" s="56"/>
      <c r="BW78" s="56"/>
      <c r="BX78" s="56"/>
      <c r="BY78" s="56"/>
    </row>
    <row r="79" spans="2:77" x14ac:dyDescent="0.45">
      <c r="B79" s="68" cm="1">
        <f t="array" ref="B79">filesize(Folder&amp;Tests[[#This Row],[FileName]])</f>
        <v>180</v>
      </c>
      <c r="C79" s="62">
        <v>72</v>
      </c>
      <c r="D79" s="38" t="s">
        <v>418</v>
      </c>
      <c r="E79" s="37" t="s">
        <v>401</v>
      </c>
      <c r="F79" s="39" t="s">
        <v>246</v>
      </c>
      <c r="G79" s="39" t="b">
        <v>0</v>
      </c>
      <c r="H79" s="39" t="s">
        <v>246</v>
      </c>
      <c r="I79" s="39" t="s">
        <v>246</v>
      </c>
      <c r="J79" s="39" t="b">
        <v>1</v>
      </c>
      <c r="K79" s="37">
        <v>1</v>
      </c>
      <c r="L79" s="37">
        <v>1</v>
      </c>
      <c r="M79" s="37">
        <v>0</v>
      </c>
      <c r="N79" s="37">
        <v>0</v>
      </c>
      <c r="O79" s="37"/>
      <c r="P79" s="37"/>
      <c r="Q79" s="37"/>
      <c r="R79" s="37"/>
      <c r="S79" s="37" t="s">
        <v>247</v>
      </c>
      <c r="T79" s="49"/>
      <c r="U79" t="str">
        <v/>
      </c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  <c r="BD79" s="56"/>
      <c r="BE79" s="56"/>
      <c r="BF79" s="56"/>
      <c r="BG79" s="56"/>
      <c r="BH79" s="56"/>
      <c r="BI79" s="56"/>
      <c r="BJ79" s="56"/>
      <c r="BK79" s="56"/>
      <c r="BL79" s="56"/>
      <c r="BM79" s="56"/>
      <c r="BN79" s="56"/>
      <c r="BO79" s="56"/>
      <c r="BP79" s="56"/>
      <c r="BQ79" s="56"/>
      <c r="BR79" s="56"/>
      <c r="BS79" s="56"/>
      <c r="BT79" s="56"/>
      <c r="BU79" s="56"/>
      <c r="BV79" s="56"/>
      <c r="BW79" s="56"/>
      <c r="BX79" s="56"/>
      <c r="BY79" s="56"/>
    </row>
    <row r="80" spans="2:77" x14ac:dyDescent="0.45">
      <c r="B80" s="68" cm="1">
        <f t="array" ref="B80">filesize(Folder&amp;Tests[[#This Row],[FileName]])</f>
        <v>180</v>
      </c>
      <c r="C80" s="62">
        <v>73</v>
      </c>
      <c r="D80" s="38" t="s">
        <v>418</v>
      </c>
      <c r="E80" s="37" t="s">
        <v>402</v>
      </c>
      <c r="F80" s="39" t="s">
        <v>246</v>
      </c>
      <c r="G80" s="39" t="b">
        <v>0</v>
      </c>
      <c r="H80" s="39" t="s">
        <v>246</v>
      </c>
      <c r="I80" s="39" t="s">
        <v>246</v>
      </c>
      <c r="J80" s="39" t="b">
        <v>1</v>
      </c>
      <c r="K80" s="37">
        <v>1</v>
      </c>
      <c r="L80" s="37">
        <v>1</v>
      </c>
      <c r="M80" s="37">
        <v>0</v>
      </c>
      <c r="N80" s="37">
        <v>0</v>
      </c>
      <c r="O80" s="37"/>
      <c r="P80" s="37"/>
      <c r="Q80" s="37"/>
      <c r="R80" s="37"/>
      <c r="S80" s="37" t="s">
        <v>247</v>
      </c>
      <c r="T80" s="49"/>
      <c r="U80" t="str">
        <v/>
      </c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  <c r="BD80" s="56"/>
      <c r="BE80" s="56"/>
      <c r="BF80" s="56"/>
      <c r="BG80" s="56"/>
      <c r="BH80" s="56"/>
      <c r="BI80" s="56"/>
      <c r="BJ80" s="56"/>
      <c r="BK80" s="56"/>
      <c r="BL80" s="56"/>
      <c r="BM80" s="56"/>
      <c r="BN80" s="56"/>
      <c r="BO80" s="56"/>
      <c r="BP80" s="56"/>
      <c r="BQ80" s="56"/>
      <c r="BR80" s="56"/>
      <c r="BS80" s="56"/>
      <c r="BT80" s="56"/>
      <c r="BU80" s="56"/>
      <c r="BV80" s="56"/>
      <c r="BW80" s="56"/>
      <c r="BX80" s="56"/>
      <c r="BY80" s="56"/>
    </row>
    <row r="81" spans="2:77" x14ac:dyDescent="0.45">
      <c r="B81" s="68" cm="1">
        <f t="array" ref="B81">filesize(Folder&amp;Tests[[#This Row],[FileName]])</f>
        <v>180</v>
      </c>
      <c r="C81" s="62">
        <v>74</v>
      </c>
      <c r="D81" s="38" t="s">
        <v>418</v>
      </c>
      <c r="E81" s="37" t="s">
        <v>392</v>
      </c>
      <c r="F81" s="39" t="s">
        <v>246</v>
      </c>
      <c r="G81" s="39" t="b">
        <v>0</v>
      </c>
      <c r="H81" s="39" t="s">
        <v>246</v>
      </c>
      <c r="I81" s="39" t="s">
        <v>246</v>
      </c>
      <c r="J81" s="39" t="b">
        <v>1</v>
      </c>
      <c r="K81" s="37">
        <v>1</v>
      </c>
      <c r="L81" s="37">
        <v>1</v>
      </c>
      <c r="M81" s="37">
        <v>0</v>
      </c>
      <c r="N81" s="37">
        <v>0</v>
      </c>
      <c r="O81" s="37"/>
      <c r="P81" s="37"/>
      <c r="Q81" s="37"/>
      <c r="R81" s="37"/>
      <c r="S81" s="37" t="s">
        <v>247</v>
      </c>
      <c r="T81" s="49"/>
      <c r="U81" t="str">
        <v/>
      </c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  <c r="BD81" s="56"/>
      <c r="BE81" s="56"/>
      <c r="BF81" s="56"/>
      <c r="BG81" s="56"/>
      <c r="BH81" s="56"/>
      <c r="BI81" s="56"/>
      <c r="BJ81" s="56"/>
      <c r="BK81" s="56"/>
      <c r="BL81" s="56"/>
      <c r="BM81" s="56"/>
      <c r="BN81" s="56"/>
      <c r="BO81" s="56"/>
      <c r="BP81" s="56"/>
      <c r="BQ81" s="56"/>
      <c r="BR81" s="56"/>
      <c r="BS81" s="56"/>
      <c r="BT81" s="56"/>
      <c r="BU81" s="56"/>
      <c r="BV81" s="56"/>
      <c r="BW81" s="56"/>
      <c r="BX81" s="56"/>
      <c r="BY81" s="56"/>
    </row>
    <row r="82" spans="2:77" x14ac:dyDescent="0.45">
      <c r="B82" s="68" cm="1">
        <f t="array" ref="B82">filesize(Folder&amp;Tests[[#This Row],[FileName]])</f>
        <v>180</v>
      </c>
      <c r="C82" s="62">
        <v>75</v>
      </c>
      <c r="D82" s="38" t="s">
        <v>418</v>
      </c>
      <c r="E82" s="37" t="s">
        <v>393</v>
      </c>
      <c r="F82" s="39" t="s">
        <v>246</v>
      </c>
      <c r="G82" s="39" t="b">
        <v>0</v>
      </c>
      <c r="H82" s="39" t="s">
        <v>246</v>
      </c>
      <c r="I82" s="39" t="s">
        <v>246</v>
      </c>
      <c r="J82" s="39" t="b">
        <v>1</v>
      </c>
      <c r="K82" s="37">
        <v>1</v>
      </c>
      <c r="L82" s="37">
        <v>1</v>
      </c>
      <c r="M82" s="37">
        <v>0</v>
      </c>
      <c r="N82" s="37">
        <v>0</v>
      </c>
      <c r="O82" s="37"/>
      <c r="P82" s="37"/>
      <c r="Q82" s="37"/>
      <c r="R82" s="37"/>
      <c r="S82" s="37" t="s">
        <v>247</v>
      </c>
      <c r="T82" s="49"/>
      <c r="U82" t="str">
        <v/>
      </c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  <c r="BD82" s="56"/>
      <c r="BE82" s="56"/>
      <c r="BF82" s="56"/>
      <c r="BG82" s="56"/>
      <c r="BH82" s="56"/>
      <c r="BI82" s="56"/>
      <c r="BJ82" s="56"/>
      <c r="BK82" s="56"/>
      <c r="BL82" s="56"/>
      <c r="BM82" s="56"/>
      <c r="BN82" s="56"/>
      <c r="BO82" s="56"/>
      <c r="BP82" s="56"/>
      <c r="BQ82" s="56"/>
      <c r="BR82" s="56"/>
      <c r="BS82" s="56"/>
      <c r="BT82" s="56"/>
      <c r="BU82" s="56"/>
      <c r="BV82" s="56"/>
      <c r="BW82" s="56"/>
      <c r="BX82" s="56"/>
      <c r="BY82" s="56"/>
    </row>
    <row r="83" spans="2:77" x14ac:dyDescent="0.45">
      <c r="B83" s="69" cm="1">
        <f t="array" ref="B83">filesize(Folder&amp;Tests[[#This Row],[FileName]])</f>
        <v>196770</v>
      </c>
      <c r="C83" s="62">
        <v>76</v>
      </c>
      <c r="D83" s="38" t="s">
        <v>368</v>
      </c>
      <c r="E83" s="37" t="s">
        <v>268</v>
      </c>
      <c r="F83" s="39"/>
      <c r="G83" s="39"/>
      <c r="H83" s="39" t="s">
        <v>506</v>
      </c>
      <c r="I83" s="39"/>
      <c r="J83" s="39" t="b">
        <v>1</v>
      </c>
      <c r="K83" s="37">
        <v>1</v>
      </c>
      <c r="L83" s="37">
        <v>1</v>
      </c>
      <c r="M83" s="37">
        <v>0</v>
      </c>
      <c r="N83" s="37">
        <v>0</v>
      </c>
      <c r="O83" s="37"/>
      <c r="P83" s="37"/>
      <c r="Q83" s="61" t="s">
        <v>579</v>
      </c>
      <c r="R83" s="37"/>
      <c r="S83" s="37"/>
      <c r="T83" s="49" t="s">
        <v>581</v>
      </c>
      <c r="U83" t="str">
        <v/>
      </c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  <c r="BD83" s="56"/>
      <c r="BE83" s="56"/>
      <c r="BF83" s="56"/>
      <c r="BG83" s="56"/>
      <c r="BH83" s="56"/>
      <c r="BI83" s="56"/>
      <c r="BJ83" s="56"/>
      <c r="BK83" s="56"/>
      <c r="BL83" s="56"/>
      <c r="BM83" s="56"/>
      <c r="BN83" s="56"/>
      <c r="BO83" s="56"/>
      <c r="BP83" s="56"/>
      <c r="BQ83" s="56"/>
      <c r="BR83" s="56"/>
      <c r="BS83" s="56"/>
      <c r="BT83" s="56"/>
      <c r="BU83" s="56"/>
      <c r="BV83" s="56"/>
      <c r="BW83" s="56"/>
      <c r="BX83" s="56"/>
      <c r="BY83" s="56"/>
    </row>
    <row r="84" spans="2:77" x14ac:dyDescent="0.45">
      <c r="B84" s="69"/>
      <c r="C84" s="63">
        <v>77</v>
      </c>
      <c r="D84" s="38" t="s">
        <v>291</v>
      </c>
      <c r="E84" s="37" t="b">
        <v>1</v>
      </c>
      <c r="F84" s="39" t="s">
        <v>246</v>
      </c>
      <c r="G84" s="39" t="b">
        <v>0</v>
      </c>
      <c r="H84" s="39" t="s">
        <v>246</v>
      </c>
      <c r="I84" s="39" t="s">
        <v>246</v>
      </c>
      <c r="J84" s="39" t="b">
        <v>1</v>
      </c>
      <c r="K84" s="37">
        <v>1</v>
      </c>
      <c r="L84" s="37">
        <v>1</v>
      </c>
      <c r="M84" s="37">
        <v>0</v>
      </c>
      <c r="N84" s="37">
        <v>0</v>
      </c>
      <c r="O84" s="37"/>
      <c r="P84" s="37"/>
      <c r="Q84" s="37"/>
      <c r="R84" s="37"/>
      <c r="S84" s="37"/>
      <c r="T84" s="49" t="s">
        <v>582</v>
      </c>
      <c r="U84" t="str">
        <v/>
      </c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  <c r="BD84" s="56"/>
      <c r="BE84" s="56"/>
      <c r="BF84" s="56"/>
      <c r="BG84" s="56"/>
      <c r="BH84" s="56"/>
      <c r="BI84" s="56"/>
      <c r="BJ84" s="56"/>
      <c r="BK84" s="56"/>
      <c r="BL84" s="56"/>
      <c r="BM84" s="56"/>
      <c r="BN84" s="56"/>
      <c r="BO84" s="56"/>
      <c r="BP84" s="56"/>
      <c r="BQ84" s="56"/>
      <c r="BR84" s="56"/>
      <c r="BS84" s="56"/>
      <c r="BT84" s="56"/>
      <c r="BU84" s="56"/>
      <c r="BV84" s="56"/>
      <c r="BW84" s="56"/>
      <c r="BX84" s="56"/>
      <c r="BY84" s="56"/>
    </row>
    <row r="85" spans="2:77" x14ac:dyDescent="0.45">
      <c r="B85" s="69" cm="1">
        <f t="array" ref="B85">filesize(Folder&amp;Tests[[#This Row],[FileName]])</f>
        <v>4160286</v>
      </c>
      <c r="C85" s="63">
        <v>78</v>
      </c>
      <c r="D85" s="38" t="s">
        <v>379</v>
      </c>
      <c r="E85" s="37" t="s">
        <v>385</v>
      </c>
      <c r="F85" s="39" t="s">
        <v>246</v>
      </c>
      <c r="G85" s="39" t="b">
        <v>0</v>
      </c>
      <c r="H85" s="39" t="s">
        <v>246</v>
      </c>
      <c r="I85" s="39" t="s">
        <v>246</v>
      </c>
      <c r="J85" s="39" t="b">
        <v>1</v>
      </c>
      <c r="K85" s="37">
        <v>1</v>
      </c>
      <c r="L85" s="37">
        <v>1</v>
      </c>
      <c r="M85" s="37">
        <v>2</v>
      </c>
      <c r="N85" s="37">
        <v>0</v>
      </c>
      <c r="O85" s="37"/>
      <c r="P85" s="37"/>
      <c r="Q85" s="37"/>
      <c r="R85" s="37"/>
      <c r="S85" s="37" t="s">
        <v>247</v>
      </c>
      <c r="T85" s="49" t="s">
        <v>251</v>
      </c>
      <c r="U85" t="str">
        <v/>
      </c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  <c r="BD85" s="56"/>
      <c r="BE85" s="56"/>
      <c r="BF85" s="56"/>
      <c r="BG85" s="56"/>
      <c r="BH85" s="56"/>
      <c r="BI85" s="56"/>
      <c r="BJ85" s="56"/>
      <c r="BK85" s="56"/>
      <c r="BL85" s="56"/>
      <c r="BM85" s="56"/>
      <c r="BN85" s="56"/>
      <c r="BO85" s="56"/>
      <c r="BP85" s="56"/>
      <c r="BQ85" s="56"/>
      <c r="BR85" s="56"/>
      <c r="BS85" s="56"/>
      <c r="BT85" s="56"/>
      <c r="BU85" s="56"/>
      <c r="BV85" s="56"/>
      <c r="BW85" s="56"/>
      <c r="BX85" s="56"/>
      <c r="BY85" s="56"/>
    </row>
    <row r="86" spans="2:77" x14ac:dyDescent="0.45">
      <c r="B86" s="68" cm="1">
        <f t="array" ref="B86">filesize(Folder&amp;Tests[[#This Row],[FileName]])</f>
        <v>4160286</v>
      </c>
      <c r="C86" s="62">
        <v>79</v>
      </c>
      <c r="D86" s="38" t="s">
        <v>379</v>
      </c>
      <c r="E86" s="37" t="s">
        <v>385</v>
      </c>
      <c r="F86" s="39"/>
      <c r="G86" s="39" t="b">
        <v>0</v>
      </c>
      <c r="H86" s="39"/>
      <c r="I86" s="39"/>
      <c r="J86" s="39" t="b">
        <v>1</v>
      </c>
      <c r="K86" s="37">
        <v>1</v>
      </c>
      <c r="L86" s="37">
        <v>1</v>
      </c>
      <c r="M86" s="37">
        <v>0</v>
      </c>
      <c r="N86" s="37">
        <v>0</v>
      </c>
      <c r="O86" s="37"/>
      <c r="P86" s="37"/>
      <c r="Q86" s="37"/>
      <c r="R86" s="37"/>
      <c r="S86" s="37"/>
      <c r="T86" s="49" t="s">
        <v>583</v>
      </c>
      <c r="U86" t="str">
        <v/>
      </c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  <c r="BD86" s="56"/>
      <c r="BE86" s="56"/>
      <c r="BF86" s="56"/>
      <c r="BG86" s="56"/>
      <c r="BH86" s="56"/>
      <c r="BI86" s="56"/>
      <c r="BJ86" s="56"/>
      <c r="BK86" s="56"/>
      <c r="BL86" s="56"/>
      <c r="BM86" s="56"/>
      <c r="BN86" s="56"/>
      <c r="BO86" s="56"/>
      <c r="BP86" s="56"/>
      <c r="BQ86" s="56"/>
      <c r="BR86" s="56"/>
      <c r="BS86" s="56"/>
      <c r="BT86" s="56"/>
      <c r="BU86" s="56"/>
      <c r="BV86" s="56"/>
      <c r="BW86" s="56"/>
      <c r="BX86" s="56"/>
      <c r="BY86" s="56"/>
    </row>
    <row r="87" spans="2:77" x14ac:dyDescent="0.45">
      <c r="B87" s="68" cm="1">
        <f t="array" ref="B87">filesize(Folder&amp;Tests[[#This Row],[FileName]])</f>
        <v>34</v>
      </c>
      <c r="C87" s="62">
        <v>80</v>
      </c>
      <c r="D87" s="38" t="s">
        <v>303</v>
      </c>
      <c r="E87" s="37" t="b">
        <v>1</v>
      </c>
      <c r="F87" s="39" t="s">
        <v>246</v>
      </c>
      <c r="G87" s="39" t="b">
        <v>0</v>
      </c>
      <c r="H87" s="39" t="s">
        <v>246</v>
      </c>
      <c r="I87" s="39" t="s">
        <v>246</v>
      </c>
      <c r="J87" s="39" t="b">
        <v>1</v>
      </c>
      <c r="K87" s="37">
        <v>1</v>
      </c>
      <c r="L87" s="37">
        <v>1</v>
      </c>
      <c r="M87" s="37">
        <v>0</v>
      </c>
      <c r="N87" s="37">
        <v>0</v>
      </c>
      <c r="O87" s="37"/>
      <c r="P87" s="37"/>
      <c r="Q87" s="37"/>
      <c r="R87" s="37"/>
      <c r="S87" s="37" t="s">
        <v>247</v>
      </c>
      <c r="T87" s="49" t="s">
        <v>252</v>
      </c>
      <c r="U87" t="str">
        <v/>
      </c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  <c r="BD87" s="56"/>
      <c r="BE87" s="56"/>
      <c r="BF87" s="56"/>
      <c r="BG87" s="56"/>
      <c r="BH87" s="56"/>
      <c r="BI87" s="56"/>
      <c r="BJ87" s="56"/>
      <c r="BK87" s="56"/>
      <c r="BL87" s="56"/>
      <c r="BM87" s="56"/>
      <c r="BN87" s="56"/>
      <c r="BO87" s="56"/>
      <c r="BP87" s="56"/>
      <c r="BQ87" s="56"/>
      <c r="BR87" s="56"/>
      <c r="BS87" s="56"/>
      <c r="BT87" s="56"/>
      <c r="BU87" s="56"/>
      <c r="BV87" s="56"/>
      <c r="BW87" s="56"/>
      <c r="BX87" s="56"/>
      <c r="BY87" s="56"/>
    </row>
    <row r="88" spans="2:77" x14ac:dyDescent="0.45">
      <c r="B88" s="68" cm="1">
        <f t="array" ref="B88">filesize(Folder&amp;Tests[[#This Row],[FileName]])</f>
        <v>630</v>
      </c>
      <c r="C88" s="62">
        <v>81</v>
      </c>
      <c r="D88" s="48" t="s">
        <v>420</v>
      </c>
      <c r="E88" s="37" t="b">
        <v>0</v>
      </c>
      <c r="F88" s="39" t="s">
        <v>246</v>
      </c>
      <c r="G88" s="39" t="b">
        <v>0</v>
      </c>
      <c r="H88" s="39" t="s">
        <v>246</v>
      </c>
      <c r="I88" s="39" t="s">
        <v>246</v>
      </c>
      <c r="J88" s="39" t="b">
        <v>1</v>
      </c>
      <c r="K88" s="37">
        <v>3</v>
      </c>
      <c r="L88" s="37">
        <v>3</v>
      </c>
      <c r="M88" s="37">
        <v>10</v>
      </c>
      <c r="N88" s="37">
        <v>1</v>
      </c>
      <c r="O88" s="37"/>
      <c r="P88" s="37"/>
      <c r="Q88" s="37"/>
      <c r="R88" s="37"/>
      <c r="S88" s="37" t="s">
        <v>247</v>
      </c>
      <c r="T88" s="49"/>
      <c r="U88" t="str">
        <v/>
      </c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  <c r="BD88" s="56"/>
      <c r="BE88" s="56"/>
      <c r="BF88" s="56"/>
      <c r="BG88" s="56"/>
      <c r="BH88" s="56"/>
      <c r="BI88" s="56"/>
      <c r="BJ88" s="56"/>
      <c r="BK88" s="56"/>
      <c r="BL88" s="56"/>
      <c r="BM88" s="56"/>
      <c r="BN88" s="56"/>
      <c r="BO88" s="56"/>
      <c r="BP88" s="56"/>
      <c r="BQ88" s="56"/>
      <c r="BR88" s="56"/>
      <c r="BS88" s="56"/>
      <c r="BT88" s="56"/>
      <c r="BU88" s="56"/>
      <c r="BV88" s="56"/>
      <c r="BW88" s="56"/>
      <c r="BX88" s="56"/>
      <c r="BY88" s="56"/>
    </row>
    <row r="89" spans="2:77" x14ac:dyDescent="0.45">
      <c r="B89" s="68" cm="1">
        <f t="array" ref="B89">filesize(Folder&amp;Tests[[#This Row],[FileName]])</f>
        <v>630</v>
      </c>
      <c r="C89" s="62">
        <v>82</v>
      </c>
      <c r="D89" s="48" t="s">
        <v>420</v>
      </c>
      <c r="E89" s="37" t="b">
        <v>0</v>
      </c>
      <c r="F89" s="39" t="s">
        <v>246</v>
      </c>
      <c r="G89" s="39" t="b">
        <v>0</v>
      </c>
      <c r="H89" s="39" t="s">
        <v>246</v>
      </c>
      <c r="I89" s="39" t="s">
        <v>246</v>
      </c>
      <c r="J89" s="39" t="b">
        <v>1</v>
      </c>
      <c r="K89" s="37">
        <v>6</v>
      </c>
      <c r="L89" s="37">
        <v>5</v>
      </c>
      <c r="M89" s="37">
        <v>1</v>
      </c>
      <c r="N89" s="37">
        <v>8</v>
      </c>
      <c r="O89" s="37"/>
      <c r="P89" s="37"/>
      <c r="Q89" s="37"/>
      <c r="R89" s="37"/>
      <c r="S89" s="37" t="s">
        <v>247</v>
      </c>
      <c r="T89" s="49"/>
      <c r="U89" t="str">
        <v/>
      </c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  <c r="BD89" s="56"/>
      <c r="BE89" s="56"/>
      <c r="BF89" s="56"/>
      <c r="BG89" s="56"/>
      <c r="BH89" s="56"/>
      <c r="BI89" s="56"/>
      <c r="BJ89" s="56"/>
      <c r="BK89" s="56"/>
      <c r="BL89" s="56"/>
      <c r="BM89" s="56"/>
      <c r="BN89" s="56"/>
      <c r="BO89" s="56"/>
      <c r="BP89" s="56"/>
      <c r="BQ89" s="56"/>
      <c r="BR89" s="56"/>
      <c r="BS89" s="56"/>
      <c r="BT89" s="56"/>
      <c r="BU89" s="56"/>
      <c r="BV89" s="56"/>
      <c r="BW89" s="56"/>
      <c r="BX89" s="56"/>
      <c r="BY89" s="56"/>
    </row>
    <row r="90" spans="2:77" x14ac:dyDescent="0.45">
      <c r="B90" s="68" cm="1">
        <f t="array" ref="B90">filesize(Folder&amp;Tests[[#This Row],[FileName]])</f>
        <v>630</v>
      </c>
      <c r="C90" s="62">
        <v>83</v>
      </c>
      <c r="D90" s="48" t="s">
        <v>420</v>
      </c>
      <c r="E90" s="37" t="b">
        <v>0</v>
      </c>
      <c r="F90" s="39" t="s">
        <v>246</v>
      </c>
      <c r="G90" s="39" t="b">
        <v>0</v>
      </c>
      <c r="H90" s="39" t="s">
        <v>246</v>
      </c>
      <c r="I90" s="39" t="s">
        <v>246</v>
      </c>
      <c r="J90" s="39" t="b">
        <v>1</v>
      </c>
      <c r="K90" s="37">
        <v>8</v>
      </c>
      <c r="L90" s="37">
        <v>8</v>
      </c>
      <c r="M90" s="37">
        <v>4</v>
      </c>
      <c r="N90" s="37">
        <v>4</v>
      </c>
      <c r="O90" s="37"/>
      <c r="P90" s="37"/>
      <c r="Q90" s="37"/>
      <c r="R90" s="37"/>
      <c r="S90" s="37" t="s">
        <v>247</v>
      </c>
      <c r="T90" s="49"/>
      <c r="U90" t="str">
        <v/>
      </c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  <c r="BD90" s="56"/>
      <c r="BE90" s="56"/>
      <c r="BF90" s="56"/>
      <c r="BG90" s="56"/>
      <c r="BH90" s="56"/>
      <c r="BI90" s="56"/>
      <c r="BJ90" s="56"/>
      <c r="BK90" s="56"/>
      <c r="BL90" s="56"/>
      <c r="BM90" s="56"/>
      <c r="BN90" s="56"/>
      <c r="BO90" s="56"/>
      <c r="BP90" s="56"/>
      <c r="BQ90" s="56"/>
      <c r="BR90" s="56"/>
      <c r="BS90" s="56"/>
      <c r="BT90" s="56"/>
      <c r="BU90" s="56"/>
      <c r="BV90" s="56"/>
      <c r="BW90" s="56"/>
      <c r="BX90" s="56"/>
      <c r="BY90" s="56"/>
    </row>
    <row r="91" spans="2:77" x14ac:dyDescent="0.45">
      <c r="B91" s="68" cm="1">
        <f t="array" ref="B91">filesize(Folder&amp;Tests[[#This Row],[FileName]])</f>
        <v>849</v>
      </c>
      <c r="C91" s="62">
        <v>84</v>
      </c>
      <c r="D91" s="48" t="s">
        <v>421</v>
      </c>
      <c r="E91" s="37" t="b">
        <v>0</v>
      </c>
      <c r="F91" s="39" t="s">
        <v>246</v>
      </c>
      <c r="G91" s="39" t="b">
        <v>0</v>
      </c>
      <c r="H91" s="39" t="s">
        <v>246</v>
      </c>
      <c r="I91" s="39" t="s">
        <v>415</v>
      </c>
      <c r="J91" s="39" t="b">
        <v>1</v>
      </c>
      <c r="K91" s="37">
        <v>3</v>
      </c>
      <c r="L91" s="37">
        <v>3</v>
      </c>
      <c r="M91" s="37">
        <v>10</v>
      </c>
      <c r="N91" s="37">
        <v>1</v>
      </c>
      <c r="O91" s="37"/>
      <c r="P91" s="37"/>
      <c r="Q91" s="37"/>
      <c r="R91" s="37"/>
      <c r="S91" s="37" t="s">
        <v>247</v>
      </c>
      <c r="T91" s="49"/>
      <c r="U91" t="str">
        <v/>
      </c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  <c r="BD91" s="56"/>
      <c r="BE91" s="56"/>
      <c r="BF91" s="56"/>
      <c r="BG91" s="56"/>
      <c r="BH91" s="56"/>
      <c r="BI91" s="56"/>
      <c r="BJ91" s="56"/>
      <c r="BK91" s="56"/>
      <c r="BL91" s="56"/>
      <c r="BM91" s="56"/>
      <c r="BN91" s="56"/>
      <c r="BO91" s="56"/>
      <c r="BP91" s="56"/>
      <c r="BQ91" s="56"/>
      <c r="BR91" s="56"/>
      <c r="BS91" s="56"/>
      <c r="BT91" s="56"/>
      <c r="BU91" s="56"/>
      <c r="BV91" s="56"/>
      <c r="BW91" s="56"/>
      <c r="BX91" s="56"/>
      <c r="BY91" s="56"/>
    </row>
    <row r="92" spans="2:77" x14ac:dyDescent="0.45">
      <c r="B92" s="68" cm="1">
        <f t="array" ref="B92">filesize(Folder&amp;Tests[[#This Row],[FileName]])</f>
        <v>849</v>
      </c>
      <c r="C92" s="62">
        <v>85</v>
      </c>
      <c r="D92" s="48" t="s">
        <v>421</v>
      </c>
      <c r="E92" s="37" t="b">
        <v>0</v>
      </c>
      <c r="F92" s="39" t="s">
        <v>246</v>
      </c>
      <c r="G92" s="39" t="b">
        <v>0</v>
      </c>
      <c r="H92" s="39" t="s">
        <v>246</v>
      </c>
      <c r="I92" s="39" t="s">
        <v>415</v>
      </c>
      <c r="J92" s="39" t="b">
        <v>1</v>
      </c>
      <c r="K92" s="37">
        <v>6</v>
      </c>
      <c r="L92" s="37">
        <v>5</v>
      </c>
      <c r="M92" s="37">
        <v>1</v>
      </c>
      <c r="N92" s="37">
        <v>8</v>
      </c>
      <c r="O92" s="37"/>
      <c r="P92" s="37"/>
      <c r="Q92" s="37"/>
      <c r="R92" s="37"/>
      <c r="S92" s="37" t="s">
        <v>247</v>
      </c>
      <c r="T92" s="49"/>
      <c r="U92" t="str">
        <v/>
      </c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  <c r="BD92" s="56"/>
      <c r="BE92" s="56"/>
      <c r="BF92" s="56"/>
      <c r="BG92" s="56"/>
      <c r="BH92" s="56"/>
      <c r="BI92" s="56"/>
      <c r="BJ92" s="56"/>
      <c r="BK92" s="56"/>
      <c r="BL92" s="56"/>
      <c r="BM92" s="56"/>
      <c r="BN92" s="56"/>
      <c r="BO92" s="56"/>
      <c r="BP92" s="56"/>
      <c r="BQ92" s="56"/>
      <c r="BR92" s="56"/>
      <c r="BS92" s="56"/>
      <c r="BT92" s="56"/>
      <c r="BU92" s="56"/>
      <c r="BV92" s="56"/>
      <c r="BW92" s="56"/>
      <c r="BX92" s="56"/>
      <c r="BY92" s="56"/>
    </row>
    <row r="93" spans="2:77" x14ac:dyDescent="0.45">
      <c r="B93" s="68" cm="1">
        <f t="array" ref="B93">filesize(Folder&amp;Tests[[#This Row],[FileName]])</f>
        <v>849</v>
      </c>
      <c r="C93" s="62">
        <v>86</v>
      </c>
      <c r="D93" s="48" t="s">
        <v>421</v>
      </c>
      <c r="E93" s="37" t="b">
        <v>0</v>
      </c>
      <c r="F93" s="39" t="s">
        <v>246</v>
      </c>
      <c r="G93" s="39" t="b">
        <v>0</v>
      </c>
      <c r="H93" s="39" t="s">
        <v>246</v>
      </c>
      <c r="I93" s="39" t="s">
        <v>415</v>
      </c>
      <c r="J93" s="39" t="b">
        <v>1</v>
      </c>
      <c r="K93" s="37">
        <v>8</v>
      </c>
      <c r="L93" s="37">
        <v>8</v>
      </c>
      <c r="M93" s="37">
        <v>4</v>
      </c>
      <c r="N93" s="37">
        <v>4</v>
      </c>
      <c r="O93" s="37"/>
      <c r="P93" s="37"/>
      <c r="Q93" s="37"/>
      <c r="R93" s="37"/>
      <c r="S93" s="37" t="s">
        <v>247</v>
      </c>
      <c r="T93" s="49"/>
      <c r="U93" t="str">
        <v/>
      </c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  <c r="BD93" s="56"/>
      <c r="BE93" s="56"/>
      <c r="BF93" s="56"/>
      <c r="BG93" s="56"/>
      <c r="BH93" s="56"/>
      <c r="BI93" s="56"/>
      <c r="BJ93" s="56"/>
      <c r="BK93" s="56"/>
      <c r="BL93" s="56"/>
      <c r="BM93" s="56"/>
      <c r="BN93" s="56"/>
      <c r="BO93" s="56"/>
      <c r="BP93" s="56"/>
      <c r="BQ93" s="56"/>
      <c r="BR93" s="56"/>
      <c r="BS93" s="56"/>
      <c r="BT93" s="56"/>
      <c r="BU93" s="56"/>
      <c r="BV93" s="56"/>
      <c r="BW93" s="56"/>
      <c r="BX93" s="56"/>
      <c r="BY93" s="56"/>
    </row>
    <row r="94" spans="2:77" x14ac:dyDescent="0.45">
      <c r="B94" s="68" cm="1">
        <f t="array" ref="B94">filesize(Folder&amp;Tests[[#This Row],[FileName]])</f>
        <v>118</v>
      </c>
      <c r="C94" s="62">
        <v>87</v>
      </c>
      <c r="D94" s="48" t="s">
        <v>430</v>
      </c>
      <c r="E94" s="37" t="b">
        <v>1</v>
      </c>
      <c r="F94" s="39" t="s">
        <v>246</v>
      </c>
      <c r="G94" s="39" t="b">
        <v>0</v>
      </c>
      <c r="H94" s="39" t="s">
        <v>246</v>
      </c>
      <c r="I94" s="39" t="s">
        <v>246</v>
      </c>
      <c r="J94" s="39" t="b">
        <v>1</v>
      </c>
      <c r="K94" s="37">
        <v>1</v>
      </c>
      <c r="L94" s="37">
        <v>1</v>
      </c>
      <c r="M94" s="37">
        <v>0</v>
      </c>
      <c r="N94" s="37">
        <v>0</v>
      </c>
      <c r="O94" s="37"/>
      <c r="P94" s="37"/>
      <c r="Q94" s="37"/>
      <c r="R94" s="37"/>
      <c r="S94" s="37" t="s">
        <v>247</v>
      </c>
      <c r="T94" s="49"/>
      <c r="U94" t="str">
        <v/>
      </c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  <c r="BD94" s="56"/>
      <c r="BE94" s="56"/>
      <c r="BF94" s="56"/>
      <c r="BG94" s="56"/>
      <c r="BH94" s="56"/>
      <c r="BI94" s="56"/>
      <c r="BJ94" s="56"/>
      <c r="BK94" s="56"/>
      <c r="BL94" s="56"/>
      <c r="BM94" s="56"/>
      <c r="BN94" s="56"/>
      <c r="BO94" s="56"/>
      <c r="BP94" s="56"/>
      <c r="BQ94" s="56"/>
      <c r="BR94" s="56"/>
      <c r="BS94" s="56"/>
      <c r="BT94" s="56"/>
      <c r="BU94" s="56"/>
      <c r="BV94" s="56"/>
      <c r="BW94" s="56"/>
      <c r="BX94" s="56"/>
      <c r="BY94" s="56"/>
    </row>
    <row r="95" spans="2:77" x14ac:dyDescent="0.45">
      <c r="B95" s="68" cm="1">
        <f t="array" ref="B95">filesize(Folder&amp;Tests[[#This Row],[FileName]])</f>
        <v>231</v>
      </c>
      <c r="C95" s="62">
        <v>88</v>
      </c>
      <c r="D95" s="38" t="s">
        <v>434</v>
      </c>
      <c r="E95" s="37" t="b">
        <v>1</v>
      </c>
      <c r="F95" s="39" t="s">
        <v>433</v>
      </c>
      <c r="G95" s="39" t="b">
        <v>0</v>
      </c>
      <c r="H95" s="39" t="s">
        <v>246</v>
      </c>
      <c r="I95" s="39" t="s">
        <v>246</v>
      </c>
      <c r="J95" s="39" t="b">
        <v>1</v>
      </c>
      <c r="K95" s="37">
        <v>1</v>
      </c>
      <c r="L95" s="37">
        <v>1</v>
      </c>
      <c r="M95" s="37">
        <v>0</v>
      </c>
      <c r="N95" s="37">
        <v>0</v>
      </c>
      <c r="O95" s="37"/>
      <c r="P95" s="37"/>
      <c r="Q95" s="37"/>
      <c r="R95" s="37"/>
      <c r="S95" s="37" t="s">
        <v>247</v>
      </c>
      <c r="T95" s="49"/>
      <c r="U95" t="str">
        <v/>
      </c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  <c r="BD95" s="56"/>
      <c r="BE95" s="56"/>
      <c r="BF95" s="56"/>
      <c r="BG95" s="56"/>
      <c r="BH95" s="56"/>
      <c r="BI95" s="56"/>
      <c r="BJ95" s="56"/>
      <c r="BK95" s="56"/>
      <c r="BL95" s="56"/>
      <c r="BM95" s="56"/>
      <c r="BN95" s="56"/>
      <c r="BO95" s="56"/>
      <c r="BP95" s="56"/>
      <c r="BQ95" s="56"/>
      <c r="BR95" s="56"/>
      <c r="BS95" s="56"/>
      <c r="BT95" s="56"/>
      <c r="BU95" s="56"/>
      <c r="BV95" s="56"/>
      <c r="BW95" s="56"/>
      <c r="BX95" s="56"/>
      <c r="BY95" s="56"/>
    </row>
    <row r="96" spans="2:77" x14ac:dyDescent="0.45">
      <c r="B96" s="68" cm="1">
        <f t="array" ref="B96">filesize(Folder&amp;Tests[[#This Row],[FileName]])</f>
        <v>511</v>
      </c>
      <c r="C96" s="62">
        <v>89</v>
      </c>
      <c r="D96" s="38" t="s">
        <v>435</v>
      </c>
      <c r="E96" s="37" t="b">
        <v>1</v>
      </c>
      <c r="F96" s="39" t="s">
        <v>436</v>
      </c>
      <c r="G96" s="39" t="b">
        <v>1</v>
      </c>
      <c r="H96" s="39" t="s">
        <v>246</v>
      </c>
      <c r="I96" s="39" t="s">
        <v>246</v>
      </c>
      <c r="J96" s="39" t="b">
        <v>1</v>
      </c>
      <c r="K96" s="37">
        <v>1</v>
      </c>
      <c r="L96" s="37">
        <v>1</v>
      </c>
      <c r="M96" s="37">
        <v>0</v>
      </c>
      <c r="N96" s="37">
        <v>0</v>
      </c>
      <c r="O96" s="37"/>
      <c r="P96" s="37"/>
      <c r="Q96" s="37"/>
      <c r="R96" s="37"/>
      <c r="S96" s="37" t="s">
        <v>247</v>
      </c>
      <c r="T96" s="49"/>
      <c r="U96" t="str">
        <v/>
      </c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  <c r="BD96" s="56"/>
      <c r="BE96" s="56"/>
      <c r="BF96" s="56"/>
      <c r="BG96" s="56"/>
      <c r="BH96" s="56"/>
      <c r="BI96" s="56"/>
      <c r="BJ96" s="56"/>
      <c r="BK96" s="56"/>
      <c r="BL96" s="56"/>
      <c r="BM96" s="56"/>
      <c r="BN96" s="56"/>
      <c r="BO96" s="56"/>
      <c r="BP96" s="56"/>
      <c r="BQ96" s="56"/>
      <c r="BR96" s="56"/>
      <c r="BS96" s="56"/>
      <c r="BT96" s="56"/>
      <c r="BU96" s="56"/>
      <c r="BV96" s="56"/>
      <c r="BW96" s="56"/>
      <c r="BX96" s="56"/>
      <c r="BY96" s="56"/>
    </row>
    <row r="97" spans="2:77" x14ac:dyDescent="0.45">
      <c r="B97" s="68" cm="1">
        <f t="array" ref="B97">filesize(Folder&amp;Tests[[#This Row],[FileName]])</f>
        <v>0</v>
      </c>
      <c r="C97" s="62">
        <v>90</v>
      </c>
      <c r="D97" s="38" t="s">
        <v>272</v>
      </c>
      <c r="E97" s="37" t="b">
        <v>0</v>
      </c>
      <c r="F97" s="39" t="s">
        <v>246</v>
      </c>
      <c r="G97" s="39" t="b">
        <v>0</v>
      </c>
      <c r="H97" s="39" t="s">
        <v>246</v>
      </c>
      <c r="I97" s="39" t="s">
        <v>246</v>
      </c>
      <c r="J97" s="39" t="b">
        <v>1</v>
      </c>
      <c r="K97" s="37">
        <v>1</v>
      </c>
      <c r="L97" s="37">
        <v>1</v>
      </c>
      <c r="M97" s="37">
        <v>0</v>
      </c>
      <c r="N97" s="37">
        <v>0</v>
      </c>
      <c r="O97" s="37"/>
      <c r="P97" s="37"/>
      <c r="Q97" s="37"/>
      <c r="R97" s="37"/>
      <c r="S97" s="37" t="s">
        <v>247</v>
      </c>
      <c r="T97" s="49"/>
      <c r="U97" t="str">
        <v/>
      </c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  <c r="BD97" s="56"/>
      <c r="BE97" s="56"/>
      <c r="BF97" s="56"/>
      <c r="BG97" s="56"/>
      <c r="BH97" s="56"/>
      <c r="BI97" s="56"/>
      <c r="BJ97" s="56"/>
      <c r="BK97" s="56"/>
      <c r="BL97" s="56"/>
      <c r="BM97" s="56"/>
      <c r="BN97" s="56"/>
      <c r="BO97" s="56"/>
      <c r="BP97" s="56"/>
      <c r="BQ97" s="56"/>
      <c r="BR97" s="56"/>
      <c r="BS97" s="56"/>
      <c r="BT97" s="56"/>
      <c r="BU97" s="56"/>
      <c r="BV97" s="56"/>
      <c r="BW97" s="56"/>
      <c r="BX97" s="56"/>
      <c r="BY97" s="56"/>
    </row>
    <row r="98" spans="2:77" x14ac:dyDescent="0.45">
      <c r="B98" s="68" cm="1">
        <f t="array" ref="B98">filesize(Folder&amp;Tests[[#This Row],[FileName]])</f>
        <v>745568</v>
      </c>
      <c r="C98" s="62">
        <v>91</v>
      </c>
      <c r="D98" s="38" t="s">
        <v>376</v>
      </c>
      <c r="E98" s="37" t="b">
        <v>1</v>
      </c>
      <c r="F98" s="39" t="s">
        <v>246</v>
      </c>
      <c r="G98" s="39" t="b">
        <v>0</v>
      </c>
      <c r="H98" s="39" t="s">
        <v>246</v>
      </c>
      <c r="I98" s="39" t="s">
        <v>246</v>
      </c>
      <c r="J98" s="39" t="b">
        <v>1</v>
      </c>
      <c r="K98" s="37">
        <v>1</v>
      </c>
      <c r="L98" s="37">
        <v>1</v>
      </c>
      <c r="M98" s="37">
        <v>1</v>
      </c>
      <c r="N98" s="37">
        <v>0</v>
      </c>
      <c r="O98" s="37"/>
      <c r="P98" s="37"/>
      <c r="Q98" s="37"/>
      <c r="R98" s="37"/>
      <c r="S98" s="37" t="s">
        <v>247</v>
      </c>
      <c r="T98" s="49"/>
      <c r="U98" t="str">
        <v/>
      </c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56"/>
      <c r="BI98" s="56"/>
      <c r="BJ98" s="56"/>
      <c r="BK98" s="56"/>
      <c r="BL98" s="56"/>
      <c r="BM98" s="56"/>
      <c r="BN98" s="56"/>
      <c r="BO98" s="56"/>
      <c r="BP98" s="56"/>
      <c r="BQ98" s="56"/>
      <c r="BR98" s="56"/>
      <c r="BS98" s="56"/>
      <c r="BT98" s="56"/>
      <c r="BU98" s="56"/>
      <c r="BV98" s="56"/>
      <c r="BW98" s="56"/>
      <c r="BX98" s="56"/>
      <c r="BY98" s="56"/>
    </row>
    <row r="99" spans="2:77" x14ac:dyDescent="0.45">
      <c r="B99" s="68" cm="1">
        <f t="array" ref="B99">filesize(Folder&amp;Tests[[#This Row],[FileName]])</f>
        <v>10000140</v>
      </c>
      <c r="C99" s="62">
        <v>92</v>
      </c>
      <c r="D99" s="38" t="s">
        <v>381</v>
      </c>
      <c r="E99" s="37" t="s">
        <v>385</v>
      </c>
      <c r="F99" s="39" t="s">
        <v>246</v>
      </c>
      <c r="G99" s="39" t="b">
        <v>0</v>
      </c>
      <c r="H99" s="39" t="s">
        <v>246</v>
      </c>
      <c r="I99" s="39" t="s">
        <v>246</v>
      </c>
      <c r="J99" s="39" t="b">
        <v>1</v>
      </c>
      <c r="K99" s="37">
        <v>1</v>
      </c>
      <c r="L99" s="37">
        <v>1</v>
      </c>
      <c r="M99" s="37">
        <v>0</v>
      </c>
      <c r="N99" s="37">
        <v>0</v>
      </c>
      <c r="O99" s="37"/>
      <c r="P99" s="37"/>
      <c r="Q99" s="37"/>
      <c r="R99" s="37"/>
      <c r="S99" s="37" t="s">
        <v>247</v>
      </c>
      <c r="T99" s="46" t="s">
        <v>571</v>
      </c>
      <c r="U99" t="str">
        <v/>
      </c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  <c r="BD99" s="56"/>
      <c r="BE99" s="56"/>
      <c r="BF99" s="56"/>
      <c r="BG99" s="56"/>
      <c r="BH99" s="56"/>
      <c r="BI99" s="56"/>
      <c r="BJ99" s="56"/>
      <c r="BK99" s="56"/>
      <c r="BL99" s="56"/>
      <c r="BM99" s="56"/>
      <c r="BN99" s="56"/>
      <c r="BO99" s="56"/>
      <c r="BP99" s="56"/>
      <c r="BQ99" s="56"/>
      <c r="BR99" s="56"/>
      <c r="BS99" s="56"/>
      <c r="BT99" s="56"/>
      <c r="BU99" s="56"/>
      <c r="BV99" s="56"/>
      <c r="BW99" s="56"/>
      <c r="BX99" s="56"/>
      <c r="BY99" s="56"/>
    </row>
    <row r="100" spans="2:77" x14ac:dyDescent="0.45">
      <c r="B100" s="68" cm="1">
        <f t="array" ref="B100">filesize(Folder&amp;Tests[[#This Row],[FileName]])</f>
        <v>457411</v>
      </c>
      <c r="C100" s="62">
        <v>93</v>
      </c>
      <c r="D100" s="38" t="s">
        <v>374</v>
      </c>
      <c r="E100" s="37" t="b">
        <v>1</v>
      </c>
      <c r="F100" s="39" t="s">
        <v>250</v>
      </c>
      <c r="G100" s="39" t="b">
        <v>1</v>
      </c>
      <c r="H100" s="39" t="s">
        <v>246</v>
      </c>
      <c r="I100" s="39" t="s">
        <v>246</v>
      </c>
      <c r="J100" s="39" t="b">
        <v>1</v>
      </c>
      <c r="K100" s="37">
        <v>1</v>
      </c>
      <c r="L100" s="37">
        <v>1</v>
      </c>
      <c r="M100" s="37">
        <v>3</v>
      </c>
      <c r="N100" s="37">
        <v>0</v>
      </c>
      <c r="O100" s="37"/>
      <c r="P100" s="37"/>
      <c r="Q100" s="37"/>
      <c r="R100" s="37"/>
      <c r="S100" s="37" t="s">
        <v>247</v>
      </c>
      <c r="T100" s="49"/>
      <c r="U100" t="str">
        <v/>
      </c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  <c r="BD100" s="56"/>
      <c r="BE100" s="56"/>
      <c r="BF100" s="56"/>
      <c r="BG100" s="56"/>
      <c r="BH100" s="56"/>
      <c r="BI100" s="56"/>
      <c r="BJ100" s="56"/>
      <c r="BK100" s="56"/>
      <c r="BL100" s="56"/>
      <c r="BM100" s="56"/>
      <c r="BN100" s="56"/>
      <c r="BO100" s="56"/>
      <c r="BP100" s="56"/>
      <c r="BQ100" s="56"/>
      <c r="BR100" s="56"/>
      <c r="BS100" s="56"/>
      <c r="BT100" s="56"/>
      <c r="BU100" s="56"/>
      <c r="BV100" s="56"/>
      <c r="BW100" s="56"/>
      <c r="BX100" s="56"/>
      <c r="BY100" s="56"/>
    </row>
    <row r="101" spans="2:77" x14ac:dyDescent="0.45">
      <c r="B101" s="68" cm="1">
        <f t="array" ref="B101">filesize(Folder&amp;Tests[[#This Row],[FileName]])</f>
        <v>201701</v>
      </c>
      <c r="C101" s="62">
        <v>94</v>
      </c>
      <c r="D101" s="38" t="s">
        <v>369</v>
      </c>
      <c r="E101" s="37" t="b">
        <v>1</v>
      </c>
      <c r="F101" s="39" t="s">
        <v>246</v>
      </c>
      <c r="G101" s="39" t="b">
        <v>0</v>
      </c>
      <c r="H101" s="39" t="s">
        <v>482</v>
      </c>
      <c r="I101" s="39" t="s">
        <v>246</v>
      </c>
      <c r="J101" s="39" t="b">
        <v>1</v>
      </c>
      <c r="K101" s="37">
        <v>1</v>
      </c>
      <c r="L101" s="37">
        <v>1</v>
      </c>
      <c r="M101" s="37">
        <v>2</v>
      </c>
      <c r="N101" s="37">
        <v>0</v>
      </c>
      <c r="O101" s="37"/>
      <c r="P101" s="37"/>
      <c r="Q101" s="37"/>
      <c r="R101" s="37"/>
      <c r="S101" s="37" t="s">
        <v>247</v>
      </c>
      <c r="T101" s="49" t="s">
        <v>572</v>
      </c>
      <c r="U101" t="str">
        <v/>
      </c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  <c r="BD101" s="56"/>
      <c r="BE101" s="56"/>
      <c r="BF101" s="56"/>
      <c r="BG101" s="56"/>
      <c r="BH101" s="56"/>
      <c r="BI101" s="56"/>
      <c r="BJ101" s="56"/>
      <c r="BK101" s="56"/>
      <c r="BL101" s="56"/>
      <c r="BM101" s="56"/>
      <c r="BN101" s="56"/>
      <c r="BO101" s="56"/>
      <c r="BP101" s="56"/>
      <c r="BQ101" s="56"/>
      <c r="BR101" s="56"/>
      <c r="BS101" s="56"/>
      <c r="BT101" s="56"/>
      <c r="BU101" s="56"/>
      <c r="BV101" s="56"/>
      <c r="BW101" s="56"/>
      <c r="BX101" s="56"/>
      <c r="BY101" s="56"/>
    </row>
    <row r="102" spans="2:77" x14ac:dyDescent="0.45">
      <c r="B102" s="68" cm="1">
        <f t="array" ref="B102">filesize(Folder&amp;Tests[[#This Row],[FileName]])</f>
        <v>237</v>
      </c>
      <c r="C102" s="62">
        <v>95</v>
      </c>
      <c r="D102" s="61" t="s">
        <v>478</v>
      </c>
      <c r="E102" s="37" t="s">
        <v>395</v>
      </c>
      <c r="F102" s="39" t="s">
        <v>249</v>
      </c>
      <c r="G102" s="39" t="b">
        <v>0</v>
      </c>
      <c r="H102" s="39" t="s">
        <v>477</v>
      </c>
      <c r="I102" s="39"/>
      <c r="J102" s="39" t="b">
        <v>1</v>
      </c>
      <c r="K102" s="37">
        <v>1</v>
      </c>
      <c r="L102" s="37">
        <v>1</v>
      </c>
      <c r="M102" s="37">
        <v>0</v>
      </c>
      <c r="N102" s="37">
        <v>0</v>
      </c>
      <c r="O102" s="37"/>
      <c r="P102" s="37"/>
      <c r="Q102" s="37"/>
      <c r="R102" s="37"/>
      <c r="S102" s="37" t="s">
        <v>247</v>
      </c>
      <c r="T102" s="49"/>
      <c r="U102" t="str">
        <v/>
      </c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  <c r="BD102" s="56"/>
      <c r="BE102" s="56"/>
      <c r="BF102" s="56"/>
      <c r="BG102" s="56"/>
      <c r="BH102" s="56"/>
      <c r="BI102" s="56"/>
      <c r="BJ102" s="56"/>
      <c r="BK102" s="56"/>
      <c r="BL102" s="56"/>
      <c r="BM102" s="56"/>
      <c r="BN102" s="56"/>
      <c r="BO102" s="56"/>
      <c r="BP102" s="56"/>
      <c r="BQ102" s="56"/>
      <c r="BR102" s="56"/>
      <c r="BS102" s="56"/>
      <c r="BT102" s="56"/>
      <c r="BU102" s="56"/>
      <c r="BV102" s="56"/>
      <c r="BW102" s="56"/>
      <c r="BX102" s="56"/>
      <c r="BY102" s="56"/>
    </row>
    <row r="103" spans="2:77" x14ac:dyDescent="0.45">
      <c r="B103" s="68" cm="1">
        <f t="array" ref="B103">filesize(Folder&amp;Tests[[#This Row],[FileName]])</f>
        <v>237</v>
      </c>
      <c r="C103" s="62">
        <v>96</v>
      </c>
      <c r="D103" s="61" t="s">
        <v>479</v>
      </c>
      <c r="E103" s="37" t="s">
        <v>395</v>
      </c>
      <c r="F103" s="39" t="s">
        <v>249</v>
      </c>
      <c r="G103" s="39" t="b">
        <v>0</v>
      </c>
      <c r="H103" s="39" t="s">
        <v>480</v>
      </c>
      <c r="I103" s="39" t="s">
        <v>246</v>
      </c>
      <c r="J103" s="39" t="b">
        <v>1</v>
      </c>
      <c r="K103" s="37">
        <v>1</v>
      </c>
      <c r="L103" s="37">
        <v>1</v>
      </c>
      <c r="M103" s="37">
        <v>0</v>
      </c>
      <c r="N103" s="37">
        <v>0</v>
      </c>
      <c r="O103" s="37"/>
      <c r="P103" s="37"/>
      <c r="Q103" s="37"/>
      <c r="R103" s="37"/>
      <c r="S103" s="37" t="s">
        <v>247</v>
      </c>
      <c r="T103" s="49"/>
      <c r="U103" t="str">
        <v/>
      </c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  <c r="BD103" s="56"/>
      <c r="BE103" s="56"/>
      <c r="BF103" s="56"/>
      <c r="BG103" s="56"/>
      <c r="BH103" s="56"/>
      <c r="BI103" s="56"/>
      <c r="BJ103" s="56"/>
      <c r="BK103" s="56"/>
      <c r="BL103" s="56"/>
      <c r="BM103" s="56"/>
      <c r="BN103" s="56"/>
      <c r="BO103" s="56"/>
      <c r="BP103" s="56"/>
      <c r="BQ103" s="56"/>
      <c r="BR103" s="56"/>
      <c r="BS103" s="56"/>
      <c r="BT103" s="56"/>
      <c r="BU103" s="56"/>
      <c r="BV103" s="56"/>
      <c r="BW103" s="56"/>
      <c r="BX103" s="56"/>
      <c r="BY103" s="56"/>
    </row>
    <row r="104" spans="2:77" x14ac:dyDescent="0.45">
      <c r="B104" s="69" cm="1">
        <f t="array" ref="B104">filesize(Folder&amp;Tests[[#This Row],[FileName]])</f>
        <v>237</v>
      </c>
      <c r="C104" s="62">
        <v>97</v>
      </c>
      <c r="D104" s="61" t="s">
        <v>481</v>
      </c>
      <c r="E104" s="37" t="s">
        <v>395</v>
      </c>
      <c r="F104" s="39" t="s">
        <v>249</v>
      </c>
      <c r="G104" s="39" t="b">
        <v>0</v>
      </c>
      <c r="H104" s="39" t="s">
        <v>482</v>
      </c>
      <c r="I104" s="39"/>
      <c r="J104" s="39" t="b">
        <v>1</v>
      </c>
      <c r="K104" s="37">
        <v>1</v>
      </c>
      <c r="L104" s="37">
        <v>1</v>
      </c>
      <c r="M104" s="37">
        <v>0</v>
      </c>
      <c r="N104" s="37">
        <v>0</v>
      </c>
      <c r="O104" s="37"/>
      <c r="P104" s="37"/>
      <c r="Q104" s="37"/>
      <c r="R104" s="37"/>
      <c r="S104" s="37"/>
      <c r="T104" s="49"/>
      <c r="U104" t="str">
        <v/>
      </c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  <c r="BD104" s="56"/>
      <c r="BE104" s="56"/>
      <c r="BF104" s="56"/>
      <c r="BG104" s="56"/>
      <c r="BH104" s="56"/>
      <c r="BI104" s="56"/>
      <c r="BJ104" s="56"/>
      <c r="BK104" s="56"/>
      <c r="BL104" s="56"/>
      <c r="BM104" s="56"/>
      <c r="BN104" s="56"/>
      <c r="BO104" s="56"/>
      <c r="BP104" s="56"/>
      <c r="BQ104" s="56"/>
      <c r="BR104" s="56"/>
      <c r="BS104" s="56"/>
      <c r="BT104" s="56"/>
      <c r="BU104" s="56"/>
      <c r="BV104" s="56"/>
      <c r="BW104" s="56"/>
      <c r="BX104" s="56"/>
      <c r="BY104" s="56"/>
    </row>
    <row r="105" spans="2:77" x14ac:dyDescent="0.45">
      <c r="B105" s="69" cm="1">
        <f t="array" ref="B105">filesize(Folder&amp;Tests[[#This Row],[FileName]])</f>
        <v>4340</v>
      </c>
      <c r="C105" s="62">
        <v>98</v>
      </c>
      <c r="D105" s="38" t="s">
        <v>359</v>
      </c>
      <c r="E105" s="37" t="s">
        <v>385</v>
      </c>
      <c r="F105" s="39" t="s">
        <v>246</v>
      </c>
      <c r="G105" s="39" t="b">
        <v>0</v>
      </c>
      <c r="H105" s="39" t="s">
        <v>246</v>
      </c>
      <c r="I105" s="39" t="s">
        <v>246</v>
      </c>
      <c r="J105" s="39" t="b">
        <v>1</v>
      </c>
      <c r="K105" s="37">
        <v>1</v>
      </c>
      <c r="L105" s="37">
        <v>1</v>
      </c>
      <c r="M105" s="37">
        <v>10</v>
      </c>
      <c r="N105" s="37">
        <v>0</v>
      </c>
      <c r="O105" s="37"/>
      <c r="P105" s="37"/>
      <c r="Q105" s="37"/>
      <c r="R105" s="37"/>
      <c r="S105" s="37" t="s">
        <v>247</v>
      </c>
      <c r="T105" s="49"/>
      <c r="U105" t="str">
        <v/>
      </c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  <c r="BD105" s="56"/>
      <c r="BE105" s="56"/>
      <c r="BF105" s="56"/>
      <c r="BG105" s="56"/>
      <c r="BH105" s="56"/>
      <c r="BI105" s="56"/>
      <c r="BJ105" s="56"/>
      <c r="BK105" s="56"/>
      <c r="BL105" s="56"/>
      <c r="BM105" s="56"/>
      <c r="BN105" s="56"/>
      <c r="BO105" s="56"/>
      <c r="BP105" s="56"/>
      <c r="BQ105" s="56"/>
      <c r="BR105" s="56"/>
      <c r="BS105" s="56"/>
      <c r="BT105" s="56"/>
      <c r="BU105" s="56"/>
      <c r="BV105" s="56"/>
      <c r="BW105" s="56"/>
      <c r="BX105" s="56"/>
      <c r="BY105" s="56"/>
    </row>
    <row r="106" spans="2:77" x14ac:dyDescent="0.45">
      <c r="B106" s="69" cm="1">
        <f t="array" ref="B106">filesize(Folder&amp;Tests[[#This Row],[FileName]])</f>
        <v>10726</v>
      </c>
      <c r="C106" s="62">
        <v>99</v>
      </c>
      <c r="D106" s="38" t="s">
        <v>505</v>
      </c>
      <c r="E106" s="37" t="s">
        <v>395</v>
      </c>
      <c r="F106" s="39"/>
      <c r="G106" s="39" t="b">
        <v>0</v>
      </c>
      <c r="H106" s="39" t="s">
        <v>506</v>
      </c>
      <c r="I106" s="39"/>
      <c r="J106" s="39" t="b">
        <v>1</v>
      </c>
      <c r="K106" s="37">
        <v>2</v>
      </c>
      <c r="L106" s="37">
        <v>1</v>
      </c>
      <c r="M106" s="37">
        <v>0</v>
      </c>
      <c r="N106" s="37">
        <v>1</v>
      </c>
      <c r="O106" s="37"/>
      <c r="P106" s="37"/>
      <c r="Q106" s="37"/>
      <c r="R106" s="37"/>
      <c r="S106" s="37"/>
      <c r="T106" s="49"/>
      <c r="U106" t="str">
        <v/>
      </c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  <c r="BD106" s="56"/>
      <c r="BE106" s="56"/>
      <c r="BF106" s="56"/>
      <c r="BG106" s="56"/>
      <c r="BH106" s="56"/>
      <c r="BI106" s="56"/>
      <c r="BJ106" s="56"/>
      <c r="BK106" s="56"/>
      <c r="BL106" s="56"/>
      <c r="BM106" s="56"/>
      <c r="BN106" s="56"/>
      <c r="BO106" s="56"/>
      <c r="BP106" s="56"/>
      <c r="BQ106" s="56"/>
      <c r="BR106" s="56"/>
      <c r="BS106" s="56"/>
      <c r="BT106" s="56"/>
      <c r="BU106" s="56"/>
      <c r="BV106" s="56"/>
      <c r="BW106" s="56"/>
      <c r="BX106" s="56"/>
      <c r="BY106" s="56"/>
    </row>
    <row r="107" spans="2:77" x14ac:dyDescent="0.45">
      <c r="B107" s="69" cm="1">
        <f t="array" ref="B107">filesize(Folder&amp;Tests[[#This Row],[FileName]])</f>
        <v>10726</v>
      </c>
      <c r="C107" s="62">
        <v>100</v>
      </c>
      <c r="D107" s="38" t="s">
        <v>505</v>
      </c>
      <c r="E107" s="37" t="s">
        <v>395</v>
      </c>
      <c r="F107" s="39" t="s">
        <v>249</v>
      </c>
      <c r="G107" s="39" t="b">
        <v>0</v>
      </c>
      <c r="H107" s="39" t="s">
        <v>562</v>
      </c>
      <c r="I107" s="39"/>
      <c r="J107" s="39" t="b">
        <v>1</v>
      </c>
      <c r="K107" s="37">
        <v>2</v>
      </c>
      <c r="L107" s="37">
        <v>1</v>
      </c>
      <c r="M107" s="37">
        <v>0</v>
      </c>
      <c r="N107" s="37">
        <v>1</v>
      </c>
      <c r="O107" s="37"/>
      <c r="P107" s="37"/>
      <c r="Q107" s="37"/>
      <c r="R107" s="37"/>
      <c r="S107" s="37" t="s">
        <v>247</v>
      </c>
      <c r="T107" s="49"/>
      <c r="U107" t="str">
        <v/>
      </c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  <c r="BD107" s="56"/>
      <c r="BE107" s="56"/>
      <c r="BF107" s="56"/>
      <c r="BG107" s="56"/>
      <c r="BH107" s="56"/>
      <c r="BI107" s="56"/>
      <c r="BJ107" s="56"/>
      <c r="BK107" s="56"/>
      <c r="BL107" s="56"/>
      <c r="BM107" s="56"/>
      <c r="BN107" s="56"/>
      <c r="BO107" s="56"/>
      <c r="BP107" s="56"/>
      <c r="BQ107" s="56"/>
      <c r="BR107" s="56"/>
      <c r="BS107" s="56"/>
      <c r="BT107" s="56"/>
      <c r="BU107" s="56"/>
      <c r="BV107" s="56"/>
      <c r="BW107" s="56"/>
      <c r="BX107" s="56"/>
      <c r="BY107" s="56"/>
    </row>
    <row r="108" spans="2:77" x14ac:dyDescent="0.45">
      <c r="B108" s="69" cm="1">
        <f t="array" ref="B108">filesize(Folder&amp;Tests[[#This Row],[FileName]])</f>
        <v>8187</v>
      </c>
      <c r="C108" s="62">
        <v>101</v>
      </c>
      <c r="D108" s="38" t="s">
        <v>504</v>
      </c>
      <c r="E108" s="37" t="s">
        <v>395</v>
      </c>
      <c r="F108" s="39" t="s">
        <v>249</v>
      </c>
      <c r="G108" s="39" t="b">
        <v>0</v>
      </c>
      <c r="H108" s="39" t="s">
        <v>506</v>
      </c>
      <c r="I108" s="39"/>
      <c r="J108" s="39" t="b">
        <v>1</v>
      </c>
      <c r="K108" s="37">
        <v>2</v>
      </c>
      <c r="L108" s="37">
        <v>2</v>
      </c>
      <c r="M108" s="37">
        <v>0</v>
      </c>
      <c r="N108" s="37">
        <v>0</v>
      </c>
      <c r="O108" s="37"/>
      <c r="P108" s="37"/>
      <c r="Q108" s="37"/>
      <c r="R108" s="37"/>
      <c r="S108" s="37"/>
      <c r="T108" s="49"/>
      <c r="U108" t="str">
        <v/>
      </c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  <c r="BD108" s="56"/>
      <c r="BE108" s="56"/>
      <c r="BF108" s="56"/>
      <c r="BG108" s="56"/>
      <c r="BH108" s="56"/>
      <c r="BI108" s="56"/>
      <c r="BJ108" s="56"/>
      <c r="BK108" s="56"/>
      <c r="BL108" s="56"/>
      <c r="BM108" s="56"/>
      <c r="BN108" s="56"/>
      <c r="BO108" s="56"/>
      <c r="BP108" s="56"/>
      <c r="BQ108" s="56"/>
      <c r="BR108" s="56"/>
      <c r="BS108" s="56"/>
      <c r="BT108" s="56"/>
      <c r="BU108" s="56"/>
      <c r="BV108" s="56"/>
      <c r="BW108" s="56"/>
      <c r="BX108" s="56"/>
      <c r="BY108" s="56"/>
    </row>
    <row r="109" spans="2:77" x14ac:dyDescent="0.45">
      <c r="B109" s="69" cm="1">
        <f t="array" ref="B109">filesize(Folder&amp;Tests[[#This Row],[FileName]])</f>
        <v>1487</v>
      </c>
      <c r="C109" s="63">
        <v>102</v>
      </c>
      <c r="D109" s="38" t="str">
        <f>SUBSTITUTE(D107,"ISO8601",Tests[[#This Row],[DateFormat]])</f>
        <v>test_good_Y-M-D.csv</v>
      </c>
      <c r="E109" s="37" t="s">
        <v>395</v>
      </c>
      <c r="F109" s="39" t="s">
        <v>249</v>
      </c>
      <c r="G109" s="39" t="b">
        <v>0</v>
      </c>
      <c r="H109" s="39" t="s">
        <v>482</v>
      </c>
      <c r="I109" s="39"/>
      <c r="J109" s="39" t="b">
        <v>1</v>
      </c>
      <c r="K109" s="37">
        <v>2</v>
      </c>
      <c r="L109" s="37">
        <v>1</v>
      </c>
      <c r="M109" s="37">
        <v>0</v>
      </c>
      <c r="N109" s="37">
        <v>1</v>
      </c>
      <c r="O109" s="37"/>
      <c r="P109" s="37"/>
      <c r="Q109" s="37"/>
      <c r="R109" s="37"/>
      <c r="S109" s="37"/>
      <c r="T109" s="49"/>
      <c r="U109" t="str">
        <v/>
      </c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  <c r="BD109" s="56"/>
      <c r="BE109" s="56"/>
      <c r="BF109" s="56"/>
      <c r="BG109" s="56"/>
      <c r="BH109" s="56"/>
      <c r="BI109" s="56"/>
      <c r="BJ109" s="56"/>
      <c r="BK109" s="56"/>
      <c r="BL109" s="56"/>
      <c r="BM109" s="56"/>
      <c r="BN109" s="56"/>
      <c r="BO109" s="56"/>
      <c r="BP109" s="56"/>
      <c r="BQ109" s="56"/>
      <c r="BR109" s="56"/>
      <c r="BS109" s="56"/>
      <c r="BT109" s="56"/>
      <c r="BU109" s="56"/>
      <c r="BV109" s="56"/>
      <c r="BW109" s="56"/>
      <c r="BX109" s="56"/>
      <c r="BY109" s="56"/>
    </row>
    <row r="110" spans="2:77" x14ac:dyDescent="0.45">
      <c r="B110" s="69" cm="1">
        <f t="array" ref="B110">filesize(Folder&amp;Tests[[#This Row],[FileName]])</f>
        <v>36198</v>
      </c>
      <c r="C110" s="62">
        <v>103</v>
      </c>
      <c r="D110" s="38" t="str">
        <f>SUBSTITUTE(D108,"ISO8601",Tests[[#This Row],[DateFormat]])</f>
        <v>test_bad_Y-M-D.csv</v>
      </c>
      <c r="E110" s="37" t="s">
        <v>395</v>
      </c>
      <c r="F110" s="39" t="s">
        <v>249</v>
      </c>
      <c r="G110" s="39" t="b">
        <v>0</v>
      </c>
      <c r="H110" s="39" t="s">
        <v>482</v>
      </c>
      <c r="I110" s="39"/>
      <c r="J110" s="39" t="b">
        <v>1</v>
      </c>
      <c r="K110" s="37">
        <v>2</v>
      </c>
      <c r="L110" s="37">
        <v>2</v>
      </c>
      <c r="M110" s="37">
        <v>0</v>
      </c>
      <c r="N110" s="37">
        <v>0</v>
      </c>
      <c r="O110" s="37"/>
      <c r="P110" s="37"/>
      <c r="Q110" s="37"/>
      <c r="R110" s="37"/>
      <c r="S110" s="37"/>
      <c r="T110" s="49"/>
      <c r="U110" t="str">
        <v/>
      </c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  <c r="BD110" s="56"/>
      <c r="BE110" s="56"/>
      <c r="BF110" s="56"/>
      <c r="BG110" s="56"/>
      <c r="BH110" s="56"/>
      <c r="BI110" s="56"/>
      <c r="BJ110" s="56"/>
      <c r="BK110" s="56"/>
      <c r="BL110" s="56"/>
      <c r="BM110" s="56"/>
      <c r="BN110" s="56"/>
      <c r="BO110" s="56"/>
      <c r="BP110" s="56"/>
      <c r="BQ110" s="56"/>
      <c r="BR110" s="56"/>
      <c r="BS110" s="56"/>
      <c r="BT110" s="56"/>
      <c r="BU110" s="56"/>
      <c r="BV110" s="56"/>
      <c r="BW110" s="56"/>
      <c r="BX110" s="56"/>
      <c r="BY110" s="56"/>
    </row>
    <row r="111" spans="2:77" x14ac:dyDescent="0.45">
      <c r="B111" s="69" cm="1">
        <f t="array" ref="B111">filesize(Folder&amp;Tests[[#This Row],[FileName]])</f>
        <v>1487</v>
      </c>
      <c r="C111" s="63">
        <v>104</v>
      </c>
      <c r="D111" s="38" t="str">
        <f>SUBSTITUTE(D107,"ISO8601",Tests[[#This Row],[DateFormat]])</f>
        <v>test_good_D-M-Y.csv</v>
      </c>
      <c r="E111" s="37" t="s">
        <v>395</v>
      </c>
      <c r="F111" s="39" t="s">
        <v>249</v>
      </c>
      <c r="G111" s="39" t="b">
        <v>0</v>
      </c>
      <c r="H111" s="39" t="s">
        <v>477</v>
      </c>
      <c r="I111" s="39"/>
      <c r="J111" s="39" t="b">
        <v>1</v>
      </c>
      <c r="K111" s="37">
        <v>2</v>
      </c>
      <c r="L111" s="37">
        <v>1</v>
      </c>
      <c r="M111" s="37">
        <v>0</v>
      </c>
      <c r="N111" s="37">
        <v>1</v>
      </c>
      <c r="O111" s="37"/>
      <c r="P111" s="37"/>
      <c r="Q111" s="37"/>
      <c r="R111" s="37"/>
      <c r="S111" s="37"/>
      <c r="T111" s="49"/>
      <c r="U111" t="str">
        <v/>
      </c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  <c r="BD111" s="56"/>
      <c r="BE111" s="56"/>
      <c r="BF111" s="56"/>
      <c r="BG111" s="56"/>
      <c r="BH111" s="56"/>
      <c r="BI111" s="56"/>
      <c r="BJ111" s="56"/>
      <c r="BK111" s="56"/>
      <c r="BL111" s="56"/>
      <c r="BM111" s="56"/>
      <c r="BN111" s="56"/>
      <c r="BO111" s="56"/>
      <c r="BP111" s="56"/>
      <c r="BQ111" s="56"/>
      <c r="BR111" s="56"/>
      <c r="BS111" s="56"/>
      <c r="BT111" s="56"/>
      <c r="BU111" s="56"/>
      <c r="BV111" s="56"/>
      <c r="BW111" s="56"/>
      <c r="BX111" s="56"/>
      <c r="BY111" s="56"/>
    </row>
    <row r="112" spans="2:77" x14ac:dyDescent="0.45">
      <c r="B112" s="69" cm="1">
        <f t="array" ref="B112">filesize(Folder&amp;Tests[[#This Row],[FileName]])</f>
        <v>36191</v>
      </c>
      <c r="C112" s="63">
        <v>105</v>
      </c>
      <c r="D112" s="38" t="str">
        <f>SUBSTITUTE(D108,"ISO8601",Tests[[#This Row],[DateFormat]])</f>
        <v>test_bad_D-M-Y.csv</v>
      </c>
      <c r="E112" s="37" t="s">
        <v>395</v>
      </c>
      <c r="F112" s="39" t="s">
        <v>249</v>
      </c>
      <c r="G112" s="39" t="b">
        <v>0</v>
      </c>
      <c r="H112" s="39" t="s">
        <v>477</v>
      </c>
      <c r="I112" s="39"/>
      <c r="J112" s="39" t="b">
        <v>1</v>
      </c>
      <c r="K112" s="37">
        <v>2</v>
      </c>
      <c r="L112" s="37">
        <v>2</v>
      </c>
      <c r="M112" s="37">
        <v>0</v>
      </c>
      <c r="N112" s="37">
        <v>0</v>
      </c>
      <c r="O112" s="37"/>
      <c r="P112" s="37"/>
      <c r="Q112" s="37"/>
      <c r="R112" s="37"/>
      <c r="S112" s="37"/>
      <c r="T112" s="49"/>
      <c r="U112" t="str">
        <v/>
      </c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  <c r="BD112" s="56"/>
      <c r="BE112" s="56"/>
      <c r="BF112" s="56"/>
      <c r="BG112" s="56"/>
      <c r="BH112" s="56"/>
      <c r="BI112" s="56"/>
      <c r="BJ112" s="56"/>
      <c r="BK112" s="56"/>
      <c r="BL112" s="56"/>
      <c r="BM112" s="56"/>
      <c r="BN112" s="56"/>
      <c r="BO112" s="56"/>
      <c r="BP112" s="56"/>
      <c r="BQ112" s="56"/>
      <c r="BR112" s="56"/>
      <c r="BS112" s="56"/>
      <c r="BT112" s="56"/>
      <c r="BU112" s="56"/>
      <c r="BV112" s="56"/>
      <c r="BW112" s="56"/>
      <c r="BX112" s="56"/>
      <c r="BY112" s="56"/>
    </row>
    <row r="113" spans="2:77" x14ac:dyDescent="0.45">
      <c r="B113" s="69" cm="1">
        <f t="array" ref="B113">filesize(Folder&amp;Tests[[#This Row],[FileName]])</f>
        <v>1487</v>
      </c>
      <c r="C113" s="63">
        <v>106</v>
      </c>
      <c r="D113" s="38" t="str">
        <f>SUBSTITUTE(D107,"ISO8601",Tests[[#This Row],[DateFormat]])</f>
        <v>test_good_M-D-Y.csv</v>
      </c>
      <c r="E113" s="37" t="s">
        <v>395</v>
      </c>
      <c r="F113" s="39" t="s">
        <v>249</v>
      </c>
      <c r="G113" s="39" t="b">
        <v>0</v>
      </c>
      <c r="H113" s="39" t="s">
        <v>480</v>
      </c>
      <c r="I113" s="39"/>
      <c r="J113" s="39" t="b">
        <v>1</v>
      </c>
      <c r="K113" s="37">
        <v>2</v>
      </c>
      <c r="L113" s="37">
        <v>1</v>
      </c>
      <c r="M113" s="37">
        <v>0</v>
      </c>
      <c r="N113" s="37">
        <v>1</v>
      </c>
      <c r="O113" s="37"/>
      <c r="P113" s="37"/>
      <c r="Q113" s="37"/>
      <c r="R113" s="37"/>
      <c r="S113" s="37"/>
      <c r="T113" s="49"/>
      <c r="U113" t="str">
        <v/>
      </c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  <c r="BD113" s="56"/>
      <c r="BE113" s="56"/>
      <c r="BF113" s="56"/>
      <c r="BG113" s="56"/>
      <c r="BH113" s="56"/>
      <c r="BI113" s="56"/>
      <c r="BJ113" s="56"/>
      <c r="BK113" s="56"/>
      <c r="BL113" s="56"/>
      <c r="BM113" s="56"/>
      <c r="BN113" s="56"/>
      <c r="BO113" s="56"/>
      <c r="BP113" s="56"/>
      <c r="BQ113" s="56"/>
      <c r="BR113" s="56"/>
      <c r="BS113" s="56"/>
      <c r="BT113" s="56"/>
      <c r="BU113" s="56"/>
      <c r="BV113" s="56"/>
      <c r="BW113" s="56"/>
      <c r="BX113" s="56"/>
      <c r="BY113" s="56"/>
    </row>
    <row r="114" spans="2:77" x14ac:dyDescent="0.45">
      <c r="B114" s="69" cm="1">
        <f t="array" ref="B114">filesize(Folder&amp;Tests[[#This Row],[FileName]])</f>
        <v>36188</v>
      </c>
      <c r="C114" s="63">
        <v>107</v>
      </c>
      <c r="D114" s="38" t="str">
        <f>SUBSTITUTE(D108,"ISO8601",Tests[[#This Row],[DateFormat]])</f>
        <v>test_bad_M-D-Y.csv</v>
      </c>
      <c r="E114" s="37" t="s">
        <v>395</v>
      </c>
      <c r="F114" s="39" t="s">
        <v>249</v>
      </c>
      <c r="G114" s="39" t="b">
        <v>0</v>
      </c>
      <c r="H114" s="39" t="s">
        <v>480</v>
      </c>
      <c r="I114" s="39"/>
      <c r="J114" s="39" t="b">
        <v>1</v>
      </c>
      <c r="K114" s="37">
        <v>2</v>
      </c>
      <c r="L114" s="37">
        <v>2</v>
      </c>
      <c r="M114" s="37">
        <v>0</v>
      </c>
      <c r="N114" s="37">
        <v>0</v>
      </c>
      <c r="O114" s="37"/>
      <c r="P114" s="37"/>
      <c r="Q114" s="37"/>
      <c r="R114" s="37"/>
      <c r="S114" s="37"/>
      <c r="T114" s="49"/>
      <c r="U114" t="str">
        <v/>
      </c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  <c r="BD114" s="56"/>
      <c r="BE114" s="56"/>
      <c r="BF114" s="56"/>
      <c r="BG114" s="56"/>
      <c r="BH114" s="56"/>
      <c r="BI114" s="56"/>
      <c r="BJ114" s="56"/>
      <c r="BK114" s="56"/>
      <c r="BL114" s="56"/>
      <c r="BM114" s="56"/>
      <c r="BN114" s="56"/>
      <c r="BO114" s="56"/>
      <c r="BP114" s="56"/>
      <c r="BQ114" s="56"/>
      <c r="BR114" s="56"/>
      <c r="BS114" s="56"/>
      <c r="BT114" s="56"/>
      <c r="BU114" s="56"/>
      <c r="BV114" s="56"/>
      <c r="BW114" s="56"/>
      <c r="BX114" s="56"/>
      <c r="BY114" s="56"/>
    </row>
    <row r="115" spans="2:77" x14ac:dyDescent="0.45">
      <c r="B115" s="69" cm="1">
        <f t="array" ref="B115">filesize(Folder&amp;Tests[[#This Row],[FileName]])</f>
        <v>506</v>
      </c>
      <c r="C115" s="63">
        <v>108</v>
      </c>
      <c r="D115" s="38" t="s">
        <v>351</v>
      </c>
      <c r="E115" s="37" t="b">
        <v>1</v>
      </c>
      <c r="F115" s="39" t="s">
        <v>246</v>
      </c>
      <c r="G115" s="39" t="b">
        <v>0</v>
      </c>
      <c r="H115" s="39" t="s">
        <v>529</v>
      </c>
      <c r="I115" s="39" t="s">
        <v>246</v>
      </c>
      <c r="J115" s="39" t="b">
        <v>1</v>
      </c>
      <c r="K115" s="37">
        <v>1</v>
      </c>
      <c r="L115" s="37">
        <v>1</v>
      </c>
      <c r="M115" s="37">
        <v>0</v>
      </c>
      <c r="N115" s="37">
        <v>0</v>
      </c>
      <c r="O115" s="37"/>
      <c r="P115" s="37"/>
      <c r="Q115" s="37"/>
      <c r="R115" s="37"/>
      <c r="S115" s="37" t="s">
        <v>247</v>
      </c>
      <c r="T115" s="49"/>
      <c r="U115" t="str">
        <v/>
      </c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  <c r="BD115" s="56"/>
      <c r="BE115" s="56"/>
      <c r="BF115" s="56"/>
      <c r="BG115" s="56"/>
      <c r="BH115" s="56"/>
      <c r="BI115" s="56"/>
      <c r="BJ115" s="56"/>
      <c r="BK115" s="56"/>
      <c r="BL115" s="56"/>
      <c r="BM115" s="56"/>
      <c r="BN115" s="56"/>
      <c r="BO115" s="56"/>
      <c r="BP115" s="56"/>
      <c r="BQ115" s="56"/>
      <c r="BR115" s="56"/>
      <c r="BS115" s="56"/>
      <c r="BT115" s="56"/>
      <c r="BU115" s="56"/>
      <c r="BV115" s="56"/>
      <c r="BW115" s="56"/>
      <c r="BX115" s="56"/>
      <c r="BY115" s="56"/>
    </row>
    <row r="116" spans="2:77" x14ac:dyDescent="0.45">
      <c r="B116" s="69" cm="1">
        <f t="array" ref="B116">filesize(Folder&amp;Tests[[#This Row],[FileName]])</f>
        <v>32</v>
      </c>
      <c r="C116" s="63">
        <v>109</v>
      </c>
      <c r="D116" s="38" t="s">
        <v>297</v>
      </c>
      <c r="E116" s="37" t="b">
        <v>1</v>
      </c>
      <c r="F116" s="39" t="s">
        <v>246</v>
      </c>
      <c r="G116" s="39" t="b">
        <v>0</v>
      </c>
      <c r="H116" s="39" t="s">
        <v>246</v>
      </c>
      <c r="I116" s="39" t="s">
        <v>246</v>
      </c>
      <c r="J116" s="39" t="b">
        <v>1</v>
      </c>
      <c r="K116" s="37">
        <v>1</v>
      </c>
      <c r="L116" s="37">
        <v>1</v>
      </c>
      <c r="M116" s="37">
        <v>0</v>
      </c>
      <c r="N116" s="37">
        <v>0</v>
      </c>
      <c r="O116" s="37"/>
      <c r="P116" s="37"/>
      <c r="Q116" s="37"/>
      <c r="R116" s="37"/>
      <c r="S116" s="37" t="s">
        <v>247</v>
      </c>
      <c r="T116" s="49"/>
      <c r="U116" t="str">
        <v/>
      </c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  <c r="BD116" s="56"/>
      <c r="BE116" s="56"/>
      <c r="BF116" s="56"/>
      <c r="BG116" s="56"/>
      <c r="BH116" s="56"/>
      <c r="BI116" s="56"/>
      <c r="BJ116" s="56"/>
      <c r="BK116" s="56"/>
      <c r="BL116" s="56"/>
      <c r="BM116" s="56"/>
      <c r="BN116" s="56"/>
      <c r="BO116" s="56"/>
      <c r="BP116" s="56"/>
      <c r="BQ116" s="56"/>
      <c r="BR116" s="56"/>
      <c r="BS116" s="56"/>
      <c r="BT116" s="56"/>
      <c r="BU116" s="56"/>
      <c r="BV116" s="56"/>
      <c r="BW116" s="56"/>
      <c r="BX116" s="56"/>
      <c r="BY116" s="56"/>
    </row>
    <row r="117" spans="2:77" x14ac:dyDescent="0.45">
      <c r="B117" s="69" cm="1">
        <f t="array" ref="B117">filesize(Folder&amp;Tests[[#This Row],[FileName]])</f>
        <v>68</v>
      </c>
      <c r="C117" s="63">
        <v>110</v>
      </c>
      <c r="D117" s="38" t="s">
        <v>337</v>
      </c>
      <c r="E117" s="37" t="b">
        <v>1</v>
      </c>
      <c r="F117" s="39" t="s">
        <v>249</v>
      </c>
      <c r="G117" s="39" t="b">
        <v>0</v>
      </c>
      <c r="H117" s="39" t="s">
        <v>482</v>
      </c>
      <c r="I117" s="39" t="s">
        <v>246</v>
      </c>
      <c r="J117" s="39" t="b">
        <v>1</v>
      </c>
      <c r="K117" s="37">
        <v>1</v>
      </c>
      <c r="L117" s="37">
        <v>1</v>
      </c>
      <c r="M117" s="37">
        <v>0</v>
      </c>
      <c r="N117" s="37">
        <v>0</v>
      </c>
      <c r="O117" s="37"/>
      <c r="P117" s="37"/>
      <c r="Q117" s="37"/>
      <c r="R117" s="37"/>
      <c r="S117" s="37" t="s">
        <v>247</v>
      </c>
      <c r="T117" s="49" t="s">
        <v>573</v>
      </c>
      <c r="U117" t="str">
        <v/>
      </c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  <c r="BD117" s="56"/>
      <c r="BE117" s="56"/>
      <c r="BF117" s="56"/>
      <c r="BG117" s="56"/>
      <c r="BH117" s="56"/>
      <c r="BI117" s="56"/>
      <c r="BJ117" s="56"/>
      <c r="BK117" s="56"/>
      <c r="BL117" s="56"/>
      <c r="BM117" s="56"/>
      <c r="BN117" s="56"/>
      <c r="BO117" s="56"/>
      <c r="BP117" s="56"/>
      <c r="BQ117" s="56"/>
      <c r="BR117" s="56"/>
      <c r="BS117" s="56"/>
      <c r="BT117" s="56"/>
      <c r="BU117" s="56"/>
      <c r="BV117" s="56"/>
      <c r="BW117" s="56"/>
      <c r="BX117" s="56"/>
      <c r="BY117" s="56"/>
    </row>
    <row r="118" spans="2:77" x14ac:dyDescent="0.45">
      <c r="B118" s="68" cm="1">
        <f t="array" ref="B118">filesize(Folder&amp;Tests[[#This Row],[FileName]])</f>
        <v>11</v>
      </c>
      <c r="C118" s="63">
        <v>111</v>
      </c>
      <c r="D118" s="38" t="s">
        <v>279</v>
      </c>
      <c r="E118" s="37" t="b">
        <v>1</v>
      </c>
      <c r="F118" s="39" t="s">
        <v>246</v>
      </c>
      <c r="G118" s="39" t="b">
        <v>0</v>
      </c>
      <c r="H118" s="39" t="s">
        <v>246</v>
      </c>
      <c r="I118" s="39" t="s">
        <v>246</v>
      </c>
      <c r="J118" s="39" t="b">
        <v>1</v>
      </c>
      <c r="K118" s="37">
        <v>1</v>
      </c>
      <c r="L118" s="37">
        <v>1</v>
      </c>
      <c r="M118" s="37">
        <v>0</v>
      </c>
      <c r="N118" s="37">
        <v>0</v>
      </c>
      <c r="O118" s="37"/>
      <c r="P118" s="37"/>
      <c r="Q118" s="37" t="s">
        <v>501</v>
      </c>
      <c r="R118" s="37"/>
      <c r="S118" s="37" t="s">
        <v>247</v>
      </c>
      <c r="T118" s="49"/>
      <c r="U118" t="str">
        <v/>
      </c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  <c r="BD118" s="56"/>
      <c r="BE118" s="56"/>
      <c r="BF118" s="56"/>
      <c r="BG118" s="56"/>
      <c r="BH118" s="56"/>
      <c r="BI118" s="56"/>
      <c r="BJ118" s="56"/>
      <c r="BK118" s="56"/>
      <c r="BL118" s="56"/>
      <c r="BM118" s="56"/>
      <c r="BN118" s="56"/>
      <c r="BO118" s="56"/>
      <c r="BP118" s="56"/>
      <c r="BQ118" s="56"/>
      <c r="BR118" s="56"/>
      <c r="BS118" s="56"/>
      <c r="BT118" s="56"/>
      <c r="BU118" s="56"/>
      <c r="BV118" s="56"/>
      <c r="BW118" s="56"/>
      <c r="BX118" s="56"/>
      <c r="BY118" s="56"/>
    </row>
    <row r="119" spans="2:77" x14ac:dyDescent="0.45">
      <c r="B119" s="68" cm="1">
        <f t="array" ref="B119">filesize(Folder&amp;Tests[[#This Row],[FileName]])</f>
        <v>34</v>
      </c>
      <c r="C119" s="62">
        <v>112</v>
      </c>
      <c r="D119" s="38" t="s">
        <v>304</v>
      </c>
      <c r="E119" s="37" t="b">
        <v>1</v>
      </c>
      <c r="F119" s="39" t="s">
        <v>246</v>
      </c>
      <c r="G119" s="39" t="b">
        <v>0</v>
      </c>
      <c r="H119" s="39" t="s">
        <v>246</v>
      </c>
      <c r="I119" s="39" t="s">
        <v>246</v>
      </c>
      <c r="J119" s="39" t="b">
        <v>1</v>
      </c>
      <c r="K119" s="37">
        <v>1</v>
      </c>
      <c r="L119" s="37">
        <v>1</v>
      </c>
      <c r="M119" s="37">
        <v>0</v>
      </c>
      <c r="N119" s="37">
        <v>0</v>
      </c>
      <c r="O119" s="37"/>
      <c r="P119" s="37"/>
      <c r="Q119" s="37" t="s">
        <v>530</v>
      </c>
      <c r="R119" s="37"/>
      <c r="S119" s="37" t="s">
        <v>247</v>
      </c>
      <c r="T119" s="49" t="s">
        <v>253</v>
      </c>
      <c r="U119" t="str">
        <v/>
      </c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  <c r="BD119" s="56"/>
      <c r="BE119" s="56"/>
      <c r="BF119" s="56"/>
      <c r="BG119" s="56"/>
      <c r="BH119" s="56"/>
      <c r="BI119" s="56"/>
      <c r="BJ119" s="56"/>
      <c r="BK119" s="56"/>
      <c r="BL119" s="56"/>
      <c r="BM119" s="56"/>
      <c r="BN119" s="56"/>
      <c r="BO119" s="56"/>
      <c r="BP119" s="56"/>
      <c r="BQ119" s="56"/>
      <c r="BR119" s="56"/>
      <c r="BS119" s="56"/>
      <c r="BT119" s="56"/>
      <c r="BU119" s="56"/>
      <c r="BV119" s="56"/>
      <c r="BW119" s="56"/>
      <c r="BX119" s="56"/>
      <c r="BY119" s="56"/>
    </row>
    <row r="120" spans="2:77" x14ac:dyDescent="0.45">
      <c r="B120" s="68" cm="1">
        <f t="array" ref="B120">filesize(Folder&amp;Tests[[#This Row],[FileName]])</f>
        <v>5</v>
      </c>
      <c r="C120" s="62">
        <v>113</v>
      </c>
      <c r="D120" s="38" t="s">
        <v>275</v>
      </c>
      <c r="E120" s="37" t="b">
        <v>1</v>
      </c>
      <c r="F120" s="39" t="s">
        <v>246</v>
      </c>
      <c r="G120" s="39" t="b">
        <v>0</v>
      </c>
      <c r="H120" s="39" t="s">
        <v>246</v>
      </c>
      <c r="I120" s="39" t="s">
        <v>246</v>
      </c>
      <c r="J120" s="39" t="b">
        <v>1</v>
      </c>
      <c r="K120" s="37">
        <v>1</v>
      </c>
      <c r="L120" s="37">
        <v>1</v>
      </c>
      <c r="M120" s="37">
        <v>0</v>
      </c>
      <c r="N120" s="37">
        <v>0</v>
      </c>
      <c r="O120" s="37"/>
      <c r="P120" s="37"/>
      <c r="Q120" s="37"/>
      <c r="R120" s="37"/>
      <c r="S120" s="37" t="s">
        <v>247</v>
      </c>
      <c r="T120" s="49"/>
      <c r="U120" t="str">
        <v/>
      </c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  <c r="BD120" s="56"/>
      <c r="BE120" s="56"/>
      <c r="BF120" s="56"/>
      <c r="BG120" s="56"/>
      <c r="BH120" s="56"/>
      <c r="BI120" s="56"/>
      <c r="BJ120" s="56"/>
      <c r="BK120" s="56"/>
      <c r="BL120" s="56"/>
      <c r="BM120" s="56"/>
      <c r="BN120" s="56"/>
      <c r="BO120" s="56"/>
      <c r="BP120" s="56"/>
      <c r="BQ120" s="56"/>
      <c r="BR120" s="56"/>
      <c r="BS120" s="56"/>
      <c r="BT120" s="56"/>
      <c r="BU120" s="56"/>
      <c r="BV120" s="56"/>
      <c r="BW120" s="56"/>
      <c r="BX120" s="56"/>
      <c r="BY120" s="56"/>
    </row>
    <row r="121" spans="2:77" x14ac:dyDescent="0.45">
      <c r="B121" s="68" cm="1">
        <f t="array" ref="B121">filesize(Folder&amp;Tests[[#This Row],[FileName]])</f>
        <v>11</v>
      </c>
      <c r="C121" s="47">
        <v>114</v>
      </c>
      <c r="D121" s="38" t="s">
        <v>280</v>
      </c>
      <c r="E121" s="37" t="b">
        <v>1</v>
      </c>
      <c r="F121" s="39" t="s">
        <v>246</v>
      </c>
      <c r="G121" s="39" t="b">
        <v>0</v>
      </c>
      <c r="H121" s="39" t="s">
        <v>246</v>
      </c>
      <c r="I121" s="39" t="s">
        <v>246</v>
      </c>
      <c r="J121" s="39" t="b">
        <v>1</v>
      </c>
      <c r="K121" s="37">
        <v>1</v>
      </c>
      <c r="L121" s="37">
        <v>1</v>
      </c>
      <c r="M121" s="37">
        <v>0</v>
      </c>
      <c r="N121" s="37">
        <v>0</v>
      </c>
      <c r="O121" s="37"/>
      <c r="P121" s="37"/>
      <c r="Q121" s="37" t="s">
        <v>531</v>
      </c>
      <c r="R121" s="37"/>
      <c r="S121" s="37" t="s">
        <v>247</v>
      </c>
      <c r="T121" s="49"/>
      <c r="U121" t="str">
        <v/>
      </c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  <c r="BD121" s="56"/>
      <c r="BE121" s="56"/>
      <c r="BF121" s="56"/>
      <c r="BG121" s="56"/>
      <c r="BH121" s="56"/>
      <c r="BI121" s="56"/>
      <c r="BJ121" s="56"/>
      <c r="BK121" s="56"/>
      <c r="BL121" s="56"/>
      <c r="BM121" s="56"/>
      <c r="BN121" s="56"/>
      <c r="BO121" s="56"/>
      <c r="BP121" s="56"/>
      <c r="BQ121" s="56"/>
      <c r="BR121" s="56"/>
      <c r="BS121" s="56"/>
      <c r="BT121" s="56"/>
      <c r="BU121" s="56"/>
      <c r="BV121" s="56"/>
      <c r="BW121" s="56"/>
      <c r="BX121" s="56"/>
      <c r="BY121" s="56"/>
    </row>
    <row r="122" spans="2:77" x14ac:dyDescent="0.45">
      <c r="B122" s="68" cm="1">
        <f t="array" ref="B122">filesize(Folder&amp;Tests[[#This Row],[FileName]])</f>
        <v>33</v>
      </c>
      <c r="C122" s="47">
        <v>115</v>
      </c>
      <c r="D122" s="38" t="s">
        <v>299</v>
      </c>
      <c r="E122" s="37" t="b">
        <v>1</v>
      </c>
      <c r="F122" s="39" t="s">
        <v>246</v>
      </c>
      <c r="G122" s="39" t="b">
        <v>0</v>
      </c>
      <c r="H122" s="39" t="s">
        <v>246</v>
      </c>
      <c r="I122" s="39" t="s">
        <v>246</v>
      </c>
      <c r="J122" s="39" t="b">
        <v>1</v>
      </c>
      <c r="K122" s="37">
        <v>1</v>
      </c>
      <c r="L122" s="37">
        <v>1</v>
      </c>
      <c r="M122" s="37">
        <v>0</v>
      </c>
      <c r="N122" s="37">
        <v>0</v>
      </c>
      <c r="O122" s="37"/>
      <c r="P122" s="37"/>
      <c r="Q122" s="37"/>
      <c r="R122" s="37"/>
      <c r="S122" s="37" t="s">
        <v>247</v>
      </c>
      <c r="T122" s="49"/>
      <c r="U122" t="str">
        <v/>
      </c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  <c r="BD122" s="56"/>
      <c r="BE122" s="56"/>
      <c r="BF122" s="56"/>
      <c r="BG122" s="56"/>
      <c r="BH122" s="56"/>
      <c r="BI122" s="56"/>
      <c r="BJ122" s="56"/>
      <c r="BK122" s="56"/>
      <c r="BL122" s="56"/>
      <c r="BM122" s="56"/>
      <c r="BN122" s="56"/>
      <c r="BO122" s="56"/>
      <c r="BP122" s="56"/>
      <c r="BQ122" s="56"/>
      <c r="BR122" s="56"/>
      <c r="BS122" s="56"/>
      <c r="BT122" s="56"/>
      <c r="BU122" s="56"/>
      <c r="BV122" s="56"/>
      <c r="BW122" s="56"/>
      <c r="BX122" s="56"/>
      <c r="BY122" s="56"/>
    </row>
    <row r="123" spans="2:77" x14ac:dyDescent="0.45">
      <c r="B123" s="68" cm="1">
        <f t="array" ref="B123">filesize(Folder&amp;Tests[[#This Row],[FileName]])</f>
        <v>34</v>
      </c>
      <c r="C123" s="47">
        <v>116</v>
      </c>
      <c r="D123" s="38" t="s">
        <v>302</v>
      </c>
      <c r="E123" s="37" t="b">
        <v>1</v>
      </c>
      <c r="F123" s="39" t="s">
        <v>246</v>
      </c>
      <c r="G123" s="39" t="b">
        <v>0</v>
      </c>
      <c r="H123" s="39" t="s">
        <v>246</v>
      </c>
      <c r="I123" s="39" t="s">
        <v>246</v>
      </c>
      <c r="J123" s="39" t="b">
        <v>1</v>
      </c>
      <c r="K123" s="37">
        <v>1</v>
      </c>
      <c r="L123" s="37">
        <v>1</v>
      </c>
      <c r="M123" s="37">
        <v>0</v>
      </c>
      <c r="N123" s="37">
        <v>0</v>
      </c>
      <c r="O123" s="37"/>
      <c r="P123" s="37"/>
      <c r="Q123" s="37"/>
      <c r="R123" s="37"/>
      <c r="S123" s="37" t="s">
        <v>247</v>
      </c>
      <c r="T123" s="49"/>
      <c r="U123" t="str">
        <v/>
      </c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  <c r="BD123" s="56"/>
      <c r="BE123" s="56"/>
      <c r="BF123" s="56"/>
      <c r="BG123" s="56"/>
      <c r="BH123" s="56"/>
      <c r="BI123" s="56"/>
      <c r="BJ123" s="56"/>
      <c r="BK123" s="56"/>
      <c r="BL123" s="56"/>
      <c r="BM123" s="56"/>
      <c r="BN123" s="56"/>
      <c r="BO123" s="56"/>
      <c r="BP123" s="56"/>
      <c r="BQ123" s="56"/>
      <c r="BR123" s="56"/>
      <c r="BS123" s="56"/>
      <c r="BT123" s="56"/>
      <c r="BU123" s="56"/>
      <c r="BV123" s="56"/>
      <c r="BW123" s="56"/>
      <c r="BX123" s="56"/>
      <c r="BY123" s="56"/>
    </row>
    <row r="124" spans="2:77" x14ac:dyDescent="0.45">
      <c r="B124" s="68" cm="1">
        <f t="array" ref="B124">filesize(Folder&amp;Tests[[#This Row],[FileName]])</f>
        <v>6223</v>
      </c>
      <c r="C124" s="47">
        <v>117</v>
      </c>
      <c r="D124" s="38" t="s">
        <v>360</v>
      </c>
      <c r="E124" s="37" t="b">
        <v>1</v>
      </c>
      <c r="F124" s="39" t="s">
        <v>246</v>
      </c>
      <c r="G124" s="39" t="b">
        <v>0</v>
      </c>
      <c r="H124" s="39" t="s">
        <v>506</v>
      </c>
      <c r="I124" s="39" t="s">
        <v>246</v>
      </c>
      <c r="J124" s="39" t="b">
        <v>1</v>
      </c>
      <c r="K124" s="37">
        <v>1</v>
      </c>
      <c r="L124" s="37">
        <v>1</v>
      </c>
      <c r="M124" s="37">
        <v>20</v>
      </c>
      <c r="N124" s="37">
        <v>0</v>
      </c>
      <c r="O124" s="37"/>
      <c r="P124" s="37"/>
      <c r="Q124" s="37"/>
      <c r="R124" s="37"/>
      <c r="S124" s="37" t="s">
        <v>247</v>
      </c>
      <c r="T124" s="46" t="s">
        <v>574</v>
      </c>
      <c r="U124" t="str">
        <v/>
      </c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  <c r="BD124" s="56"/>
      <c r="BE124" s="56"/>
      <c r="BF124" s="56"/>
      <c r="BG124" s="56"/>
      <c r="BH124" s="56"/>
      <c r="BI124" s="56"/>
      <c r="BJ124" s="56"/>
      <c r="BK124" s="56"/>
      <c r="BL124" s="56"/>
      <c r="BM124" s="56"/>
      <c r="BN124" s="56"/>
      <c r="BO124" s="56"/>
      <c r="BP124" s="56"/>
      <c r="BQ124" s="56"/>
      <c r="BR124" s="56"/>
      <c r="BS124" s="56"/>
      <c r="BT124" s="56"/>
      <c r="BU124" s="56"/>
      <c r="BV124" s="56"/>
      <c r="BW124" s="56"/>
      <c r="BX124" s="56"/>
      <c r="BY124" s="56"/>
    </row>
    <row r="125" spans="2:77" x14ac:dyDescent="0.45">
      <c r="B125" s="68" cm="1">
        <f t="array" ref="B125">filesize(Folder&amp;Tests[[#This Row],[FileName]])</f>
        <v>97842</v>
      </c>
      <c r="C125" s="47">
        <v>118</v>
      </c>
      <c r="D125" s="38" t="s">
        <v>364</v>
      </c>
      <c r="E125" s="37" t="b">
        <v>0</v>
      </c>
      <c r="F125" s="39" t="s">
        <v>246</v>
      </c>
      <c r="G125" s="39" t="b">
        <v>0</v>
      </c>
      <c r="H125" s="39" t="s">
        <v>246</v>
      </c>
      <c r="I125" s="39" t="s">
        <v>246</v>
      </c>
      <c r="J125" s="39" t="b">
        <v>1</v>
      </c>
      <c r="K125" s="37">
        <v>5112</v>
      </c>
      <c r="L125" s="37">
        <v>1</v>
      </c>
      <c r="M125" s="37">
        <v>3</v>
      </c>
      <c r="N125" s="37">
        <v>0</v>
      </c>
      <c r="O125" s="37"/>
      <c r="P125" s="37"/>
      <c r="Q125" s="37"/>
      <c r="R125" s="37"/>
      <c r="S125" s="37" t="s">
        <v>247</v>
      </c>
      <c r="T125" s="46" t="s">
        <v>575</v>
      </c>
      <c r="U125" t="str">
        <v/>
      </c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  <c r="BD125" s="56"/>
      <c r="BE125" s="56"/>
      <c r="BF125" s="56"/>
      <c r="BG125" s="56"/>
      <c r="BH125" s="56"/>
      <c r="BI125" s="56"/>
      <c r="BJ125" s="56"/>
      <c r="BK125" s="56"/>
      <c r="BL125" s="56"/>
      <c r="BM125" s="56"/>
      <c r="BN125" s="56"/>
      <c r="BO125" s="56"/>
      <c r="BP125" s="56"/>
      <c r="BQ125" s="56"/>
      <c r="BR125" s="56"/>
      <c r="BS125" s="56"/>
      <c r="BT125" s="56"/>
      <c r="BU125" s="56"/>
      <c r="BV125" s="56"/>
      <c r="BW125" s="56"/>
      <c r="BX125" s="56"/>
      <c r="BY125" s="56"/>
    </row>
    <row r="126" spans="2:77" x14ac:dyDescent="0.45">
      <c r="B126" s="68" cm="1">
        <f t="array" ref="B126">filesize(Folder&amp;Tests[[#This Row],[FileName]])</f>
        <v>113183</v>
      </c>
      <c r="C126" s="47">
        <v>119</v>
      </c>
      <c r="D126" s="38" t="s">
        <v>365</v>
      </c>
      <c r="E126" s="37" t="b">
        <v>1</v>
      </c>
      <c r="F126" s="39" t="s">
        <v>246</v>
      </c>
      <c r="G126" s="39" t="b">
        <v>0</v>
      </c>
      <c r="H126" s="39" t="s">
        <v>246</v>
      </c>
      <c r="I126" s="39" t="s">
        <v>246</v>
      </c>
      <c r="J126" s="39" t="b">
        <v>1</v>
      </c>
      <c r="K126" s="37">
        <v>1</v>
      </c>
      <c r="L126" s="37">
        <v>1</v>
      </c>
      <c r="M126" s="37">
        <v>0</v>
      </c>
      <c r="N126" s="37">
        <v>0</v>
      </c>
      <c r="O126" s="37"/>
      <c r="P126" s="37"/>
      <c r="Q126" s="37"/>
      <c r="R126" s="37"/>
      <c r="S126" s="37" t="s">
        <v>247</v>
      </c>
      <c r="T126" s="49"/>
      <c r="U126" t="str">
        <v/>
      </c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  <c r="BD126" s="56"/>
      <c r="BE126" s="56"/>
      <c r="BF126" s="56"/>
      <c r="BG126" s="56"/>
      <c r="BH126" s="56"/>
      <c r="BI126" s="56"/>
      <c r="BJ126" s="56"/>
      <c r="BK126" s="56"/>
      <c r="BL126" s="56"/>
      <c r="BM126" s="56"/>
      <c r="BN126" s="56"/>
      <c r="BO126" s="56"/>
      <c r="BP126" s="56"/>
      <c r="BQ126" s="56"/>
      <c r="BR126" s="56"/>
      <c r="BS126" s="56"/>
      <c r="BT126" s="56"/>
      <c r="BU126" s="56"/>
      <c r="BV126" s="56"/>
      <c r="BW126" s="56"/>
      <c r="BX126" s="56"/>
      <c r="BY126" s="56"/>
    </row>
    <row r="127" spans="2:77" x14ac:dyDescent="0.45">
      <c r="B127" s="68" cm="1">
        <f t="array" ref="B127">filesize(Folder&amp;Tests[[#This Row],[FileName]])</f>
        <v>20520</v>
      </c>
      <c r="C127" s="47">
        <v>120</v>
      </c>
      <c r="D127" s="38" t="s">
        <v>361</v>
      </c>
      <c r="E127" s="37" t="b">
        <v>1</v>
      </c>
      <c r="F127" s="39" t="s">
        <v>246</v>
      </c>
      <c r="G127" s="39" t="b">
        <v>0</v>
      </c>
      <c r="H127" s="39" t="s">
        <v>246</v>
      </c>
      <c r="I127" s="39" t="s">
        <v>246</v>
      </c>
      <c r="J127" s="39" t="b">
        <v>1</v>
      </c>
      <c r="K127" s="37">
        <v>1</v>
      </c>
      <c r="L127" s="37">
        <v>1</v>
      </c>
      <c r="M127" s="37">
        <v>0</v>
      </c>
      <c r="N127" s="37">
        <v>0</v>
      </c>
      <c r="O127" s="37"/>
      <c r="P127" s="37"/>
      <c r="Q127" s="37"/>
      <c r="R127" s="37"/>
      <c r="S127" s="37" t="s">
        <v>247</v>
      </c>
      <c r="T127" s="49" t="s">
        <v>576</v>
      </c>
      <c r="U127" t="str">
        <v/>
      </c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  <c r="BD127" s="56"/>
      <c r="BE127" s="56"/>
      <c r="BF127" s="56"/>
      <c r="BG127" s="56"/>
      <c r="BH127" s="56"/>
      <c r="BI127" s="56"/>
      <c r="BJ127" s="56"/>
      <c r="BK127" s="56"/>
      <c r="BL127" s="56"/>
      <c r="BM127" s="56"/>
      <c r="BN127" s="56"/>
      <c r="BO127" s="56"/>
      <c r="BP127" s="56"/>
      <c r="BQ127" s="56"/>
      <c r="BR127" s="56"/>
      <c r="BS127" s="56"/>
      <c r="BT127" s="56"/>
      <c r="BU127" s="56"/>
      <c r="BV127" s="56"/>
      <c r="BW127" s="56"/>
      <c r="BX127" s="56"/>
      <c r="BY127" s="56"/>
    </row>
    <row r="128" spans="2:77" x14ac:dyDescent="0.45">
      <c r="B128" s="68" cm="1">
        <f t="array" ref="B128">filesize(Folder&amp;Tests[[#This Row],[FileName]])</f>
        <v>123637</v>
      </c>
      <c r="C128" s="62">
        <v>121</v>
      </c>
      <c r="D128" s="38" t="s">
        <v>366</v>
      </c>
      <c r="E128" s="37" t="b">
        <v>1</v>
      </c>
      <c r="F128" s="39" t="s">
        <v>246</v>
      </c>
      <c r="G128" s="39" t="b">
        <v>0</v>
      </c>
      <c r="H128" s="39" t="s">
        <v>529</v>
      </c>
      <c r="I128" s="39" t="s">
        <v>246</v>
      </c>
      <c r="J128" s="39" t="b">
        <v>1</v>
      </c>
      <c r="K128" s="37">
        <v>1</v>
      </c>
      <c r="L128" s="37">
        <v>1</v>
      </c>
      <c r="M128" s="37">
        <v>20</v>
      </c>
      <c r="N128" s="37">
        <v>0</v>
      </c>
      <c r="O128" s="37"/>
      <c r="P128" s="37"/>
      <c r="Q128" s="37"/>
      <c r="R128" s="37"/>
      <c r="S128" s="37" t="s">
        <v>247</v>
      </c>
      <c r="T128" s="49"/>
      <c r="U128" t="str">
        <v/>
      </c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  <c r="BD128" s="56"/>
      <c r="BE128" s="56"/>
      <c r="BF128" s="56"/>
      <c r="BG128" s="56"/>
      <c r="BH128" s="56"/>
      <c r="BI128" s="56"/>
      <c r="BJ128" s="56"/>
      <c r="BK128" s="56"/>
      <c r="BL128" s="56"/>
      <c r="BM128" s="56"/>
      <c r="BN128" s="56"/>
      <c r="BO128" s="56"/>
      <c r="BP128" s="56"/>
      <c r="BQ128" s="56"/>
      <c r="BR128" s="56"/>
      <c r="BS128" s="56"/>
      <c r="BT128" s="56"/>
      <c r="BU128" s="56"/>
      <c r="BV128" s="56"/>
      <c r="BW128" s="56"/>
      <c r="BX128" s="56"/>
      <c r="BY128" s="56"/>
    </row>
    <row r="129" spans="2:77" x14ac:dyDescent="0.45">
      <c r="B129" s="68" cm="1">
        <f t="array" ref="B129">filesize(Folder&amp;Tests[[#This Row],[FileName]])</f>
        <v>253983</v>
      </c>
      <c r="C129" s="62">
        <v>122</v>
      </c>
      <c r="D129" s="38" t="s">
        <v>371</v>
      </c>
      <c r="E129" s="37" t="b">
        <v>1</v>
      </c>
      <c r="F129" s="39" t="s">
        <v>246</v>
      </c>
      <c r="G129" s="39" t="b">
        <v>0</v>
      </c>
      <c r="H129" s="39" t="s">
        <v>246</v>
      </c>
      <c r="I129" s="39" t="s">
        <v>246</v>
      </c>
      <c r="J129" s="39" t="b">
        <v>1</v>
      </c>
      <c r="K129" s="37">
        <v>1</v>
      </c>
      <c r="L129" s="37">
        <v>1</v>
      </c>
      <c r="M129" s="37">
        <v>0</v>
      </c>
      <c r="N129" s="37">
        <v>0</v>
      </c>
      <c r="O129" s="37"/>
      <c r="P129" s="37"/>
      <c r="Q129" s="37"/>
      <c r="R129" s="37"/>
      <c r="S129" s="37" t="s">
        <v>247</v>
      </c>
      <c r="T129" s="46" t="s">
        <v>382</v>
      </c>
      <c r="U129" t="str">
        <v/>
      </c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  <c r="BD129" s="56"/>
      <c r="BE129" s="56"/>
      <c r="BF129" s="56"/>
      <c r="BG129" s="56"/>
      <c r="BH129" s="56"/>
      <c r="BI129" s="56"/>
      <c r="BJ129" s="56"/>
      <c r="BK129" s="56"/>
      <c r="BL129" s="56"/>
      <c r="BM129" s="56"/>
      <c r="BN129" s="56"/>
      <c r="BO129" s="56"/>
      <c r="BP129" s="56"/>
      <c r="BQ129" s="56"/>
      <c r="BR129" s="56"/>
      <c r="BS129" s="56"/>
      <c r="BT129" s="56"/>
      <c r="BU129" s="56"/>
      <c r="BV129" s="56"/>
      <c r="BW129" s="56"/>
      <c r="BX129" s="56"/>
      <c r="BY129" s="56"/>
    </row>
    <row r="130" spans="2:77" x14ac:dyDescent="0.45">
      <c r="B130" s="68" cm="1">
        <f t="array" ref="B130">filesize(Folder&amp;Tests[[#This Row],[FileName]])</f>
        <v>793574</v>
      </c>
      <c r="C130" s="62">
        <v>123</v>
      </c>
      <c r="D130" s="38" t="s">
        <v>377</v>
      </c>
      <c r="E130" s="37" t="b">
        <v>1</v>
      </c>
      <c r="F130" s="39" t="s">
        <v>246</v>
      </c>
      <c r="G130" s="39" t="b">
        <v>0</v>
      </c>
      <c r="H130" s="39" t="s">
        <v>529</v>
      </c>
      <c r="I130" s="39" t="s">
        <v>246</v>
      </c>
      <c r="J130" s="39" t="b">
        <v>1</v>
      </c>
      <c r="K130" s="37">
        <v>7580</v>
      </c>
      <c r="L130" s="37">
        <v>1</v>
      </c>
      <c r="M130" s="37">
        <v>0</v>
      </c>
      <c r="N130" s="37">
        <v>0</v>
      </c>
      <c r="O130" s="37"/>
      <c r="P130" s="37"/>
      <c r="Q130" s="37"/>
      <c r="R130" s="37"/>
      <c r="S130" s="37" t="s">
        <v>247</v>
      </c>
      <c r="T130" s="49"/>
      <c r="U130" t="str">
        <v/>
      </c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  <c r="BD130" s="56"/>
      <c r="BE130" s="56"/>
      <c r="BF130" s="56"/>
      <c r="BG130" s="56"/>
      <c r="BH130" s="56"/>
      <c r="BI130" s="56"/>
      <c r="BJ130" s="56"/>
      <c r="BK130" s="56"/>
      <c r="BL130" s="56"/>
      <c r="BM130" s="56"/>
      <c r="BN130" s="56"/>
      <c r="BO130" s="56"/>
      <c r="BP130" s="56"/>
      <c r="BQ130" s="56"/>
      <c r="BR130" s="56"/>
      <c r="BS130" s="56"/>
      <c r="BT130" s="56"/>
      <c r="BU130" s="56"/>
      <c r="BV130" s="56"/>
      <c r="BW130" s="56"/>
      <c r="BX130" s="56"/>
      <c r="BY130" s="56"/>
    </row>
    <row r="131" spans="2:77" x14ac:dyDescent="0.45">
      <c r="B131" s="68" cm="1">
        <f t="array" ref="B131">filesize(Folder&amp;Tests[[#This Row],[FileName]])</f>
        <v>26</v>
      </c>
      <c r="C131" s="62">
        <v>124</v>
      </c>
      <c r="D131" s="38" t="s">
        <v>541</v>
      </c>
      <c r="E131" s="37" t="b">
        <v>0</v>
      </c>
      <c r="F131" s="39"/>
      <c r="G131" s="39" t="b">
        <v>0</v>
      </c>
      <c r="H131" s="39"/>
      <c r="I131" s="39"/>
      <c r="J131" s="39" t="b">
        <v>1</v>
      </c>
      <c r="K131" s="37">
        <v>1</v>
      </c>
      <c r="L131" s="37">
        <v>1</v>
      </c>
      <c r="M131" s="37">
        <v>0</v>
      </c>
      <c r="N131" s="37">
        <v>0</v>
      </c>
      <c r="O131" s="37"/>
      <c r="P131" s="37"/>
      <c r="Q131" s="37"/>
      <c r="R131" s="37"/>
      <c r="S131" s="37"/>
      <c r="T131" s="49"/>
      <c r="U131" t="str">
        <v/>
      </c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  <c r="BD131" s="56"/>
      <c r="BE131" s="56"/>
      <c r="BF131" s="56"/>
      <c r="BG131" s="56"/>
      <c r="BH131" s="56"/>
      <c r="BI131" s="56"/>
      <c r="BJ131" s="56"/>
      <c r="BK131" s="56"/>
      <c r="BL131" s="56"/>
      <c r="BM131" s="56"/>
      <c r="BN131" s="56"/>
      <c r="BO131" s="56"/>
      <c r="BP131" s="56"/>
      <c r="BQ131" s="56"/>
      <c r="BR131" s="56"/>
      <c r="BS131" s="56"/>
      <c r="BT131" s="56"/>
      <c r="BU131" s="56"/>
      <c r="BV131" s="56"/>
      <c r="BW131" s="56"/>
      <c r="BX131" s="56"/>
      <c r="BY131" s="56"/>
    </row>
    <row r="132" spans="2:77" x14ac:dyDescent="0.45">
      <c r="B132" s="68" cm="1">
        <f t="array" ref="B132">filesize(Folder&amp;Tests[[#This Row],[FileName]])</f>
        <v>33</v>
      </c>
      <c r="C132" s="62">
        <v>125</v>
      </c>
      <c r="D132" s="38" t="s">
        <v>545</v>
      </c>
      <c r="E132" s="37" t="b">
        <v>1</v>
      </c>
      <c r="F132" s="39"/>
      <c r="G132" s="39" t="b">
        <v>0</v>
      </c>
      <c r="H132" s="39"/>
      <c r="I132" s="39"/>
      <c r="J132" s="39" t="b">
        <v>1</v>
      </c>
      <c r="K132" s="37">
        <v>1</v>
      </c>
      <c r="L132" s="37">
        <v>1</v>
      </c>
      <c r="M132" s="37">
        <v>5</v>
      </c>
      <c r="N132" s="37">
        <v>4</v>
      </c>
      <c r="O132" s="37"/>
      <c r="P132" s="37"/>
      <c r="Q132" s="37"/>
      <c r="R132" s="37"/>
      <c r="S132" s="37"/>
      <c r="T132" s="49"/>
      <c r="U132" t="str">
        <v/>
      </c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  <c r="BD132" s="56"/>
      <c r="BE132" s="56"/>
      <c r="BF132" s="56"/>
      <c r="BG132" s="56"/>
      <c r="BH132" s="56"/>
      <c r="BI132" s="56"/>
      <c r="BJ132" s="56"/>
      <c r="BK132" s="56"/>
      <c r="BL132" s="56"/>
      <c r="BM132" s="56"/>
      <c r="BN132" s="56"/>
      <c r="BO132" s="56"/>
      <c r="BP132" s="56"/>
      <c r="BQ132" s="56"/>
      <c r="BR132" s="56"/>
      <c r="BS132" s="56"/>
      <c r="BT132" s="56"/>
      <c r="BU132" s="56"/>
      <c r="BV132" s="56"/>
      <c r="BW132" s="56"/>
      <c r="BX132" s="56"/>
      <c r="BY132" s="56"/>
    </row>
    <row r="133" spans="2:77" x14ac:dyDescent="0.45">
      <c r="B133" s="69" cm="1">
        <f t="array" ref="B133">filesize(Folder&amp;Tests[[#This Row],[FileName]])</f>
        <v>33</v>
      </c>
      <c r="C133" s="62">
        <v>126</v>
      </c>
      <c r="D133" s="38" t="s">
        <v>546</v>
      </c>
      <c r="E133" s="37" t="b">
        <v>0</v>
      </c>
      <c r="F133" s="39" t="b">
        <v>0</v>
      </c>
      <c r="G133" s="39" t="b">
        <v>0</v>
      </c>
      <c r="H133" s="39"/>
      <c r="I133" s="39"/>
      <c r="J133" s="39" t="b">
        <v>1</v>
      </c>
      <c r="K133" s="37">
        <v>1</v>
      </c>
      <c r="L133" s="37">
        <v>1</v>
      </c>
      <c r="M133" s="37">
        <v>0</v>
      </c>
      <c r="N133" s="37">
        <v>0</v>
      </c>
      <c r="O133" s="37"/>
      <c r="P133" s="37"/>
      <c r="Q133" s="37"/>
      <c r="R133" s="37"/>
      <c r="S133" s="37"/>
      <c r="T133" s="49"/>
      <c r="U133" t="str">
        <v/>
      </c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  <c r="BD133" s="56"/>
      <c r="BE133" s="56"/>
      <c r="BF133" s="56"/>
      <c r="BG133" s="56"/>
      <c r="BH133" s="56"/>
      <c r="BI133" s="56"/>
      <c r="BJ133" s="56"/>
      <c r="BK133" s="56"/>
      <c r="BL133" s="56"/>
      <c r="BM133" s="56"/>
      <c r="BN133" s="56"/>
      <c r="BO133" s="56"/>
      <c r="BP133" s="56"/>
      <c r="BQ133" s="56"/>
      <c r="BR133" s="56"/>
      <c r="BS133" s="56"/>
      <c r="BT133" s="56"/>
      <c r="BU133" s="56"/>
      <c r="BV133" s="56"/>
      <c r="BW133" s="56"/>
      <c r="BX133" s="56"/>
      <c r="BY133" s="56"/>
    </row>
    <row r="134" spans="2:77" x14ac:dyDescent="0.45">
      <c r="B134" s="69" cm="1">
        <f t="array" ref="B134">filesize(Folder&amp;Tests[[#This Row],[FileName]])</f>
        <v>33</v>
      </c>
      <c r="C134" s="62">
        <v>127</v>
      </c>
      <c r="D134" s="38" t="s">
        <v>546</v>
      </c>
      <c r="E134" s="37" t="b">
        <v>0</v>
      </c>
      <c r="F134" s="39"/>
      <c r="G134" s="39" t="b">
        <v>0</v>
      </c>
      <c r="H134" s="39"/>
      <c r="I134" s="39"/>
      <c r="J134" s="39" t="b">
        <v>1</v>
      </c>
      <c r="K134" s="37">
        <v>1</v>
      </c>
      <c r="L134" s="37">
        <v>1</v>
      </c>
      <c r="M134" s="37">
        <v>0</v>
      </c>
      <c r="N134" s="37">
        <v>0</v>
      </c>
      <c r="O134" s="37"/>
      <c r="P134" s="37"/>
      <c r="Q134" s="37"/>
      <c r="R134" s="37"/>
      <c r="S134" s="37"/>
      <c r="T134" s="49"/>
      <c r="U134" t="str">
        <v/>
      </c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  <c r="BD134" s="56"/>
      <c r="BE134" s="56"/>
      <c r="BF134" s="56"/>
      <c r="BG134" s="56"/>
      <c r="BH134" s="56"/>
      <c r="BI134" s="56"/>
      <c r="BJ134" s="56"/>
      <c r="BK134" s="56"/>
      <c r="BL134" s="56"/>
      <c r="BM134" s="56"/>
      <c r="BN134" s="56"/>
      <c r="BO134" s="56"/>
      <c r="BP134" s="56"/>
      <c r="BQ134" s="56"/>
      <c r="BR134" s="56"/>
      <c r="BS134" s="56"/>
      <c r="BT134" s="56"/>
      <c r="BU134" s="56"/>
      <c r="BV134" s="56"/>
      <c r="BW134" s="56"/>
      <c r="BX134" s="56"/>
      <c r="BY134" s="56"/>
    </row>
    <row r="135" spans="2:77" x14ac:dyDescent="0.45">
      <c r="B135" s="69" cm="1">
        <f t="array" ref="B135">filesize(Folder&amp;Tests[[#This Row],[FileName]])</f>
        <v>8215444</v>
      </c>
      <c r="C135" s="63">
        <v>128</v>
      </c>
      <c r="D135" s="38" t="s">
        <v>380</v>
      </c>
      <c r="E135" s="37" t="s">
        <v>385</v>
      </c>
      <c r="F135" s="39" t="s">
        <v>246</v>
      </c>
      <c r="G135" s="39" t="b">
        <v>0</v>
      </c>
      <c r="H135" s="39" t="s">
        <v>246</v>
      </c>
      <c r="I135" s="39" t="s">
        <v>246</v>
      </c>
      <c r="J135" s="39" t="b">
        <v>1</v>
      </c>
      <c r="K135" s="37">
        <v>1</v>
      </c>
      <c r="L135" s="37">
        <v>1</v>
      </c>
      <c r="M135" s="37">
        <v>0</v>
      </c>
      <c r="N135" s="37">
        <v>0</v>
      </c>
      <c r="O135" s="37"/>
      <c r="P135" s="37"/>
      <c r="Q135" s="37"/>
      <c r="R135" s="37"/>
      <c r="S135" s="37" t="s">
        <v>247</v>
      </c>
      <c r="T135" s="49"/>
      <c r="U135" t="str">
        <v/>
      </c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  <c r="BD135" s="56"/>
      <c r="BE135" s="56"/>
      <c r="BF135" s="56"/>
      <c r="BG135" s="56"/>
      <c r="BH135" s="56"/>
      <c r="BI135" s="56"/>
      <c r="BJ135" s="56"/>
      <c r="BK135" s="56"/>
      <c r="BL135" s="56"/>
      <c r="BM135" s="56"/>
      <c r="BN135" s="56"/>
      <c r="BO135" s="56"/>
      <c r="BP135" s="56"/>
      <c r="BQ135" s="56"/>
      <c r="BR135" s="56"/>
      <c r="BS135" s="56"/>
      <c r="BT135" s="56"/>
      <c r="BU135" s="56"/>
      <c r="BV135" s="56"/>
      <c r="BW135" s="56"/>
      <c r="BX135" s="56"/>
      <c r="BY135" s="56"/>
    </row>
    <row r="136" spans="2:77" x14ac:dyDescent="0.45">
      <c r="B136" s="69" cm="1">
        <f t="array" ref="B136">filesize(Folder&amp;Tests[[#This Row],[FileName]])</f>
        <v>295054</v>
      </c>
      <c r="C136" s="63">
        <v>129</v>
      </c>
      <c r="D136" s="38" t="s">
        <v>373</v>
      </c>
      <c r="E136" s="37" t="b">
        <v>1</v>
      </c>
      <c r="F136" s="39" t="s">
        <v>246</v>
      </c>
      <c r="G136" s="39" t="b">
        <v>0</v>
      </c>
      <c r="H136" s="39" t="s">
        <v>506</v>
      </c>
      <c r="I136" s="39" t="s">
        <v>246</v>
      </c>
      <c r="J136" s="39" t="b">
        <v>1</v>
      </c>
      <c r="K136" s="37">
        <v>1</v>
      </c>
      <c r="L136" s="37">
        <v>1</v>
      </c>
      <c r="M136" s="37">
        <v>2</v>
      </c>
      <c r="N136" s="37">
        <v>0</v>
      </c>
      <c r="O136" s="37"/>
      <c r="P136" s="37"/>
      <c r="Q136" s="37"/>
      <c r="R136" s="37"/>
      <c r="S136" s="37" t="s">
        <v>247</v>
      </c>
      <c r="T136" s="49"/>
      <c r="U136" t="str">
        <v/>
      </c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  <c r="BD136" s="56"/>
      <c r="BE136" s="56"/>
      <c r="BF136" s="56"/>
      <c r="BG136" s="56"/>
      <c r="BH136" s="56"/>
      <c r="BI136" s="56"/>
      <c r="BJ136" s="56"/>
      <c r="BK136" s="56"/>
      <c r="BL136" s="56"/>
      <c r="BM136" s="56"/>
      <c r="BN136" s="56"/>
      <c r="BO136" s="56"/>
      <c r="BP136" s="56"/>
      <c r="BQ136" s="56"/>
      <c r="BR136" s="56"/>
      <c r="BS136" s="56"/>
      <c r="BT136" s="56"/>
      <c r="BU136" s="56"/>
      <c r="BV136" s="56"/>
      <c r="BW136" s="56"/>
      <c r="BX136" s="56"/>
      <c r="BY136" s="56"/>
    </row>
    <row r="137" spans="2:77" x14ac:dyDescent="0.45">
      <c r="B137" s="68" cm="1">
        <f t="array" ref="B137">filesize(Folder&amp;Tests[[#This Row],[FileName]])</f>
        <v>295054</v>
      </c>
      <c r="C137" s="62">
        <v>130</v>
      </c>
      <c r="D137" s="38" t="s">
        <v>373</v>
      </c>
      <c r="E137" s="37" t="b">
        <v>0</v>
      </c>
      <c r="F137" s="39"/>
      <c r="G137" s="39" t="b">
        <v>0</v>
      </c>
      <c r="H137" s="39"/>
      <c r="I137" s="39"/>
      <c r="J137" s="39" t="b">
        <v>1</v>
      </c>
      <c r="K137" s="37">
        <v>1</v>
      </c>
      <c r="L137" s="37">
        <v>1</v>
      </c>
      <c r="M137" s="37">
        <v>0</v>
      </c>
      <c r="N137" s="37">
        <v>0</v>
      </c>
      <c r="O137" s="37"/>
      <c r="P137" s="37"/>
      <c r="Q137" s="37"/>
      <c r="R137" s="37"/>
      <c r="S137" s="37"/>
      <c r="T137" s="49"/>
      <c r="U137" t="str">
        <v/>
      </c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  <c r="BD137" s="56"/>
      <c r="BE137" s="56"/>
      <c r="BF137" s="56"/>
      <c r="BG137" s="56"/>
      <c r="BH137" s="56"/>
      <c r="BI137" s="56"/>
      <c r="BJ137" s="56"/>
      <c r="BK137" s="56"/>
      <c r="BL137" s="56"/>
      <c r="BM137" s="56"/>
      <c r="BN137" s="56"/>
      <c r="BO137" s="56"/>
      <c r="BP137" s="56"/>
      <c r="BQ137" s="56"/>
      <c r="BR137" s="56"/>
      <c r="BS137" s="56"/>
      <c r="BT137" s="56"/>
      <c r="BU137" s="56"/>
      <c r="BV137" s="56"/>
      <c r="BW137" s="56"/>
      <c r="BX137" s="56"/>
      <c r="BY137" s="56"/>
    </row>
    <row r="138" spans="2:77" x14ac:dyDescent="0.45">
      <c r="B138" s="68" cm="1">
        <f t="array" ref="B138">filesize(Folder&amp;Tests[[#This Row],[FileName]])</f>
        <v>210026</v>
      </c>
      <c r="C138" s="62">
        <v>131</v>
      </c>
      <c r="D138" s="38" t="s">
        <v>370</v>
      </c>
      <c r="E138" s="37" t="b">
        <v>1</v>
      </c>
      <c r="F138" s="39" t="s">
        <v>246</v>
      </c>
      <c r="G138" s="39" t="b">
        <v>0</v>
      </c>
      <c r="H138" s="39" t="s">
        <v>506</v>
      </c>
      <c r="I138" s="39" t="s">
        <v>246</v>
      </c>
      <c r="J138" s="39" t="b">
        <v>1</v>
      </c>
      <c r="K138" s="37">
        <v>1</v>
      </c>
      <c r="L138" s="37">
        <v>1</v>
      </c>
      <c r="M138" s="37">
        <v>3</v>
      </c>
      <c r="N138" s="37">
        <v>0</v>
      </c>
      <c r="O138" s="37"/>
      <c r="P138" s="37"/>
      <c r="Q138" s="37"/>
      <c r="R138" s="37"/>
      <c r="S138" s="37" t="s">
        <v>247</v>
      </c>
      <c r="T138" s="49"/>
      <c r="U138" t="str">
        <v/>
      </c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  <c r="BD138" s="56"/>
      <c r="BE138" s="56"/>
      <c r="BF138" s="56"/>
      <c r="BG138" s="56"/>
      <c r="BH138" s="56"/>
      <c r="BI138" s="56"/>
      <c r="BJ138" s="56"/>
      <c r="BK138" s="56"/>
      <c r="BL138" s="56"/>
      <c r="BM138" s="56"/>
      <c r="BN138" s="56"/>
      <c r="BO138" s="56"/>
      <c r="BP138" s="56"/>
      <c r="BQ138" s="56"/>
      <c r="BR138" s="56"/>
      <c r="BS138" s="56"/>
      <c r="BT138" s="56"/>
      <c r="BU138" s="56"/>
      <c r="BV138" s="56"/>
      <c r="BW138" s="56"/>
      <c r="BX138" s="56"/>
      <c r="BY138" s="56"/>
    </row>
    <row r="139" spans="2:77" x14ac:dyDescent="0.45">
      <c r="B139" s="68"/>
      <c r="C139" s="63" t="s">
        <v>585</v>
      </c>
      <c r="D139" s="38"/>
      <c r="E139" s="37"/>
      <c r="F139" s="39"/>
      <c r="G139" s="39"/>
      <c r="H139" s="39"/>
      <c r="I139" s="39"/>
      <c r="J139" s="39"/>
      <c r="K139" s="37"/>
      <c r="L139" s="37"/>
      <c r="M139" s="37"/>
      <c r="N139" s="37"/>
      <c r="O139" s="37"/>
      <c r="P139" s="37"/>
      <c r="Q139" s="37"/>
      <c r="R139" s="37"/>
      <c r="S139" s="37"/>
      <c r="T139" s="49"/>
      <c r="U139" t="str">
        <v/>
      </c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  <c r="BD139" s="56"/>
      <c r="BE139" s="56"/>
      <c r="BF139" s="56"/>
      <c r="BG139" s="56"/>
      <c r="BH139" s="56"/>
      <c r="BI139" s="56"/>
      <c r="BJ139" s="56"/>
      <c r="BK139" s="56"/>
      <c r="BL139" s="56"/>
      <c r="BM139" s="56"/>
      <c r="BN139" s="56"/>
      <c r="BO139" s="56"/>
      <c r="BP139" s="56"/>
      <c r="BQ139" s="56"/>
      <c r="BR139" s="56"/>
      <c r="BS139" s="56"/>
      <c r="BT139" s="56"/>
      <c r="BU139" s="56"/>
      <c r="BV139" s="56"/>
      <c r="BW139" s="56"/>
      <c r="BX139" s="56"/>
      <c r="BY139" s="56"/>
    </row>
    <row r="140" spans="2:77" x14ac:dyDescent="0.45">
      <c r="B140" s="68" t="e" cm="1">
        <f t="array" ref="B140">filesize(Folder&amp;Tests[[#This Row],[FileName]])</f>
        <v>#VALUE!</v>
      </c>
      <c r="C140" s="63" t="s">
        <v>580</v>
      </c>
      <c r="D140" s="43"/>
      <c r="E140" s="44"/>
      <c r="F140" s="45"/>
      <c r="G140" s="45"/>
      <c r="H140" s="45"/>
      <c r="I140" s="45"/>
      <c r="J140" s="45"/>
      <c r="K140" s="44"/>
      <c r="L140" s="44"/>
      <c r="M140" s="44"/>
      <c r="N140" s="44"/>
      <c r="O140" s="44"/>
      <c r="P140" s="44"/>
      <c r="Q140" s="44"/>
      <c r="R140" s="44"/>
      <c r="S140" s="44"/>
      <c r="T140" s="49"/>
      <c r="U140" t="str">
        <v/>
      </c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  <c r="BD140" s="56"/>
      <c r="BE140" s="56"/>
      <c r="BF140" s="56"/>
      <c r="BG140" s="56"/>
      <c r="BH140" s="56"/>
      <c r="BI140" s="56"/>
      <c r="BJ140" s="56"/>
      <c r="BK140" s="56"/>
      <c r="BL140" s="56"/>
      <c r="BM140" s="56"/>
      <c r="BN140" s="56"/>
      <c r="BO140" s="56"/>
      <c r="BP140" s="56"/>
      <c r="BQ140" s="56"/>
      <c r="BR140" s="56"/>
      <c r="BS140" s="56"/>
      <c r="BT140" s="56"/>
      <c r="BU140" s="56"/>
      <c r="BV140" s="56"/>
      <c r="BW140" s="56"/>
      <c r="BX140" s="56"/>
      <c r="BY140" s="56"/>
    </row>
    <row r="141" spans="2:77" x14ac:dyDescent="0.45">
      <c r="B141" s="68" t="e" cm="1">
        <f t="array" ref="B141">filesize(Folder&amp;Tests[[#This Row],[FileName]])</f>
        <v>#VALUE!</v>
      </c>
      <c r="C141" s="63" t="s">
        <v>580</v>
      </c>
      <c r="D141" s="38"/>
      <c r="E141" s="37"/>
      <c r="F141" s="39"/>
      <c r="G141" s="39"/>
      <c r="H141" s="39"/>
      <c r="I141" s="39"/>
      <c r="J141" s="39"/>
      <c r="K141" s="37"/>
      <c r="L141" s="37"/>
      <c r="M141" s="37"/>
      <c r="N141" s="37"/>
      <c r="O141" s="37"/>
      <c r="P141" s="37"/>
      <c r="Q141" s="37"/>
      <c r="R141" s="37"/>
      <c r="S141" s="37"/>
      <c r="T141" s="49"/>
      <c r="U141" t="str">
        <v/>
      </c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  <c r="BD141" s="56"/>
      <c r="BE141" s="56"/>
      <c r="BF141" s="56"/>
      <c r="BG141" s="56"/>
      <c r="BH141" s="56"/>
      <c r="BI141" s="56"/>
      <c r="BJ141" s="56"/>
      <c r="BK141" s="56"/>
      <c r="BL141" s="56"/>
      <c r="BM141" s="56"/>
      <c r="BN141" s="56"/>
      <c r="BO141" s="56"/>
      <c r="BP141" s="56"/>
      <c r="BQ141" s="56"/>
      <c r="BR141" s="56"/>
      <c r="BS141" s="56"/>
      <c r="BT141" s="56"/>
      <c r="BU141" s="56"/>
      <c r="BV141" s="56"/>
      <c r="BW141" s="56"/>
      <c r="BX141" s="56"/>
      <c r="BY141" s="56"/>
    </row>
    <row r="142" spans="2:77" x14ac:dyDescent="0.45">
      <c r="B142" s="68" t="e" cm="1">
        <f t="array" ref="B142">filesize(Folder&amp;Tests[[#This Row],[FileName]])</f>
        <v>#VALUE!</v>
      </c>
      <c r="C142" s="63" t="s">
        <v>580</v>
      </c>
      <c r="D142" s="38"/>
      <c r="E142" s="37"/>
      <c r="F142" s="39"/>
      <c r="G142" s="39"/>
      <c r="H142" s="39"/>
      <c r="I142" s="39"/>
      <c r="J142" s="39"/>
      <c r="K142" s="37"/>
      <c r="L142" s="37"/>
      <c r="M142" s="37"/>
      <c r="N142" s="37"/>
      <c r="O142" s="37"/>
      <c r="P142" s="37"/>
      <c r="Q142" s="37"/>
      <c r="R142" s="37"/>
      <c r="S142" s="37"/>
      <c r="T142" s="49"/>
      <c r="U142" t="str">
        <v/>
      </c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  <c r="BD142" s="56"/>
      <c r="BE142" s="56"/>
      <c r="BF142" s="56"/>
      <c r="BG142" s="56"/>
      <c r="BH142" s="56"/>
      <c r="BI142" s="56"/>
      <c r="BJ142" s="56"/>
      <c r="BK142" s="56"/>
      <c r="BL142" s="56"/>
      <c r="BM142" s="56"/>
      <c r="BN142" s="56"/>
      <c r="BO142" s="56"/>
      <c r="BP142" s="56"/>
      <c r="BQ142" s="56"/>
      <c r="BR142" s="56"/>
      <c r="BS142" s="56"/>
      <c r="BT142" s="56"/>
      <c r="BU142" s="56"/>
      <c r="BV142" s="56"/>
      <c r="BW142" s="56"/>
      <c r="BX142" s="56"/>
      <c r="BY142" s="56"/>
    </row>
    <row r="143" spans="2:77" x14ac:dyDescent="0.45">
      <c r="B143" s="68" cm="1">
        <f t="array" ref="B143">filesize(Folder&amp;Tests[[#This Row],[FileName]])</f>
        <v>164899</v>
      </c>
      <c r="C143" s="63" t="s">
        <v>584</v>
      </c>
      <c r="D143" s="38" t="s">
        <v>367</v>
      </c>
      <c r="E143" s="37" t="b">
        <v>0</v>
      </c>
      <c r="F143" s="39" t="s">
        <v>246</v>
      </c>
      <c r="G143" s="39" t="b">
        <v>0</v>
      </c>
      <c r="H143" s="39" t="s">
        <v>246</v>
      </c>
      <c r="I143" s="39" t="s">
        <v>246</v>
      </c>
      <c r="J143" s="39" t="b">
        <v>1</v>
      </c>
      <c r="K143" s="37">
        <v>1</v>
      </c>
      <c r="L143" s="37">
        <v>1</v>
      </c>
      <c r="M143" s="37">
        <v>0</v>
      </c>
      <c r="N143" s="37">
        <v>0</v>
      </c>
      <c r="O143" s="37"/>
      <c r="P143" s="37"/>
      <c r="Q143" s="37"/>
      <c r="R143" s="37"/>
      <c r="S143" s="37" t="s">
        <v>247</v>
      </c>
      <c r="T143" s="46" t="s">
        <v>577</v>
      </c>
      <c r="U143" t="str">
        <v/>
      </c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  <c r="BD143" s="56"/>
      <c r="BE143" s="56"/>
      <c r="BF143" s="56"/>
      <c r="BG143" s="56"/>
      <c r="BH143" s="56"/>
      <c r="BI143" s="56"/>
      <c r="BJ143" s="56"/>
      <c r="BK143" s="56"/>
      <c r="BL143" s="56"/>
      <c r="BM143" s="56"/>
      <c r="BN143" s="56"/>
      <c r="BO143" s="56"/>
      <c r="BP143" s="56"/>
      <c r="BQ143" s="56"/>
      <c r="BR143" s="56"/>
      <c r="BS143" s="56"/>
      <c r="BT143" s="56"/>
      <c r="BU143" s="56"/>
      <c r="BV143" s="56"/>
      <c r="BW143" s="56"/>
      <c r="BX143" s="56"/>
      <c r="BY143" s="56"/>
    </row>
    <row r="144" spans="2:77" x14ac:dyDescent="0.45">
      <c r="B144" s="68" cm="1">
        <f t="array" ref="B144">filesize(Folder&amp;Tests[[#This Row],[FileName]])</f>
        <v>4</v>
      </c>
      <c r="C144" s="63" t="s">
        <v>584</v>
      </c>
      <c r="D144" s="38" t="s">
        <v>273</v>
      </c>
      <c r="E144" s="37" t="b">
        <v>0</v>
      </c>
      <c r="F144" s="39" t="s">
        <v>246</v>
      </c>
      <c r="G144" s="39" t="b">
        <v>0</v>
      </c>
      <c r="H144" s="39" t="s">
        <v>246</v>
      </c>
      <c r="I144" s="39" t="s">
        <v>246</v>
      </c>
      <c r="J144" s="39" t="b">
        <v>1</v>
      </c>
      <c r="K144" s="37">
        <v>1</v>
      </c>
      <c r="L144" s="37">
        <v>1</v>
      </c>
      <c r="M144" s="37">
        <v>0</v>
      </c>
      <c r="N144" s="37">
        <v>0</v>
      </c>
      <c r="O144" s="37"/>
      <c r="P144" s="37"/>
      <c r="Q144" s="37"/>
      <c r="R144" s="37"/>
      <c r="S144" s="37" t="s">
        <v>247</v>
      </c>
      <c r="T144" s="49" t="s">
        <v>417</v>
      </c>
      <c r="U144" t="str">
        <v/>
      </c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  <c r="BD144" s="56"/>
      <c r="BE144" s="56"/>
      <c r="BF144" s="56"/>
      <c r="BG144" s="56"/>
      <c r="BH144" s="56"/>
      <c r="BI144" s="56"/>
      <c r="BJ144" s="56"/>
      <c r="BK144" s="56"/>
      <c r="BL144" s="56"/>
      <c r="BM144" s="56"/>
      <c r="BN144" s="56"/>
      <c r="BO144" s="56"/>
      <c r="BP144" s="56"/>
      <c r="BQ144" s="56"/>
      <c r="BR144" s="56"/>
      <c r="BS144" s="56"/>
      <c r="BT144" s="56"/>
      <c r="BU144" s="56"/>
      <c r="BV144" s="56"/>
      <c r="BW144" s="56"/>
      <c r="BX144" s="56"/>
      <c r="BY144" s="56"/>
    </row>
    <row r="145" spans="2:77" x14ac:dyDescent="0.45">
      <c r="B145" s="68" cm="1">
        <f t="array" ref="B145">filesize(Folder&amp;Tests[[#This Row],[FileName]])</f>
        <v>6</v>
      </c>
      <c r="C145" s="63" t="s">
        <v>584</v>
      </c>
      <c r="D145" s="38" t="s">
        <v>276</v>
      </c>
      <c r="E145" s="37" t="b">
        <v>1</v>
      </c>
      <c r="F145" s="39" t="s">
        <v>246</v>
      </c>
      <c r="G145" s="39" t="b">
        <v>0</v>
      </c>
      <c r="H145" s="39" t="s">
        <v>246</v>
      </c>
      <c r="I145" s="39" t="s">
        <v>246</v>
      </c>
      <c r="J145" s="39" t="b">
        <v>1</v>
      </c>
      <c r="K145" s="37">
        <v>1</v>
      </c>
      <c r="L145" s="37">
        <v>1</v>
      </c>
      <c r="M145" s="37">
        <v>0</v>
      </c>
      <c r="N145" s="37">
        <v>0</v>
      </c>
      <c r="O145" s="37"/>
      <c r="P145" s="37"/>
      <c r="Q145" s="37"/>
      <c r="R145" s="37"/>
      <c r="S145" s="37" t="s">
        <v>247</v>
      </c>
      <c r="T145" s="49" t="s">
        <v>417</v>
      </c>
      <c r="U145" t="str">
        <v/>
      </c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  <c r="BD145" s="56"/>
      <c r="BE145" s="56"/>
      <c r="BF145" s="56"/>
      <c r="BG145" s="56"/>
      <c r="BH145" s="56"/>
      <c r="BI145" s="56"/>
      <c r="BJ145" s="56"/>
      <c r="BK145" s="56"/>
      <c r="BL145" s="56"/>
      <c r="BM145" s="56"/>
      <c r="BN145" s="56"/>
      <c r="BO145" s="56"/>
      <c r="BP145" s="56"/>
      <c r="BQ145" s="56"/>
      <c r="BR145" s="56"/>
      <c r="BS145" s="56"/>
      <c r="BT145" s="56"/>
      <c r="BU145" s="56"/>
      <c r="BV145" s="56"/>
      <c r="BW145" s="56"/>
      <c r="BX145" s="56"/>
      <c r="BY145" s="56"/>
    </row>
    <row r="146" spans="2:77" x14ac:dyDescent="0.45">
      <c r="B146" s="68" cm="1">
        <f t="array" ref="B146">filesize(Folder&amp;Tests[[#This Row],[FileName]])</f>
        <v>11</v>
      </c>
      <c r="C146" s="63" t="s">
        <v>584</v>
      </c>
      <c r="D146" s="38" t="s">
        <v>281</v>
      </c>
      <c r="E146" s="37" t="b">
        <v>1</v>
      </c>
      <c r="F146" s="39" t="s">
        <v>246</v>
      </c>
      <c r="G146" s="39" t="b">
        <v>0</v>
      </c>
      <c r="H146" s="39" t="s">
        <v>246</v>
      </c>
      <c r="I146" s="39" t="s">
        <v>246</v>
      </c>
      <c r="J146" s="39" t="b">
        <v>1</v>
      </c>
      <c r="K146" s="37">
        <v>1</v>
      </c>
      <c r="L146" s="37">
        <v>1</v>
      </c>
      <c r="M146" s="37">
        <v>0</v>
      </c>
      <c r="N146" s="37">
        <v>0</v>
      </c>
      <c r="O146" s="37"/>
      <c r="P146" s="37"/>
      <c r="Q146" s="37"/>
      <c r="R146" s="37"/>
      <c r="S146" s="37" t="s">
        <v>247</v>
      </c>
      <c r="T146" s="49" t="s">
        <v>417</v>
      </c>
      <c r="U146" t="str">
        <v/>
      </c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6"/>
      <c r="BA146" s="56"/>
      <c r="BB146" s="56"/>
      <c r="BC146" s="56"/>
      <c r="BD146" s="56"/>
      <c r="BE146" s="56"/>
      <c r="BF146" s="56"/>
      <c r="BG146" s="56"/>
      <c r="BH146" s="56"/>
      <c r="BI146" s="56"/>
      <c r="BJ146" s="56"/>
      <c r="BK146" s="56"/>
      <c r="BL146" s="56"/>
      <c r="BM146" s="56"/>
      <c r="BN146" s="56"/>
      <c r="BO146" s="56"/>
      <c r="BP146" s="56"/>
      <c r="BQ146" s="56"/>
      <c r="BR146" s="56"/>
      <c r="BS146" s="56"/>
      <c r="BT146" s="56"/>
      <c r="BU146" s="56"/>
      <c r="BV146" s="56"/>
      <c r="BW146" s="56"/>
      <c r="BX146" s="56"/>
      <c r="BY146" s="56"/>
    </row>
    <row r="147" spans="2:77" x14ac:dyDescent="0.45">
      <c r="B147" s="68" cm="1">
        <f t="array" ref="B147">filesize(Folder&amp;Tests[[#This Row],[FileName]])</f>
        <v>18</v>
      </c>
      <c r="C147" s="63" t="s">
        <v>584</v>
      </c>
      <c r="D147" s="38" t="s">
        <v>283</v>
      </c>
      <c r="E147" s="37" t="b">
        <v>1</v>
      </c>
      <c r="F147" s="39" t="s">
        <v>246</v>
      </c>
      <c r="G147" s="39" t="b">
        <v>0</v>
      </c>
      <c r="H147" s="39" t="s">
        <v>246</v>
      </c>
      <c r="I147" s="39" t="s">
        <v>246</v>
      </c>
      <c r="J147" s="39" t="b">
        <v>1</v>
      </c>
      <c r="K147" s="37">
        <v>1</v>
      </c>
      <c r="L147" s="37">
        <v>1</v>
      </c>
      <c r="M147" s="37">
        <v>0</v>
      </c>
      <c r="N147" s="37">
        <v>0</v>
      </c>
      <c r="O147" s="37"/>
      <c r="P147" s="37"/>
      <c r="Q147" s="37"/>
      <c r="R147" s="37"/>
      <c r="S147" s="37" t="s">
        <v>247</v>
      </c>
      <c r="T147" s="49" t="s">
        <v>417</v>
      </c>
      <c r="U147" t="str">
        <v/>
      </c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6"/>
      <c r="BA147" s="56"/>
      <c r="BB147" s="56"/>
      <c r="BC147" s="56"/>
      <c r="BD147" s="56"/>
      <c r="BE147" s="56"/>
      <c r="BF147" s="56"/>
      <c r="BG147" s="56"/>
      <c r="BH147" s="56"/>
      <c r="BI147" s="56"/>
      <c r="BJ147" s="56"/>
      <c r="BK147" s="56"/>
      <c r="BL147" s="56"/>
      <c r="BM147" s="56"/>
      <c r="BN147" s="56"/>
      <c r="BO147" s="56"/>
      <c r="BP147" s="56"/>
      <c r="BQ147" s="56"/>
      <c r="BR147" s="56"/>
      <c r="BS147" s="56"/>
      <c r="BT147" s="56"/>
      <c r="BU147" s="56"/>
      <c r="BV147" s="56"/>
      <c r="BW147" s="56"/>
      <c r="BX147" s="56"/>
      <c r="BY147" s="56"/>
    </row>
    <row r="148" spans="2:77" x14ac:dyDescent="0.45">
      <c r="B148" s="68" cm="1">
        <f t="array" ref="B148">filesize(Folder&amp;Tests[[#This Row],[FileName]])</f>
        <v>32</v>
      </c>
      <c r="C148" s="63" t="s">
        <v>584</v>
      </c>
      <c r="D148" s="38" t="s">
        <v>298</v>
      </c>
      <c r="E148" s="37" t="b">
        <v>1</v>
      </c>
      <c r="F148" s="39" t="s">
        <v>246</v>
      </c>
      <c r="G148" s="39" t="b">
        <v>0</v>
      </c>
      <c r="H148" s="39" t="s">
        <v>246</v>
      </c>
      <c r="I148" s="39" t="s">
        <v>246</v>
      </c>
      <c r="J148" s="39" t="b">
        <v>1</v>
      </c>
      <c r="K148" s="37">
        <v>1</v>
      </c>
      <c r="L148" s="37">
        <v>1</v>
      </c>
      <c r="M148" s="37">
        <v>0</v>
      </c>
      <c r="N148" s="37">
        <v>0</v>
      </c>
      <c r="O148" s="37"/>
      <c r="P148" s="37"/>
      <c r="Q148" s="37"/>
      <c r="R148" s="37"/>
      <c r="S148" s="37" t="s">
        <v>247</v>
      </c>
      <c r="T148" s="49" t="s">
        <v>417</v>
      </c>
      <c r="U148" t="str">
        <v/>
      </c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6"/>
      <c r="BA148" s="56"/>
      <c r="BB148" s="56"/>
      <c r="BC148" s="56"/>
      <c r="BD148" s="56"/>
      <c r="BE148" s="56"/>
      <c r="BF148" s="56"/>
      <c r="BG148" s="56"/>
      <c r="BH148" s="56"/>
      <c r="BI148" s="56"/>
      <c r="BJ148" s="56"/>
      <c r="BK148" s="56"/>
      <c r="BL148" s="56"/>
      <c r="BM148" s="56"/>
      <c r="BN148" s="56"/>
      <c r="BO148" s="56"/>
      <c r="BP148" s="56"/>
      <c r="BQ148" s="56"/>
      <c r="BR148" s="56"/>
      <c r="BS148" s="56"/>
      <c r="BT148" s="56"/>
      <c r="BU148" s="56"/>
      <c r="BV148" s="56"/>
      <c r="BW148" s="56"/>
      <c r="BX148" s="56"/>
      <c r="BY148" s="56"/>
    </row>
    <row r="149" spans="2:77" x14ac:dyDescent="0.45">
      <c r="B149" s="68" cm="1">
        <f t="array" ref="B149">filesize(Folder&amp;Tests[[#This Row],[FileName]])</f>
        <v>58</v>
      </c>
      <c r="C149" s="63" t="s">
        <v>584</v>
      </c>
      <c r="D149" s="38" t="s">
        <v>326</v>
      </c>
      <c r="E149" s="37" t="b">
        <v>1</v>
      </c>
      <c r="F149" s="39" t="s">
        <v>246</v>
      </c>
      <c r="G149" s="39" t="b">
        <v>0</v>
      </c>
      <c r="H149" s="39" t="s">
        <v>246</v>
      </c>
      <c r="I149" s="39" t="s">
        <v>246</v>
      </c>
      <c r="J149" s="39" t="b">
        <v>1</v>
      </c>
      <c r="K149" s="37">
        <v>1</v>
      </c>
      <c r="L149" s="37">
        <v>1</v>
      </c>
      <c r="M149" s="37">
        <v>0</v>
      </c>
      <c r="N149" s="37">
        <v>0</v>
      </c>
      <c r="O149" s="37"/>
      <c r="P149" s="37"/>
      <c r="Q149" s="37"/>
      <c r="R149" s="37"/>
      <c r="S149" s="37" t="s">
        <v>247</v>
      </c>
      <c r="T149" s="49" t="s">
        <v>256</v>
      </c>
      <c r="U149" t="str">
        <v/>
      </c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  <c r="BD149" s="56"/>
      <c r="BE149" s="56"/>
      <c r="BF149" s="56"/>
      <c r="BG149" s="56"/>
      <c r="BH149" s="56"/>
      <c r="BI149" s="56"/>
      <c r="BJ149" s="56"/>
      <c r="BK149" s="56"/>
      <c r="BL149" s="56"/>
      <c r="BM149" s="56"/>
      <c r="BN149" s="56"/>
      <c r="BO149" s="56"/>
      <c r="BP149" s="56"/>
      <c r="BQ149" s="56"/>
      <c r="BR149" s="56"/>
      <c r="BS149" s="56"/>
      <c r="BT149" s="56"/>
      <c r="BU149" s="56"/>
      <c r="BV149" s="56"/>
      <c r="BW149" s="56"/>
      <c r="BX149" s="56"/>
      <c r="BY149" s="56"/>
    </row>
    <row r="150" spans="2:77" x14ac:dyDescent="0.45">
      <c r="B150" s="68" cm="1">
        <f t="array" ref="B150">filesize(Folder&amp;Tests[[#This Row],[FileName]])</f>
        <v>62</v>
      </c>
      <c r="C150" s="63" t="s">
        <v>584</v>
      </c>
      <c r="D150" s="38" t="s">
        <v>330</v>
      </c>
      <c r="E150" s="37" t="b">
        <v>1</v>
      </c>
      <c r="F150" s="39" t="s">
        <v>246</v>
      </c>
      <c r="G150" s="39" t="b">
        <v>0</v>
      </c>
      <c r="H150" s="39" t="s">
        <v>246</v>
      </c>
      <c r="I150" s="39" t="s">
        <v>246</v>
      </c>
      <c r="J150" s="39" t="b">
        <v>1</v>
      </c>
      <c r="K150" s="37">
        <v>1</v>
      </c>
      <c r="L150" s="37">
        <v>1</v>
      </c>
      <c r="M150" s="37">
        <v>0</v>
      </c>
      <c r="N150" s="37">
        <v>0</v>
      </c>
      <c r="O150" s="37"/>
      <c r="P150" s="37"/>
      <c r="Q150" s="37"/>
      <c r="R150" s="37"/>
      <c r="S150" s="37" t="s">
        <v>247</v>
      </c>
      <c r="T150" s="49" t="s">
        <v>258</v>
      </c>
      <c r="U150" t="str">
        <v/>
      </c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6"/>
      <c r="BA150" s="56"/>
      <c r="BB150" s="56"/>
      <c r="BC150" s="56"/>
      <c r="BD150" s="56"/>
      <c r="BE150" s="56"/>
      <c r="BF150" s="56"/>
      <c r="BG150" s="56"/>
      <c r="BH150" s="56"/>
      <c r="BI150" s="56"/>
      <c r="BJ150" s="56"/>
      <c r="BK150" s="56"/>
      <c r="BL150" s="56"/>
      <c r="BM150" s="56"/>
      <c r="BN150" s="56"/>
      <c r="BO150" s="56"/>
      <c r="BP150" s="56"/>
      <c r="BQ150" s="56"/>
      <c r="BR150" s="56"/>
      <c r="BS150" s="56"/>
      <c r="BT150" s="56"/>
      <c r="BU150" s="56"/>
      <c r="BV150" s="56"/>
      <c r="BW150" s="56"/>
      <c r="BX150" s="56"/>
      <c r="BY150" s="56"/>
    </row>
    <row r="151" spans="2:77" x14ac:dyDescent="0.45">
      <c r="B151" s="68" cm="1">
        <f t="array" ref="B151">filesize(Folder&amp;Tests[[#This Row],[FileName]])</f>
        <v>64</v>
      </c>
      <c r="C151" s="63" t="s">
        <v>584</v>
      </c>
      <c r="D151" s="38" t="s">
        <v>331</v>
      </c>
      <c r="E151" s="37" t="b">
        <v>1</v>
      </c>
      <c r="F151" s="39" t="s">
        <v>246</v>
      </c>
      <c r="G151" s="39" t="b">
        <v>0</v>
      </c>
      <c r="H151" s="39" t="s">
        <v>246</v>
      </c>
      <c r="I151" s="39" t="s">
        <v>246</v>
      </c>
      <c r="J151" s="39" t="b">
        <v>1</v>
      </c>
      <c r="K151" s="37">
        <v>1</v>
      </c>
      <c r="L151" s="37">
        <v>1</v>
      </c>
      <c r="M151" s="37">
        <v>0</v>
      </c>
      <c r="N151" s="37">
        <v>0</v>
      </c>
      <c r="O151" s="37"/>
      <c r="P151" s="37"/>
      <c r="Q151" s="37"/>
      <c r="R151" s="37"/>
      <c r="S151" s="37" t="s">
        <v>247</v>
      </c>
      <c r="T151" s="49" t="s">
        <v>259</v>
      </c>
      <c r="U151" t="str">
        <v/>
      </c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6"/>
      <c r="BA151" s="56"/>
      <c r="BB151" s="56"/>
      <c r="BC151" s="56"/>
      <c r="BD151" s="56"/>
      <c r="BE151" s="56"/>
      <c r="BF151" s="56"/>
      <c r="BG151" s="56"/>
      <c r="BH151" s="56"/>
      <c r="BI151" s="56"/>
      <c r="BJ151" s="56"/>
      <c r="BK151" s="56"/>
      <c r="BL151" s="56"/>
      <c r="BM151" s="56"/>
      <c r="BN151" s="56"/>
      <c r="BO151" s="56"/>
      <c r="BP151" s="56"/>
      <c r="BQ151" s="56"/>
      <c r="BR151" s="56"/>
      <c r="BS151" s="56"/>
      <c r="BT151" s="56"/>
      <c r="BU151" s="56"/>
      <c r="BV151" s="56"/>
      <c r="BW151" s="56"/>
      <c r="BX151" s="56"/>
      <c r="BY151" s="56"/>
    </row>
    <row r="152" spans="2:77" x14ac:dyDescent="0.45">
      <c r="B152" s="68" cm="1">
        <f t="array" ref="B152">filesize(Folder&amp;Tests[[#This Row],[FileName]])</f>
        <v>65</v>
      </c>
      <c r="C152" s="63" t="s">
        <v>584</v>
      </c>
      <c r="D152" s="38" t="s">
        <v>332</v>
      </c>
      <c r="E152" s="37" t="b">
        <v>0</v>
      </c>
      <c r="F152" s="39" t="s">
        <v>246</v>
      </c>
      <c r="G152" s="39" t="b">
        <v>0</v>
      </c>
      <c r="H152" s="39" t="s">
        <v>246</v>
      </c>
      <c r="I152" s="39" t="s">
        <v>246</v>
      </c>
      <c r="J152" s="39" t="b">
        <v>1</v>
      </c>
      <c r="K152" s="37">
        <v>1</v>
      </c>
      <c r="L152" s="37">
        <v>1</v>
      </c>
      <c r="M152" s="37">
        <v>0</v>
      </c>
      <c r="N152" s="37">
        <v>0</v>
      </c>
      <c r="O152" s="37"/>
      <c r="P152" s="37"/>
      <c r="Q152" s="37"/>
      <c r="R152" s="37"/>
      <c r="S152" s="37" t="s">
        <v>247</v>
      </c>
      <c r="T152" s="49" t="s">
        <v>260</v>
      </c>
      <c r="U152" t="str">
        <v/>
      </c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6"/>
      <c r="BA152" s="56"/>
      <c r="BB152" s="56"/>
      <c r="BC152" s="56"/>
      <c r="BD152" s="56"/>
      <c r="BE152" s="56"/>
      <c r="BF152" s="56"/>
      <c r="BG152" s="56"/>
      <c r="BH152" s="56"/>
      <c r="BI152" s="56"/>
      <c r="BJ152" s="56"/>
      <c r="BK152" s="56"/>
      <c r="BL152" s="56"/>
      <c r="BM152" s="56"/>
      <c r="BN152" s="56"/>
      <c r="BO152" s="56"/>
      <c r="BP152" s="56"/>
      <c r="BQ152" s="56"/>
      <c r="BR152" s="56"/>
      <c r="BS152" s="56"/>
      <c r="BT152" s="56"/>
      <c r="BU152" s="56"/>
      <c r="BV152" s="56"/>
      <c r="BW152" s="56"/>
      <c r="BX152" s="56"/>
      <c r="BY152" s="56"/>
    </row>
    <row r="153" spans="2:77" x14ac:dyDescent="0.45">
      <c r="B153" s="68" cm="1">
        <f t="array" ref="B153">filesize(Folder&amp;Tests[[#This Row],[FileName]])</f>
        <v>67</v>
      </c>
      <c r="C153" s="63" t="s">
        <v>584</v>
      </c>
      <c r="D153" s="38" t="s">
        <v>336</v>
      </c>
      <c r="E153" s="37" t="b">
        <v>1</v>
      </c>
      <c r="F153" s="39" t="s">
        <v>246</v>
      </c>
      <c r="G153" s="39" t="b">
        <v>0</v>
      </c>
      <c r="H153" s="39" t="s">
        <v>246</v>
      </c>
      <c r="I153" s="39" t="s">
        <v>246</v>
      </c>
      <c r="J153" s="39" t="b">
        <v>1</v>
      </c>
      <c r="K153" s="37">
        <v>1</v>
      </c>
      <c r="L153" s="37">
        <v>1</v>
      </c>
      <c r="M153" s="37">
        <v>0</v>
      </c>
      <c r="N153" s="37">
        <v>0</v>
      </c>
      <c r="O153" s="37"/>
      <c r="P153" s="37"/>
      <c r="Q153" s="37"/>
      <c r="R153" s="37"/>
      <c r="S153" s="37" t="s">
        <v>247</v>
      </c>
      <c r="T153" s="49" t="s">
        <v>262</v>
      </c>
      <c r="U153" t="str">
        <v/>
      </c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6"/>
      <c r="BA153" s="56"/>
      <c r="BB153" s="56"/>
      <c r="BC153" s="56"/>
      <c r="BD153" s="56"/>
      <c r="BE153" s="56"/>
      <c r="BF153" s="56"/>
      <c r="BG153" s="56"/>
      <c r="BH153" s="56"/>
      <c r="BI153" s="56"/>
      <c r="BJ153" s="56"/>
      <c r="BK153" s="56"/>
      <c r="BL153" s="56"/>
      <c r="BM153" s="56"/>
      <c r="BN153" s="56"/>
      <c r="BO153" s="56"/>
      <c r="BP153" s="56"/>
      <c r="BQ153" s="56"/>
      <c r="BR153" s="56"/>
      <c r="BS153" s="56"/>
      <c r="BT153" s="56"/>
      <c r="BU153" s="56"/>
      <c r="BV153" s="56"/>
      <c r="BW153" s="56"/>
      <c r="BX153" s="56"/>
      <c r="BY153" s="56"/>
    </row>
    <row r="154" spans="2:77" x14ac:dyDescent="0.45">
      <c r="B154" s="68" cm="1">
        <f t="array" ref="B154">filesize(Folder&amp;Tests[[#This Row],[FileName]])</f>
        <v>100</v>
      </c>
      <c r="C154" s="63" t="s">
        <v>584</v>
      </c>
      <c r="D154" s="38" t="s">
        <v>342</v>
      </c>
      <c r="E154" s="37" t="b">
        <v>1</v>
      </c>
      <c r="F154" s="39" t="s">
        <v>246</v>
      </c>
      <c r="G154" s="39" t="b">
        <v>0</v>
      </c>
      <c r="H154" s="39" t="s">
        <v>246</v>
      </c>
      <c r="I154" s="39" t="s">
        <v>246</v>
      </c>
      <c r="J154" s="39" t="b">
        <v>1</v>
      </c>
      <c r="K154" s="37">
        <v>1</v>
      </c>
      <c r="L154" s="37">
        <v>1</v>
      </c>
      <c r="M154" s="37">
        <v>0</v>
      </c>
      <c r="N154" s="37">
        <v>0</v>
      </c>
      <c r="O154" s="37"/>
      <c r="P154" s="37"/>
      <c r="Q154" s="37"/>
      <c r="R154" s="40"/>
      <c r="S154" s="37" t="s">
        <v>247</v>
      </c>
      <c r="T154" s="46" t="s">
        <v>264</v>
      </c>
      <c r="U154" t="str">
        <v/>
      </c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6"/>
      <c r="BA154" s="56"/>
      <c r="BB154" s="56"/>
      <c r="BC154" s="56"/>
      <c r="BD154" s="56"/>
      <c r="BE154" s="56"/>
      <c r="BF154" s="56"/>
      <c r="BG154" s="56"/>
      <c r="BH154" s="56"/>
      <c r="BI154" s="56"/>
      <c r="BJ154" s="56"/>
      <c r="BK154" s="56"/>
      <c r="BL154" s="56"/>
      <c r="BM154" s="56"/>
      <c r="BN154" s="56"/>
      <c r="BO154" s="56"/>
      <c r="BP154" s="56"/>
      <c r="BQ154" s="56"/>
      <c r="BR154" s="56"/>
      <c r="BS154" s="56"/>
      <c r="BT154" s="56"/>
      <c r="BU154" s="56"/>
      <c r="BV154" s="56"/>
      <c r="BW154" s="56"/>
      <c r="BX154" s="56"/>
      <c r="BY154" s="56"/>
    </row>
    <row r="155" spans="2:77" x14ac:dyDescent="0.45">
      <c r="B155" s="68" cm="1">
        <f t="array" ref="B155">filesize(Folder&amp;Tests[[#This Row],[FileName]])</f>
        <v>106</v>
      </c>
      <c r="C155" s="63" t="s">
        <v>584</v>
      </c>
      <c r="D155" s="38" t="s">
        <v>344</v>
      </c>
      <c r="E155" s="37" t="b">
        <v>1</v>
      </c>
      <c r="F155" s="39" t="s">
        <v>246</v>
      </c>
      <c r="G155" s="39" t="b">
        <v>0</v>
      </c>
      <c r="H155" s="39" t="s">
        <v>506</v>
      </c>
      <c r="I155" s="39" t="s">
        <v>246</v>
      </c>
      <c r="J155" s="39" t="b">
        <v>1</v>
      </c>
      <c r="K155" s="37">
        <v>1</v>
      </c>
      <c r="L155" s="37">
        <v>1</v>
      </c>
      <c r="M155" s="37">
        <v>0</v>
      </c>
      <c r="N155" s="37">
        <v>0</v>
      </c>
      <c r="O155" s="37"/>
      <c r="P155" s="37"/>
      <c r="Q155" s="37"/>
      <c r="R155" s="37"/>
      <c r="S155" s="37" t="s">
        <v>247</v>
      </c>
      <c r="T155" s="46" t="s">
        <v>532</v>
      </c>
      <c r="U155" t="str">
        <v/>
      </c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6"/>
      <c r="BA155" s="56"/>
      <c r="BB155" s="56"/>
      <c r="BC155" s="56"/>
      <c r="BD155" s="56"/>
      <c r="BE155" s="56"/>
      <c r="BF155" s="56"/>
      <c r="BG155" s="56"/>
      <c r="BH155" s="56"/>
      <c r="BI155" s="56"/>
      <c r="BJ155" s="56"/>
      <c r="BK155" s="56"/>
      <c r="BL155" s="56"/>
      <c r="BM155" s="56"/>
      <c r="BN155" s="56"/>
      <c r="BO155" s="56"/>
      <c r="BP155" s="56"/>
      <c r="BQ155" s="56"/>
      <c r="BR155" s="56"/>
      <c r="BS155" s="56"/>
      <c r="BT155" s="56"/>
      <c r="BU155" s="56"/>
      <c r="BV155" s="56"/>
      <c r="BW155" s="56"/>
      <c r="BX155" s="56"/>
      <c r="BY155" s="56"/>
    </row>
    <row r="156" spans="2:77" x14ac:dyDescent="0.45">
      <c r="B156" s="68" cm="1">
        <f t="array" ref="B156">filesize(Folder&amp;Tests[[#This Row],[FileName]])</f>
        <v>196</v>
      </c>
      <c r="C156" s="63" t="s">
        <v>584</v>
      </c>
      <c r="D156" s="38" t="s">
        <v>347</v>
      </c>
      <c r="E156" s="37" t="b">
        <v>1</v>
      </c>
      <c r="F156" s="39" t="str">
        <f>CHAR(9)</f>
        <v xml:space="preserve">	</v>
      </c>
      <c r="G156" s="39" t="b">
        <v>0</v>
      </c>
      <c r="H156" s="39" t="s">
        <v>246</v>
      </c>
      <c r="I156" s="39" t="s">
        <v>246</v>
      </c>
      <c r="J156" s="39" t="b">
        <v>1</v>
      </c>
      <c r="K156" s="37">
        <v>1</v>
      </c>
      <c r="L156" s="37">
        <v>1</v>
      </c>
      <c r="M156" s="37">
        <v>0</v>
      </c>
      <c r="N156" s="37">
        <v>0</v>
      </c>
      <c r="O156" s="37"/>
      <c r="P156" s="37"/>
      <c r="Q156" s="37"/>
      <c r="R156" s="40" t="s">
        <v>467</v>
      </c>
      <c r="S156" s="37" t="s">
        <v>247</v>
      </c>
      <c r="T156" s="46" t="s">
        <v>265</v>
      </c>
      <c r="U156" t="str">
        <v/>
      </c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6"/>
      <c r="BA156" s="56"/>
      <c r="BB156" s="56"/>
      <c r="BC156" s="56"/>
      <c r="BD156" s="56"/>
      <c r="BE156" s="56"/>
      <c r="BF156" s="56"/>
      <c r="BG156" s="56"/>
      <c r="BH156" s="56"/>
      <c r="BI156" s="56"/>
      <c r="BJ156" s="56"/>
      <c r="BK156" s="56"/>
      <c r="BL156" s="56"/>
      <c r="BM156" s="56"/>
      <c r="BN156" s="56"/>
      <c r="BO156" s="56"/>
      <c r="BP156" s="56"/>
      <c r="BQ156" s="56"/>
      <c r="BR156" s="56"/>
      <c r="BS156" s="56"/>
      <c r="BT156" s="56"/>
      <c r="BU156" s="56"/>
      <c r="BV156" s="56"/>
      <c r="BW156" s="56"/>
      <c r="BX156" s="56"/>
      <c r="BY156" s="56"/>
    </row>
    <row r="157" spans="2:77" x14ac:dyDescent="0.45">
      <c r="B157" s="69" cm="1">
        <f t="array" ref="B157">filesize(Folder&amp;Tests[[#This Row],[FileName]])</f>
        <v>42987</v>
      </c>
      <c r="C157" s="63" t="s">
        <v>584</v>
      </c>
      <c r="D157" s="38" t="s">
        <v>362</v>
      </c>
      <c r="E157" s="37" t="b">
        <v>0</v>
      </c>
      <c r="F157" s="39" t="s">
        <v>246</v>
      </c>
      <c r="G157" s="39" t="b">
        <v>0</v>
      </c>
      <c r="H157" s="39" t="s">
        <v>246</v>
      </c>
      <c r="I157" s="39" t="s">
        <v>246</v>
      </c>
      <c r="J157" s="39" t="b">
        <v>1</v>
      </c>
      <c r="K157" s="37">
        <v>1</v>
      </c>
      <c r="L157" s="37">
        <v>1</v>
      </c>
      <c r="M157" s="37">
        <v>0</v>
      </c>
      <c r="N157" s="37">
        <v>0</v>
      </c>
      <c r="O157" s="37"/>
      <c r="P157" s="37"/>
      <c r="Q157" s="37"/>
      <c r="R157" s="37"/>
      <c r="S157" s="37" t="s">
        <v>247</v>
      </c>
      <c r="T157" s="49" t="s">
        <v>267</v>
      </c>
      <c r="U157" t="str">
        <v/>
      </c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6"/>
      <c r="BA157" s="56"/>
      <c r="BB157" s="56"/>
      <c r="BC157" s="56"/>
      <c r="BD157" s="56"/>
      <c r="BE157" s="56"/>
      <c r="BF157" s="56"/>
      <c r="BG157" s="56"/>
      <c r="BH157" s="56"/>
      <c r="BI157" s="56"/>
      <c r="BJ157" s="56"/>
      <c r="BK157" s="56"/>
      <c r="BL157" s="56"/>
      <c r="BM157" s="56"/>
      <c r="BN157" s="56"/>
      <c r="BO157" s="56"/>
      <c r="BP157" s="56"/>
      <c r="BQ157" s="56"/>
      <c r="BR157" s="56"/>
      <c r="BS157" s="56"/>
      <c r="BT157" s="56"/>
      <c r="BU157" s="56"/>
      <c r="BV157" s="56"/>
      <c r="BW157" s="56"/>
      <c r="BX157" s="56"/>
      <c r="BY157" s="56"/>
    </row>
    <row r="158" spans="2:77" x14ac:dyDescent="0.45">
      <c r="B158" s="68" cm="1">
        <f t="array" ref="B158">filesize(Folder&amp;Tests[[#This Row],[FileName]])</f>
        <v>270111</v>
      </c>
      <c r="C158" s="62" t="s">
        <v>584</v>
      </c>
      <c r="D158" s="38" t="s">
        <v>372</v>
      </c>
      <c r="E158" s="37" t="b">
        <v>1</v>
      </c>
      <c r="F158" s="39" t="s">
        <v>246</v>
      </c>
      <c r="G158" s="39" t="b">
        <v>0</v>
      </c>
      <c r="H158" s="39" t="s">
        <v>246</v>
      </c>
      <c r="I158" s="39" t="s">
        <v>246</v>
      </c>
      <c r="J158" s="39" t="b">
        <v>1</v>
      </c>
      <c r="K158" s="37">
        <v>1</v>
      </c>
      <c r="L158" s="37">
        <v>1</v>
      </c>
      <c r="M158" s="37">
        <v>0</v>
      </c>
      <c r="N158" s="37">
        <v>0</v>
      </c>
      <c r="O158" s="37"/>
      <c r="P158" s="37"/>
      <c r="Q158" s="37"/>
      <c r="R158" s="37"/>
      <c r="S158" s="37" t="s">
        <v>247</v>
      </c>
      <c r="T158" s="46" t="s">
        <v>383</v>
      </c>
      <c r="U158" t="str">
        <v/>
      </c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6"/>
      <c r="BA158" s="56"/>
      <c r="BB158" s="56"/>
      <c r="BC158" s="56"/>
      <c r="BD158" s="56"/>
      <c r="BE158" s="56"/>
      <c r="BF158" s="56"/>
      <c r="BG158" s="56"/>
      <c r="BH158" s="56"/>
      <c r="BI158" s="56"/>
      <c r="BJ158" s="56"/>
      <c r="BK158" s="56"/>
      <c r="BL158" s="56"/>
      <c r="BM158" s="56"/>
      <c r="BN158" s="56"/>
      <c r="BO158" s="56"/>
      <c r="BP158" s="56"/>
      <c r="BQ158" s="56"/>
      <c r="BR158" s="56"/>
      <c r="BS158" s="56"/>
      <c r="BT158" s="56"/>
      <c r="BU158" s="56"/>
      <c r="BV158" s="56"/>
      <c r="BW158" s="56"/>
      <c r="BX158" s="56"/>
      <c r="BY158" s="56"/>
    </row>
    <row r="159" spans="2:77" x14ac:dyDescent="0.45">
      <c r="B159" s="68" cm="1">
        <f t="array" ref="B159">filesize(Folder&amp;Tests[[#This Row],[FileName]])</f>
        <v>728165</v>
      </c>
      <c r="C159" s="63" t="s">
        <v>584</v>
      </c>
      <c r="D159" s="43" t="s">
        <v>375</v>
      </c>
      <c r="E159" s="37" t="b">
        <v>1</v>
      </c>
      <c r="F159" s="39" t="s">
        <v>246</v>
      </c>
      <c r="G159" s="39" t="b">
        <v>0</v>
      </c>
      <c r="H159" s="39" t="s">
        <v>246</v>
      </c>
      <c r="I159" s="39" t="s">
        <v>246</v>
      </c>
      <c r="J159" s="39" t="b">
        <v>1</v>
      </c>
      <c r="K159" s="37">
        <v>1</v>
      </c>
      <c r="L159" s="37">
        <v>1</v>
      </c>
      <c r="M159" s="37">
        <v>0</v>
      </c>
      <c r="N159" s="37">
        <v>0</v>
      </c>
      <c r="O159" s="37"/>
      <c r="P159" s="37"/>
      <c r="Q159" s="37"/>
      <c r="R159" s="37"/>
      <c r="S159" s="37" t="s">
        <v>249</v>
      </c>
      <c r="T159" s="88" t="s">
        <v>431</v>
      </c>
      <c r="U159" t="str">
        <v/>
      </c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6"/>
      <c r="BA159" s="56"/>
      <c r="BB159" s="56"/>
      <c r="BC159" s="56"/>
      <c r="BD159" s="56"/>
      <c r="BE159" s="56"/>
      <c r="BF159" s="56"/>
      <c r="BG159" s="56"/>
      <c r="BH159" s="56"/>
      <c r="BI159" s="56"/>
      <c r="BJ159" s="56"/>
      <c r="BK159" s="56"/>
      <c r="BL159" s="56"/>
      <c r="BM159" s="56"/>
      <c r="BN159" s="56"/>
      <c r="BO159" s="56"/>
      <c r="BP159" s="56"/>
      <c r="BQ159" s="56"/>
      <c r="BR159" s="56"/>
      <c r="BS159" s="56"/>
      <c r="BT159" s="56"/>
      <c r="BU159" s="56"/>
      <c r="BV159" s="56"/>
      <c r="BW159" s="56"/>
      <c r="BX159" s="56"/>
      <c r="BY159" s="56"/>
    </row>
    <row r="160" spans="2:77" x14ac:dyDescent="0.45">
      <c r="B160" s="68" cm="1">
        <f t="array" ref="B160">filesize(Folder&amp;Tests[[#This Row],[FileName]])</f>
        <v>1647418</v>
      </c>
      <c r="C160" s="63" t="s">
        <v>584</v>
      </c>
      <c r="D160" s="43" t="s">
        <v>378</v>
      </c>
      <c r="E160" s="37" t="s">
        <v>385</v>
      </c>
      <c r="F160" s="39" t="s">
        <v>246</v>
      </c>
      <c r="G160" s="39" t="b">
        <v>0</v>
      </c>
      <c r="H160" s="39" t="s">
        <v>246</v>
      </c>
      <c r="I160" s="39" t="s">
        <v>246</v>
      </c>
      <c r="J160" s="39" t="b">
        <v>1</v>
      </c>
      <c r="K160" s="37">
        <v>1</v>
      </c>
      <c r="L160" s="37">
        <v>1</v>
      </c>
      <c r="M160" s="37">
        <v>0</v>
      </c>
      <c r="N160" s="37">
        <v>0</v>
      </c>
      <c r="O160" s="37"/>
      <c r="P160" s="37"/>
      <c r="Q160" s="37"/>
      <c r="R160" s="37"/>
      <c r="S160" s="37" t="s">
        <v>247</v>
      </c>
      <c r="T160" s="51" t="s">
        <v>384</v>
      </c>
      <c r="U160" t="str">
        <v/>
      </c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6"/>
      <c r="BA160" s="56"/>
      <c r="BB160" s="56"/>
      <c r="BC160" s="56"/>
      <c r="BD160" s="56"/>
      <c r="BE160" s="56"/>
      <c r="BF160" s="56"/>
      <c r="BG160" s="56"/>
      <c r="BH160" s="56"/>
      <c r="BI160" s="56"/>
      <c r="BJ160" s="56"/>
      <c r="BK160" s="56"/>
      <c r="BL160" s="56"/>
      <c r="BM160" s="56"/>
      <c r="BN160" s="56"/>
      <c r="BO160" s="56"/>
      <c r="BP160" s="56"/>
      <c r="BQ160" s="56"/>
      <c r="BR160" s="56"/>
      <c r="BS160" s="56"/>
      <c r="BT160" s="56"/>
      <c r="BU160" s="56"/>
      <c r="BV160" s="56"/>
      <c r="BW160" s="56"/>
      <c r="BX160" s="56"/>
      <c r="BY160" s="56"/>
    </row>
  </sheetData>
  <sheetProtection sheet="1" objects="1" scenarios="1"/>
  <sortState xmlns:xlrd2="http://schemas.microsoft.com/office/spreadsheetml/2017/richdata2" ref="B8:T132">
    <sortCondition ref="B8:B132"/>
  </sortState>
  <conditionalFormatting sqref="Z8:Z11">
    <cfRule type="expression" dxfId="90" priority="60">
      <formula>ISLOGICAL(Z8)</formula>
    </cfRule>
    <cfRule type="expression" dxfId="89" priority="61">
      <formula>ISNUMBER(Z8)</formula>
    </cfRule>
    <cfRule type="expression" dxfId="88" priority="62">
      <formula>ISNUMBER(SEARCH("""",Z8))</formula>
    </cfRule>
    <cfRule type="expression" dxfId="87" priority="63">
      <formula>ISTEXT(Z8)</formula>
    </cfRule>
    <cfRule type="expression" dxfId="86" priority="64">
      <formula>ISERROR(Z8)</formula>
    </cfRule>
  </conditionalFormatting>
  <conditionalFormatting sqref="AB8:AJ8">
    <cfRule type="expression" dxfId="85" priority="55">
      <formula>ISLOGICAL(AB8)</formula>
    </cfRule>
    <cfRule type="expression" dxfId="84" priority="56">
      <formula>ISNUMBER(AB8)</formula>
    </cfRule>
    <cfRule type="expression" dxfId="83" priority="57">
      <formula>ISNUMBER(SEARCH("""",AB8))</formula>
    </cfRule>
    <cfRule type="expression" dxfId="82" priority="58">
      <formula>ISTEXT(AB8)</formula>
    </cfRule>
    <cfRule type="expression" dxfId="81" priority="59">
      <formula>ISERROR(AB8)</formula>
    </cfRule>
  </conditionalFormatting>
  <conditionalFormatting sqref="AK8:AP8">
    <cfRule type="expression" dxfId="80" priority="50">
      <formula>ISLOGICAL(AK8)</formula>
    </cfRule>
    <cfRule type="expression" dxfId="79" priority="51">
      <formula>ISNUMBER(AK8)</formula>
    </cfRule>
    <cfRule type="expression" dxfId="78" priority="52">
      <formula>ISNUMBER(SEARCH("""",AK8))</formula>
    </cfRule>
    <cfRule type="expression" dxfId="77" priority="53">
      <formula>ISTEXT(AK8)</formula>
    </cfRule>
    <cfRule type="expression" dxfId="76" priority="54">
      <formula>ISERROR(AK8)</formula>
    </cfRule>
  </conditionalFormatting>
  <conditionalFormatting sqref="Z12:Z43">
    <cfRule type="expression" dxfId="75" priority="30">
      <formula>ISLOGICAL(Z12)</formula>
    </cfRule>
    <cfRule type="expression" dxfId="74" priority="31">
      <formula>ISNUMBER(Z12)</formula>
    </cfRule>
    <cfRule type="expression" dxfId="73" priority="32">
      <formula>ISNUMBER(SEARCH("""",Z12))</formula>
    </cfRule>
    <cfRule type="expression" dxfId="72" priority="33">
      <formula>ISTEXT(Z12)</formula>
    </cfRule>
    <cfRule type="expression" dxfId="71" priority="34">
      <formula>ISERROR(Z12)</formula>
    </cfRule>
  </conditionalFormatting>
  <conditionalFormatting sqref="AB9:AJ43">
    <cfRule type="expression" dxfId="70" priority="25">
      <formula>ISLOGICAL(AB9)</formula>
    </cfRule>
    <cfRule type="expression" dxfId="69" priority="26">
      <formula>ISNUMBER(AB9)</formula>
    </cfRule>
    <cfRule type="expression" dxfId="68" priority="27">
      <formula>ISNUMBER(SEARCH("""",AB9))</formula>
    </cfRule>
    <cfRule type="expression" dxfId="67" priority="28">
      <formula>ISTEXT(AB9)</formula>
    </cfRule>
    <cfRule type="expression" dxfId="66" priority="29">
      <formula>ISERROR(AB9)</formula>
    </cfRule>
  </conditionalFormatting>
  <conditionalFormatting sqref="AK11:AP43 AK9:AM10 AO9:AP10">
    <cfRule type="expression" dxfId="65" priority="20">
      <formula>ISLOGICAL(AK9)</formula>
    </cfRule>
    <cfRule type="expression" dxfId="64" priority="21">
      <formula>ISNUMBER(AK9)</formula>
    </cfRule>
    <cfRule type="expression" dxfId="63" priority="22">
      <formula>ISNUMBER(SEARCH("""",AK9))</formula>
    </cfRule>
    <cfRule type="expression" dxfId="62" priority="23">
      <formula>ISTEXT(AK9)</formula>
    </cfRule>
    <cfRule type="expression" dxfId="61" priority="24">
      <formula>ISERROR(AK9)</formula>
    </cfRule>
  </conditionalFormatting>
  <conditionalFormatting sqref="AN9:AN10">
    <cfRule type="expression" dxfId="60" priority="3">
      <formula>ISLOGICAL(AN9)</formula>
    </cfRule>
    <cfRule type="expression" dxfId="59" priority="4">
      <formula>ISNUMBER(AN9)</formula>
    </cfRule>
    <cfRule type="expression" dxfId="58" priority="5">
      <formula>ISNUMBER(SEARCH("""",AN9))</formula>
    </cfRule>
    <cfRule type="expression" dxfId="57" priority="6">
      <formula>ISTEXT(AN9)</formula>
    </cfRule>
    <cfRule type="expression" dxfId="56" priority="7">
      <formula>ISERROR(AN9)</formula>
    </cfRule>
  </conditionalFormatting>
  <conditionalFormatting sqref="B8:T160">
    <cfRule type="expression" dxfId="55" priority="102">
      <formula>$C8=$C$4</formula>
    </cfRule>
  </conditionalFormatting>
  <conditionalFormatting sqref="N5">
    <cfRule type="expression" dxfId="54" priority="1">
      <formula>$N$5&gt;0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25" r:id="rId4" name="Button 29">
              <controlPr defaultSize="0" print="0" autoFill="0" autoPict="0" macro="[0]!RunTestsFromButton">
                <anchor moveWithCells="1" sizeWithCells="1">
                  <from>
                    <xdr:col>11</xdr:col>
                    <xdr:colOff>52388</xdr:colOff>
                    <xdr:row>0</xdr:row>
                    <xdr:rowOff>114300</xdr:rowOff>
                  </from>
                  <to>
                    <xdr:col>12</xdr:col>
                    <xdr:colOff>404813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8C012-73C2-4F83-ABA0-A7B56C41F06D}">
  <sheetPr codeName="Sheet6"/>
  <dimension ref="B1:M171"/>
  <sheetViews>
    <sheetView showGridLines="0" showRowColHeaders="0" zoomScaleNormal="100" workbookViewId="0"/>
  </sheetViews>
  <sheetFormatPr defaultRowHeight="14.25" x14ac:dyDescent="0.45"/>
  <cols>
    <col min="1" max="1" width="4.59765625" customWidth="1"/>
    <col min="2" max="2" width="27.1328125" bestFit="1" customWidth="1"/>
    <col min="3" max="3" width="7" bestFit="1" customWidth="1"/>
    <col min="4" max="5" width="7.33203125" bestFit="1" customWidth="1"/>
    <col min="6" max="6" width="7.73046875" bestFit="1" customWidth="1"/>
    <col min="7" max="7" width="10.59765625" customWidth="1"/>
    <col min="8" max="8" width="27.9296875" bestFit="1" customWidth="1"/>
    <col min="9" max="11" width="14.265625" bestFit="1" customWidth="1"/>
    <col min="12" max="13" width="10.59765625" customWidth="1"/>
    <col min="14" max="14" width="23.1328125" bestFit="1" customWidth="1"/>
  </cols>
  <sheetData>
    <row r="1" spans="2:13" ht="28.5" x14ac:dyDescent="0.85">
      <c r="B1" s="1" t="s">
        <v>556</v>
      </c>
    </row>
    <row r="2" spans="2:13" x14ac:dyDescent="0.45">
      <c r="J2" s="42" t="s">
        <v>512</v>
      </c>
      <c r="K2" s="19" t="s">
        <v>514</v>
      </c>
    </row>
    <row r="3" spans="2:13" x14ac:dyDescent="0.45">
      <c r="B3" s="19" t="s">
        <v>555</v>
      </c>
      <c r="J3" s="42" t="s">
        <v>515</v>
      </c>
      <c r="K3" s="19" t="s">
        <v>527</v>
      </c>
    </row>
    <row r="4" spans="2:13" x14ac:dyDescent="0.45">
      <c r="B4" s="71" t="s">
        <v>553</v>
      </c>
      <c r="F4" s="19"/>
      <c r="G4" s="19"/>
      <c r="H4" s="19"/>
      <c r="I4" s="19"/>
      <c r="J4" s="73" t="s">
        <v>513</v>
      </c>
      <c r="K4" s="19" t="s">
        <v>528</v>
      </c>
    </row>
    <row r="5" spans="2:13" x14ac:dyDescent="0.45">
      <c r="B5" s="72" t="s">
        <v>554</v>
      </c>
      <c r="F5" s="19"/>
      <c r="G5" s="19"/>
      <c r="H5" s="19"/>
      <c r="I5" s="19"/>
      <c r="J5" s="73" t="s">
        <v>526</v>
      </c>
      <c r="K5" s="19" t="s">
        <v>518</v>
      </c>
    </row>
    <row r="6" spans="2:13" x14ac:dyDescent="0.45">
      <c r="F6" s="19"/>
      <c r="G6" s="19"/>
      <c r="H6" s="19"/>
      <c r="I6" s="19"/>
      <c r="J6" s="73" t="s">
        <v>525</v>
      </c>
      <c r="K6" t="str">
        <f>K4&amp;"("&amp;K5&amp;")?"</f>
        <v>T[0-2][0-9]:[0-5][0-9]:[0-5][0-9](\.[0-9]+)?</v>
      </c>
    </row>
    <row r="7" spans="2:13" x14ac:dyDescent="0.45">
      <c r="J7" s="42" t="s">
        <v>551</v>
      </c>
      <c r="K7" s="19" t="s">
        <v>544</v>
      </c>
    </row>
    <row r="8" spans="2:13" x14ac:dyDescent="0.45">
      <c r="F8" s="19"/>
      <c r="G8" s="19"/>
      <c r="H8" s="19"/>
      <c r="I8" s="19"/>
      <c r="J8" s="73" t="s">
        <v>557</v>
      </c>
      <c r="K8" t="str">
        <f>K6&amp;"("&amp;K7&amp;")?"</f>
        <v>T[0-2][0-9]:[0-5][0-9]:[0-5][0-9](\.[0-9]+)?((Z|((\+|\-)[0-2][0-9]:[0-5][0-9])))?</v>
      </c>
    </row>
    <row r="9" spans="2:13" x14ac:dyDescent="0.45">
      <c r="B9" s="52"/>
      <c r="F9" s="70"/>
      <c r="G9" s="70"/>
      <c r="H9" s="70"/>
      <c r="I9" s="70"/>
      <c r="J9" s="73" t="s">
        <v>552</v>
      </c>
      <c r="K9" t="str">
        <f>K6&amp;K7</f>
        <v>T[0-2][0-9]:[0-5][0-9]:[0-5][0-9](\.[0-9]+)?(Z|((\+|\-)[0-2][0-9]:[0-5][0-9]))</v>
      </c>
    </row>
    <row r="10" spans="2:13" x14ac:dyDescent="0.45">
      <c r="F10" s="19"/>
      <c r="G10" s="19"/>
      <c r="H10" s="19"/>
      <c r="I10" s="19"/>
      <c r="J10" s="42" t="s">
        <v>516</v>
      </c>
      <c r="K10" t="s">
        <v>517</v>
      </c>
    </row>
    <row r="11" spans="2:13" x14ac:dyDescent="0.45">
      <c r="B11" t="s">
        <v>520</v>
      </c>
      <c r="F11" s="19"/>
      <c r="G11" s="19"/>
      <c r="H11" s="19"/>
      <c r="I11" s="19"/>
      <c r="J11" s="73" t="s">
        <v>558</v>
      </c>
      <c r="K11" s="89" t="str">
        <f>K2&amp;K3&amp;K10</f>
        <v>^[0-9][0-9][0-9][0-9]\-[[0-1][0-9]\-[0-3][0-9]$</v>
      </c>
    </row>
    <row r="12" spans="2:13" x14ac:dyDescent="0.45">
      <c r="B12" s="64" t="s">
        <v>502</v>
      </c>
      <c r="J12" s="73" t="s">
        <v>559</v>
      </c>
      <c r="K12" s="89" t="str">
        <f>K2&amp;K3&amp;"("&amp;K6&amp;")?"&amp;K10</f>
        <v>^[0-9][0-9][0-9][0-9]\-[[0-1][0-9]\-[0-3][0-9](T[0-2][0-9]:[0-5][0-9]:[0-5][0-9](\.[0-9]+)?)?$</v>
      </c>
    </row>
    <row r="13" spans="2:13" x14ac:dyDescent="0.45">
      <c r="B13" t="s">
        <v>521</v>
      </c>
      <c r="J13" s="73" t="s">
        <v>560</v>
      </c>
      <c r="K13" s="89" t="str">
        <f>K2&amp;K3&amp;"("&amp;K9&amp;")?"&amp;K10</f>
        <v>^[0-9][0-9][0-9][0-9]\-[[0-1][0-9]\-[0-3][0-9](T[0-2][0-9]:[0-5][0-9]:[0-5][0-9](\.[0-9]+)?(Z|((\+|\-)[0-2][0-9]:[0-5][0-9])))?$</v>
      </c>
    </row>
    <row r="14" spans="2:13" x14ac:dyDescent="0.45">
      <c r="B14" s="7" t="s">
        <v>503</v>
      </c>
      <c r="J14" s="73" t="s">
        <v>561</v>
      </c>
      <c r="K14" s="89" t="str">
        <f>K2&amp;K3&amp;"("&amp;K8&amp;")?"&amp;K10</f>
        <v>^[0-9][0-9][0-9][0-9]\-[[0-1][0-9]\-[0-3][0-9](T[0-2][0-9]:[0-5][0-9]:[0-5][0-9](\.[0-9]+)?((Z|((\+|\-)[0-2][0-9]:[0-5][0-9])))?)?$</v>
      </c>
    </row>
    <row r="15" spans="2:13" x14ac:dyDescent="0.45">
      <c r="E15" s="70"/>
    </row>
    <row r="16" spans="2:13" x14ac:dyDescent="0.45">
      <c r="B16" t="s">
        <v>522</v>
      </c>
      <c r="C16" s="19" t="str" cm="1">
        <f t="array" ref="C16:F16">TRANSPOSE(J11:J14)</f>
        <v>rxNoNo - accept date, reject datetime</v>
      </c>
      <c r="D16" s="19" t="str">
        <v>rxYesNo - accept date, accept datetime without time zone, reject datetime with time zone</v>
      </c>
      <c r="E16" s="19" t="str">
        <v>rxNoYes - accept date, reject datetime without time zone, accept datetime with time zone</v>
      </c>
      <c r="F16" t="str">
        <v>rxYesYes - accept date, accept datetime without time zone, accept datetime with time zone</v>
      </c>
      <c r="H16" t="s">
        <v>523</v>
      </c>
      <c r="I16" s="19" t="str" cm="1">
        <f t="array" ref="I16:L16">TRANSPOSE(J11:J14)</f>
        <v>rxNoNo - accept date, reject datetime</v>
      </c>
      <c r="J16" s="19" t="str">
        <v>rxYesNo - accept date, accept datetime without time zone, reject datetime with time zone</v>
      </c>
      <c r="K16" s="19" t="str">
        <v>rxNoYes - accept date, reject datetime without time zone, accept datetime with time zone</v>
      </c>
      <c r="L16" t="str">
        <v>rxYesYes - accept date, accept datetime without time zone, accept datetime with time zone</v>
      </c>
      <c r="M16" s="19"/>
    </row>
    <row r="17" spans="2:13" x14ac:dyDescent="0.45">
      <c r="B17" t="str" cm="1">
        <f t="array" ref="B17:B153">CSVRead(B12,FALSE,,,,,,2,,,1)</f>
        <v>2023-01-17T18:40:01.786-12:00</v>
      </c>
      <c r="C17" t="b" cm="1">
        <f t="array" ref="C17:C153">IsRegMatch(rxNoNo,_xlfn.ANCHORARRAY($B$17))</f>
        <v>0</v>
      </c>
      <c r="D17" t="b" cm="1">
        <f t="array" ref="D17:D153">IsRegMatch(rxYesNo,_xlfn.ANCHORARRAY($B$17))</f>
        <v>0</v>
      </c>
      <c r="E17" t="b" cm="1">
        <f t="array" ref="E17:E153">IsRegMatch(rxNoYes,_xlfn.ANCHORARRAY($B$17))</f>
        <v>1</v>
      </c>
      <c r="F17" t="b" cm="1">
        <f t="array" ref="F17:F153">IsRegMatch(rxYesYes,_xlfn.ANCHORARRAY($B$17))</f>
        <v>1</v>
      </c>
      <c r="H17" t="str" cm="1">
        <f t="array" ref="H17:H171">CSVRead(B14,FALSE,,,,,,2,2,,1)</f>
        <v>2021-00-29T17:58:23.492-12:00</v>
      </c>
      <c r="I17" t="b" cm="1">
        <f t="array" ref="I17:I171">IsRegMatch(rxNoNo,_xlfn.ANCHORARRAY($H$17))</f>
        <v>0</v>
      </c>
      <c r="J17" t="b" cm="1">
        <f t="array" ref="J17:J171">IsRegMatch(rxYesNo,_xlfn.ANCHORARRAY($H$17))</f>
        <v>0</v>
      </c>
      <c r="K17" t="b" cm="1">
        <f t="array" ref="K17:K171">IsRegMatch(rxNoYes,_xlfn.ANCHORARRAY($H$17))</f>
        <v>1</v>
      </c>
      <c r="L17" t="b" cm="1">
        <f t="array" ref="L17:L171">IsRegMatch(rxYesYes,_xlfn.ANCHORARRAY($H$17))</f>
        <v>1</v>
      </c>
      <c r="M17" s="65"/>
    </row>
    <row r="18" spans="2:13" x14ac:dyDescent="0.45">
      <c r="B18" t="str">
        <v>2021-10-09T04:00:48.243-11:00</v>
      </c>
      <c r="C18" t="b">
        <v>0</v>
      </c>
      <c r="D18" t="b">
        <v>0</v>
      </c>
      <c r="E18" t="b">
        <v>1</v>
      </c>
      <c r="F18" t="b">
        <v>1</v>
      </c>
      <c r="H18" t="str">
        <v>2021-13-29T17:58:23.492-12:00</v>
      </c>
      <c r="I18" t="b">
        <v>0</v>
      </c>
      <c r="J18" t="b">
        <v>0</v>
      </c>
      <c r="K18" t="b">
        <v>1</v>
      </c>
      <c r="L18" t="b">
        <v>1</v>
      </c>
      <c r="M18" s="65"/>
    </row>
    <row r="19" spans="2:13" x14ac:dyDescent="0.45">
      <c r="B19" t="str">
        <v>2022-02-13T18:10:03.598-10:00</v>
      </c>
      <c r="C19" t="b">
        <v>0</v>
      </c>
      <c r="D19" t="b">
        <v>0</v>
      </c>
      <c r="E19" t="b">
        <v>1</v>
      </c>
      <c r="F19" t="b">
        <v>1</v>
      </c>
      <c r="H19" t="str">
        <v>2021-06-00T17:58:23.492-12:00</v>
      </c>
      <c r="I19" t="b">
        <v>0</v>
      </c>
      <c r="J19" t="b">
        <v>0</v>
      </c>
      <c r="K19" t="b">
        <v>1</v>
      </c>
      <c r="L19" t="b">
        <v>1</v>
      </c>
      <c r="M19" s="65"/>
    </row>
    <row r="20" spans="2:13" x14ac:dyDescent="0.45">
      <c r="B20" t="str">
        <v>2023-11-25T15:19:27.591-09:30</v>
      </c>
      <c r="C20" t="b">
        <v>0</v>
      </c>
      <c r="D20" t="b">
        <v>0</v>
      </c>
      <c r="E20" t="b">
        <v>1</v>
      </c>
      <c r="F20" t="b">
        <v>1</v>
      </c>
      <c r="H20" t="str">
        <v>2021-06-31T17:58:23.492-12:00</v>
      </c>
      <c r="I20" t="b">
        <v>0</v>
      </c>
      <c r="J20" t="b">
        <v>0</v>
      </c>
      <c r="K20" t="b">
        <v>1</v>
      </c>
      <c r="L20" t="b">
        <v>1</v>
      </c>
      <c r="M20" s="65"/>
    </row>
    <row r="21" spans="2:13" x14ac:dyDescent="0.45">
      <c r="B21" t="str">
        <v>2021-12-06T16:21:10.629-09:00</v>
      </c>
      <c r="C21" t="b">
        <v>0</v>
      </c>
      <c r="D21" t="b">
        <v>0</v>
      </c>
      <c r="E21" t="b">
        <v>1</v>
      </c>
      <c r="F21" t="b">
        <v>1</v>
      </c>
      <c r="H21" t="str">
        <v>2021-06-29T25:58:23.492-12:00</v>
      </c>
      <c r="I21" t="b">
        <v>0</v>
      </c>
      <c r="J21" t="b">
        <v>0</v>
      </c>
      <c r="K21" t="b">
        <v>1</v>
      </c>
      <c r="L21" t="b">
        <v>1</v>
      </c>
      <c r="M21" s="65"/>
    </row>
    <row r="22" spans="2:13" x14ac:dyDescent="0.45">
      <c r="B22" t="str">
        <v>2023-11-19T07:14:42.016-08:00</v>
      </c>
      <c r="C22" t="b">
        <v>0</v>
      </c>
      <c r="D22" t="b">
        <v>0</v>
      </c>
      <c r="E22" t="b">
        <v>1</v>
      </c>
      <c r="F22" t="b">
        <v>1</v>
      </c>
      <c r="H22" t="str">
        <v>2021-06-29T17:61:23.492-12:00</v>
      </c>
      <c r="I22" t="b">
        <v>0</v>
      </c>
      <c r="J22" t="b">
        <v>0</v>
      </c>
      <c r="K22" t="b">
        <v>0</v>
      </c>
      <c r="L22" t="b">
        <v>0</v>
      </c>
      <c r="M22" s="65"/>
    </row>
    <row r="23" spans="2:13" x14ac:dyDescent="0.45">
      <c r="B23" t="str">
        <v>2022-08-17T18:58:38.966-07:00</v>
      </c>
      <c r="C23" t="b">
        <v>0</v>
      </c>
      <c r="D23" t="b">
        <v>0</v>
      </c>
      <c r="E23" t="b">
        <v>1</v>
      </c>
      <c r="F23" t="b">
        <v>1</v>
      </c>
      <c r="G23" s="19"/>
      <c r="H23" t="str">
        <v>2021-06-29T17:58:60.492-12:00</v>
      </c>
      <c r="I23" t="b">
        <v>0</v>
      </c>
      <c r="J23" t="b">
        <v>0</v>
      </c>
      <c r="K23" t="b">
        <v>0</v>
      </c>
      <c r="L23" t="b">
        <v>0</v>
      </c>
      <c r="M23" s="65"/>
    </row>
    <row r="24" spans="2:13" x14ac:dyDescent="0.45">
      <c r="B24" t="str">
        <v>2022-12-30T19:14:19.889-06:00</v>
      </c>
      <c r="C24" t="b">
        <v>0</v>
      </c>
      <c r="D24" t="b">
        <v>0</v>
      </c>
      <c r="E24" t="b">
        <v>1</v>
      </c>
      <c r="F24" t="b">
        <v>1</v>
      </c>
      <c r="H24" t="str">
        <v>2021-06-29T17:58:23.492-24:00</v>
      </c>
      <c r="I24" t="b">
        <v>0</v>
      </c>
      <c r="J24" t="b">
        <v>0</v>
      </c>
      <c r="K24" t="b">
        <v>1</v>
      </c>
      <c r="L24" t="b">
        <v>1</v>
      </c>
      <c r="M24" s="65"/>
    </row>
    <row r="25" spans="2:13" x14ac:dyDescent="0.45">
      <c r="B25" t="str">
        <v>2024-03-04T13:31:04.623-05:00</v>
      </c>
      <c r="C25" t="b">
        <v>0</v>
      </c>
      <c r="D25" t="b">
        <v>0</v>
      </c>
      <c r="E25" t="b">
        <v>1</v>
      </c>
      <c r="F25" t="b">
        <v>1</v>
      </c>
      <c r="H25" t="str">
        <v>2021-06-29T17:58:23.492-12:60</v>
      </c>
      <c r="I25" t="b">
        <v>0</v>
      </c>
      <c r="J25" t="b">
        <v>0</v>
      </c>
      <c r="K25" t="b">
        <v>0</v>
      </c>
      <c r="L25" t="b">
        <v>0</v>
      </c>
      <c r="M25" s="65"/>
    </row>
    <row r="26" spans="2:13" x14ac:dyDescent="0.45">
      <c r="B26" t="str">
        <v>2022-05-12T09:58:34.702-04:00</v>
      </c>
      <c r="C26" t="b">
        <v>0</v>
      </c>
      <c r="D26" t="b">
        <v>0</v>
      </c>
      <c r="E26" t="b">
        <v>1</v>
      </c>
      <c r="F26" t="b">
        <v>1</v>
      </c>
      <c r="H26" t="str">
        <v>2021-00-29</v>
      </c>
      <c r="I26" t="b">
        <v>1</v>
      </c>
      <c r="J26" t="b">
        <v>1</v>
      </c>
      <c r="K26" t="b">
        <v>1</v>
      </c>
      <c r="L26" t="b">
        <v>1</v>
      </c>
      <c r="M26" s="65"/>
    </row>
    <row r="27" spans="2:13" x14ac:dyDescent="0.45">
      <c r="B27" t="str">
        <v>2022-02-11T12:23:33.553-03:30</v>
      </c>
      <c r="C27" t="b">
        <v>0</v>
      </c>
      <c r="D27" t="b">
        <v>0</v>
      </c>
      <c r="E27" t="b">
        <v>1</v>
      </c>
      <c r="F27" t="b">
        <v>1</v>
      </c>
      <c r="H27" t="str">
        <v>2021-13-29</v>
      </c>
      <c r="I27" t="b">
        <v>1</v>
      </c>
      <c r="J27" t="b">
        <v>1</v>
      </c>
      <c r="K27" t="b">
        <v>1</v>
      </c>
      <c r="L27" t="b">
        <v>1</v>
      </c>
      <c r="M27" s="65"/>
    </row>
    <row r="28" spans="2:13" x14ac:dyDescent="0.45">
      <c r="B28" t="str">
        <v>2023-07-18T22:56:17.224-03:00</v>
      </c>
      <c r="C28" t="b">
        <v>0</v>
      </c>
      <c r="D28" t="b">
        <v>0</v>
      </c>
      <c r="E28" t="b">
        <v>1</v>
      </c>
      <c r="F28" t="b">
        <v>1</v>
      </c>
      <c r="H28" t="str">
        <v>2021-06-00</v>
      </c>
      <c r="I28" t="b">
        <v>1</v>
      </c>
      <c r="J28" t="b">
        <v>1</v>
      </c>
      <c r="K28" t="b">
        <v>1</v>
      </c>
      <c r="L28" t="b">
        <v>1</v>
      </c>
      <c r="M28" s="65"/>
    </row>
    <row r="29" spans="2:13" x14ac:dyDescent="0.45">
      <c r="B29" t="str">
        <v>2024-03-10T16:56:15.842-02:00</v>
      </c>
      <c r="C29" t="b">
        <v>0</v>
      </c>
      <c r="D29" t="b">
        <v>0</v>
      </c>
      <c r="E29" t="b">
        <v>1</v>
      </c>
      <c r="F29" t="b">
        <v>1</v>
      </c>
      <c r="H29" t="str">
        <v>2021-06-31</v>
      </c>
      <c r="I29" t="b">
        <v>1</v>
      </c>
      <c r="J29" t="b">
        <v>1</v>
      </c>
      <c r="K29" t="b">
        <v>1</v>
      </c>
      <c r="L29" t="b">
        <v>1</v>
      </c>
      <c r="M29" s="65"/>
    </row>
    <row r="30" spans="2:13" x14ac:dyDescent="0.45">
      <c r="B30" t="str">
        <v>2023-12-25T03:53:39.947-01:00</v>
      </c>
      <c r="C30" t="b">
        <v>0</v>
      </c>
      <c r="D30" t="b">
        <v>0</v>
      </c>
      <c r="E30" t="b">
        <v>1</v>
      </c>
      <c r="F30" t="b">
        <v>1</v>
      </c>
      <c r="H30" t="str">
        <v>2021-06-29T25:15:20</v>
      </c>
      <c r="I30" t="b">
        <v>0</v>
      </c>
      <c r="J30" t="b">
        <v>1</v>
      </c>
      <c r="K30" t="b">
        <v>0</v>
      </c>
      <c r="L30" t="b">
        <v>1</v>
      </c>
      <c r="M30" s="65"/>
    </row>
    <row r="31" spans="2:13" x14ac:dyDescent="0.45">
      <c r="B31" t="str">
        <v>2024-05-10T05:24:27.917Z</v>
      </c>
      <c r="C31" t="b">
        <v>0</v>
      </c>
      <c r="D31" t="b">
        <v>0</v>
      </c>
      <c r="E31" t="b">
        <v>1</v>
      </c>
      <c r="F31" t="b">
        <v>1</v>
      </c>
      <c r="H31" t="str">
        <v>2021-30-29</v>
      </c>
      <c r="I31" t="b">
        <v>0</v>
      </c>
      <c r="J31" t="b">
        <v>0</v>
      </c>
      <c r="K31" t="b">
        <v>0</v>
      </c>
      <c r="L31" t="b">
        <v>0</v>
      </c>
      <c r="M31" s="65"/>
    </row>
    <row r="32" spans="2:13" x14ac:dyDescent="0.45">
      <c r="B32" t="str">
        <v>2022-09-01T00:08:26.304+01:00</v>
      </c>
      <c r="C32" t="b">
        <v>0</v>
      </c>
      <c r="D32" t="b">
        <v>0</v>
      </c>
      <c r="E32" t="b">
        <v>1</v>
      </c>
      <c r="F32" t="b">
        <v>1</v>
      </c>
      <c r="H32" t="str">
        <v>2021-06-40</v>
      </c>
      <c r="I32" t="b">
        <v>0</v>
      </c>
      <c r="J32" t="b">
        <v>0</v>
      </c>
      <c r="K32" t="b">
        <v>0</v>
      </c>
      <c r="L32" t="b">
        <v>0</v>
      </c>
      <c r="M32" s="65"/>
    </row>
    <row r="33" spans="2:13" x14ac:dyDescent="0.45">
      <c r="B33" t="str">
        <v>2023-02-10T10:58:22.848+02:00</v>
      </c>
      <c r="C33" t="b">
        <v>0</v>
      </c>
      <c r="D33" t="b">
        <v>0</v>
      </c>
      <c r="E33" t="b">
        <v>1</v>
      </c>
      <c r="F33" t="b">
        <v>1</v>
      </c>
      <c r="H33" t="str">
        <v>2021-06-29T30:15:20</v>
      </c>
      <c r="I33" t="b">
        <v>0</v>
      </c>
      <c r="J33" t="b">
        <v>0</v>
      </c>
      <c r="K33" t="b">
        <v>0</v>
      </c>
      <c r="L33" t="b">
        <v>0</v>
      </c>
      <c r="M33" s="65"/>
    </row>
    <row r="34" spans="2:13" x14ac:dyDescent="0.45">
      <c r="B34" t="str">
        <v>2023-09-10T04:49:48.520+03:00</v>
      </c>
      <c r="C34" t="b">
        <v>0</v>
      </c>
      <c r="D34" t="b">
        <v>0</v>
      </c>
      <c r="E34" t="b">
        <v>1</v>
      </c>
      <c r="F34" t="b">
        <v>1</v>
      </c>
      <c r="H34" t="str">
        <v>2021-06-29T20:60:20</v>
      </c>
      <c r="I34" t="b">
        <v>0</v>
      </c>
      <c r="J34" t="b">
        <v>0</v>
      </c>
      <c r="K34" t="b">
        <v>0</v>
      </c>
      <c r="L34" t="b">
        <v>0</v>
      </c>
      <c r="M34" s="65"/>
    </row>
    <row r="35" spans="2:13" x14ac:dyDescent="0.45">
      <c r="B35" t="str">
        <v>2023-01-21T04:19:39.829+03:30</v>
      </c>
      <c r="C35" t="b">
        <v>0</v>
      </c>
      <c r="D35" t="b">
        <v>0</v>
      </c>
      <c r="E35" t="b">
        <v>1</v>
      </c>
      <c r="F35" t="b">
        <v>1</v>
      </c>
      <c r="H35" t="str">
        <v>2021-06-29T:20:59:60</v>
      </c>
      <c r="I35" t="b">
        <v>0</v>
      </c>
      <c r="J35" t="b">
        <v>0</v>
      </c>
      <c r="K35" t="b">
        <v>0</v>
      </c>
      <c r="L35" t="b">
        <v>0</v>
      </c>
      <c r="M35" s="65"/>
    </row>
    <row r="36" spans="2:13" x14ac:dyDescent="0.45">
      <c r="B36" t="str">
        <v>2023-12-21T23:53:44.094+04:00</v>
      </c>
      <c r="C36" t="b">
        <v>0</v>
      </c>
      <c r="D36" t="b">
        <v>0</v>
      </c>
      <c r="E36" t="b">
        <v>1</v>
      </c>
      <c r="F36" t="b">
        <v>1</v>
      </c>
      <c r="H36" t="str">
        <v>x021-06-29T17:58:23.492-12:00</v>
      </c>
      <c r="I36" t="b">
        <v>0</v>
      </c>
      <c r="J36" t="b">
        <v>0</v>
      </c>
      <c r="K36" t="b">
        <v>0</v>
      </c>
      <c r="L36" t="b">
        <v>0</v>
      </c>
      <c r="M36" s="65"/>
    </row>
    <row r="37" spans="2:13" x14ac:dyDescent="0.45">
      <c r="B37" t="str">
        <v>2022-09-23T14:54:38.795+04:30</v>
      </c>
      <c r="C37" t="b">
        <v>0</v>
      </c>
      <c r="D37" t="b">
        <v>0</v>
      </c>
      <c r="E37" t="b">
        <v>1</v>
      </c>
      <c r="F37" t="b">
        <v>1</v>
      </c>
      <c r="H37" t="str">
        <v>2x21-06-29T17:58:23.492-12:00</v>
      </c>
      <c r="I37" t="b">
        <v>0</v>
      </c>
      <c r="J37" t="b">
        <v>0</v>
      </c>
      <c r="K37" t="b">
        <v>0</v>
      </c>
      <c r="L37" t="b">
        <v>0</v>
      </c>
      <c r="M37" s="65"/>
    </row>
    <row r="38" spans="2:13" x14ac:dyDescent="0.45">
      <c r="B38" t="str">
        <v>2024-02-04T07:45:08.056+05:00</v>
      </c>
      <c r="C38" t="b">
        <v>0</v>
      </c>
      <c r="D38" t="b">
        <v>0</v>
      </c>
      <c r="E38" t="b">
        <v>1</v>
      </c>
      <c r="F38" t="b">
        <v>1</v>
      </c>
      <c r="H38" t="str">
        <v>20x1-06-29T17:58:23.492-12:00</v>
      </c>
      <c r="I38" t="b">
        <v>0</v>
      </c>
      <c r="J38" t="b">
        <v>0</v>
      </c>
      <c r="K38" t="b">
        <v>0</v>
      </c>
      <c r="L38" t="b">
        <v>0</v>
      </c>
      <c r="M38" s="65"/>
    </row>
    <row r="39" spans="2:13" x14ac:dyDescent="0.45">
      <c r="B39" t="str">
        <v>2022-02-13T05:14:55.673+05:30</v>
      </c>
      <c r="C39" t="b">
        <v>0</v>
      </c>
      <c r="D39" t="b">
        <v>0</v>
      </c>
      <c r="E39" t="b">
        <v>1</v>
      </c>
      <c r="F39" t="b">
        <v>1</v>
      </c>
      <c r="H39" t="str">
        <v>202x-06-29T17:58:23.492-12:00</v>
      </c>
      <c r="I39" t="b">
        <v>0</v>
      </c>
      <c r="J39" t="b">
        <v>0</v>
      </c>
      <c r="K39" t="b">
        <v>0</v>
      </c>
      <c r="L39" t="b">
        <v>0</v>
      </c>
      <c r="M39" s="65"/>
    </row>
    <row r="40" spans="2:13" x14ac:dyDescent="0.45">
      <c r="B40" t="str">
        <v>2023-02-09T22:42:26.934+05:45</v>
      </c>
      <c r="C40" t="b">
        <v>0</v>
      </c>
      <c r="D40" t="b">
        <v>0</v>
      </c>
      <c r="E40" t="b">
        <v>1</v>
      </c>
      <c r="F40" t="b">
        <v>1</v>
      </c>
      <c r="H40" t="str">
        <v>2021x06-29T17:58:23.492-12:00</v>
      </c>
      <c r="I40" t="b">
        <v>0</v>
      </c>
      <c r="J40" t="b">
        <v>0</v>
      </c>
      <c r="K40" t="b">
        <v>0</v>
      </c>
      <c r="L40" t="b">
        <v>0</v>
      </c>
      <c r="M40" s="65"/>
    </row>
    <row r="41" spans="2:13" x14ac:dyDescent="0.45">
      <c r="B41" t="str">
        <v>2021-11-28T14:02:33.680+06:00</v>
      </c>
      <c r="C41" t="b">
        <v>0</v>
      </c>
      <c r="D41" t="b">
        <v>0</v>
      </c>
      <c r="E41" t="b">
        <v>1</v>
      </c>
      <c r="F41" t="b">
        <v>1</v>
      </c>
      <c r="H41" t="str">
        <v>2021-x6-29T17:58:23.492-12:00</v>
      </c>
      <c r="I41" t="b">
        <v>0</v>
      </c>
      <c r="J41" t="b">
        <v>0</v>
      </c>
      <c r="K41" t="b">
        <v>0</v>
      </c>
      <c r="L41" t="b">
        <v>0</v>
      </c>
      <c r="M41" s="65"/>
    </row>
    <row r="42" spans="2:13" x14ac:dyDescent="0.45">
      <c r="B42" t="str">
        <v>2022-03-06T02:37:14.609+06:30</v>
      </c>
      <c r="C42" t="b">
        <v>0</v>
      </c>
      <c r="D42" t="b">
        <v>0</v>
      </c>
      <c r="E42" t="b">
        <v>1</v>
      </c>
      <c r="F42" t="b">
        <v>1</v>
      </c>
      <c r="H42" t="str">
        <v>2021-0x-29T17:58:23.492-12:00</v>
      </c>
      <c r="I42" t="b">
        <v>0</v>
      </c>
      <c r="J42" t="b">
        <v>0</v>
      </c>
      <c r="K42" t="b">
        <v>0</v>
      </c>
      <c r="L42" t="b">
        <v>0</v>
      </c>
      <c r="M42" s="65"/>
    </row>
    <row r="43" spans="2:13" x14ac:dyDescent="0.45">
      <c r="B43" t="str">
        <v>2022-05-18T13:26:59.269+07:00</v>
      </c>
      <c r="C43" t="b">
        <v>0</v>
      </c>
      <c r="D43" t="b">
        <v>0</v>
      </c>
      <c r="E43" t="b">
        <v>1</v>
      </c>
      <c r="F43" t="b">
        <v>1</v>
      </c>
      <c r="H43" t="str">
        <v>2021-06x29T17:58:23.492-12:00</v>
      </c>
      <c r="I43" t="b">
        <v>0</v>
      </c>
      <c r="J43" t="b">
        <v>0</v>
      </c>
      <c r="K43" t="b">
        <v>0</v>
      </c>
      <c r="L43" t="b">
        <v>0</v>
      </c>
      <c r="M43" s="65"/>
    </row>
    <row r="44" spans="2:13" x14ac:dyDescent="0.45">
      <c r="B44" t="str">
        <v>2023-10-12T03:41:20.854+08:00</v>
      </c>
      <c r="C44" t="b">
        <v>0</v>
      </c>
      <c r="D44" t="b">
        <v>0</v>
      </c>
      <c r="E44" t="b">
        <v>1</v>
      </c>
      <c r="F44" t="b">
        <v>1</v>
      </c>
      <c r="H44" t="str">
        <v>2021-06-x9T17:58:23.492-12:00</v>
      </c>
      <c r="I44" t="b">
        <v>0</v>
      </c>
      <c r="J44" t="b">
        <v>0</v>
      </c>
      <c r="K44" t="b">
        <v>0</v>
      </c>
      <c r="L44" t="b">
        <v>0</v>
      </c>
      <c r="M44" s="65"/>
    </row>
    <row r="45" spans="2:13" x14ac:dyDescent="0.45">
      <c r="B45" t="str">
        <v>2022-10-23T20:13:06.354+08:45</v>
      </c>
      <c r="C45" t="b">
        <v>0</v>
      </c>
      <c r="D45" t="b">
        <v>0</v>
      </c>
      <c r="E45" t="b">
        <v>1</v>
      </c>
      <c r="F45" t="b">
        <v>1</v>
      </c>
      <c r="H45" t="str">
        <v>2021-06-2xT17:58:23.492-12:00</v>
      </c>
      <c r="I45" t="b">
        <v>0</v>
      </c>
      <c r="J45" t="b">
        <v>0</v>
      </c>
      <c r="K45" t="b">
        <v>0</v>
      </c>
      <c r="L45" t="b">
        <v>0</v>
      </c>
      <c r="M45" s="65"/>
    </row>
    <row r="46" spans="2:13" x14ac:dyDescent="0.45">
      <c r="B46" t="str">
        <v>2022-06-23T21:54:01.766+09:00</v>
      </c>
      <c r="C46" t="b">
        <v>0</v>
      </c>
      <c r="D46" t="b">
        <v>0</v>
      </c>
      <c r="E46" t="b">
        <v>1</v>
      </c>
      <c r="F46" t="b">
        <v>1</v>
      </c>
      <c r="H46" t="str">
        <v>2021-06-29x17:58:23.492-12:00</v>
      </c>
      <c r="I46" t="b">
        <v>0</v>
      </c>
      <c r="J46" t="b">
        <v>0</v>
      </c>
      <c r="K46" t="b">
        <v>0</v>
      </c>
      <c r="L46" t="b">
        <v>0</v>
      </c>
      <c r="M46" s="65"/>
    </row>
    <row r="47" spans="2:13" x14ac:dyDescent="0.45">
      <c r="B47" t="str">
        <v>2022-08-10T23:10:35.889+09:30</v>
      </c>
      <c r="C47" t="b">
        <v>0</v>
      </c>
      <c r="D47" t="b">
        <v>0</v>
      </c>
      <c r="E47" t="b">
        <v>1</v>
      </c>
      <c r="F47" t="b">
        <v>1</v>
      </c>
      <c r="H47" t="str">
        <v>2021-06-29Tx7:58:23.492-12:00</v>
      </c>
      <c r="I47" t="b">
        <v>0</v>
      </c>
      <c r="J47" t="b">
        <v>0</v>
      </c>
      <c r="K47" t="b">
        <v>0</v>
      </c>
      <c r="L47" t="b">
        <v>0</v>
      </c>
      <c r="M47" s="65"/>
    </row>
    <row r="48" spans="2:13" x14ac:dyDescent="0.45">
      <c r="B48" t="str">
        <v>2021-10-08T09:53:25.098+10:00</v>
      </c>
      <c r="C48" t="b">
        <v>0</v>
      </c>
      <c r="D48" t="b">
        <v>0</v>
      </c>
      <c r="E48" t="b">
        <v>1</v>
      </c>
      <c r="F48" t="b">
        <v>1</v>
      </c>
      <c r="H48" t="str">
        <v>2021-06-29T1x:58:23.492-12:00</v>
      </c>
      <c r="I48" t="b">
        <v>0</v>
      </c>
      <c r="J48" t="b">
        <v>0</v>
      </c>
      <c r="K48" t="b">
        <v>0</v>
      </c>
      <c r="L48" t="b">
        <v>0</v>
      </c>
      <c r="M48" s="65"/>
    </row>
    <row r="49" spans="2:13" x14ac:dyDescent="0.45">
      <c r="B49" t="str">
        <v>2022-02-20T13:40:23.458+10:30</v>
      </c>
      <c r="C49" t="b">
        <v>0</v>
      </c>
      <c r="D49" t="b">
        <v>0</v>
      </c>
      <c r="E49" t="b">
        <v>1</v>
      </c>
      <c r="F49" t="b">
        <v>1</v>
      </c>
      <c r="H49" t="str">
        <v>2021-06-29T17x58:23.492-12:00</v>
      </c>
      <c r="I49" t="b">
        <v>0</v>
      </c>
      <c r="J49" t="b">
        <v>0</v>
      </c>
      <c r="K49" t="b">
        <v>0</v>
      </c>
      <c r="L49" t="b">
        <v>0</v>
      </c>
      <c r="M49" s="65"/>
    </row>
    <row r="50" spans="2:13" x14ac:dyDescent="0.45">
      <c r="B50" t="str">
        <v>2024-05-19T02:21:56.931+11:00</v>
      </c>
      <c r="C50" t="b">
        <v>0</v>
      </c>
      <c r="D50" t="b">
        <v>0</v>
      </c>
      <c r="E50" t="b">
        <v>1</v>
      </c>
      <c r="F50" t="b">
        <v>1</v>
      </c>
      <c r="H50" t="str">
        <v>2021-06-29T17:x8:23.492-12:00</v>
      </c>
      <c r="I50" t="b">
        <v>0</v>
      </c>
      <c r="J50" t="b">
        <v>0</v>
      </c>
      <c r="K50" t="b">
        <v>0</v>
      </c>
      <c r="L50" t="b">
        <v>0</v>
      </c>
      <c r="M50" s="65"/>
    </row>
    <row r="51" spans="2:13" x14ac:dyDescent="0.45">
      <c r="B51" t="str">
        <v>2023-05-09T06:39:45.156+12:00</v>
      </c>
      <c r="C51" t="b">
        <v>0</v>
      </c>
      <c r="D51" t="b">
        <v>0</v>
      </c>
      <c r="E51" t="b">
        <v>1</v>
      </c>
      <c r="F51" t="b">
        <v>1</v>
      </c>
      <c r="H51" t="str">
        <v>2021-06-29T17:5x:23.492-12:00</v>
      </c>
      <c r="I51" t="b">
        <v>0</v>
      </c>
      <c r="J51" t="b">
        <v>0</v>
      </c>
      <c r="K51" t="b">
        <v>0</v>
      </c>
      <c r="L51" t="b">
        <v>0</v>
      </c>
      <c r="M51" s="65"/>
    </row>
    <row r="52" spans="2:13" x14ac:dyDescent="0.45">
      <c r="B52" t="str">
        <v>2024-02-17T15:28:28.148+12:45</v>
      </c>
      <c r="C52" t="b">
        <v>0</v>
      </c>
      <c r="D52" t="b">
        <v>0</v>
      </c>
      <c r="E52" t="b">
        <v>1</v>
      </c>
      <c r="F52" t="b">
        <v>1</v>
      </c>
      <c r="H52" t="str">
        <v>2021-06-29T17:58x23.492-12:00</v>
      </c>
      <c r="I52" t="b">
        <v>0</v>
      </c>
      <c r="J52" t="b">
        <v>0</v>
      </c>
      <c r="K52" t="b">
        <v>0</v>
      </c>
      <c r="L52" t="b">
        <v>0</v>
      </c>
      <c r="M52" s="65"/>
    </row>
    <row r="53" spans="2:13" x14ac:dyDescent="0.45">
      <c r="B53" t="str">
        <v>2023-05-10T03:28:07.276+13:00</v>
      </c>
      <c r="C53" t="b">
        <v>0</v>
      </c>
      <c r="D53" t="b">
        <v>0</v>
      </c>
      <c r="E53" t="b">
        <v>1</v>
      </c>
      <c r="F53" t="b">
        <v>1</v>
      </c>
      <c r="H53" t="str">
        <v>2021-06-29T17:58:x3.492-12:00</v>
      </c>
      <c r="I53" t="b">
        <v>0</v>
      </c>
      <c r="J53" t="b">
        <v>0</v>
      </c>
      <c r="K53" t="b">
        <v>0</v>
      </c>
      <c r="L53" t="b">
        <v>0</v>
      </c>
      <c r="M53" s="65"/>
    </row>
    <row r="54" spans="2:13" x14ac:dyDescent="0.45">
      <c r="B54" t="str">
        <v>2022-02-10T20:10:54.146+14:00</v>
      </c>
      <c r="C54" t="b">
        <v>0</v>
      </c>
      <c r="D54" t="b">
        <v>0</v>
      </c>
      <c r="E54" t="b">
        <v>1</v>
      </c>
      <c r="F54" t="b">
        <v>1</v>
      </c>
      <c r="H54" t="str">
        <v>2021-06-29T17:58:2x.492-12:00</v>
      </c>
      <c r="I54" t="b">
        <v>0</v>
      </c>
      <c r="J54" t="b">
        <v>0</v>
      </c>
      <c r="K54" t="b">
        <v>0</v>
      </c>
      <c r="L54" t="b">
        <v>0</v>
      </c>
      <c r="M54" s="65"/>
    </row>
    <row r="55" spans="2:13" x14ac:dyDescent="0.45">
      <c r="B55" t="str">
        <v>2021-09-26T22:52:42-12:00</v>
      </c>
      <c r="C55" t="b">
        <v>0</v>
      </c>
      <c r="D55" t="b">
        <v>0</v>
      </c>
      <c r="E55" t="b">
        <v>1</v>
      </c>
      <c r="F55" t="b">
        <v>1</v>
      </c>
      <c r="H55" t="str">
        <v>2021-06-29T17:58:23x492-12:00</v>
      </c>
      <c r="I55" t="b">
        <v>0</v>
      </c>
      <c r="J55" t="b">
        <v>0</v>
      </c>
      <c r="K55" t="b">
        <v>0</v>
      </c>
      <c r="L55" t="b">
        <v>0</v>
      </c>
      <c r="M55" s="65"/>
    </row>
    <row r="56" spans="2:13" x14ac:dyDescent="0.45">
      <c r="B56" t="str">
        <v>2022-03-19T14:23:37-11:00</v>
      </c>
      <c r="C56" t="b">
        <v>0</v>
      </c>
      <c r="D56" t="b">
        <v>0</v>
      </c>
      <c r="E56" t="b">
        <v>1</v>
      </c>
      <c r="F56" t="b">
        <v>1</v>
      </c>
      <c r="H56" t="str">
        <v>2021-06-29T17:58:23.x92-12:00</v>
      </c>
      <c r="I56" t="b">
        <v>0</v>
      </c>
      <c r="J56" t="b">
        <v>0</v>
      </c>
      <c r="K56" t="b">
        <v>0</v>
      </c>
      <c r="L56" t="b">
        <v>0</v>
      </c>
      <c r="M56" s="65"/>
    </row>
    <row r="57" spans="2:13" x14ac:dyDescent="0.45">
      <c r="B57" t="str">
        <v>2022-07-31T12:03:09-10:00</v>
      </c>
      <c r="C57" t="b">
        <v>0</v>
      </c>
      <c r="D57" t="b">
        <v>0</v>
      </c>
      <c r="E57" t="b">
        <v>1</v>
      </c>
      <c r="F57" t="b">
        <v>1</v>
      </c>
      <c r="H57" t="str">
        <v>2021-06-29T17:58:23.4x2-12:00</v>
      </c>
      <c r="I57" t="b">
        <v>0</v>
      </c>
      <c r="J57" t="b">
        <v>0</v>
      </c>
      <c r="K57" t="b">
        <v>0</v>
      </c>
      <c r="L57" t="b">
        <v>0</v>
      </c>
      <c r="M57" s="65"/>
    </row>
    <row r="58" spans="2:13" x14ac:dyDescent="0.45">
      <c r="B58" t="str">
        <v>2021-12-02T17:28:14-09:30</v>
      </c>
      <c r="C58" t="b">
        <v>0</v>
      </c>
      <c r="D58" t="b">
        <v>0</v>
      </c>
      <c r="E58" t="b">
        <v>1</v>
      </c>
      <c r="F58" t="b">
        <v>1</v>
      </c>
      <c r="H58" t="str">
        <v>2021-06-29T17:58:23.49x-12:00</v>
      </c>
      <c r="I58" t="b">
        <v>0</v>
      </c>
      <c r="J58" t="b">
        <v>0</v>
      </c>
      <c r="K58" t="b">
        <v>0</v>
      </c>
      <c r="L58" t="b">
        <v>0</v>
      </c>
      <c r="M58" s="65"/>
    </row>
    <row r="59" spans="2:13" x14ac:dyDescent="0.45">
      <c r="B59" t="str">
        <v>2021-10-02T15:51:18-09:00</v>
      </c>
      <c r="C59" t="b">
        <v>0</v>
      </c>
      <c r="D59" t="b">
        <v>0</v>
      </c>
      <c r="E59" t="b">
        <v>1</v>
      </c>
      <c r="F59" t="b">
        <v>1</v>
      </c>
      <c r="H59" t="str">
        <v>2021-06-29T17:58:23.492x12:00</v>
      </c>
      <c r="I59" t="b">
        <v>0</v>
      </c>
      <c r="J59" t="b">
        <v>0</v>
      </c>
      <c r="K59" t="b">
        <v>0</v>
      </c>
      <c r="L59" t="b">
        <v>0</v>
      </c>
      <c r="M59" s="65"/>
    </row>
    <row r="60" spans="2:13" x14ac:dyDescent="0.45">
      <c r="B60" t="str">
        <v>2024-01-22T19:42:48-08:00</v>
      </c>
      <c r="C60" t="b">
        <v>0</v>
      </c>
      <c r="D60" t="b">
        <v>0</v>
      </c>
      <c r="E60" t="b">
        <v>1</v>
      </c>
      <c r="F60" t="b">
        <v>1</v>
      </c>
      <c r="H60" t="str">
        <v>2021-06-29T17:58:23.492-x2:00</v>
      </c>
      <c r="I60" t="b">
        <v>0</v>
      </c>
      <c r="J60" t="b">
        <v>0</v>
      </c>
      <c r="K60" t="b">
        <v>0</v>
      </c>
      <c r="L60" t="b">
        <v>0</v>
      </c>
      <c r="M60" s="65"/>
    </row>
    <row r="61" spans="2:13" x14ac:dyDescent="0.45">
      <c r="B61" t="str">
        <v>2024-01-28T11:57:19-07:00</v>
      </c>
      <c r="C61" t="b">
        <v>0</v>
      </c>
      <c r="D61" t="b">
        <v>0</v>
      </c>
      <c r="E61" t="b">
        <v>1</v>
      </c>
      <c r="F61" t="b">
        <v>1</v>
      </c>
      <c r="H61" t="str">
        <v>2021-06-29T17:58:23.492-1x:00</v>
      </c>
      <c r="I61" t="b">
        <v>0</v>
      </c>
      <c r="J61" t="b">
        <v>0</v>
      </c>
      <c r="K61" t="b">
        <v>0</v>
      </c>
      <c r="L61" t="b">
        <v>0</v>
      </c>
      <c r="M61" s="65"/>
    </row>
    <row r="62" spans="2:13" x14ac:dyDescent="0.45">
      <c r="B62" t="str">
        <v>2024-02-25T17:06:49-06:00</v>
      </c>
      <c r="C62" t="b">
        <v>0</v>
      </c>
      <c r="D62" t="b">
        <v>0</v>
      </c>
      <c r="E62" t="b">
        <v>1</v>
      </c>
      <c r="F62" t="b">
        <v>1</v>
      </c>
      <c r="H62" t="str">
        <v>2021-06-29T17:58:23.492-12x00</v>
      </c>
      <c r="I62" t="b">
        <v>0</v>
      </c>
      <c r="J62" t="b">
        <v>0</v>
      </c>
      <c r="K62" t="b">
        <v>0</v>
      </c>
      <c r="L62" t="b">
        <v>0</v>
      </c>
      <c r="M62" s="65"/>
    </row>
    <row r="63" spans="2:13" x14ac:dyDescent="0.45">
      <c r="B63" t="str">
        <v>2024-04-09T11:35:26-05:00</v>
      </c>
      <c r="C63" t="b">
        <v>0</v>
      </c>
      <c r="D63" t="b">
        <v>0</v>
      </c>
      <c r="E63" t="b">
        <v>1</v>
      </c>
      <c r="F63" t="b">
        <v>1</v>
      </c>
      <c r="H63" t="str">
        <v>2021-06-29T17:58:23.492-12:x0</v>
      </c>
      <c r="I63" t="b">
        <v>0</v>
      </c>
      <c r="J63" t="b">
        <v>0</v>
      </c>
      <c r="K63" t="b">
        <v>0</v>
      </c>
      <c r="L63" t="b">
        <v>0</v>
      </c>
      <c r="M63" s="65"/>
    </row>
    <row r="64" spans="2:13" x14ac:dyDescent="0.45">
      <c r="B64" t="str">
        <v>2023-07-04T01:03:25-04:00</v>
      </c>
      <c r="C64" t="b">
        <v>0</v>
      </c>
      <c r="D64" t="b">
        <v>0</v>
      </c>
      <c r="E64" t="b">
        <v>1</v>
      </c>
      <c r="F64" t="b">
        <v>1</v>
      </c>
      <c r="H64" t="str">
        <v>2021-06-29T17:58:23.492-12:0x</v>
      </c>
      <c r="I64" t="b">
        <v>0</v>
      </c>
      <c r="J64" t="b">
        <v>0</v>
      </c>
      <c r="K64" t="b">
        <v>0</v>
      </c>
      <c r="L64" t="b">
        <v>0</v>
      </c>
      <c r="M64" s="65"/>
    </row>
    <row r="65" spans="2:13" x14ac:dyDescent="0.45">
      <c r="B65" t="str">
        <v>2024-03-11T13:12:44-03:30</v>
      </c>
      <c r="C65" t="b">
        <v>0</v>
      </c>
      <c r="D65" t="b">
        <v>0</v>
      </c>
      <c r="E65" t="b">
        <v>1</v>
      </c>
      <c r="F65" t="b">
        <v>1</v>
      </c>
      <c r="H65" t="str">
        <v>x024-05-10T05:24:27.917Z</v>
      </c>
      <c r="I65" t="b">
        <v>0</v>
      </c>
      <c r="J65" t="b">
        <v>0</v>
      </c>
      <c r="K65" t="b">
        <v>0</v>
      </c>
      <c r="L65" t="b">
        <v>0</v>
      </c>
      <c r="M65" s="65"/>
    </row>
    <row r="66" spans="2:13" x14ac:dyDescent="0.45">
      <c r="B66" t="str">
        <v>2022-10-09T23:35:28-03:00</v>
      </c>
      <c r="C66" t="b">
        <v>0</v>
      </c>
      <c r="D66" t="b">
        <v>0</v>
      </c>
      <c r="E66" t="b">
        <v>1</v>
      </c>
      <c r="F66" t="b">
        <v>1</v>
      </c>
      <c r="H66" t="str">
        <v>2x24-05-10T05:24:27.917Z</v>
      </c>
      <c r="I66" t="b">
        <v>0</v>
      </c>
      <c r="J66" t="b">
        <v>0</v>
      </c>
      <c r="K66" t="b">
        <v>0</v>
      </c>
      <c r="L66" t="b">
        <v>0</v>
      </c>
      <c r="M66" s="65"/>
    </row>
    <row r="67" spans="2:13" x14ac:dyDescent="0.45">
      <c r="B67" t="str">
        <v>2022-06-10T03:18:48-02:00</v>
      </c>
      <c r="C67" t="b">
        <v>0</v>
      </c>
      <c r="D67" t="b">
        <v>0</v>
      </c>
      <c r="E67" t="b">
        <v>1</v>
      </c>
      <c r="F67" t="b">
        <v>1</v>
      </c>
      <c r="H67" t="str">
        <v>20x4-05-10T05:24:27.917Z</v>
      </c>
      <c r="I67" t="b">
        <v>0</v>
      </c>
      <c r="J67" t="b">
        <v>0</v>
      </c>
      <c r="K67" t="b">
        <v>0</v>
      </c>
      <c r="L67" t="b">
        <v>0</v>
      </c>
      <c r="M67" s="65"/>
    </row>
    <row r="68" spans="2:13" x14ac:dyDescent="0.45">
      <c r="B68" t="str">
        <v>2022-08-22T00:06:54-01:00</v>
      </c>
      <c r="C68" t="b">
        <v>0</v>
      </c>
      <c r="D68" t="b">
        <v>0</v>
      </c>
      <c r="E68" t="b">
        <v>1</v>
      </c>
      <c r="F68" t="b">
        <v>1</v>
      </c>
      <c r="H68" t="str">
        <v>202x-05-10T05:24:27.917Z</v>
      </c>
      <c r="I68" t="b">
        <v>0</v>
      </c>
      <c r="J68" t="b">
        <v>0</v>
      </c>
      <c r="K68" t="b">
        <v>0</v>
      </c>
      <c r="L68" t="b">
        <v>0</v>
      </c>
      <c r="M68" s="65"/>
    </row>
    <row r="69" spans="2:13" x14ac:dyDescent="0.45">
      <c r="B69" t="str">
        <v>2023-03-08T06:29:28Z</v>
      </c>
      <c r="C69" t="b">
        <v>0</v>
      </c>
      <c r="D69" t="b">
        <v>0</v>
      </c>
      <c r="E69" t="b">
        <v>1</v>
      </c>
      <c r="F69" t="b">
        <v>1</v>
      </c>
      <c r="H69" t="str">
        <v>2024x05-10T05:24:27.917Z</v>
      </c>
      <c r="I69" t="b">
        <v>0</v>
      </c>
      <c r="J69" t="b">
        <v>0</v>
      </c>
      <c r="K69" t="b">
        <v>0</v>
      </c>
      <c r="L69" t="b">
        <v>0</v>
      </c>
      <c r="M69" s="65"/>
    </row>
    <row r="70" spans="2:13" x14ac:dyDescent="0.45">
      <c r="B70" t="str">
        <v>2024-02-21T02:02:59+01:00</v>
      </c>
      <c r="C70" t="b">
        <v>0</v>
      </c>
      <c r="D70" t="b">
        <v>0</v>
      </c>
      <c r="E70" t="b">
        <v>1</v>
      </c>
      <c r="F70" t="b">
        <v>1</v>
      </c>
      <c r="H70" t="str">
        <v>2024-x5-10T05:24:27.917Z</v>
      </c>
      <c r="I70" t="b">
        <v>0</v>
      </c>
      <c r="J70" t="b">
        <v>0</v>
      </c>
      <c r="K70" t="b">
        <v>0</v>
      </c>
      <c r="L70" t="b">
        <v>0</v>
      </c>
      <c r="M70" s="65"/>
    </row>
    <row r="71" spans="2:13" x14ac:dyDescent="0.45">
      <c r="B71" t="str">
        <v>2023-04-24T05:25:16+02:00</v>
      </c>
      <c r="C71" t="b">
        <v>0</v>
      </c>
      <c r="D71" t="b">
        <v>0</v>
      </c>
      <c r="E71" t="b">
        <v>1</v>
      </c>
      <c r="F71" t="b">
        <v>1</v>
      </c>
      <c r="H71" t="str">
        <v>2024-0x-10T05:24:27.917Z</v>
      </c>
      <c r="I71" t="b">
        <v>0</v>
      </c>
      <c r="J71" t="b">
        <v>0</v>
      </c>
      <c r="K71" t="b">
        <v>0</v>
      </c>
      <c r="L71" t="b">
        <v>0</v>
      </c>
      <c r="M71" s="65"/>
    </row>
    <row r="72" spans="2:13" x14ac:dyDescent="0.45">
      <c r="B72" t="str">
        <v>2023-12-04T11:29:18+03:00</v>
      </c>
      <c r="C72" t="b">
        <v>0</v>
      </c>
      <c r="D72" t="b">
        <v>0</v>
      </c>
      <c r="E72" t="b">
        <v>1</v>
      </c>
      <c r="F72" t="b">
        <v>1</v>
      </c>
      <c r="H72" t="str">
        <v>2024-05x10T05:24:27.917Z</v>
      </c>
      <c r="I72" t="b">
        <v>0</v>
      </c>
      <c r="J72" t="b">
        <v>0</v>
      </c>
      <c r="K72" t="b">
        <v>0</v>
      </c>
      <c r="L72" t="b">
        <v>0</v>
      </c>
      <c r="M72" s="65"/>
    </row>
    <row r="73" spans="2:13" x14ac:dyDescent="0.45">
      <c r="B73" t="str">
        <v>2023-09-18T10:16:43+03:30</v>
      </c>
      <c r="C73" t="b">
        <v>0</v>
      </c>
      <c r="D73" t="b">
        <v>0</v>
      </c>
      <c r="E73" t="b">
        <v>1</v>
      </c>
      <c r="F73" t="b">
        <v>1</v>
      </c>
      <c r="H73" t="str">
        <v>2024-05-x0T05:24:27.917Z</v>
      </c>
      <c r="I73" t="b">
        <v>0</v>
      </c>
      <c r="J73" t="b">
        <v>0</v>
      </c>
      <c r="K73" t="b">
        <v>0</v>
      </c>
      <c r="L73" t="b">
        <v>0</v>
      </c>
      <c r="M73" s="65"/>
    </row>
    <row r="74" spans="2:13" x14ac:dyDescent="0.45">
      <c r="B74" t="str">
        <v>2024-01-04T04:57:34+04:00</v>
      </c>
      <c r="C74" t="b">
        <v>0</v>
      </c>
      <c r="D74" t="b">
        <v>0</v>
      </c>
      <c r="E74" t="b">
        <v>1</v>
      </c>
      <c r="F74" t="b">
        <v>1</v>
      </c>
      <c r="H74" t="str">
        <v>2024-05-1xT05:24:27.917Z</v>
      </c>
      <c r="I74" t="b">
        <v>0</v>
      </c>
      <c r="J74" t="b">
        <v>0</v>
      </c>
      <c r="K74" t="b">
        <v>0</v>
      </c>
      <c r="L74" t="b">
        <v>0</v>
      </c>
      <c r="M74" s="65"/>
    </row>
    <row r="75" spans="2:13" x14ac:dyDescent="0.45">
      <c r="B75" t="str">
        <v>2022-11-10T09:10:08+04:30</v>
      </c>
      <c r="C75" t="b">
        <v>0</v>
      </c>
      <c r="D75" t="b">
        <v>0</v>
      </c>
      <c r="E75" t="b">
        <v>1</v>
      </c>
      <c r="F75" t="b">
        <v>1</v>
      </c>
      <c r="H75" t="str">
        <v>2024-05-10x05:24:27.917Z</v>
      </c>
      <c r="I75" t="b">
        <v>0</v>
      </c>
      <c r="J75" t="b">
        <v>0</v>
      </c>
      <c r="K75" t="b">
        <v>0</v>
      </c>
      <c r="L75" t="b">
        <v>0</v>
      </c>
      <c r="M75" s="65"/>
    </row>
    <row r="76" spans="2:13" x14ac:dyDescent="0.45">
      <c r="B76" t="str">
        <v>2022-03-25T04:35:17+05:00</v>
      </c>
      <c r="C76" t="b">
        <v>0</v>
      </c>
      <c r="D76" t="b">
        <v>0</v>
      </c>
      <c r="E76" t="b">
        <v>1</v>
      </c>
      <c r="F76" t="b">
        <v>1</v>
      </c>
      <c r="H76" t="str">
        <v>2024-05-10Tx5:24:27.917Z</v>
      </c>
      <c r="I76" t="b">
        <v>0</v>
      </c>
      <c r="J76" t="b">
        <v>0</v>
      </c>
      <c r="K76" t="b">
        <v>0</v>
      </c>
      <c r="L76" t="b">
        <v>0</v>
      </c>
      <c r="M76" s="65"/>
    </row>
    <row r="77" spans="2:13" x14ac:dyDescent="0.45">
      <c r="B77" t="str">
        <v>2022-01-16T09:57:34+05:30</v>
      </c>
      <c r="C77" t="b">
        <v>0</v>
      </c>
      <c r="D77" t="b">
        <v>0</v>
      </c>
      <c r="E77" t="b">
        <v>1</v>
      </c>
      <c r="F77" t="b">
        <v>1</v>
      </c>
      <c r="H77" t="str">
        <v>2024-05-10T0x:24:27.917Z</v>
      </c>
      <c r="I77" t="b">
        <v>0</v>
      </c>
      <c r="J77" t="b">
        <v>0</v>
      </c>
      <c r="K77" t="b">
        <v>0</v>
      </c>
      <c r="L77" t="b">
        <v>0</v>
      </c>
      <c r="M77" s="65"/>
    </row>
    <row r="78" spans="2:13" x14ac:dyDescent="0.45">
      <c r="B78" t="str">
        <v>2022-11-18T03:23:39+05:45</v>
      </c>
      <c r="C78" t="b">
        <v>0</v>
      </c>
      <c r="D78" t="b">
        <v>0</v>
      </c>
      <c r="E78" t="b">
        <v>1</v>
      </c>
      <c r="F78" t="b">
        <v>1</v>
      </c>
      <c r="H78" t="str">
        <v>2024-05-10T05x24:27.917Z</v>
      </c>
      <c r="I78" t="b">
        <v>0</v>
      </c>
      <c r="J78" t="b">
        <v>0</v>
      </c>
      <c r="K78" t="b">
        <v>0</v>
      </c>
      <c r="L78" t="b">
        <v>0</v>
      </c>
      <c r="M78" s="65"/>
    </row>
    <row r="79" spans="2:13" x14ac:dyDescent="0.45">
      <c r="B79" t="str">
        <v>2023-10-28T13:53:34+06:00</v>
      </c>
      <c r="C79" t="b">
        <v>0</v>
      </c>
      <c r="D79" t="b">
        <v>0</v>
      </c>
      <c r="E79" t="b">
        <v>1</v>
      </c>
      <c r="F79" t="b">
        <v>1</v>
      </c>
      <c r="H79" t="str">
        <v>2024-05-10T05:x4:27.917Z</v>
      </c>
      <c r="I79" t="b">
        <v>0</v>
      </c>
      <c r="J79" t="b">
        <v>0</v>
      </c>
      <c r="K79" t="b">
        <v>0</v>
      </c>
      <c r="L79" t="b">
        <v>0</v>
      </c>
      <c r="M79" s="65"/>
    </row>
    <row r="80" spans="2:13" x14ac:dyDescent="0.45">
      <c r="B80" t="str">
        <v>2022-03-06T18:49:35+06:30</v>
      </c>
      <c r="C80" t="b">
        <v>0</v>
      </c>
      <c r="D80" t="b">
        <v>0</v>
      </c>
      <c r="E80" t="b">
        <v>1</v>
      </c>
      <c r="F80" t="b">
        <v>1</v>
      </c>
      <c r="H80" t="str">
        <v>2024-05-10T05:2x:27.917Z</v>
      </c>
      <c r="I80" t="b">
        <v>0</v>
      </c>
      <c r="J80" t="b">
        <v>0</v>
      </c>
      <c r="K80" t="b">
        <v>0</v>
      </c>
      <c r="L80" t="b">
        <v>0</v>
      </c>
      <c r="M80" s="65"/>
    </row>
    <row r="81" spans="2:13" x14ac:dyDescent="0.45">
      <c r="B81" t="str">
        <v>2023-06-03T17:15:40+07:00</v>
      </c>
      <c r="C81" t="b">
        <v>0</v>
      </c>
      <c r="D81" t="b">
        <v>0</v>
      </c>
      <c r="E81" t="b">
        <v>1</v>
      </c>
      <c r="F81" t="b">
        <v>1</v>
      </c>
      <c r="H81" t="str">
        <v>2024-05-10T05:24x27.917Z</v>
      </c>
      <c r="I81" t="b">
        <v>0</v>
      </c>
      <c r="J81" t="b">
        <v>0</v>
      </c>
      <c r="K81" t="b">
        <v>0</v>
      </c>
      <c r="L81" t="b">
        <v>0</v>
      </c>
      <c r="M81" s="65"/>
    </row>
    <row r="82" spans="2:13" x14ac:dyDescent="0.45">
      <c r="B82" t="str">
        <v>2023-03-27T05:59:07+08:00</v>
      </c>
      <c r="C82" t="b">
        <v>0</v>
      </c>
      <c r="D82" t="b">
        <v>0</v>
      </c>
      <c r="E82" t="b">
        <v>1</v>
      </c>
      <c r="F82" t="b">
        <v>1</v>
      </c>
      <c r="H82" t="str">
        <v>2024-05-10T05:24:x7.917Z</v>
      </c>
      <c r="I82" t="b">
        <v>0</v>
      </c>
      <c r="J82" t="b">
        <v>0</v>
      </c>
      <c r="K82" t="b">
        <v>0</v>
      </c>
      <c r="L82" t="b">
        <v>0</v>
      </c>
      <c r="M82" s="65"/>
    </row>
    <row r="83" spans="2:13" x14ac:dyDescent="0.45">
      <c r="B83" t="str">
        <v>2022-05-07T01:43:14+08:45</v>
      </c>
      <c r="C83" t="b">
        <v>0</v>
      </c>
      <c r="D83" t="b">
        <v>0</v>
      </c>
      <c r="E83" t="b">
        <v>1</v>
      </c>
      <c r="F83" t="b">
        <v>1</v>
      </c>
      <c r="H83" t="str">
        <v>2024-05-10T05:24:2x.917Z</v>
      </c>
      <c r="I83" t="b">
        <v>0</v>
      </c>
      <c r="J83" t="b">
        <v>0</v>
      </c>
      <c r="K83" t="b">
        <v>0</v>
      </c>
      <c r="L83" t="b">
        <v>0</v>
      </c>
      <c r="M83" s="65"/>
    </row>
    <row r="84" spans="2:13" x14ac:dyDescent="0.45">
      <c r="B84" t="str">
        <v>2023-09-15T21:35:44+09:00</v>
      </c>
      <c r="C84" t="b">
        <v>0</v>
      </c>
      <c r="D84" t="b">
        <v>0</v>
      </c>
      <c r="E84" t="b">
        <v>1</v>
      </c>
      <c r="F84" t="b">
        <v>1</v>
      </c>
      <c r="H84" t="str">
        <v>2024-05-10T05:24:27x917Z</v>
      </c>
      <c r="I84" t="b">
        <v>0</v>
      </c>
      <c r="J84" t="b">
        <v>0</v>
      </c>
      <c r="K84" t="b">
        <v>0</v>
      </c>
      <c r="L84" t="b">
        <v>0</v>
      </c>
      <c r="M84" s="65"/>
    </row>
    <row r="85" spans="2:13" x14ac:dyDescent="0.45">
      <c r="B85" t="str">
        <v>2024-01-10T06:16:51+09:30</v>
      </c>
      <c r="C85" t="b">
        <v>0</v>
      </c>
      <c r="D85" t="b">
        <v>0</v>
      </c>
      <c r="E85" t="b">
        <v>1</v>
      </c>
      <c r="F85" t="b">
        <v>1</v>
      </c>
      <c r="H85" t="str">
        <v>2024-05-10T05:24:27.x17Z</v>
      </c>
      <c r="I85" t="b">
        <v>0</v>
      </c>
      <c r="J85" t="b">
        <v>0</v>
      </c>
      <c r="K85" t="b">
        <v>0</v>
      </c>
      <c r="L85" t="b">
        <v>0</v>
      </c>
      <c r="M85" s="65"/>
    </row>
    <row r="86" spans="2:13" x14ac:dyDescent="0.45">
      <c r="B86" t="str">
        <v>2022-08-02T10:46:04+10:00</v>
      </c>
      <c r="C86" t="b">
        <v>0</v>
      </c>
      <c r="D86" t="b">
        <v>0</v>
      </c>
      <c r="E86" t="b">
        <v>1</v>
      </c>
      <c r="F86" t="b">
        <v>1</v>
      </c>
      <c r="H86" t="str">
        <v>2024-05-10T05:24:27.9x7Z</v>
      </c>
      <c r="I86" t="b">
        <v>0</v>
      </c>
      <c r="J86" t="b">
        <v>0</v>
      </c>
      <c r="K86" t="b">
        <v>0</v>
      </c>
      <c r="L86" t="b">
        <v>0</v>
      </c>
      <c r="M86" s="65"/>
    </row>
    <row r="87" spans="2:13" x14ac:dyDescent="0.45">
      <c r="B87" t="str">
        <v>2023-06-21T01:47:02+10:30</v>
      </c>
      <c r="C87" t="b">
        <v>0</v>
      </c>
      <c r="D87" t="b">
        <v>0</v>
      </c>
      <c r="E87" t="b">
        <v>1</v>
      </c>
      <c r="F87" t="b">
        <v>1</v>
      </c>
      <c r="H87" t="str">
        <v>2024-05-10T05:24:27.91xZ</v>
      </c>
      <c r="I87" t="b">
        <v>0</v>
      </c>
      <c r="J87" t="b">
        <v>0</v>
      </c>
      <c r="K87" t="b">
        <v>0</v>
      </c>
      <c r="L87" t="b">
        <v>0</v>
      </c>
      <c r="M87" s="65"/>
    </row>
    <row r="88" spans="2:13" x14ac:dyDescent="0.45">
      <c r="B88" t="str">
        <v>2023-02-19T04:58:22+11:00</v>
      </c>
      <c r="C88" t="b">
        <v>0</v>
      </c>
      <c r="D88" t="b">
        <v>0</v>
      </c>
      <c r="E88" t="b">
        <v>1</v>
      </c>
      <c r="F88" t="b">
        <v>1</v>
      </c>
      <c r="H88" t="str">
        <v xml:space="preserve">2024-05-10T05:24:27.917x </v>
      </c>
      <c r="I88" t="b">
        <v>0</v>
      </c>
      <c r="J88" t="b">
        <v>0</v>
      </c>
      <c r="K88" t="b">
        <v>0</v>
      </c>
      <c r="L88" t="b">
        <v>0</v>
      </c>
      <c r="M88" s="65"/>
    </row>
    <row r="89" spans="2:13" x14ac:dyDescent="0.45">
      <c r="B89" t="str">
        <v>2022-05-04T12:44:53+12:00</v>
      </c>
      <c r="C89" t="b">
        <v>0</v>
      </c>
      <c r="D89" t="b">
        <v>0</v>
      </c>
      <c r="E89" t="b">
        <v>1</v>
      </c>
      <c r="F89" t="b">
        <v>1</v>
      </c>
      <c r="H89" t="str">
        <v xml:space="preserve">2024-05-10T05:24:27.917Zx </v>
      </c>
      <c r="I89" t="b">
        <v>0</v>
      </c>
      <c r="J89" t="b">
        <v>0</v>
      </c>
      <c r="K89" t="b">
        <v>0</v>
      </c>
      <c r="L89" t="b">
        <v>0</v>
      </c>
      <c r="M89" s="65"/>
    </row>
    <row r="90" spans="2:13" x14ac:dyDescent="0.45">
      <c r="B90" t="str">
        <v>2022-05-19T17:46:15+12:45</v>
      </c>
      <c r="C90" t="b">
        <v>0</v>
      </c>
      <c r="D90" t="b">
        <v>0</v>
      </c>
      <c r="E90" t="b">
        <v>1</v>
      </c>
      <c r="F90" t="b">
        <v>1</v>
      </c>
      <c r="H90" t="str">
        <v>x021-09-26T22:52:42-12:00</v>
      </c>
      <c r="I90" t="b">
        <v>0</v>
      </c>
      <c r="J90" t="b">
        <v>0</v>
      </c>
      <c r="K90" t="b">
        <v>0</v>
      </c>
      <c r="L90" t="b">
        <v>0</v>
      </c>
      <c r="M90" s="65"/>
    </row>
    <row r="91" spans="2:13" x14ac:dyDescent="0.45">
      <c r="B91" t="str">
        <v>2022-02-22T01:10:31+13:00</v>
      </c>
      <c r="C91" t="b">
        <v>0</v>
      </c>
      <c r="D91" t="b">
        <v>0</v>
      </c>
      <c r="E91" t="b">
        <v>1</v>
      </c>
      <c r="F91" t="b">
        <v>1</v>
      </c>
      <c r="H91" t="str">
        <v>2x21-09-26T22:52:42-12:00</v>
      </c>
      <c r="I91" t="b">
        <v>0</v>
      </c>
      <c r="J91" t="b">
        <v>0</v>
      </c>
      <c r="K91" t="b">
        <v>0</v>
      </c>
      <c r="L91" t="b">
        <v>0</v>
      </c>
      <c r="M91" s="65"/>
    </row>
    <row r="92" spans="2:13" x14ac:dyDescent="0.45">
      <c r="B92" t="str">
        <v>2024-03-28T11:27:53+14:00</v>
      </c>
      <c r="C92" t="b">
        <v>0</v>
      </c>
      <c r="D92" t="b">
        <v>0</v>
      </c>
      <c r="E92" t="b">
        <v>1</v>
      </c>
      <c r="F92" t="b">
        <v>1</v>
      </c>
      <c r="H92" t="str">
        <v>20x1-09-26T22:52:42-12:00</v>
      </c>
      <c r="I92" t="b">
        <v>0</v>
      </c>
      <c r="J92" t="b">
        <v>0</v>
      </c>
      <c r="K92" t="b">
        <v>0</v>
      </c>
      <c r="L92" t="b">
        <v>0</v>
      </c>
      <c r="M92" s="65"/>
    </row>
    <row r="93" spans="2:13" x14ac:dyDescent="0.45">
      <c r="B93" t="str">
        <v>2022-09-01T00:08:26.304</v>
      </c>
      <c r="C93" t="b">
        <v>0</v>
      </c>
      <c r="D93" t="b">
        <v>1</v>
      </c>
      <c r="E93" t="b">
        <v>0</v>
      </c>
      <c r="F93" t="b">
        <v>1</v>
      </c>
      <c r="H93" t="str">
        <v>202x-09-26T22:52:42-12:00</v>
      </c>
      <c r="I93" t="b">
        <v>0</v>
      </c>
      <c r="J93" t="b">
        <v>0</v>
      </c>
      <c r="K93" t="b">
        <v>0</v>
      </c>
      <c r="L93" t="b">
        <v>0</v>
      </c>
      <c r="M93" s="65"/>
    </row>
    <row r="94" spans="2:13" x14ac:dyDescent="0.45">
      <c r="B94" t="str">
        <v>2023-02-10T10:58:22.848</v>
      </c>
      <c r="C94" t="b">
        <v>0</v>
      </c>
      <c r="D94" t="b">
        <v>1</v>
      </c>
      <c r="E94" t="b">
        <v>0</v>
      </c>
      <c r="F94" t="b">
        <v>1</v>
      </c>
      <c r="H94" t="str">
        <v>2021x09-26T22:52:42-12:00</v>
      </c>
      <c r="I94" t="b">
        <v>0</v>
      </c>
      <c r="J94" t="b">
        <v>0</v>
      </c>
      <c r="K94" t="b">
        <v>0</v>
      </c>
      <c r="L94" t="b">
        <v>0</v>
      </c>
      <c r="M94" s="65"/>
    </row>
    <row r="95" spans="2:13" x14ac:dyDescent="0.45">
      <c r="B95" t="str">
        <v>2023-09-10T04:49:48.520</v>
      </c>
      <c r="C95" t="b">
        <v>0</v>
      </c>
      <c r="D95" t="b">
        <v>1</v>
      </c>
      <c r="E95" t="b">
        <v>0</v>
      </c>
      <c r="F95" t="b">
        <v>1</v>
      </c>
      <c r="H95" t="str">
        <v>2021-x9-26T22:52:42-12:00</v>
      </c>
      <c r="I95" t="b">
        <v>0</v>
      </c>
      <c r="J95" t="b">
        <v>0</v>
      </c>
      <c r="K95" t="b">
        <v>0</v>
      </c>
      <c r="L95" t="b">
        <v>0</v>
      </c>
      <c r="M95" s="65"/>
    </row>
    <row r="96" spans="2:13" x14ac:dyDescent="0.45">
      <c r="B96" t="str">
        <v>2023-01-21T04:19:39.829</v>
      </c>
      <c r="C96" t="b">
        <v>0</v>
      </c>
      <c r="D96" t="b">
        <v>1</v>
      </c>
      <c r="E96" t="b">
        <v>0</v>
      </c>
      <c r="F96" t="b">
        <v>1</v>
      </c>
      <c r="H96" t="str">
        <v>2021-0x-26T22:52:42-12:00</v>
      </c>
      <c r="I96" t="b">
        <v>0</v>
      </c>
      <c r="J96" t="b">
        <v>0</v>
      </c>
      <c r="K96" t="b">
        <v>0</v>
      </c>
      <c r="L96" t="b">
        <v>0</v>
      </c>
      <c r="M96" s="65"/>
    </row>
    <row r="97" spans="2:13" x14ac:dyDescent="0.45">
      <c r="B97" t="str">
        <v>2023-12-21T23:53:44.094</v>
      </c>
      <c r="C97" t="b">
        <v>0</v>
      </c>
      <c r="D97" t="b">
        <v>1</v>
      </c>
      <c r="E97" t="b">
        <v>0</v>
      </c>
      <c r="F97" t="b">
        <v>1</v>
      </c>
      <c r="H97" t="str">
        <v>2021-09x26T22:52:42-12:00</v>
      </c>
      <c r="I97" t="b">
        <v>0</v>
      </c>
      <c r="J97" t="b">
        <v>0</v>
      </c>
      <c r="K97" t="b">
        <v>0</v>
      </c>
      <c r="L97" t="b">
        <v>0</v>
      </c>
      <c r="M97" s="65"/>
    </row>
    <row r="98" spans="2:13" x14ac:dyDescent="0.45">
      <c r="B98" t="str">
        <v>2022-09-23T14:54:38.795</v>
      </c>
      <c r="C98" t="b">
        <v>0</v>
      </c>
      <c r="D98" t="b">
        <v>1</v>
      </c>
      <c r="E98" t="b">
        <v>0</v>
      </c>
      <c r="F98" t="b">
        <v>1</v>
      </c>
      <c r="H98" t="str">
        <v>2021-09-x6T22:52:42-12:00</v>
      </c>
      <c r="I98" t="b">
        <v>0</v>
      </c>
      <c r="J98" t="b">
        <v>0</v>
      </c>
      <c r="K98" t="b">
        <v>0</v>
      </c>
      <c r="L98" t="b">
        <v>0</v>
      </c>
      <c r="M98" s="65"/>
    </row>
    <row r="99" spans="2:13" x14ac:dyDescent="0.45">
      <c r="B99" t="str">
        <v>2024-02-04T07:45:08.056</v>
      </c>
      <c r="C99" t="b">
        <v>0</v>
      </c>
      <c r="D99" t="b">
        <v>1</v>
      </c>
      <c r="E99" t="b">
        <v>0</v>
      </c>
      <c r="F99" t="b">
        <v>1</v>
      </c>
      <c r="H99" t="str">
        <v>2021-09-2xT22:52:42-12:00</v>
      </c>
      <c r="I99" t="b">
        <v>0</v>
      </c>
      <c r="J99" t="b">
        <v>0</v>
      </c>
      <c r="K99" t="b">
        <v>0</v>
      </c>
      <c r="L99" t="b">
        <v>0</v>
      </c>
      <c r="M99" s="65"/>
    </row>
    <row r="100" spans="2:13" x14ac:dyDescent="0.45">
      <c r="B100" t="str">
        <v>2022-02-13T05:14:55.673</v>
      </c>
      <c r="C100" t="b">
        <v>0</v>
      </c>
      <c r="D100" t="b">
        <v>1</v>
      </c>
      <c r="E100" t="b">
        <v>0</v>
      </c>
      <c r="F100" t="b">
        <v>1</v>
      </c>
      <c r="H100" t="str">
        <v>2021-09-26x22:52:42-12:00</v>
      </c>
      <c r="I100" t="b">
        <v>0</v>
      </c>
      <c r="J100" t="b">
        <v>0</v>
      </c>
      <c r="K100" t="b">
        <v>0</v>
      </c>
      <c r="L100" t="b">
        <v>0</v>
      </c>
      <c r="M100" s="65"/>
    </row>
    <row r="101" spans="2:13" x14ac:dyDescent="0.45">
      <c r="B101" t="str">
        <v>2023-02-09T22:42:26.934</v>
      </c>
      <c r="C101" t="b">
        <v>0</v>
      </c>
      <c r="D101" t="b">
        <v>1</v>
      </c>
      <c r="E101" t="b">
        <v>0</v>
      </c>
      <c r="F101" t="b">
        <v>1</v>
      </c>
      <c r="H101" t="str">
        <v>2021-09-26Tx2:52:42-12:00</v>
      </c>
      <c r="I101" t="b">
        <v>0</v>
      </c>
      <c r="J101" t="b">
        <v>0</v>
      </c>
      <c r="K101" t="b">
        <v>0</v>
      </c>
      <c r="L101" t="b">
        <v>0</v>
      </c>
      <c r="M101" s="65"/>
    </row>
    <row r="102" spans="2:13" x14ac:dyDescent="0.45">
      <c r="B102" t="str">
        <v>2021-11-28T14:02:33.680</v>
      </c>
      <c r="C102" t="b">
        <v>0</v>
      </c>
      <c r="D102" t="b">
        <v>1</v>
      </c>
      <c r="E102" t="b">
        <v>0</v>
      </c>
      <c r="F102" t="b">
        <v>1</v>
      </c>
      <c r="H102" t="str">
        <v>2021-09-26T2x:52:42-12:00</v>
      </c>
      <c r="I102" t="b">
        <v>0</v>
      </c>
      <c r="J102" t="b">
        <v>0</v>
      </c>
      <c r="K102" t="b">
        <v>0</v>
      </c>
      <c r="L102" t="b">
        <v>0</v>
      </c>
      <c r="M102" s="65"/>
    </row>
    <row r="103" spans="2:13" x14ac:dyDescent="0.45">
      <c r="B103" t="str">
        <v>2022-03-06T02:37:14.609</v>
      </c>
      <c r="C103" t="b">
        <v>0</v>
      </c>
      <c r="D103" t="b">
        <v>1</v>
      </c>
      <c r="E103" t="b">
        <v>0</v>
      </c>
      <c r="F103" t="b">
        <v>1</v>
      </c>
      <c r="H103" t="str">
        <v>2021-09-26T22x52:42-12:00</v>
      </c>
      <c r="I103" t="b">
        <v>0</v>
      </c>
      <c r="J103" t="b">
        <v>0</v>
      </c>
      <c r="K103" t="b">
        <v>0</v>
      </c>
      <c r="L103" t="b">
        <v>0</v>
      </c>
      <c r="M103" s="65"/>
    </row>
    <row r="104" spans="2:13" x14ac:dyDescent="0.45">
      <c r="B104" t="str">
        <v>2022-05-18T13:26:59.269</v>
      </c>
      <c r="C104" t="b">
        <v>0</v>
      </c>
      <c r="D104" t="b">
        <v>1</v>
      </c>
      <c r="E104" t="b">
        <v>0</v>
      </c>
      <c r="F104" t="b">
        <v>1</v>
      </c>
      <c r="H104" t="str">
        <v>2021-09-26T22:x2:42-12:00</v>
      </c>
      <c r="I104" t="b">
        <v>0</v>
      </c>
      <c r="J104" t="b">
        <v>0</v>
      </c>
      <c r="K104" t="b">
        <v>0</v>
      </c>
      <c r="L104" t="b">
        <v>0</v>
      </c>
      <c r="M104" s="65"/>
    </row>
    <row r="105" spans="2:13" x14ac:dyDescent="0.45">
      <c r="B105" t="str">
        <v>2023-10-12T03:41:20.854</v>
      </c>
      <c r="C105" t="b">
        <v>0</v>
      </c>
      <c r="D105" t="b">
        <v>1</v>
      </c>
      <c r="E105" t="b">
        <v>0</v>
      </c>
      <c r="F105" t="b">
        <v>1</v>
      </c>
      <c r="H105" t="str">
        <v>2021-09-26T22:5x:42-12:00</v>
      </c>
      <c r="I105" t="b">
        <v>0</v>
      </c>
      <c r="J105" t="b">
        <v>0</v>
      </c>
      <c r="K105" t="b">
        <v>0</v>
      </c>
      <c r="L105" t="b">
        <v>0</v>
      </c>
      <c r="M105" s="65"/>
    </row>
    <row r="106" spans="2:13" x14ac:dyDescent="0.45">
      <c r="B106" t="str">
        <v>2022-10-23T20:13:06.354</v>
      </c>
      <c r="C106" t="b">
        <v>0</v>
      </c>
      <c r="D106" t="b">
        <v>1</v>
      </c>
      <c r="E106" t="b">
        <v>0</v>
      </c>
      <c r="F106" t="b">
        <v>1</v>
      </c>
      <c r="H106" t="str">
        <v>2021-09-26T22:52x42-12:00</v>
      </c>
      <c r="I106" t="b">
        <v>0</v>
      </c>
      <c r="J106" t="b">
        <v>0</v>
      </c>
      <c r="K106" t="b">
        <v>0</v>
      </c>
      <c r="L106" t="b">
        <v>0</v>
      </c>
      <c r="M106" s="65"/>
    </row>
    <row r="107" spans="2:13" x14ac:dyDescent="0.45">
      <c r="B107" t="str">
        <v>2022-06-23T21:54:01.766</v>
      </c>
      <c r="C107" t="b">
        <v>0</v>
      </c>
      <c r="D107" t="b">
        <v>1</v>
      </c>
      <c r="E107" t="b">
        <v>0</v>
      </c>
      <c r="F107" t="b">
        <v>1</v>
      </c>
      <c r="H107" t="str">
        <v>2021-09-26T22:52:x2-12:00</v>
      </c>
      <c r="I107" t="b">
        <v>0</v>
      </c>
      <c r="J107" t="b">
        <v>0</v>
      </c>
      <c r="K107" t="b">
        <v>0</v>
      </c>
      <c r="L107" t="b">
        <v>0</v>
      </c>
      <c r="M107" s="65"/>
    </row>
    <row r="108" spans="2:13" x14ac:dyDescent="0.45">
      <c r="B108" t="str">
        <v>2022-08-10T23:10:35.889</v>
      </c>
      <c r="C108" t="b">
        <v>0</v>
      </c>
      <c r="D108" t="b">
        <v>1</v>
      </c>
      <c r="E108" t="b">
        <v>0</v>
      </c>
      <c r="F108" t="b">
        <v>1</v>
      </c>
      <c r="H108" t="str">
        <v>2021-09-26T22:52:4x-12:00</v>
      </c>
      <c r="I108" t="b">
        <v>0</v>
      </c>
      <c r="J108" t="b">
        <v>0</v>
      </c>
      <c r="K108" t="b">
        <v>0</v>
      </c>
      <c r="L108" t="b">
        <v>0</v>
      </c>
      <c r="M108" s="65"/>
    </row>
    <row r="109" spans="2:13" x14ac:dyDescent="0.45">
      <c r="B109" t="str">
        <v>2021-10-08T09:53:25.098</v>
      </c>
      <c r="C109" t="b">
        <v>0</v>
      </c>
      <c r="D109" t="b">
        <v>1</v>
      </c>
      <c r="E109" t="b">
        <v>0</v>
      </c>
      <c r="F109" t="b">
        <v>1</v>
      </c>
      <c r="H109" t="str">
        <v>2021-09-26T22:52:42x12:00</v>
      </c>
      <c r="I109" t="b">
        <v>0</v>
      </c>
      <c r="J109" t="b">
        <v>0</v>
      </c>
      <c r="K109" t="b">
        <v>0</v>
      </c>
      <c r="L109" t="b">
        <v>0</v>
      </c>
      <c r="M109" s="65"/>
    </row>
    <row r="110" spans="2:13" x14ac:dyDescent="0.45">
      <c r="B110" t="str">
        <v>2022-02-20T13:40:23.458</v>
      </c>
      <c r="C110" t="b">
        <v>0</v>
      </c>
      <c r="D110" t="b">
        <v>1</v>
      </c>
      <c r="E110" t="b">
        <v>0</v>
      </c>
      <c r="F110" t="b">
        <v>1</v>
      </c>
      <c r="H110" t="str">
        <v>2021-09-26T22:52:42-x2:00</v>
      </c>
      <c r="I110" t="b">
        <v>0</v>
      </c>
      <c r="J110" t="b">
        <v>0</v>
      </c>
      <c r="K110" t="b">
        <v>0</v>
      </c>
      <c r="L110" t="b">
        <v>0</v>
      </c>
      <c r="M110" s="65"/>
    </row>
    <row r="111" spans="2:13" x14ac:dyDescent="0.45">
      <c r="B111" t="str">
        <v>2024-05-19T02:21:56.931</v>
      </c>
      <c r="C111" t="b">
        <v>0</v>
      </c>
      <c r="D111" t="b">
        <v>1</v>
      </c>
      <c r="E111" t="b">
        <v>0</v>
      </c>
      <c r="F111" t="b">
        <v>1</v>
      </c>
      <c r="H111" t="str">
        <v>2021-09-26T22:52:42-1x:00</v>
      </c>
      <c r="I111" t="b">
        <v>0</v>
      </c>
      <c r="J111" t="b">
        <v>0</v>
      </c>
      <c r="K111" t="b">
        <v>0</v>
      </c>
      <c r="L111" t="b">
        <v>0</v>
      </c>
      <c r="M111" s="65"/>
    </row>
    <row r="112" spans="2:13" x14ac:dyDescent="0.45">
      <c r="B112" t="str">
        <v>2023-05-09T06:39:45.156</v>
      </c>
      <c r="C112" t="b">
        <v>0</v>
      </c>
      <c r="D112" t="b">
        <v>1</v>
      </c>
      <c r="E112" t="b">
        <v>0</v>
      </c>
      <c r="F112" t="b">
        <v>1</v>
      </c>
      <c r="H112" t="str">
        <v>2021-09-26T22:52:42-12x00</v>
      </c>
      <c r="I112" t="b">
        <v>0</v>
      </c>
      <c r="J112" t="b">
        <v>0</v>
      </c>
      <c r="K112" t="b">
        <v>0</v>
      </c>
      <c r="L112" t="b">
        <v>0</v>
      </c>
      <c r="M112" s="65"/>
    </row>
    <row r="113" spans="2:13" x14ac:dyDescent="0.45">
      <c r="B113" t="str">
        <v>2024-02-17T15:28:28.148</v>
      </c>
      <c r="C113" t="b">
        <v>0</v>
      </c>
      <c r="D113" t="b">
        <v>1</v>
      </c>
      <c r="E113" t="b">
        <v>0</v>
      </c>
      <c r="F113" t="b">
        <v>1</v>
      </c>
      <c r="H113" t="str">
        <v>2021-09-26T22:52:42-12:x0</v>
      </c>
      <c r="I113" t="b">
        <v>0</v>
      </c>
      <c r="J113" t="b">
        <v>0</v>
      </c>
      <c r="K113" t="b">
        <v>0</v>
      </c>
      <c r="L113" t="b">
        <v>0</v>
      </c>
      <c r="M113" s="65"/>
    </row>
    <row r="114" spans="2:13" x14ac:dyDescent="0.45">
      <c r="B114" t="str">
        <v>2023-05-10T03:28:07.276</v>
      </c>
      <c r="C114" t="b">
        <v>0</v>
      </c>
      <c r="D114" t="b">
        <v>1</v>
      </c>
      <c r="E114" t="b">
        <v>0</v>
      </c>
      <c r="F114" t="b">
        <v>1</v>
      </c>
      <c r="H114" t="str">
        <v xml:space="preserve">2021-09-26T22:52:42-12:0x </v>
      </c>
      <c r="I114" t="b">
        <v>0</v>
      </c>
      <c r="J114" t="b">
        <v>0</v>
      </c>
      <c r="K114" t="b">
        <v>0</v>
      </c>
      <c r="L114" t="b">
        <v>0</v>
      </c>
      <c r="M114" s="65"/>
    </row>
    <row r="115" spans="2:13" x14ac:dyDescent="0.45">
      <c r="B115" t="str">
        <v>2022-02-10T20:10:54.146</v>
      </c>
      <c r="C115" t="b">
        <v>0</v>
      </c>
      <c r="D115" t="b">
        <v>1</v>
      </c>
      <c r="E115" t="b">
        <v>0</v>
      </c>
      <c r="F115" t="b">
        <v>1</v>
      </c>
      <c r="H115" t="str">
        <v xml:space="preserve">2021-09-26T22:52:42-12:00x </v>
      </c>
      <c r="I115" t="b">
        <v>0</v>
      </c>
      <c r="J115" t="b">
        <v>0</v>
      </c>
      <c r="K115" t="b">
        <v>0</v>
      </c>
      <c r="L115" t="b">
        <v>0</v>
      </c>
      <c r="M115" s="65"/>
    </row>
    <row r="116" spans="2:13" x14ac:dyDescent="0.45">
      <c r="B116" t="str">
        <v>2022-12-24</v>
      </c>
      <c r="C116" t="b">
        <v>1</v>
      </c>
      <c r="D116" t="b">
        <v>1</v>
      </c>
      <c r="E116" t="b">
        <v>1</v>
      </c>
      <c r="F116" t="b">
        <v>1</v>
      </c>
      <c r="H116" t="str">
        <v>x023-03-08T06:29:28Z</v>
      </c>
      <c r="I116" t="b">
        <v>0</v>
      </c>
      <c r="J116" t="b">
        <v>0</v>
      </c>
      <c r="K116" t="b">
        <v>0</v>
      </c>
      <c r="L116" t="b">
        <v>0</v>
      </c>
      <c r="M116" s="65"/>
    </row>
    <row r="117" spans="2:13" x14ac:dyDescent="0.45">
      <c r="B117" t="str">
        <v>2023-12-16</v>
      </c>
      <c r="C117" t="b">
        <v>1</v>
      </c>
      <c r="D117" t="b">
        <v>1</v>
      </c>
      <c r="E117" t="b">
        <v>1</v>
      </c>
      <c r="F117" t="b">
        <v>1</v>
      </c>
      <c r="H117" t="str">
        <v>2x23-03-08T06:29:28Z</v>
      </c>
      <c r="I117" t="b">
        <v>0</v>
      </c>
      <c r="J117" t="b">
        <v>0</v>
      </c>
      <c r="K117" t="b">
        <v>0</v>
      </c>
      <c r="L117" t="b">
        <v>0</v>
      </c>
      <c r="M117" s="65"/>
    </row>
    <row r="118" spans="2:13" x14ac:dyDescent="0.45">
      <c r="B118" t="str">
        <v>2023-09-14</v>
      </c>
      <c r="C118" t="b">
        <v>1</v>
      </c>
      <c r="D118" t="b">
        <v>1</v>
      </c>
      <c r="E118" t="b">
        <v>1</v>
      </c>
      <c r="F118" t="b">
        <v>1</v>
      </c>
      <c r="H118" t="str">
        <v>20x3-03-08T06:29:28Z</v>
      </c>
      <c r="I118" t="b">
        <v>0</v>
      </c>
      <c r="J118" t="b">
        <v>0</v>
      </c>
      <c r="K118" t="b">
        <v>0</v>
      </c>
      <c r="L118" t="b">
        <v>0</v>
      </c>
      <c r="M118" s="65"/>
    </row>
    <row r="119" spans="2:13" x14ac:dyDescent="0.45">
      <c r="B119" t="str">
        <v>2023-11-12</v>
      </c>
      <c r="C119" t="b">
        <v>1</v>
      </c>
      <c r="D119" t="b">
        <v>1</v>
      </c>
      <c r="E119" t="b">
        <v>1</v>
      </c>
      <c r="F119" t="b">
        <v>1</v>
      </c>
      <c r="H119" t="str">
        <v>202x-03-08T06:29:28Z</v>
      </c>
      <c r="I119" t="b">
        <v>0</v>
      </c>
      <c r="J119" t="b">
        <v>0</v>
      </c>
      <c r="K119" t="b">
        <v>0</v>
      </c>
      <c r="L119" t="b">
        <v>0</v>
      </c>
      <c r="M119" s="65"/>
    </row>
    <row r="120" spans="2:13" x14ac:dyDescent="0.45">
      <c r="B120" t="str">
        <v>2023-08-11</v>
      </c>
      <c r="C120" t="b">
        <v>1</v>
      </c>
      <c r="D120" t="b">
        <v>1</v>
      </c>
      <c r="E120" t="b">
        <v>1</v>
      </c>
      <c r="F120" t="b">
        <v>1</v>
      </c>
      <c r="H120" t="str">
        <v>2023x03-08T06:29:28Z</v>
      </c>
      <c r="I120" t="b">
        <v>0</v>
      </c>
      <c r="J120" t="b">
        <v>0</v>
      </c>
      <c r="K120" t="b">
        <v>0</v>
      </c>
      <c r="L120" t="b">
        <v>0</v>
      </c>
      <c r="M120" s="65"/>
    </row>
    <row r="121" spans="2:13" x14ac:dyDescent="0.45">
      <c r="B121" t="str">
        <v>2023-01-27</v>
      </c>
      <c r="C121" t="b">
        <v>1</v>
      </c>
      <c r="D121" t="b">
        <v>1</v>
      </c>
      <c r="E121" t="b">
        <v>1</v>
      </c>
      <c r="F121" t="b">
        <v>1</v>
      </c>
      <c r="H121" t="str">
        <v>2023-x3-08T06:29:28Z</v>
      </c>
      <c r="I121" t="b">
        <v>0</v>
      </c>
      <c r="J121" t="b">
        <v>0</v>
      </c>
      <c r="K121" t="b">
        <v>0</v>
      </c>
      <c r="L121" t="b">
        <v>0</v>
      </c>
      <c r="M121" s="65"/>
    </row>
    <row r="122" spans="2:13" x14ac:dyDescent="0.45">
      <c r="B122" t="str">
        <v>2023-07-15</v>
      </c>
      <c r="C122" t="b">
        <v>1</v>
      </c>
      <c r="D122" t="b">
        <v>1</v>
      </c>
      <c r="E122" t="b">
        <v>1</v>
      </c>
      <c r="F122" t="b">
        <v>1</v>
      </c>
      <c r="H122" t="str">
        <v>2023-0x-08T06:29:28Z</v>
      </c>
      <c r="I122" t="b">
        <v>0</v>
      </c>
      <c r="J122" t="b">
        <v>0</v>
      </c>
      <c r="K122" t="b">
        <v>0</v>
      </c>
      <c r="L122" t="b">
        <v>0</v>
      </c>
      <c r="M122" s="65"/>
    </row>
    <row r="123" spans="2:13" x14ac:dyDescent="0.45">
      <c r="B123" t="str">
        <v>2024-03-08</v>
      </c>
      <c r="C123" t="b">
        <v>1</v>
      </c>
      <c r="D123" t="b">
        <v>1</v>
      </c>
      <c r="E123" t="b">
        <v>1</v>
      </c>
      <c r="F123" t="b">
        <v>1</v>
      </c>
      <c r="H123" t="str">
        <v>2023-03x08T06:29:28Z</v>
      </c>
      <c r="I123" t="b">
        <v>0</v>
      </c>
      <c r="J123" t="b">
        <v>0</v>
      </c>
      <c r="K123" t="b">
        <v>0</v>
      </c>
      <c r="L123" t="b">
        <v>0</v>
      </c>
      <c r="M123" s="65"/>
    </row>
    <row r="124" spans="2:13" x14ac:dyDescent="0.45">
      <c r="B124" t="str">
        <v>2021-10-06</v>
      </c>
      <c r="C124" t="b">
        <v>1</v>
      </c>
      <c r="D124" t="b">
        <v>1</v>
      </c>
      <c r="E124" t="b">
        <v>1</v>
      </c>
      <c r="F124" t="b">
        <v>1</v>
      </c>
      <c r="H124" t="str">
        <v>2023-03-x8T06:29:28Z</v>
      </c>
      <c r="I124" t="b">
        <v>0</v>
      </c>
      <c r="J124" t="b">
        <v>0</v>
      </c>
      <c r="K124" t="b">
        <v>0</v>
      </c>
      <c r="L124" t="b">
        <v>0</v>
      </c>
      <c r="M124" s="65"/>
    </row>
    <row r="125" spans="2:13" x14ac:dyDescent="0.45">
      <c r="B125" t="str">
        <v>2024-03-29</v>
      </c>
      <c r="C125" t="b">
        <v>1</v>
      </c>
      <c r="D125" t="b">
        <v>1</v>
      </c>
      <c r="E125" t="b">
        <v>1</v>
      </c>
      <c r="F125" t="b">
        <v>1</v>
      </c>
      <c r="H125" t="str">
        <v>2023-03-0xT06:29:28Z</v>
      </c>
      <c r="I125" t="b">
        <v>0</v>
      </c>
      <c r="J125" t="b">
        <v>0</v>
      </c>
      <c r="K125" t="b">
        <v>0</v>
      </c>
      <c r="L125" t="b">
        <v>0</v>
      </c>
      <c r="M125" s="65"/>
    </row>
    <row r="126" spans="2:13" x14ac:dyDescent="0.45">
      <c r="B126" t="str">
        <v>2023-10-04</v>
      </c>
      <c r="C126" t="b">
        <v>1</v>
      </c>
      <c r="D126" t="b">
        <v>1</v>
      </c>
      <c r="E126" t="b">
        <v>1</v>
      </c>
      <c r="F126" t="b">
        <v>1</v>
      </c>
      <c r="H126" t="str">
        <v>2023-03-08x06:29:28Z</v>
      </c>
      <c r="I126" t="b">
        <v>0</v>
      </c>
      <c r="J126" t="b">
        <v>0</v>
      </c>
      <c r="K126" t="b">
        <v>0</v>
      </c>
      <c r="L126" t="b">
        <v>0</v>
      </c>
      <c r="M126" s="65"/>
    </row>
    <row r="127" spans="2:13" x14ac:dyDescent="0.45">
      <c r="B127" t="str">
        <v>2023-08-10</v>
      </c>
      <c r="C127" t="b">
        <v>1</v>
      </c>
      <c r="D127" t="b">
        <v>1</v>
      </c>
      <c r="E127" t="b">
        <v>1</v>
      </c>
      <c r="F127" t="b">
        <v>1</v>
      </c>
      <c r="H127" t="str">
        <v>2023-03-08Tx6:29:28Z</v>
      </c>
      <c r="I127" t="b">
        <v>0</v>
      </c>
      <c r="J127" t="b">
        <v>0</v>
      </c>
      <c r="K127" t="b">
        <v>0</v>
      </c>
      <c r="L127" t="b">
        <v>0</v>
      </c>
      <c r="M127" s="65"/>
    </row>
    <row r="128" spans="2:13" x14ac:dyDescent="0.45">
      <c r="B128" t="str">
        <v>2023-04-04</v>
      </c>
      <c r="C128" t="b">
        <v>1</v>
      </c>
      <c r="D128" t="b">
        <v>1</v>
      </c>
      <c r="E128" t="b">
        <v>1</v>
      </c>
      <c r="F128" t="b">
        <v>1</v>
      </c>
      <c r="H128" t="str">
        <v>2023-03-08T0x:29:28Z</v>
      </c>
      <c r="I128" t="b">
        <v>0</v>
      </c>
      <c r="J128" t="b">
        <v>0</v>
      </c>
      <c r="K128" t="b">
        <v>0</v>
      </c>
      <c r="L128" t="b">
        <v>0</v>
      </c>
      <c r="M128" s="65"/>
    </row>
    <row r="129" spans="2:13" x14ac:dyDescent="0.45">
      <c r="B129" t="str">
        <v>2021-09-27</v>
      </c>
      <c r="C129" t="b">
        <v>1</v>
      </c>
      <c r="D129" t="b">
        <v>1</v>
      </c>
      <c r="E129" t="b">
        <v>1</v>
      </c>
      <c r="F129" t="b">
        <v>1</v>
      </c>
      <c r="H129" t="str">
        <v>2023-03-08T06x29:28Z</v>
      </c>
      <c r="I129" t="b">
        <v>0</v>
      </c>
      <c r="J129" t="b">
        <v>0</v>
      </c>
      <c r="K129" t="b">
        <v>0</v>
      </c>
      <c r="L129" t="b">
        <v>0</v>
      </c>
      <c r="M129" s="65"/>
    </row>
    <row r="130" spans="2:13" x14ac:dyDescent="0.45">
      <c r="B130" t="str">
        <v>2023-06-28</v>
      </c>
      <c r="C130" t="b">
        <v>1</v>
      </c>
      <c r="D130" t="b">
        <v>1</v>
      </c>
      <c r="E130" t="b">
        <v>1</v>
      </c>
      <c r="F130" t="b">
        <v>1</v>
      </c>
      <c r="H130" t="str">
        <v>2023-03-08T06:x9:28Z</v>
      </c>
      <c r="I130" t="b">
        <v>0</v>
      </c>
      <c r="J130" t="b">
        <v>0</v>
      </c>
      <c r="K130" t="b">
        <v>0</v>
      </c>
      <c r="L130" t="b">
        <v>0</v>
      </c>
      <c r="M130" s="65"/>
    </row>
    <row r="131" spans="2:13" x14ac:dyDescent="0.45">
      <c r="B131" t="str">
        <v>2021-09-08</v>
      </c>
      <c r="C131" t="b">
        <v>1</v>
      </c>
      <c r="D131" t="b">
        <v>1</v>
      </c>
      <c r="E131" t="b">
        <v>1</v>
      </c>
      <c r="F131" t="b">
        <v>1</v>
      </c>
      <c r="H131" t="str">
        <v>2023-03-08T06:2x:28Z</v>
      </c>
      <c r="I131" t="b">
        <v>0</v>
      </c>
      <c r="J131" t="b">
        <v>0</v>
      </c>
      <c r="K131" t="b">
        <v>0</v>
      </c>
      <c r="L131" t="b">
        <v>0</v>
      </c>
      <c r="M131" s="65"/>
    </row>
    <row r="132" spans="2:13" x14ac:dyDescent="0.45">
      <c r="B132" t="str">
        <v>2022-01-16</v>
      </c>
      <c r="C132" t="b">
        <v>1</v>
      </c>
      <c r="D132" t="b">
        <v>1</v>
      </c>
      <c r="E132" t="b">
        <v>1</v>
      </c>
      <c r="F132" t="b">
        <v>1</v>
      </c>
      <c r="H132" t="str">
        <v>2023-03-08T06:29x28Z</v>
      </c>
      <c r="I132" t="b">
        <v>0</v>
      </c>
      <c r="J132" t="b">
        <v>0</v>
      </c>
      <c r="K132" t="b">
        <v>0</v>
      </c>
      <c r="L132" t="b">
        <v>0</v>
      </c>
      <c r="M132" s="65"/>
    </row>
    <row r="133" spans="2:13" x14ac:dyDescent="0.45">
      <c r="B133" s="19" t="str">
        <v>2023-09-24</v>
      </c>
      <c r="C133" t="b">
        <v>1</v>
      </c>
      <c r="D133" t="b">
        <v>1</v>
      </c>
      <c r="E133" t="b">
        <v>1</v>
      </c>
      <c r="F133" t="b">
        <v>1</v>
      </c>
      <c r="H133" t="str">
        <v>2023-03-08T06:29:x8Z</v>
      </c>
      <c r="I133" t="b">
        <v>0</v>
      </c>
      <c r="J133" t="b">
        <v>0</v>
      </c>
      <c r="K133" t="b">
        <v>0</v>
      </c>
      <c r="L133" t="b">
        <v>0</v>
      </c>
      <c r="M133" s="65"/>
    </row>
    <row r="134" spans="2:13" x14ac:dyDescent="0.45">
      <c r="B134" t="str">
        <v>2022-03-20</v>
      </c>
      <c r="C134" t="b">
        <v>1</v>
      </c>
      <c r="D134" t="b">
        <v>1</v>
      </c>
      <c r="E134" t="b">
        <v>1</v>
      </c>
      <c r="F134" t="b">
        <v>1</v>
      </c>
      <c r="H134" t="str">
        <v>2023-03-08T06:29:2xZ</v>
      </c>
      <c r="I134" t="b">
        <v>0</v>
      </c>
      <c r="J134" t="b">
        <v>0</v>
      </c>
      <c r="K134" t="b">
        <v>0</v>
      </c>
      <c r="L134" t="b">
        <v>0</v>
      </c>
      <c r="M134" s="65"/>
    </row>
    <row r="135" spans="2:13" x14ac:dyDescent="0.45">
      <c r="B135" t="str">
        <v>2024-01-28</v>
      </c>
      <c r="C135" t="b">
        <v>1</v>
      </c>
      <c r="D135" t="b">
        <v>1</v>
      </c>
      <c r="E135" t="b">
        <v>1</v>
      </c>
      <c r="F135" t="b">
        <v>1</v>
      </c>
      <c r="H135" t="str">
        <v xml:space="preserve">2023-03-08T06:29:28x </v>
      </c>
      <c r="I135" t="b">
        <v>0</v>
      </c>
      <c r="J135" t="b">
        <v>0</v>
      </c>
      <c r="K135" t="b">
        <v>0</v>
      </c>
      <c r="L135" t="b">
        <v>0</v>
      </c>
      <c r="M135" s="65"/>
    </row>
    <row r="136" spans="2:13" x14ac:dyDescent="0.45">
      <c r="B136" t="str">
        <v>2023-08-27</v>
      </c>
      <c r="C136" t="b">
        <v>1</v>
      </c>
      <c r="D136" t="b">
        <v>1</v>
      </c>
      <c r="E136" t="b">
        <v>1</v>
      </c>
      <c r="F136" t="b">
        <v>1</v>
      </c>
      <c r="H136" t="str">
        <v xml:space="preserve">2023-03-08T06:29:28Zx </v>
      </c>
      <c r="I136" t="b">
        <v>0</v>
      </c>
      <c r="J136" t="b">
        <v>0</v>
      </c>
      <c r="K136" t="b">
        <v>0</v>
      </c>
      <c r="L136" t="b">
        <v>0</v>
      </c>
      <c r="M136" s="65"/>
    </row>
    <row r="137" spans="2:13" x14ac:dyDescent="0.45">
      <c r="B137" t="str">
        <v>2023-01-15</v>
      </c>
      <c r="C137" t="b">
        <v>1</v>
      </c>
      <c r="D137" t="b">
        <v>1</v>
      </c>
      <c r="E137" t="b">
        <v>1</v>
      </c>
      <c r="F137" t="b">
        <v>1</v>
      </c>
      <c r="H137" t="str">
        <v>x022-09-01T00:08:26.304</v>
      </c>
      <c r="I137" t="b">
        <v>0</v>
      </c>
      <c r="J137" t="b">
        <v>0</v>
      </c>
      <c r="K137" t="b">
        <v>0</v>
      </c>
      <c r="L137" t="b">
        <v>0</v>
      </c>
      <c r="M137" s="65"/>
    </row>
    <row r="138" spans="2:13" x14ac:dyDescent="0.45">
      <c r="B138" t="str">
        <v>2023-02-22</v>
      </c>
      <c r="C138" t="b">
        <v>1</v>
      </c>
      <c r="D138" t="b">
        <v>1</v>
      </c>
      <c r="E138" t="b">
        <v>1</v>
      </c>
      <c r="F138" t="b">
        <v>1</v>
      </c>
      <c r="H138" t="str">
        <v>2x22-09-01T00:08:26.304</v>
      </c>
      <c r="I138" t="b">
        <v>0</v>
      </c>
      <c r="J138" t="b">
        <v>0</v>
      </c>
      <c r="K138" t="b">
        <v>0</v>
      </c>
      <c r="L138" t="b">
        <v>0</v>
      </c>
      <c r="M138" s="65"/>
    </row>
    <row r="139" spans="2:13" x14ac:dyDescent="0.45">
      <c r="B139" s="19" t="str">
        <v>2022-02-26</v>
      </c>
      <c r="C139" t="b">
        <v>1</v>
      </c>
      <c r="D139" t="b">
        <v>1</v>
      </c>
      <c r="E139" t="b">
        <v>1</v>
      </c>
      <c r="F139" t="b">
        <v>1</v>
      </c>
      <c r="H139" t="str">
        <v>20x2-09-01T00:08:26.304</v>
      </c>
      <c r="I139" t="b">
        <v>0</v>
      </c>
      <c r="J139" t="b">
        <v>0</v>
      </c>
      <c r="K139" t="b">
        <v>0</v>
      </c>
      <c r="L139" t="b">
        <v>0</v>
      </c>
      <c r="M139" s="65"/>
    </row>
    <row r="140" spans="2:13" x14ac:dyDescent="0.45">
      <c r="B140" t="str">
        <v>2023-02-23</v>
      </c>
      <c r="C140" t="b">
        <v>1</v>
      </c>
      <c r="D140" t="b">
        <v>1</v>
      </c>
      <c r="E140" t="b">
        <v>1</v>
      </c>
      <c r="F140" t="b">
        <v>1</v>
      </c>
      <c r="H140" t="str">
        <v>202x-09-01T00:08:26.304</v>
      </c>
      <c r="I140" t="b">
        <v>0</v>
      </c>
      <c r="J140" t="b">
        <v>0</v>
      </c>
      <c r="K140" t="b">
        <v>0</v>
      </c>
      <c r="L140" t="b">
        <v>0</v>
      </c>
      <c r="M140" s="65"/>
    </row>
    <row r="141" spans="2:13" x14ac:dyDescent="0.45">
      <c r="B141" t="str">
        <v>2023-03-04</v>
      </c>
      <c r="C141" t="b">
        <v>1</v>
      </c>
      <c r="D141" t="b">
        <v>1</v>
      </c>
      <c r="E141" t="b">
        <v>1</v>
      </c>
      <c r="F141" t="b">
        <v>1</v>
      </c>
      <c r="H141" t="str">
        <v>2022x09-01T00:08:26.304</v>
      </c>
      <c r="I141" t="b">
        <v>0</v>
      </c>
      <c r="J141" t="b">
        <v>0</v>
      </c>
      <c r="K141" t="b">
        <v>0</v>
      </c>
      <c r="L141" t="b">
        <v>0</v>
      </c>
      <c r="M141" s="65"/>
    </row>
    <row r="142" spans="2:13" x14ac:dyDescent="0.45">
      <c r="B142" t="str">
        <v>2022-03-26</v>
      </c>
      <c r="C142" t="b">
        <v>1</v>
      </c>
      <c r="D142" t="b">
        <v>1</v>
      </c>
      <c r="E142" t="b">
        <v>1</v>
      </c>
      <c r="F142" t="b">
        <v>1</v>
      </c>
      <c r="H142" t="str">
        <v>2022-x9-01T00:08:26.304</v>
      </c>
      <c r="I142" t="b">
        <v>0</v>
      </c>
      <c r="J142" t="b">
        <v>0</v>
      </c>
      <c r="K142" t="b">
        <v>0</v>
      </c>
      <c r="L142" t="b">
        <v>0</v>
      </c>
      <c r="M142" s="65"/>
    </row>
    <row r="143" spans="2:13" x14ac:dyDescent="0.45">
      <c r="B143" t="str">
        <v>2022-11-15</v>
      </c>
      <c r="C143" t="b">
        <v>1</v>
      </c>
      <c r="D143" t="b">
        <v>1</v>
      </c>
      <c r="E143" t="b">
        <v>1</v>
      </c>
      <c r="F143" t="b">
        <v>1</v>
      </c>
      <c r="H143" t="str">
        <v>2022-0x-01T00:08:26.304</v>
      </c>
      <c r="I143" t="b">
        <v>0</v>
      </c>
      <c r="J143" t="b">
        <v>0</v>
      </c>
      <c r="K143" t="b">
        <v>0</v>
      </c>
      <c r="L143" t="b">
        <v>0</v>
      </c>
      <c r="M143" s="65"/>
    </row>
    <row r="144" spans="2:13" x14ac:dyDescent="0.45">
      <c r="B144" t="str">
        <v>2021-11-01</v>
      </c>
      <c r="C144" t="b">
        <v>1</v>
      </c>
      <c r="D144" t="b">
        <v>1</v>
      </c>
      <c r="E144" t="b">
        <v>1</v>
      </c>
      <c r="F144" t="b">
        <v>1</v>
      </c>
      <c r="H144" t="str">
        <v>2022-09x01T00:08:26.304</v>
      </c>
      <c r="I144" t="b">
        <v>0</v>
      </c>
      <c r="J144" t="b">
        <v>0</v>
      </c>
      <c r="K144" t="b">
        <v>0</v>
      </c>
      <c r="L144" t="b">
        <v>0</v>
      </c>
      <c r="M144" s="65"/>
    </row>
    <row r="145" spans="2:13" x14ac:dyDescent="0.45">
      <c r="B145" t="str">
        <v>2021-12-29</v>
      </c>
      <c r="C145" t="b">
        <v>1</v>
      </c>
      <c r="D145" t="b">
        <v>1</v>
      </c>
      <c r="E145" t="b">
        <v>1</v>
      </c>
      <c r="F145" t="b">
        <v>1</v>
      </c>
      <c r="H145" t="str">
        <v>2022-09-x1T00:08:26.304</v>
      </c>
      <c r="I145" t="b">
        <v>0</v>
      </c>
      <c r="J145" t="b">
        <v>0</v>
      </c>
      <c r="K145" t="b">
        <v>0</v>
      </c>
      <c r="L145" t="b">
        <v>0</v>
      </c>
      <c r="M145" s="65"/>
    </row>
    <row r="146" spans="2:13" x14ac:dyDescent="0.45">
      <c r="B146" t="str">
        <v>2023-01-06</v>
      </c>
      <c r="C146" t="b">
        <v>1</v>
      </c>
      <c r="D146" t="b">
        <v>1</v>
      </c>
      <c r="E146" t="b">
        <v>1</v>
      </c>
      <c r="F146" t="b">
        <v>1</v>
      </c>
      <c r="H146" t="str">
        <v>2022-09-0xT00:08:26.304</v>
      </c>
      <c r="I146" t="b">
        <v>0</v>
      </c>
      <c r="J146" t="b">
        <v>0</v>
      </c>
      <c r="K146" t="b">
        <v>0</v>
      </c>
      <c r="L146" t="b">
        <v>0</v>
      </c>
      <c r="M146" s="65"/>
    </row>
    <row r="147" spans="2:13" x14ac:dyDescent="0.45">
      <c r="B147" t="str">
        <v>2024-01-12</v>
      </c>
      <c r="C147" t="b">
        <v>1</v>
      </c>
      <c r="D147" t="b">
        <v>1</v>
      </c>
      <c r="E147" t="b">
        <v>1</v>
      </c>
      <c r="F147" t="b">
        <v>1</v>
      </c>
      <c r="H147" t="str">
        <v>2022-09-01x00:08:26.304</v>
      </c>
      <c r="I147" t="b">
        <v>0</v>
      </c>
      <c r="J147" t="b">
        <v>0</v>
      </c>
      <c r="K147" t="b">
        <v>0</v>
      </c>
      <c r="L147" t="b">
        <v>0</v>
      </c>
      <c r="M147" s="65"/>
    </row>
    <row r="148" spans="2:13" x14ac:dyDescent="0.45">
      <c r="B148" t="str">
        <v>2023-08-13</v>
      </c>
      <c r="C148" t="b">
        <v>1</v>
      </c>
      <c r="D148" t="b">
        <v>1</v>
      </c>
      <c r="E148" t="b">
        <v>1</v>
      </c>
      <c r="F148" t="b">
        <v>1</v>
      </c>
      <c r="H148" t="str">
        <v>2022-09-01Tx0:08:26.304</v>
      </c>
      <c r="I148" t="b">
        <v>0</v>
      </c>
      <c r="J148" t="b">
        <v>0</v>
      </c>
      <c r="K148" t="b">
        <v>0</v>
      </c>
      <c r="L148" t="b">
        <v>0</v>
      </c>
      <c r="M148" s="65"/>
    </row>
    <row r="149" spans="2:13" x14ac:dyDescent="0.45">
      <c r="B149" t="str">
        <v>2023-08-24</v>
      </c>
      <c r="C149" t="b">
        <v>1</v>
      </c>
      <c r="D149" t="b">
        <v>1</v>
      </c>
      <c r="E149" t="b">
        <v>1</v>
      </c>
      <c r="F149" t="b">
        <v>1</v>
      </c>
      <c r="H149" t="str">
        <v>2022-09-01T0x:08:26.304</v>
      </c>
      <c r="I149" t="b">
        <v>0</v>
      </c>
      <c r="J149" t="b">
        <v>0</v>
      </c>
      <c r="K149" t="b">
        <v>0</v>
      </c>
      <c r="L149" t="b">
        <v>0</v>
      </c>
      <c r="M149" s="65"/>
    </row>
    <row r="150" spans="2:13" x14ac:dyDescent="0.45">
      <c r="B150" t="str">
        <v>2021-10-16</v>
      </c>
      <c r="C150" t="b">
        <v>1</v>
      </c>
      <c r="D150" t="b">
        <v>1</v>
      </c>
      <c r="E150" t="b">
        <v>1</v>
      </c>
      <c r="F150" t="b">
        <v>1</v>
      </c>
      <c r="H150" t="str">
        <v>2022-09-01T00x08:26.304</v>
      </c>
      <c r="I150" t="b">
        <v>0</v>
      </c>
      <c r="J150" t="b">
        <v>0</v>
      </c>
      <c r="K150" t="b">
        <v>0</v>
      </c>
      <c r="L150" t="b">
        <v>0</v>
      </c>
      <c r="M150" s="65"/>
    </row>
    <row r="151" spans="2:13" x14ac:dyDescent="0.45">
      <c r="B151" t="str">
        <v>2022-03-19</v>
      </c>
      <c r="C151" t="b">
        <v>1</v>
      </c>
      <c r="D151" t="b">
        <v>1</v>
      </c>
      <c r="E151" t="b">
        <v>1</v>
      </c>
      <c r="F151" t="b">
        <v>1</v>
      </c>
      <c r="H151" t="str">
        <v>2022-09-01T00:x8:26.304</v>
      </c>
      <c r="I151" t="b">
        <v>0</v>
      </c>
      <c r="J151" t="b">
        <v>0</v>
      </c>
      <c r="K151" t="b">
        <v>0</v>
      </c>
      <c r="L151" t="b">
        <v>0</v>
      </c>
    </row>
    <row r="152" spans="2:13" x14ac:dyDescent="0.45">
      <c r="B152" t="str">
        <v>2022-07-10</v>
      </c>
      <c r="C152" t="b">
        <v>1</v>
      </c>
      <c r="D152" t="b">
        <v>1</v>
      </c>
      <c r="E152" t="b">
        <v>1</v>
      </c>
      <c r="F152" t="b">
        <v>1</v>
      </c>
      <c r="H152" t="str">
        <v>2022-09-01T00:0x:26.304</v>
      </c>
      <c r="I152" t="b">
        <v>0</v>
      </c>
      <c r="J152" t="b">
        <v>0</v>
      </c>
      <c r="K152" t="b">
        <v>0</v>
      </c>
      <c r="L152" t="b">
        <v>0</v>
      </c>
    </row>
    <row r="153" spans="2:13" x14ac:dyDescent="0.45">
      <c r="B153" t="str">
        <v>2022-04-25</v>
      </c>
      <c r="C153" t="b">
        <v>1</v>
      </c>
      <c r="D153" t="b">
        <v>1</v>
      </c>
      <c r="E153" t="b">
        <v>1</v>
      </c>
      <c r="F153" t="b">
        <v>1</v>
      </c>
      <c r="H153" t="str">
        <v>2022-09-01T00:08x26.304</v>
      </c>
      <c r="I153" t="b">
        <v>0</v>
      </c>
      <c r="J153" t="b">
        <v>0</v>
      </c>
      <c r="K153" t="b">
        <v>0</v>
      </c>
      <c r="L153" t="b">
        <v>0</v>
      </c>
    </row>
    <row r="154" spans="2:13" x14ac:dyDescent="0.45">
      <c r="H154" t="str">
        <v>2022-09-01T00:08:x6.304</v>
      </c>
      <c r="I154" t="b">
        <v>0</v>
      </c>
      <c r="J154" t="b">
        <v>0</v>
      </c>
      <c r="K154" t="b">
        <v>0</v>
      </c>
      <c r="L154" t="b">
        <v>0</v>
      </c>
    </row>
    <row r="155" spans="2:13" x14ac:dyDescent="0.45">
      <c r="H155" t="str">
        <v>2022-09-01T00:08:2x.304</v>
      </c>
      <c r="I155" t="b">
        <v>0</v>
      </c>
      <c r="J155" t="b">
        <v>0</v>
      </c>
      <c r="K155" t="b">
        <v>0</v>
      </c>
      <c r="L155" t="b">
        <v>0</v>
      </c>
    </row>
    <row r="156" spans="2:13" x14ac:dyDescent="0.45">
      <c r="H156" t="str">
        <v>2022-09-01T00:08:26x304</v>
      </c>
      <c r="I156" t="b">
        <v>0</v>
      </c>
      <c r="J156" t="b">
        <v>0</v>
      </c>
      <c r="K156" t="b">
        <v>0</v>
      </c>
      <c r="L156" t="b">
        <v>0</v>
      </c>
    </row>
    <row r="157" spans="2:13" x14ac:dyDescent="0.45">
      <c r="H157" t="str">
        <v>2022-09-01T00:08:26.x04</v>
      </c>
      <c r="I157" t="b">
        <v>0</v>
      </c>
      <c r="J157" t="b">
        <v>0</v>
      </c>
      <c r="K157" t="b">
        <v>0</v>
      </c>
      <c r="L157" t="b">
        <v>0</v>
      </c>
    </row>
    <row r="158" spans="2:13" x14ac:dyDescent="0.45">
      <c r="H158" t="str">
        <v>2022-09-01T00:08:26.3x4</v>
      </c>
      <c r="I158" t="b">
        <v>0</v>
      </c>
      <c r="J158" t="b">
        <v>0</v>
      </c>
      <c r="K158" t="b">
        <v>0</v>
      </c>
      <c r="L158" t="b">
        <v>0</v>
      </c>
    </row>
    <row r="159" spans="2:13" x14ac:dyDescent="0.45">
      <c r="H159" t="str">
        <v xml:space="preserve">2022-09-01T00:08:26.30x </v>
      </c>
      <c r="I159" t="b">
        <v>0</v>
      </c>
      <c r="J159" t="b">
        <v>0</v>
      </c>
      <c r="K159" t="b">
        <v>0</v>
      </c>
      <c r="L159" t="b">
        <v>0</v>
      </c>
    </row>
    <row r="160" spans="2:13" x14ac:dyDescent="0.45">
      <c r="H160" t="str">
        <v xml:space="preserve">2022-09-01T00:08:26.304x </v>
      </c>
      <c r="I160" t="b">
        <v>0</v>
      </c>
      <c r="J160" t="b">
        <v>0</v>
      </c>
      <c r="K160" t="b">
        <v>0</v>
      </c>
      <c r="L160" t="b">
        <v>0</v>
      </c>
    </row>
    <row r="161" spans="8:12" x14ac:dyDescent="0.45">
      <c r="H161" t="str">
        <v>x022-12-24</v>
      </c>
      <c r="I161" t="b">
        <v>0</v>
      </c>
      <c r="J161" t="b">
        <v>0</v>
      </c>
      <c r="K161" t="b">
        <v>0</v>
      </c>
      <c r="L161" t="b">
        <v>0</v>
      </c>
    </row>
    <row r="162" spans="8:12" x14ac:dyDescent="0.45">
      <c r="H162" t="str">
        <v>2x22-12-24</v>
      </c>
      <c r="I162" t="b">
        <v>0</v>
      </c>
      <c r="J162" t="b">
        <v>0</v>
      </c>
      <c r="K162" t="b">
        <v>0</v>
      </c>
      <c r="L162" t="b">
        <v>0</v>
      </c>
    </row>
    <row r="163" spans="8:12" x14ac:dyDescent="0.45">
      <c r="H163" t="str">
        <v>20x2-12-24</v>
      </c>
      <c r="I163" t="b">
        <v>0</v>
      </c>
      <c r="J163" t="b">
        <v>0</v>
      </c>
      <c r="K163" t="b">
        <v>0</v>
      </c>
      <c r="L163" t="b">
        <v>0</v>
      </c>
    </row>
    <row r="164" spans="8:12" x14ac:dyDescent="0.45">
      <c r="H164" t="str">
        <v>202x-12-24</v>
      </c>
      <c r="I164" t="b">
        <v>0</v>
      </c>
      <c r="J164" t="b">
        <v>0</v>
      </c>
      <c r="K164" t="b">
        <v>0</v>
      </c>
      <c r="L164" t="b">
        <v>0</v>
      </c>
    </row>
    <row r="165" spans="8:12" x14ac:dyDescent="0.45">
      <c r="H165" t="str">
        <v>2022x12-24</v>
      </c>
      <c r="I165" t="b">
        <v>0</v>
      </c>
      <c r="J165" t="b">
        <v>0</v>
      </c>
      <c r="K165" t="b">
        <v>0</v>
      </c>
      <c r="L165" t="b">
        <v>0</v>
      </c>
    </row>
    <row r="166" spans="8:12" x14ac:dyDescent="0.45">
      <c r="H166" t="str">
        <v>2022-x2-24</v>
      </c>
      <c r="I166" t="b">
        <v>0</v>
      </c>
      <c r="J166" t="b">
        <v>0</v>
      </c>
      <c r="K166" t="b">
        <v>0</v>
      </c>
      <c r="L166" t="b">
        <v>0</v>
      </c>
    </row>
    <row r="167" spans="8:12" x14ac:dyDescent="0.45">
      <c r="H167" t="str">
        <v>2022-1x-24</v>
      </c>
      <c r="I167" t="b">
        <v>0</v>
      </c>
      <c r="J167" t="b">
        <v>0</v>
      </c>
      <c r="K167" t="b">
        <v>0</v>
      </c>
      <c r="L167" t="b">
        <v>0</v>
      </c>
    </row>
    <row r="168" spans="8:12" x14ac:dyDescent="0.45">
      <c r="H168" t="str">
        <v>2022-12x24</v>
      </c>
      <c r="I168" t="b">
        <v>0</v>
      </c>
      <c r="J168" t="b">
        <v>0</v>
      </c>
      <c r="K168" t="b">
        <v>0</v>
      </c>
      <c r="L168" t="b">
        <v>0</v>
      </c>
    </row>
    <row r="169" spans="8:12" x14ac:dyDescent="0.45">
      <c r="H169" t="str">
        <v>2022-12-x4</v>
      </c>
      <c r="I169" t="b">
        <v>0</v>
      </c>
      <c r="J169" t="b">
        <v>0</v>
      </c>
      <c r="K169" t="b">
        <v>0</v>
      </c>
      <c r="L169" t="b">
        <v>0</v>
      </c>
    </row>
    <row r="170" spans="8:12" x14ac:dyDescent="0.45">
      <c r="H170" t="str">
        <v xml:space="preserve">2022-12-2x </v>
      </c>
      <c r="I170" t="b">
        <v>0</v>
      </c>
      <c r="J170" t="b">
        <v>0</v>
      </c>
      <c r="K170" t="b">
        <v>0</v>
      </c>
      <c r="L170" t="b">
        <v>0</v>
      </c>
    </row>
    <row r="171" spans="8:12" x14ac:dyDescent="0.45">
      <c r="H171" t="str">
        <v xml:space="preserve">2022-12-24x </v>
      </c>
      <c r="I171" t="b">
        <v>0</v>
      </c>
      <c r="J171" t="b">
        <v>0</v>
      </c>
      <c r="K171" t="b">
        <v>0</v>
      </c>
      <c r="L171" t="b">
        <v>0</v>
      </c>
    </row>
  </sheetData>
  <sheetProtection sheet="1" objects="1" scenarios="1"/>
  <conditionalFormatting sqref="C17:C153">
    <cfRule type="cellIs" dxfId="31" priority="43" operator="equal">
      <formula>FALSE</formula>
    </cfRule>
    <cfRule type="cellIs" dxfId="30" priority="44" operator="equal">
      <formula>TRUE</formula>
    </cfRule>
  </conditionalFormatting>
  <conditionalFormatting sqref="I17:I161">
    <cfRule type="cellIs" dxfId="29" priority="41" operator="equal">
      <formula>FALSE</formula>
    </cfRule>
    <cfRule type="cellIs" dxfId="28" priority="42" operator="equal">
      <formula>TRUE</formula>
    </cfRule>
  </conditionalFormatting>
  <conditionalFormatting sqref="D17:D153">
    <cfRule type="cellIs" dxfId="27" priority="39" operator="equal">
      <formula>FALSE</formula>
    </cfRule>
    <cfRule type="cellIs" dxfId="26" priority="40" operator="equal">
      <formula>TRUE</formula>
    </cfRule>
  </conditionalFormatting>
  <conditionalFormatting sqref="F17:F153">
    <cfRule type="cellIs" dxfId="25" priority="19" operator="equal">
      <formula>FALSE</formula>
    </cfRule>
    <cfRule type="cellIs" dxfId="24" priority="20" operator="equal">
      <formula>TRUE</formula>
    </cfRule>
  </conditionalFormatting>
  <conditionalFormatting sqref="I162:I166">
    <cfRule type="cellIs" dxfId="23" priority="35" operator="equal">
      <formula>FALSE</formula>
    </cfRule>
    <cfRule type="cellIs" dxfId="22" priority="36" operator="equal">
      <formula>TRUE</formula>
    </cfRule>
  </conditionalFormatting>
  <conditionalFormatting sqref="J162:J166">
    <cfRule type="cellIs" dxfId="21" priority="15" operator="equal">
      <formula>FALSE</formula>
    </cfRule>
    <cfRule type="cellIs" dxfId="20" priority="16" operator="equal">
      <formula>TRUE</formula>
    </cfRule>
  </conditionalFormatting>
  <conditionalFormatting sqref="E17:E153">
    <cfRule type="cellIs" dxfId="19" priority="31" operator="equal">
      <formula>FALSE</formula>
    </cfRule>
    <cfRule type="cellIs" dxfId="18" priority="32" operator="equal">
      <formula>TRUE</formula>
    </cfRule>
  </conditionalFormatting>
  <conditionalFormatting sqref="J17:J161">
    <cfRule type="cellIs" dxfId="17" priority="17" operator="equal">
      <formula>FALSE</formula>
    </cfRule>
    <cfRule type="cellIs" dxfId="16" priority="18" operator="equal">
      <formula>TRUE</formula>
    </cfRule>
  </conditionalFormatting>
  <conditionalFormatting sqref="I167:I171">
    <cfRule type="cellIs" dxfId="15" priority="25" operator="equal">
      <formula>FALSE</formula>
    </cfRule>
    <cfRule type="cellIs" dxfId="14" priority="26" operator="equal">
      <formula>TRUE</formula>
    </cfRule>
  </conditionalFormatting>
  <conditionalFormatting sqref="L17:L161">
    <cfRule type="cellIs" dxfId="13" priority="5" operator="equal">
      <formula>FALSE</formula>
    </cfRule>
    <cfRule type="cellIs" dxfId="12" priority="6" operator="equal">
      <formula>TRUE</formula>
    </cfRule>
  </conditionalFormatting>
  <conditionalFormatting sqref="K162:K166">
    <cfRule type="cellIs" dxfId="11" priority="9" operator="equal">
      <formula>FALSE</formula>
    </cfRule>
    <cfRule type="cellIs" dxfId="10" priority="10" operator="equal">
      <formula>TRUE</formula>
    </cfRule>
  </conditionalFormatting>
  <conditionalFormatting sqref="J167:J171">
    <cfRule type="cellIs" dxfId="9" priority="13" operator="equal">
      <formula>FALSE</formula>
    </cfRule>
    <cfRule type="cellIs" dxfId="8" priority="14" operator="equal">
      <formula>TRUE</formula>
    </cfRule>
  </conditionalFormatting>
  <conditionalFormatting sqref="K17:K161">
    <cfRule type="cellIs" dxfId="7" priority="11" operator="equal">
      <formula>FALSE</formula>
    </cfRule>
    <cfRule type="cellIs" dxfId="6" priority="12" operator="equal">
      <formula>TRUE</formula>
    </cfRule>
  </conditionalFormatting>
  <conditionalFormatting sqref="K167:K171">
    <cfRule type="cellIs" dxfId="5" priority="7" operator="equal">
      <formula>FALSE</formula>
    </cfRule>
    <cfRule type="cellIs" dxfId="4" priority="8" operator="equal">
      <formula>TRUE</formula>
    </cfRule>
  </conditionalFormatting>
  <conditionalFormatting sqref="L162:L166">
    <cfRule type="cellIs" dxfId="3" priority="3" operator="equal">
      <formula>FALSE</formula>
    </cfRule>
    <cfRule type="cellIs" dxfId="2" priority="4" operator="equal">
      <formula>TRUE</formula>
    </cfRule>
  </conditionalFormatting>
  <conditionalFormatting sqref="L167:L171">
    <cfRule type="cellIs" dxfId="1" priority="1" operator="equal">
      <formula>FALSE</formula>
    </cfRule>
    <cfRule type="cellIs" dxfId="0" priority="2" operator="equal">
      <formula>TRUE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684C2-DFCD-44AD-B6E4-24A1DC3534B8}">
  <sheetPr codeName="shAudit"/>
  <dimension ref="B1:V56"/>
  <sheetViews>
    <sheetView showGridLines="0" showRowColHeaders="0" workbookViewId="0"/>
  </sheetViews>
  <sheetFormatPr defaultRowHeight="14.25" x14ac:dyDescent="0.45"/>
  <cols>
    <col min="1" max="1" width="2.46484375" customWidth="1"/>
    <col min="2" max="2" width="7.73046875" customWidth="1"/>
    <col min="3" max="3" width="11.796875" customWidth="1"/>
    <col min="4" max="4" width="5.3984375" customWidth="1"/>
    <col min="5" max="5" width="14.73046875" customWidth="1"/>
    <col min="6" max="6" width="155.46484375" customWidth="1"/>
  </cols>
  <sheetData>
    <row r="1" spans="2:21" ht="28.5" x14ac:dyDescent="0.85">
      <c r="B1" s="14" t="s">
        <v>194</v>
      </c>
    </row>
    <row r="3" spans="2:21" x14ac:dyDescent="0.45">
      <c r="I3" s="22" t="s">
        <v>195</v>
      </c>
      <c r="U3" s="22" t="s">
        <v>196</v>
      </c>
    </row>
    <row r="4" spans="2:21" x14ac:dyDescent="0.45">
      <c r="I4" s="23"/>
      <c r="U4" s="24" t="s">
        <v>197</v>
      </c>
    </row>
    <row r="5" spans="2:21" x14ac:dyDescent="0.45">
      <c r="B5" s="25" t="s">
        <v>198</v>
      </c>
      <c r="C5" s="26" t="s">
        <v>199</v>
      </c>
      <c r="D5" s="75" t="s">
        <v>200</v>
      </c>
      <c r="E5" s="27" t="s">
        <v>201</v>
      </c>
      <c r="F5" s="28" t="s">
        <v>202</v>
      </c>
      <c r="I5" s="23" t="s">
        <v>203</v>
      </c>
      <c r="U5" s="24" t="s">
        <v>204</v>
      </c>
    </row>
    <row r="6" spans="2:21" x14ac:dyDescent="0.45">
      <c r="B6" s="74">
        <v>51</v>
      </c>
      <c r="C6" s="29">
        <v>44434</v>
      </c>
      <c r="D6" s="76">
        <v>0.80643518518627388</v>
      </c>
      <c r="E6" s="30" t="s">
        <v>205</v>
      </c>
      <c r="F6" s="31" t="s">
        <v>593</v>
      </c>
      <c r="I6" s="23" t="s">
        <v>212</v>
      </c>
    </row>
    <row r="7" spans="2:21" x14ac:dyDescent="0.45">
      <c r="B7" s="74">
        <v>50</v>
      </c>
      <c r="C7" s="29">
        <v>44434</v>
      </c>
      <c r="D7" s="76">
        <v>0.80153935185080627</v>
      </c>
      <c r="E7" s="30" t="s">
        <v>205</v>
      </c>
      <c r="F7" s="31" t="s">
        <v>592</v>
      </c>
      <c r="I7" s="23" t="s">
        <v>208</v>
      </c>
    </row>
    <row r="8" spans="2:21" x14ac:dyDescent="0.45">
      <c r="B8" s="74">
        <v>49</v>
      </c>
      <c r="C8" s="29">
        <v>44434</v>
      </c>
      <c r="D8" s="76">
        <v>0.77059027777431766</v>
      </c>
      <c r="E8" s="30" t="s">
        <v>205</v>
      </c>
      <c r="F8" s="31" t="s">
        <v>589</v>
      </c>
    </row>
    <row r="9" spans="2:21" x14ac:dyDescent="0.45">
      <c r="B9" s="74">
        <v>48</v>
      </c>
      <c r="C9" s="29">
        <v>44434</v>
      </c>
      <c r="D9" s="76">
        <v>0.57442129629635019</v>
      </c>
      <c r="E9" s="30" t="s">
        <v>205</v>
      </c>
      <c r="F9" s="32" t="s">
        <v>588</v>
      </c>
      <c r="I9" s="19" t="s">
        <v>410</v>
      </c>
    </row>
    <row r="10" spans="2:21" x14ac:dyDescent="0.45">
      <c r="B10" s="74">
        <v>47</v>
      </c>
      <c r="C10" s="29">
        <v>44434</v>
      </c>
      <c r="D10" s="76">
        <v>0.57239583333284827</v>
      </c>
      <c r="E10" s="30" t="s">
        <v>205</v>
      </c>
      <c r="F10" s="31" t="s">
        <v>565</v>
      </c>
      <c r="I10" s="23" t="s">
        <v>212</v>
      </c>
    </row>
    <row r="11" spans="2:21" x14ac:dyDescent="0.45">
      <c r="B11" s="66">
        <v>46</v>
      </c>
      <c r="C11" s="29">
        <v>44433</v>
      </c>
      <c r="D11" s="76">
        <v>1.0671296295186039E-2</v>
      </c>
      <c r="E11" s="30" t="s">
        <v>205</v>
      </c>
      <c r="F11" s="31" t="s">
        <v>534</v>
      </c>
      <c r="I11" s="23" t="s">
        <v>387</v>
      </c>
    </row>
    <row r="12" spans="2:21" x14ac:dyDescent="0.45">
      <c r="B12" s="66">
        <v>45</v>
      </c>
      <c r="C12" s="29">
        <v>44432</v>
      </c>
      <c r="D12" s="76">
        <v>0.82049768518481869</v>
      </c>
      <c r="E12" s="30" t="s">
        <v>205</v>
      </c>
      <c r="F12" s="31" t="s">
        <v>524</v>
      </c>
      <c r="I12" s="23" t="s">
        <v>411</v>
      </c>
      <c r="U12" s="22" t="s">
        <v>455</v>
      </c>
    </row>
    <row r="13" spans="2:21" x14ac:dyDescent="0.45">
      <c r="B13" s="66">
        <v>44</v>
      </c>
      <c r="C13" s="29">
        <v>44432</v>
      </c>
      <c r="D13" s="76">
        <v>0.799525462964084</v>
      </c>
      <c r="E13" s="30" t="s">
        <v>205</v>
      </c>
      <c r="F13" s="32" t="s">
        <v>519</v>
      </c>
      <c r="I13" s="23" t="s">
        <v>412</v>
      </c>
      <c r="U13" t="s">
        <v>456</v>
      </c>
    </row>
    <row r="14" spans="2:21" x14ac:dyDescent="0.45">
      <c r="B14" s="66">
        <v>43</v>
      </c>
      <c r="C14" s="29">
        <v>44432</v>
      </c>
      <c r="D14" s="76">
        <v>0.43258101851824904</v>
      </c>
      <c r="E14" s="30" t="s">
        <v>205</v>
      </c>
      <c r="F14" s="31" t="s">
        <v>508</v>
      </c>
      <c r="I14" s="23" t="s">
        <v>413</v>
      </c>
      <c r="U14" s="24" t="s">
        <v>457</v>
      </c>
    </row>
    <row r="15" spans="2:21" x14ac:dyDescent="0.45">
      <c r="B15" s="66">
        <v>42</v>
      </c>
      <c r="C15" s="29">
        <v>44432</v>
      </c>
      <c r="D15" s="76">
        <v>0.40347222222044365</v>
      </c>
      <c r="E15" s="30" t="s">
        <v>205</v>
      </c>
      <c r="F15" s="31" t="s">
        <v>507</v>
      </c>
      <c r="I15" s="23" t="s">
        <v>429</v>
      </c>
      <c r="U15" t="s">
        <v>458</v>
      </c>
    </row>
    <row r="16" spans="2:21" x14ac:dyDescent="0.45">
      <c r="B16" s="66">
        <v>41</v>
      </c>
      <c r="C16" s="29">
        <v>44429</v>
      </c>
      <c r="D16" s="76">
        <v>0.79307870370394085</v>
      </c>
      <c r="E16" s="30" t="s">
        <v>205</v>
      </c>
      <c r="F16" s="31" t="s">
        <v>491</v>
      </c>
      <c r="I16" s="23" t="s">
        <v>444</v>
      </c>
      <c r="U16" s="24" t="s">
        <v>459</v>
      </c>
    </row>
    <row r="17" spans="2:22" x14ac:dyDescent="0.45">
      <c r="B17" s="66">
        <v>40</v>
      </c>
      <c r="C17" s="29">
        <v>44429</v>
      </c>
      <c r="D17" s="76">
        <v>0.49694444444321562</v>
      </c>
      <c r="E17" s="30" t="s">
        <v>205</v>
      </c>
      <c r="F17" s="31" t="s">
        <v>490</v>
      </c>
      <c r="I17" t="s">
        <v>445</v>
      </c>
      <c r="U17" t="s">
        <v>398</v>
      </c>
    </row>
    <row r="18" spans="2:22" x14ac:dyDescent="0.45">
      <c r="B18" s="66">
        <v>39</v>
      </c>
      <c r="C18" s="29">
        <v>44428</v>
      </c>
      <c r="D18" s="76">
        <v>0.52388888888526708</v>
      </c>
      <c r="E18" s="30" t="s">
        <v>205</v>
      </c>
      <c r="F18" s="31" t="s">
        <v>466</v>
      </c>
      <c r="U18" s="24" t="s">
        <v>460</v>
      </c>
    </row>
    <row r="19" spans="2:22" x14ac:dyDescent="0.45">
      <c r="B19" s="66">
        <v>38</v>
      </c>
      <c r="C19" s="29">
        <v>44428</v>
      </c>
      <c r="D19" s="76">
        <v>0.37546296296204673</v>
      </c>
      <c r="E19" s="30" t="s">
        <v>205</v>
      </c>
      <c r="F19" s="31" t="s">
        <v>461</v>
      </c>
      <c r="I19" s="22" t="s">
        <v>424</v>
      </c>
    </row>
    <row r="20" spans="2:22" x14ac:dyDescent="0.45">
      <c r="B20" s="66">
        <v>37</v>
      </c>
      <c r="C20" s="29">
        <v>44427</v>
      </c>
      <c r="D20" s="76">
        <v>0.80869212962716119</v>
      </c>
      <c r="E20" s="30" t="s">
        <v>205</v>
      </c>
      <c r="F20" s="31" t="s">
        <v>453</v>
      </c>
      <c r="I20" s="23" t="s">
        <v>425</v>
      </c>
      <c r="U20" s="59" t="s">
        <v>465</v>
      </c>
    </row>
    <row r="21" spans="2:22" x14ac:dyDescent="0.45">
      <c r="B21" s="66">
        <v>36</v>
      </c>
      <c r="C21" s="29">
        <v>44427</v>
      </c>
      <c r="D21" s="76">
        <v>0.74518518518743804</v>
      </c>
      <c r="E21" s="30" t="s">
        <v>205</v>
      </c>
      <c r="F21" s="31" t="s">
        <v>448</v>
      </c>
      <c r="I21" s="23" t="s">
        <v>426</v>
      </c>
    </row>
    <row r="22" spans="2:22" x14ac:dyDescent="0.45">
      <c r="B22" s="66">
        <v>35</v>
      </c>
      <c r="C22" s="29">
        <v>44427</v>
      </c>
      <c r="D22" s="76">
        <v>0.51920138888817746</v>
      </c>
      <c r="E22" s="30" t="s">
        <v>205</v>
      </c>
      <c r="F22" s="31" t="s">
        <v>439</v>
      </c>
      <c r="I22" s="23" t="s">
        <v>427</v>
      </c>
      <c r="U22" s="22" t="s">
        <v>468</v>
      </c>
    </row>
    <row r="23" spans="2:22" x14ac:dyDescent="0.45">
      <c r="B23" s="66">
        <v>34</v>
      </c>
      <c r="C23" s="29">
        <v>44426</v>
      </c>
      <c r="D23" s="76">
        <v>0.84697916666482342</v>
      </c>
      <c r="E23" s="30" t="s">
        <v>205</v>
      </c>
      <c r="F23" s="31" t="s">
        <v>423</v>
      </c>
      <c r="I23" s="23" t="s">
        <v>428</v>
      </c>
      <c r="U23" s="23" t="s">
        <v>469</v>
      </c>
    </row>
    <row r="24" spans="2:22" x14ac:dyDescent="0.45">
      <c r="B24" s="66">
        <v>33</v>
      </c>
      <c r="C24" s="29">
        <v>44426</v>
      </c>
      <c r="D24" s="76">
        <v>0.84443287036992842</v>
      </c>
      <c r="E24" s="30" t="s">
        <v>205</v>
      </c>
      <c r="F24" s="31" t="s">
        <v>422</v>
      </c>
      <c r="U24" s="23" t="s">
        <v>470</v>
      </c>
      <c r="V24" t="s">
        <v>476</v>
      </c>
    </row>
    <row r="25" spans="2:22" x14ac:dyDescent="0.45">
      <c r="B25" s="66">
        <v>32</v>
      </c>
      <c r="C25" s="29">
        <v>44424</v>
      </c>
      <c r="D25" s="76">
        <v>0.93637731481430819</v>
      </c>
      <c r="E25" s="30" t="s">
        <v>205</v>
      </c>
      <c r="F25" s="32" t="s">
        <v>414</v>
      </c>
      <c r="I25" t="s">
        <v>449</v>
      </c>
      <c r="U25" s="23" t="s">
        <v>471</v>
      </c>
    </row>
    <row r="26" spans="2:22" x14ac:dyDescent="0.45">
      <c r="B26" s="66">
        <v>31</v>
      </c>
      <c r="C26" s="29">
        <v>44424</v>
      </c>
      <c r="D26" s="76">
        <v>0.49105324073752854</v>
      </c>
      <c r="E26" s="30" t="s">
        <v>205</v>
      </c>
      <c r="F26" s="31" t="s">
        <v>409</v>
      </c>
      <c r="I26" t="s">
        <v>450</v>
      </c>
      <c r="U26" t="s">
        <v>472</v>
      </c>
    </row>
    <row r="27" spans="2:22" x14ac:dyDescent="0.45">
      <c r="B27" s="66">
        <v>30</v>
      </c>
      <c r="C27" s="29">
        <v>44423</v>
      </c>
      <c r="D27" s="76">
        <v>0.49593750000349246</v>
      </c>
      <c r="E27" s="30" t="s">
        <v>205</v>
      </c>
      <c r="F27" s="31" t="s">
        <v>269</v>
      </c>
      <c r="I27" s="23" t="s">
        <v>451</v>
      </c>
      <c r="U27" s="60" t="s">
        <v>533</v>
      </c>
    </row>
    <row r="28" spans="2:22" x14ac:dyDescent="0.45">
      <c r="B28" s="66">
        <v>29</v>
      </c>
      <c r="C28" s="29">
        <v>44423</v>
      </c>
      <c r="D28" s="76">
        <v>0.437638888892252</v>
      </c>
      <c r="E28" s="30" t="s">
        <v>205</v>
      </c>
      <c r="F28" s="31" t="s">
        <v>206</v>
      </c>
      <c r="I28" s="23" t="s">
        <v>462</v>
      </c>
      <c r="U28" s="19" t="s">
        <v>473</v>
      </c>
    </row>
    <row r="29" spans="2:22" x14ac:dyDescent="0.45">
      <c r="B29" s="66">
        <v>28</v>
      </c>
      <c r="C29" s="29">
        <v>44423</v>
      </c>
      <c r="D29" s="76">
        <v>0.33465277777577285</v>
      </c>
      <c r="E29" s="30" t="s">
        <v>205</v>
      </c>
      <c r="F29" s="31" t="s">
        <v>207</v>
      </c>
      <c r="I29" s="23" t="s">
        <v>463</v>
      </c>
      <c r="U29" s="23" t="s">
        <v>474</v>
      </c>
    </row>
    <row r="30" spans="2:22" x14ac:dyDescent="0.45">
      <c r="B30" s="66">
        <v>27</v>
      </c>
      <c r="C30" s="29">
        <v>44421</v>
      </c>
      <c r="D30" s="76">
        <v>0.84150462962861639</v>
      </c>
      <c r="E30" s="30" t="s">
        <v>205</v>
      </c>
      <c r="F30" s="31" t="s">
        <v>209</v>
      </c>
      <c r="I30" s="60" t="s">
        <v>464</v>
      </c>
      <c r="U30" s="23" t="s">
        <v>475</v>
      </c>
    </row>
    <row r="31" spans="2:22" x14ac:dyDescent="0.45">
      <c r="B31" s="66">
        <v>26</v>
      </c>
      <c r="C31" s="29">
        <v>44421</v>
      </c>
      <c r="D31" s="76">
        <v>0.83098379629518604</v>
      </c>
      <c r="E31" s="30" t="s">
        <v>205</v>
      </c>
      <c r="F31" s="31" t="s">
        <v>210</v>
      </c>
      <c r="I31" s="23" t="s">
        <v>489</v>
      </c>
    </row>
    <row r="32" spans="2:22" x14ac:dyDescent="0.45">
      <c r="B32" s="66">
        <v>25</v>
      </c>
      <c r="C32" s="29">
        <v>44421</v>
      </c>
      <c r="D32" s="76">
        <v>0.73097222221986158</v>
      </c>
      <c r="E32" s="30" t="s">
        <v>205</v>
      </c>
      <c r="F32" s="31" t="s">
        <v>211</v>
      </c>
      <c r="I32" t="s">
        <v>586</v>
      </c>
    </row>
    <row r="33" spans="2:9" x14ac:dyDescent="0.45">
      <c r="B33" s="66">
        <v>24</v>
      </c>
      <c r="C33" s="29">
        <v>44421</v>
      </c>
      <c r="D33" s="76">
        <v>0.71106481481547235</v>
      </c>
      <c r="E33" s="30" t="s">
        <v>205</v>
      </c>
      <c r="F33" s="31" t="s">
        <v>213</v>
      </c>
      <c r="I33" t="s">
        <v>587</v>
      </c>
    </row>
    <row r="34" spans="2:9" x14ac:dyDescent="0.45">
      <c r="B34" s="66">
        <v>23</v>
      </c>
      <c r="C34" s="29">
        <v>44420</v>
      </c>
      <c r="D34" s="76">
        <v>0.80428240740729962</v>
      </c>
      <c r="E34" s="30" t="s">
        <v>205</v>
      </c>
      <c r="F34" s="31" t="s">
        <v>214</v>
      </c>
      <c r="I34" t="s">
        <v>590</v>
      </c>
    </row>
    <row r="35" spans="2:9" x14ac:dyDescent="0.45">
      <c r="B35" s="66">
        <v>22</v>
      </c>
      <c r="C35" s="29">
        <v>44420</v>
      </c>
      <c r="D35" s="76">
        <v>0.74781249999796273</v>
      </c>
      <c r="E35" s="30" t="s">
        <v>205</v>
      </c>
      <c r="F35" s="32" t="s">
        <v>215</v>
      </c>
    </row>
    <row r="36" spans="2:9" x14ac:dyDescent="0.45">
      <c r="B36" s="66">
        <v>21</v>
      </c>
      <c r="C36" s="29">
        <v>44419</v>
      </c>
      <c r="D36" s="76">
        <v>0.98854166666569654</v>
      </c>
      <c r="E36" s="30" t="s">
        <v>205</v>
      </c>
      <c r="F36" s="31" t="s">
        <v>216</v>
      </c>
      <c r="I36" s="22" t="s">
        <v>483</v>
      </c>
    </row>
    <row r="37" spans="2:9" x14ac:dyDescent="0.45">
      <c r="B37" s="66">
        <v>20</v>
      </c>
      <c r="C37" s="29">
        <v>44419</v>
      </c>
      <c r="D37" s="76">
        <v>0.98135416666627862</v>
      </c>
      <c r="E37" s="30" t="s">
        <v>205</v>
      </c>
      <c r="F37" s="31" t="s">
        <v>217</v>
      </c>
      <c r="I37" t="s">
        <v>484</v>
      </c>
    </row>
    <row r="38" spans="2:9" x14ac:dyDescent="0.45">
      <c r="B38" s="66">
        <v>19</v>
      </c>
      <c r="C38" s="29">
        <v>44419</v>
      </c>
      <c r="D38" s="76">
        <v>0.82271990740991896</v>
      </c>
      <c r="E38" s="30" t="s">
        <v>205</v>
      </c>
      <c r="F38" s="31" t="s">
        <v>218</v>
      </c>
      <c r="I38" t="s">
        <v>485</v>
      </c>
    </row>
    <row r="39" spans="2:9" x14ac:dyDescent="0.45">
      <c r="B39" s="66">
        <v>18</v>
      </c>
      <c r="C39" s="29">
        <v>44419</v>
      </c>
      <c r="D39" s="76">
        <v>0.73975694444379769</v>
      </c>
      <c r="E39" s="30" t="s">
        <v>205</v>
      </c>
      <c r="F39" s="31" t="s">
        <v>219</v>
      </c>
      <c r="I39" t="s">
        <v>486</v>
      </c>
    </row>
    <row r="40" spans="2:9" x14ac:dyDescent="0.45">
      <c r="B40" s="66">
        <v>17</v>
      </c>
      <c r="C40" s="29">
        <v>44419</v>
      </c>
      <c r="D40" s="76">
        <v>0.708356481482042</v>
      </c>
      <c r="E40" s="30" t="s">
        <v>205</v>
      </c>
      <c r="F40" s="31" t="s">
        <v>220</v>
      </c>
      <c r="I40" t="s">
        <v>495</v>
      </c>
    </row>
    <row r="41" spans="2:9" x14ac:dyDescent="0.45">
      <c r="B41" s="66">
        <v>16</v>
      </c>
      <c r="C41" s="29">
        <v>44419</v>
      </c>
      <c r="D41" s="76">
        <v>0.51960648148087785</v>
      </c>
      <c r="E41" s="30" t="s">
        <v>205</v>
      </c>
      <c r="F41" s="31" t="s">
        <v>221</v>
      </c>
      <c r="I41" s="19" t="s">
        <v>493</v>
      </c>
    </row>
    <row r="42" spans="2:9" x14ac:dyDescent="0.45">
      <c r="B42" s="66">
        <v>15</v>
      </c>
      <c r="C42" s="29">
        <v>44419</v>
      </c>
      <c r="D42" s="76">
        <v>0.49577546296495711</v>
      </c>
      <c r="E42" s="30" t="s">
        <v>205</v>
      </c>
      <c r="F42" s="32" t="s">
        <v>222</v>
      </c>
      <c r="I42" t="s">
        <v>494</v>
      </c>
    </row>
    <row r="43" spans="2:9" x14ac:dyDescent="0.45">
      <c r="B43" s="66">
        <v>14</v>
      </c>
      <c r="C43" s="29">
        <v>44419</v>
      </c>
      <c r="D43" s="76">
        <v>0.49174768518423662</v>
      </c>
      <c r="E43" s="30" t="s">
        <v>205</v>
      </c>
      <c r="F43" s="31" t="s">
        <v>223</v>
      </c>
      <c r="I43" s="19" t="s">
        <v>487</v>
      </c>
    </row>
    <row r="44" spans="2:9" x14ac:dyDescent="0.45">
      <c r="B44" s="66">
        <v>13</v>
      </c>
      <c r="C44" s="29">
        <v>44419</v>
      </c>
      <c r="D44" s="76">
        <v>0.49034722222131677</v>
      </c>
      <c r="E44" s="30" t="s">
        <v>205</v>
      </c>
      <c r="F44" s="31" t="s">
        <v>224</v>
      </c>
      <c r="I44" t="s">
        <v>488</v>
      </c>
    </row>
    <row r="45" spans="2:9" x14ac:dyDescent="0.45">
      <c r="B45" s="66">
        <v>12</v>
      </c>
      <c r="C45" s="29">
        <v>44419</v>
      </c>
      <c r="D45" s="76">
        <v>0.48190972222073469</v>
      </c>
      <c r="E45" s="30" t="s">
        <v>205</v>
      </c>
      <c r="F45" s="31" t="s">
        <v>225</v>
      </c>
    </row>
    <row r="46" spans="2:9" x14ac:dyDescent="0.45">
      <c r="B46" s="66">
        <v>11</v>
      </c>
      <c r="C46" s="29">
        <v>44418</v>
      </c>
      <c r="D46" s="76">
        <v>0.95467592592467554</v>
      </c>
      <c r="E46" s="30" t="s">
        <v>205</v>
      </c>
      <c r="F46" s="32" t="s">
        <v>226</v>
      </c>
      <c r="I46" s="23" t="s">
        <v>535</v>
      </c>
    </row>
    <row r="47" spans="2:9" x14ac:dyDescent="0.45">
      <c r="B47" s="66">
        <v>10</v>
      </c>
      <c r="C47" s="29">
        <v>44418</v>
      </c>
      <c r="D47" s="76">
        <v>0.73436342592322035</v>
      </c>
      <c r="E47" s="30" t="s">
        <v>205</v>
      </c>
      <c r="F47" s="32" t="s">
        <v>227</v>
      </c>
      <c r="I47" s="23" t="s">
        <v>536</v>
      </c>
    </row>
    <row r="48" spans="2:9" x14ac:dyDescent="0.45">
      <c r="B48" s="66">
        <v>9</v>
      </c>
      <c r="C48" s="29">
        <v>44417</v>
      </c>
      <c r="D48" s="76">
        <v>0.54605324073781958</v>
      </c>
      <c r="E48" s="30" t="s">
        <v>205</v>
      </c>
      <c r="F48" s="31" t="s">
        <v>228</v>
      </c>
      <c r="I48" s="23" t="s">
        <v>537</v>
      </c>
    </row>
    <row r="49" spans="2:9" x14ac:dyDescent="0.45">
      <c r="B49" s="66">
        <v>8</v>
      </c>
      <c r="C49" s="29">
        <v>44416</v>
      </c>
      <c r="D49" s="76">
        <v>0.54939814814861165</v>
      </c>
      <c r="E49" s="30" t="s">
        <v>205</v>
      </c>
      <c r="F49" s="31" t="s">
        <v>229</v>
      </c>
      <c r="I49" s="23" t="s">
        <v>538</v>
      </c>
    </row>
    <row r="50" spans="2:9" x14ac:dyDescent="0.45">
      <c r="B50" s="66">
        <v>7</v>
      </c>
      <c r="C50" s="29">
        <v>44415</v>
      </c>
      <c r="D50" s="76">
        <v>0.96137731481576338</v>
      </c>
      <c r="E50" s="30" t="s">
        <v>205</v>
      </c>
      <c r="F50" s="31" t="s">
        <v>230</v>
      </c>
      <c r="I50" t="s">
        <v>539</v>
      </c>
    </row>
    <row r="51" spans="2:9" x14ac:dyDescent="0.45">
      <c r="B51" s="66">
        <v>6</v>
      </c>
      <c r="C51" s="29">
        <v>44414</v>
      </c>
      <c r="D51" s="76">
        <v>0.66607638888672227</v>
      </c>
      <c r="E51" s="30" t="s">
        <v>205</v>
      </c>
      <c r="F51" s="32" t="s">
        <v>231</v>
      </c>
      <c r="I51" s="23" t="s">
        <v>540</v>
      </c>
    </row>
    <row r="52" spans="2:9" x14ac:dyDescent="0.45">
      <c r="B52" s="66">
        <v>5</v>
      </c>
      <c r="C52" s="29">
        <v>44412</v>
      </c>
      <c r="D52" s="76">
        <v>0.34912037036701804</v>
      </c>
      <c r="E52" s="30" t="s">
        <v>205</v>
      </c>
      <c r="F52" s="32" t="s">
        <v>232</v>
      </c>
      <c r="I52" s="60" t="s">
        <v>543</v>
      </c>
    </row>
    <row r="53" spans="2:9" x14ac:dyDescent="0.45">
      <c r="B53" s="66">
        <v>4</v>
      </c>
      <c r="C53" s="29">
        <v>44411</v>
      </c>
      <c r="D53" s="76">
        <v>0.37682870370190358</v>
      </c>
      <c r="E53" s="30" t="s">
        <v>205</v>
      </c>
      <c r="F53" s="31" t="s">
        <v>233</v>
      </c>
      <c r="I53" s="23" t="s">
        <v>550</v>
      </c>
    </row>
    <row r="54" spans="2:9" x14ac:dyDescent="0.45">
      <c r="B54" s="66">
        <v>3</v>
      </c>
      <c r="C54" s="29">
        <v>44406</v>
      </c>
      <c r="D54" s="76">
        <v>0.59842592592758592</v>
      </c>
      <c r="E54" s="30" t="s">
        <v>205</v>
      </c>
      <c r="F54" s="31" t="s">
        <v>234</v>
      </c>
      <c r="I54" t="s">
        <v>591</v>
      </c>
    </row>
    <row r="55" spans="2:9" x14ac:dyDescent="0.45">
      <c r="B55" s="66">
        <v>2</v>
      </c>
      <c r="C55" s="29">
        <v>44406</v>
      </c>
      <c r="D55" s="76">
        <v>0.57677083333692281</v>
      </c>
      <c r="E55" s="30" t="s">
        <v>205</v>
      </c>
      <c r="F55" s="32" t="s">
        <v>235</v>
      </c>
    </row>
    <row r="56" spans="2:9" x14ac:dyDescent="0.45">
      <c r="B56" s="33">
        <v>1</v>
      </c>
      <c r="C56" s="34">
        <v>44400</v>
      </c>
      <c r="D56" s="77">
        <v>0.58872685184906004</v>
      </c>
      <c r="E56" s="35" t="s">
        <v>205</v>
      </c>
      <c r="F56" s="36" t="s">
        <v>236</v>
      </c>
    </row>
  </sheetData>
  <sheetProtection sheet="1" objects="1" scenarios="1"/>
  <hyperlinks>
    <hyperlink ref="U4" r:id="rId1" xr:uid="{A2CCB4F3-5D89-421E-85F9-C8C3688A9DE0}"/>
    <hyperlink ref="U5" r:id="rId2" xr:uid="{81628BD5-452E-4AE3-812A-75764BD91489}"/>
    <hyperlink ref="U14" r:id="rId3" xr:uid="{B31BA7A2-75D0-4D84-9CD3-5E9CCF9401DA}"/>
    <hyperlink ref="U16" r:id="rId4" xr:uid="{1C13C3FB-B5DD-4E62-84E7-326E52A215D3}"/>
    <hyperlink ref="U18" r:id="rId5" xr:uid="{4B9BD2AA-EF1A-4212-B41B-0DD825A2890E}"/>
    <hyperlink ref="U20" r:id="rId6" xr:uid="{AAB9C94E-66E4-4B78-B5EE-907DAFDAF12C}"/>
  </hyperlinks>
  <pageMargins left="0.7" right="0.7" top="0.75" bottom="0.75" header="0.3" footer="0.3"/>
  <pageSetup paperSize="9" orientation="portrait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10" name="Button 1">
              <controlPr defaultSize="0" print="0" autoFill="0" autoPict="0" macro="[0]!SaveWorkbookAndExportModules">
                <anchor moveWithCells="1" sizeWithCells="1">
                  <from>
                    <xdr:col>2</xdr:col>
                    <xdr:colOff>581025</xdr:colOff>
                    <xdr:row>0</xdr:row>
                    <xdr:rowOff>171450</xdr:rowOff>
                  </from>
                  <to>
                    <xdr:col>4</xdr:col>
                    <xdr:colOff>890588</xdr:colOff>
                    <xdr:row>3</xdr:row>
                    <xdr:rowOff>33338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33</vt:i4>
      </vt:variant>
    </vt:vector>
  </HeadingPairs>
  <TitlesOfParts>
    <vt:vector size="39" baseType="lpstr">
      <vt:lpstr>Demo</vt:lpstr>
      <vt:lpstr>Performance</vt:lpstr>
      <vt:lpstr>ConvertTypes</vt:lpstr>
      <vt:lpstr>Test</vt:lpstr>
      <vt:lpstr>RegExp</vt:lpstr>
      <vt:lpstr>Audit</vt:lpstr>
      <vt:lpstr>Test!CallToCSVRead</vt:lpstr>
      <vt:lpstr>Test!CaseNo</vt:lpstr>
      <vt:lpstr>ConvertTypes!CSVContents</vt:lpstr>
      <vt:lpstr>Demo!CSVContents</vt:lpstr>
      <vt:lpstr>ConvertTypes!Data</vt:lpstr>
      <vt:lpstr>Demo!Data</vt:lpstr>
      <vt:lpstr>Demo!DateFormat</vt:lpstr>
      <vt:lpstr>Demo!DateTimeFormat</vt:lpstr>
      <vt:lpstr>Demo!EOL</vt:lpstr>
      <vt:lpstr>Test!FileName</vt:lpstr>
      <vt:lpstr>Test!FileTable</vt:lpstr>
      <vt:lpstr>Test!Folder</vt:lpstr>
      <vt:lpstr>Audit!Headers</vt:lpstr>
      <vt:lpstr>Test!IncludeLargeFiles</vt:lpstr>
      <vt:lpstr>Test!NumFailed</vt:lpstr>
      <vt:lpstr>Test!NumPassed</vt:lpstr>
      <vt:lpstr>NumSkipped</vt:lpstr>
      <vt:lpstr>Performance!PutFormulasHere1</vt:lpstr>
      <vt:lpstr>Performance!PutFormulasHere2</vt:lpstr>
      <vt:lpstr>Performance!PutFormulasHere3</vt:lpstr>
      <vt:lpstr>Performance!PutFormulasHere4</vt:lpstr>
      <vt:lpstr>Performance!PutFormulasHere5</vt:lpstr>
      <vt:lpstr>Performance!PutFormulasHere6</vt:lpstr>
      <vt:lpstr>Performance!PutFormulasHere7</vt:lpstr>
      <vt:lpstr>Demo!QuoteAllStrings</vt:lpstr>
      <vt:lpstr>Test!RowNo</vt:lpstr>
      <vt:lpstr>rxNoNo</vt:lpstr>
      <vt:lpstr>rxNoYes</vt:lpstr>
      <vt:lpstr>rxYesNo</vt:lpstr>
      <vt:lpstr>rxYesYes</vt:lpstr>
      <vt:lpstr>Test!Test_Failures</vt:lpstr>
      <vt:lpstr>Demo!Unicode</vt:lpstr>
      <vt:lpstr>Demo!Windows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 Swannell</dc:creator>
  <cp:lastModifiedBy>Philip Swannell</cp:lastModifiedBy>
  <dcterms:created xsi:type="dcterms:W3CDTF">2021-08-15T09:49:49Z</dcterms:created>
  <dcterms:modified xsi:type="dcterms:W3CDTF">2021-08-26T18:02:48Z</dcterms:modified>
</cp:coreProperties>
</file>