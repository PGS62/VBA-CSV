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AEB014F9-BE91-4185-8EC9-0F307FFEB3CE}" xr6:coauthVersionLast="47" xr6:coauthVersionMax="47" xr10:uidLastSave="{00000000-0000-0000-0000-000000000000}"/>
  <bookViews>
    <workbookView xWindow="38782" yWindow="-98" windowWidth="38596" windowHeight="21196" xr2:uid="{86175985-054A-431D-8A4E-01C3A835BC9D}"/>
  </bookViews>
  <sheets>
    <sheet name="Demo" sheetId="1" r:id="rId1"/>
    <sheet name="Help" sheetId="3" r:id="rId2"/>
    <sheet name="TimingResults" sheetId="4" r:id="rId3"/>
    <sheet name="TimingResults (2)" sheetId="6" r:id="rId4"/>
    <sheet name="Audit" sheetId="2" r:id="rId5"/>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6"/>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4">Audit!$B$5:$F$5</definedName>
    <definedName name="NCols">Demo!#REF!</definedName>
    <definedName name="NRows">Demo!#REF!</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1" l="1" a="1"/>
  <c r="B43" i="3" a="1"/>
  <c r="B13" i="1" l="1"/>
  <c r="B43" i="3"/>
  <c r="B226" i="6"/>
  <c r="A226" i="6" s="1"/>
  <c r="B225" i="6"/>
  <c r="A225" i="6" s="1"/>
  <c r="B224" i="6"/>
  <c r="A224" i="6" s="1"/>
  <c r="B223" i="6"/>
  <c r="A223" i="6" s="1"/>
  <c r="B222" i="6"/>
  <c r="A222" i="6" s="1"/>
  <c r="B221" i="6"/>
  <c r="A221" i="6" s="1"/>
  <c r="B220" i="6"/>
  <c r="A220" i="6" s="1"/>
  <c r="B219" i="6"/>
  <c r="A219" i="6" s="1"/>
  <c r="B218" i="6"/>
  <c r="A218" i="6" s="1"/>
  <c r="B217" i="6"/>
  <c r="A217" i="6" s="1"/>
  <c r="B216" i="6"/>
  <c r="A216" i="6" s="1"/>
  <c r="B215" i="6"/>
  <c r="A215" i="6" s="1"/>
  <c r="B214" i="6"/>
  <c r="A214" i="6" s="1"/>
  <c r="B213" i="6"/>
  <c r="A213" i="6" s="1"/>
  <c r="B212" i="6"/>
  <c r="A212" i="6" s="1"/>
  <c r="B211" i="6"/>
  <c r="A211" i="6" s="1"/>
  <c r="B210" i="6"/>
  <c r="A210" i="6" s="1"/>
  <c r="B209" i="6"/>
  <c r="A209" i="6" s="1"/>
  <c r="B208" i="6"/>
  <c r="A208" i="6" s="1"/>
  <c r="B207" i="6"/>
  <c r="A207" i="6" s="1"/>
  <c r="B206" i="6"/>
  <c r="A206" i="6" s="1"/>
  <c r="AF6" i="4"/>
  <c r="AF7" i="4"/>
  <c r="AF8" i="4" s="1"/>
  <c r="AF9" i="4" s="1"/>
  <c r="AF10" i="4" s="1"/>
  <c r="AF11" i="4" s="1"/>
  <c r="AF12" i="4" s="1"/>
  <c r="AF13" i="4" s="1"/>
  <c r="AF14" i="4" s="1"/>
  <c r="AF15" i="4" s="1"/>
  <c r="AF16" i="4" s="1"/>
  <c r="AF17" i="4" s="1"/>
  <c r="AF18" i="4" s="1"/>
  <c r="A141" i="6" a="1"/>
  <c r="A141" i="6" s="1"/>
  <c r="B127" i="6"/>
  <c r="A127" i="6" s="1"/>
  <c r="B126" i="6"/>
  <c r="A126" i="6" s="1"/>
  <c r="B125" i="6"/>
  <c r="A125" i="6" s="1"/>
  <c r="B124" i="6"/>
  <c r="A124" i="6" s="1"/>
  <c r="B123" i="6"/>
  <c r="A123" i="6" s="1"/>
  <c r="B122" i="6"/>
  <c r="A122" i="6" s="1"/>
  <c r="B121" i="6"/>
  <c r="A121" i="6" s="1"/>
  <c r="B120" i="6"/>
  <c r="A120" i="6"/>
  <c r="B119" i="6"/>
  <c r="A119" i="6" s="1"/>
  <c r="B118" i="6"/>
  <c r="A118" i="6" s="1"/>
  <c r="B117" i="6"/>
  <c r="A117" i="6" s="1"/>
  <c r="B116" i="6"/>
  <c r="A116" i="6"/>
  <c r="B115" i="6"/>
  <c r="A115" i="6" s="1"/>
  <c r="B114" i="6"/>
  <c r="A114" i="6" s="1"/>
  <c r="A105" i="6"/>
  <c r="A104" i="6"/>
  <c r="A103" i="6"/>
  <c r="A102" i="6"/>
  <c r="A101" i="6"/>
  <c r="A100" i="6"/>
  <c r="A99" i="6"/>
  <c r="A98" i="6"/>
  <c r="A97" i="6"/>
  <c r="A96" i="6"/>
  <c r="A95" i="6"/>
  <c r="A94" i="6"/>
  <c r="A93" i="6"/>
  <c r="A92" i="6"/>
  <c r="A91" i="6"/>
  <c r="A90" i="6"/>
  <c r="A89" i="6"/>
  <c r="A88" i="6"/>
  <c r="A87" i="6"/>
  <c r="B80" i="6"/>
  <c r="A80" i="6" s="1"/>
  <c r="B79" i="6"/>
  <c r="A79" i="6" s="1"/>
  <c r="B78" i="6"/>
  <c r="A78" i="6" s="1"/>
  <c r="B77" i="6"/>
  <c r="A77" i="6" s="1"/>
  <c r="B76" i="6"/>
  <c r="A76" i="6" s="1"/>
  <c r="B75" i="6"/>
  <c r="A75" i="6" s="1"/>
  <c r="B74" i="6"/>
  <c r="A74" i="6" s="1"/>
  <c r="B73" i="6"/>
  <c r="A73" i="6" s="1"/>
  <c r="B72" i="6"/>
  <c r="A72" i="6" s="1"/>
  <c r="B71" i="6"/>
  <c r="A71" i="6" s="1"/>
  <c r="B70" i="6"/>
  <c r="A70" i="6" s="1"/>
  <c r="B69" i="6"/>
  <c r="A69" i="6" s="1"/>
  <c r="B68" i="6"/>
  <c r="A68" i="6" s="1"/>
  <c r="B67" i="6"/>
  <c r="A67" i="6" s="1"/>
  <c r="B66" i="6"/>
  <c r="A66" i="6" s="1"/>
  <c r="B65" i="6"/>
  <c r="A65" i="6" s="1"/>
  <c r="B64" i="6"/>
  <c r="A64" i="6" s="1"/>
  <c r="B63" i="6"/>
  <c r="A63" i="6" s="1"/>
  <c r="B62" i="6"/>
  <c r="A62" i="6" s="1"/>
  <c r="B61" i="6"/>
  <c r="A61" i="6" s="1"/>
  <c r="B60" i="6"/>
  <c r="A60" i="6" s="1"/>
  <c r="B53" i="6"/>
  <c r="A53" i="6" s="1"/>
  <c r="B52" i="6"/>
  <c r="A52" i="6" s="1"/>
  <c r="B51" i="6"/>
  <c r="A51" i="6" s="1"/>
  <c r="B50" i="6"/>
  <c r="A50" i="6" s="1"/>
  <c r="B49" i="6"/>
  <c r="A49" i="6" s="1"/>
  <c r="B48" i="6"/>
  <c r="A48" i="6" s="1"/>
  <c r="B47" i="6"/>
  <c r="A47" i="6" s="1"/>
  <c r="B46" i="6"/>
  <c r="A46" i="6" s="1"/>
  <c r="B45" i="6"/>
  <c r="A45" i="6" s="1"/>
  <c r="B44" i="6"/>
  <c r="A44" i="6" s="1"/>
  <c r="B43" i="6"/>
  <c r="A43" i="6" s="1"/>
  <c r="B42" i="6"/>
  <c r="A42" i="6" s="1"/>
  <c r="B41" i="6"/>
  <c r="A41" i="6" s="1"/>
  <c r="B40" i="6"/>
  <c r="A40" i="6" s="1"/>
  <c r="B39" i="6"/>
  <c r="A39" i="6" s="1"/>
  <c r="B38" i="6"/>
  <c r="A38" i="6" s="1"/>
  <c r="B37" i="6"/>
  <c r="A37" i="6" s="1"/>
  <c r="B36" i="6"/>
  <c r="A36" i="6" s="1"/>
  <c r="B35" i="6"/>
  <c r="A35" i="6" s="1"/>
  <c r="B34" i="6"/>
  <c r="A34" i="6" s="1"/>
  <c r="B33" i="6"/>
  <c r="A33" i="6" s="1"/>
  <c r="A27" i="6"/>
  <c r="A26" i="6"/>
  <c r="A25" i="6"/>
  <c r="A24" i="6"/>
  <c r="A23" i="6"/>
  <c r="A22" i="6"/>
  <c r="A21" i="6"/>
  <c r="A20" i="6"/>
  <c r="A19" i="6"/>
  <c r="A18" i="6"/>
  <c r="A17" i="6"/>
  <c r="A16" i="6"/>
  <c r="A15" i="6"/>
  <c r="A14" i="6"/>
  <c r="A13" i="6"/>
  <c r="A12" i="6"/>
  <c r="A11" i="6"/>
  <c r="A10" i="6"/>
  <c r="A9" i="6"/>
  <c r="A8" i="6"/>
  <c r="A7" i="6"/>
  <c r="A6" i="6"/>
  <c r="A141" i="4" a="1"/>
  <c r="A141" i="4" s="1"/>
  <c r="B127" i="4"/>
  <c r="A127" i="4" s="1"/>
  <c r="B126" i="4"/>
  <c r="A126" i="4" s="1"/>
  <c r="B125" i="4"/>
  <c r="A125" i="4" s="1"/>
  <c r="B124" i="4"/>
  <c r="A124" i="4" s="1"/>
  <c r="B123" i="4"/>
  <c r="A123" i="4" s="1"/>
  <c r="B122" i="4"/>
  <c r="A122" i="4" s="1"/>
  <c r="B121" i="4"/>
  <c r="A121" i="4" s="1"/>
  <c r="B120" i="4"/>
  <c r="A120" i="4" s="1"/>
  <c r="B119" i="4"/>
  <c r="A119" i="4" s="1"/>
  <c r="B118" i="4"/>
  <c r="A118" i="4" s="1"/>
  <c r="B117" i="4"/>
  <c r="A117" i="4" s="1"/>
  <c r="B116" i="4"/>
  <c r="A116" i="4" s="1"/>
  <c r="B115" i="4"/>
  <c r="A115" i="4" s="1"/>
  <c r="B114" i="4"/>
  <c r="A114" i="4" s="1"/>
  <c r="A87" i="4"/>
  <c r="A88" i="4"/>
  <c r="A89" i="4"/>
  <c r="A90" i="4"/>
  <c r="A91" i="4"/>
  <c r="A92" i="4"/>
  <c r="A93" i="4"/>
  <c r="A94" i="4"/>
  <c r="A95" i="4"/>
  <c r="A96" i="4"/>
  <c r="A97" i="4"/>
  <c r="A98" i="4"/>
  <c r="A99" i="4"/>
  <c r="A100" i="4"/>
  <c r="A101" i="4"/>
  <c r="A102" i="4"/>
  <c r="A103" i="4"/>
  <c r="A104" i="4"/>
  <c r="A105" i="4"/>
  <c r="B80" i="4"/>
  <c r="A80" i="4" s="1"/>
  <c r="B79" i="4"/>
  <c r="A79" i="4" s="1"/>
  <c r="B78" i="4"/>
  <c r="A78" i="4" s="1"/>
  <c r="B77" i="4"/>
  <c r="A77" i="4" s="1"/>
  <c r="B76" i="4"/>
  <c r="A76" i="4" s="1"/>
  <c r="B75" i="4"/>
  <c r="A75" i="4" s="1"/>
  <c r="B74" i="4"/>
  <c r="A74" i="4" s="1"/>
  <c r="B73" i="4"/>
  <c r="A73" i="4" s="1"/>
  <c r="B72" i="4"/>
  <c r="A72" i="4" s="1"/>
  <c r="B71" i="4"/>
  <c r="A71" i="4" s="1"/>
  <c r="B70" i="4"/>
  <c r="A70" i="4" s="1"/>
  <c r="B69" i="4"/>
  <c r="A69" i="4" s="1"/>
  <c r="B68" i="4"/>
  <c r="A68" i="4" s="1"/>
  <c r="B67" i="4"/>
  <c r="A67" i="4" s="1"/>
  <c r="B66" i="4"/>
  <c r="A66" i="4" s="1"/>
  <c r="B65" i="4"/>
  <c r="A65" i="4" s="1"/>
  <c r="B64" i="4"/>
  <c r="A64" i="4" s="1"/>
  <c r="B63" i="4"/>
  <c r="A63" i="4" s="1"/>
  <c r="B62" i="4"/>
  <c r="A62" i="4" s="1"/>
  <c r="B61" i="4"/>
  <c r="A61" i="4" s="1"/>
  <c r="B60" i="4"/>
  <c r="A60" i="4" s="1"/>
  <c r="B53" i="4"/>
  <c r="B52" i="4"/>
  <c r="A52" i="4" s="1"/>
  <c r="B51" i="4"/>
  <c r="A51" i="4" s="1"/>
  <c r="B50" i="4"/>
  <c r="A50" i="4" s="1"/>
  <c r="B49" i="4"/>
  <c r="B48" i="4"/>
  <c r="A48" i="4" s="1"/>
  <c r="B47" i="4"/>
  <c r="A47" i="4" s="1"/>
  <c r="B46" i="4"/>
  <c r="A46" i="4" s="1"/>
  <c r="B45" i="4"/>
  <c r="A45" i="4" s="1"/>
  <c r="B44" i="4"/>
  <c r="A44" i="4" s="1"/>
  <c r="B43" i="4"/>
  <c r="A43" i="4" s="1"/>
  <c r="B42" i="4"/>
  <c r="A42" i="4" s="1"/>
  <c r="B41" i="4"/>
  <c r="A41" i="4" s="1"/>
  <c r="B40" i="4"/>
  <c r="A40" i="4" s="1"/>
  <c r="B39" i="4"/>
  <c r="A39" i="4" s="1"/>
  <c r="B38" i="4"/>
  <c r="A38" i="4" s="1"/>
  <c r="B37" i="4"/>
  <c r="A37" i="4" s="1"/>
  <c r="B36" i="4"/>
  <c r="A36" i="4" s="1"/>
  <c r="B35" i="4"/>
  <c r="A35" i="4" s="1"/>
  <c r="B34" i="4"/>
  <c r="A34" i="4" s="1"/>
  <c r="B33" i="4"/>
  <c r="A33" i="4" s="1"/>
  <c r="A49" i="4"/>
  <c r="A53" i="4"/>
  <c r="A7" i="4"/>
  <c r="A8" i="4"/>
  <c r="A9" i="4"/>
  <c r="A10" i="4"/>
  <c r="A11" i="4"/>
  <c r="A12" i="4"/>
  <c r="A13" i="4"/>
  <c r="A14" i="4"/>
  <c r="A15" i="4"/>
  <c r="A16" i="4"/>
  <c r="A17" i="4"/>
  <c r="A18" i="4"/>
  <c r="A19" i="4"/>
  <c r="A20" i="4"/>
  <c r="A21" i="4"/>
  <c r="A22" i="4"/>
  <c r="A23" i="4"/>
  <c r="A24" i="4"/>
  <c r="A25" i="4"/>
  <c r="A26" i="4"/>
  <c r="A27" i="4"/>
  <c r="A6" i="4"/>
  <c r="E13" i="1" a="1"/>
  <c r="E13" i="1" l="1"/>
  <c r="G13" i="1" a="1"/>
  <c r="J13" i="1" a="1"/>
  <c r="M13" i="1" a="1"/>
  <c r="H22" i="3" a="1"/>
  <c r="B22" i="3" a="1"/>
  <c r="H43" i="3" a="1"/>
  <c r="G13" i="1" l="1"/>
  <c r="M13" i="1"/>
  <c r="J13" i="1"/>
  <c r="H43" i="3"/>
  <c r="B22" i="3"/>
  <c r="H22" i="3"/>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<sst xmlns="http://schemas.openxmlformats.org/spreadsheetml/2006/main" count="755" uniqueCount="279">
  <si>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</si>
  <si>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</si>
  <si>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</si>
  <si>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</si>
  <si>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</si>
  <si>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</si>
  <si>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</si>
  <si>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</si>
  <si>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</si>
  <si>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</si>
  <si>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</si>
  <si>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</si>
  <si>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</si>
  <si>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</si>
  <si>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</si>
  <si>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</si>
  <si>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</si>
  <si>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</si>
  <si>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</si>
  <si>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</si>
  <si>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</si>
  <si>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</si>
  <si>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</si>
  <si>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ShowMissingsAs</t>
  </si>
  <si>
    <t>DecimalSeparator</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</si>
  <si>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</si>
  <si>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</si>
  <si>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</si>
  <si>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</si>
  <si>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</si>
  <si>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Value to represent empty fields (successive delimiters) in the file. May be a string or an Empty value. Optional and defaults to the zero-length string.</t>
  </si>
  <si>
    <t>Argument</t>
  </si>
  <si>
    <t>CSVRead</t>
  </si>
  <si>
    <t>FunctionName</t>
  </si>
  <si>
    <t>FunctionDescription</t>
  </si>
  <si>
    <t>Description</t>
  </si>
  <si>
    <t>Header for VBA code</t>
  </si>
  <si>
    <t>Keeping the help in sync</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</si>
  <si>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</si>
  <si>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</si>
  <si>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</si>
  <si>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</si>
  <si>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</si>
  <si>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</si>
  <si>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</si>
  <si>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</si>
  <si>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</si>
  <si>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</si>
  <si>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</si>
  <si>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</si>
  <si>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</si>
  <si>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</si>
  <si>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</si>
  <si>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</si>
  <si>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</si>
  <si>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</si>
  <si>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</si>
  <si>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</si>
  <si>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</si>
  <si>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</si>
  <si>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</si>
  <si>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</si>
  <si>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</si>
  <si>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</si>
  <si>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</si>
  <si>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</si>
  <si>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</si>
  <si>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CSVRead which is the inverse of this function.
For definition of the CSV format see
https://tools.ietf.org/html/rfc4180#section-2</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</si>
  <si>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</si>
  <si>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</si>
  <si>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</si>
  <si>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</si>
  <si>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</si>
  <si>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</si>
  <si>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</si>
  <si>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</si>
  <si>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</si>
  <si>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</si>
  <si>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</si>
  <si>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</si>
  <si>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</si>
  <si>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Amend CSVWrite to have extra option for QuoteAllStrings - i.e. quote strings that look like numbers and/or dates? Maybe not necessary since CSVRead is not much slowed down by quotes.</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</si>
  <si>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</si>
  <si>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</si>
  <si>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</si>
  <si>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</si>
  <si>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</si>
  <si>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EachFieldContains</t>
  </si>
  <si>
    <t>sdkn104</t>
  </si>
  <si>
    <t>ws-garcia</t>
  </si>
  <si>
    <t>FileSize</t>
  </si>
  <si>
    <t>C:\Temp\CSVTest\CompareAgainstAlternatives\Windows_0001_x_001_Strings_length_1_Ascii_NotRagged.csv</t>
  </si>
  <si>
    <t>sFileShow</t>
  </si>
  <si>
    <t>1=2?</t>
  </si>
  <si>
    <t>1=3?</t>
  </si>
  <si>
    <t>CheckEq?</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</si>
  <si>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</si>
  <si>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</si>
  <si>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</si>
  <si>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</si>
  <si>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</si>
  <si>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</si>
  <si>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</si>
  <si>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</si>
  <si>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</si>
  <si>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</si>
  <si>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</si>
  <si>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</si>
  <si>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</si>
  <si>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</si>
  <si>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</si>
  <si>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</si>
  <si>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</si>
  <si>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</si>
  <si>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</si>
  <si>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</si>
  <si>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</si>
  <si>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</si>
  <si>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</si>
  <si>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</si>
  <si>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</si>
  <si>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</si>
  <si>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</si>
  <si>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</si>
  <si>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</si>
  <si>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</si>
  <si>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</si>
  <si>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</si>
  <si>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</si>
  <si>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</si>
  <si>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</si>
  <si>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</si>
  <si>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</si>
  <si>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</si>
  <si>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</si>
  <si>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</si>
  <si>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1=4?</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</si>
  <si>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</si>
  <si>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</si>
  <si>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</si>
  <si>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</si>
  <si>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</si>
  <si>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</si>
  <si>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</si>
  <si>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</si>
  <si>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</si>
  <si>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</si>
  <si>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</si>
  <si>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</si>
  <si>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</si>
  <si>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</si>
  <si>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</si>
  <si>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</si>
  <si>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</si>
  <si>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</si>
  <si>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</si>
  <si>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</si>
  <si>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</si>
  <si>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</si>
  <si>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</si>
  <si>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</si>
  <si>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</si>
  <si>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</si>
  <si>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</si>
  <si>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</si>
  <si>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</si>
  <si>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</si>
  <si>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</si>
  <si>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</si>
  <si>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</si>
  <si>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</si>
  <si>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</si>
  <si>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</si>
  <si>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</si>
  <si>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</si>
  <si>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</si>
  <si>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</si>
  <si>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</si>
  <si>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</si>
  <si>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</si>
  <si>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FieldLength</t>
  </si>
  <si>
    <t>String with embedded line-feeds, commas or quotes</t>
  </si>
  <si>
    <t>Addd sheet "TimingResults" and module modCompareAgainstAlternatives.</t>
  </si>
  <si>
    <t>1=5?</t>
  </si>
  <si>
    <t>CSVRead2</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</si>
  <si>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</si>
  <si>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</si>
  <si>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</si>
  <si>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</si>
  <si>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</si>
  <si>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</si>
  <si>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</si>
  <si>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</si>
  <si>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</si>
  <si>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</si>
  <si>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</si>
  <si>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</si>
  <si>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</si>
  <si>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</si>
  <si>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</si>
  <si>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</si>
  <si>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</si>
  <si>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</si>
  <si>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</si>
  <si>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</si>
  <si>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</si>
  <si>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</si>
  <si>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</si>
  <si>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</si>
  <si>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</si>
  <si>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</si>
  <si>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</si>
  <si>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</si>
  <si>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</si>
  <si>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</si>
  <si>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</si>
  <si>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</si>
  <si>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</si>
  <si>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</si>
  <si>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</si>
  <si>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</si>
  <si>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</si>
  <si>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</si>
  <si>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</si>
  <si>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</si>
  <si>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</si>
  <si>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</si>
  <si>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</si>
  <si>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</si>
  <si>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</si>
  <si>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</si>
  <si>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</si>
  <si>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</si>
  <si>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</si>
  <si>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</si>
  <si>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</si>
  <si>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</si>
  <si>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</si>
  <si>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</si>
  <si>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</si>
  <si>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</si>
  <si>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</si>
  <si>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</si>
  <si>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</si>
  <si>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</si>
  <si>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</si>
  <si>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</si>
  <si>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</si>
  <si>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</si>
  <si>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</si>
  <si>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</si>
  <si>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</si>
  <si>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</si>
  <si>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</si>
  <si>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</si>
  <si>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</si>
  <si>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In the results on this sheet CSVRead2 was calling ParseCharByChar</t>
  </si>
  <si>
    <t>In the results on this sheet CSVRead2 was calling ParseWithInStr</t>
  </si>
  <si>
    <t>C:\Temp\CSVTest\CompareAgainstAlternatives\Windows_0001_x_001_Strings_length_32_Ascii_NotRagged.csv</t>
  </si>
  <si>
    <t>Trying without dq removal</t>
  </si>
  <si>
    <t>I column of 1-char fields. Time to read vs num rows</t>
  </si>
  <si>
    <t>I column of 32-char fields. Time to read vs num rows</t>
  </si>
  <si>
    <t>I column of 20-char fields with embedded breaks. Time to read vs num rows</t>
  </si>
  <si>
    <t>10 column of 17-char numeric fields (no quotes). Time to read vs num rows</t>
  </si>
  <si>
    <t>8 rows of 16-char fields (no quotes). Time to read vs num cols.</t>
  </si>
  <si>
    <t>This argument is for development purposes only, it will soon be removed.</t>
  </si>
  <si>
    <t>Settled on fastest algo.</t>
  </si>
  <si>
    <t>ConvertTypes</t>
  </si>
  <si>
    <t>TRUE to convert Numbers, Dates, Booleans and Excel Errors into their typed values, or FALSE to leave as strings. For more control enter a string containing the letters N,D,B, and E eg "NB" to convert just numbers and Booleans, not dates or errors.</t>
  </si>
  <si>
    <t>SkipToCol</t>
  </si>
  <si>
    <t>The column in the file at which reading starts. Optional and defaults to 1 to read from the first column.</t>
  </si>
  <si>
    <t>The number of columns to read from the file. If omitted (or zero), all columns from SkipToCol are read.</t>
  </si>
  <si>
    <t>Enter TRUE if the file is unicode, FALSE if the file is ascii. Omit to infer from the file's contents.</t>
  </si>
  <si>
    <t>SkipToRow</t>
  </si>
  <si>
    <t>The row in the file at which reading starts. Optional and defaults to 1 to read from the first row.</t>
  </si>
  <si>
    <t>The number of rows to read from the file. If omitted (or zero), all rows from SkipToRow to the end of the file are read.</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</si>
  <si>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</si>
  <si>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CSVRead_V2</t>
  </si>
  <si>
    <t>Now have two functions CSVRead_V1 and CSVRead_V2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</si>
</sst>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1"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b/>
      <sz val="11"/>
      <color rgb="FFFF0000"/>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38" fontId="0" fillId="0" borderId="0" xfId="0" applyNumberFormat="1"/>
    <xf numFmtId="0" fontId="6" fillId="7" borderId="0" xfId="0" applyFont="1" applyFill="1"/>
    <xf numFmtId="38" fontId="0" fillId="0" borderId="0" xfId="0" applyNumberFormat="1"/>
    <xf numFmtId="0" fontId="9" fillId="0" borderId="0" xfId="0" applyFont="1"/>
    <xf numFmtId="0" fontId="9" fillId="0" borderId="0" xfId="0" quotePrefix="1" applyFont="1" applyAlignment="1">
      <alignment horizontal="left"/>
    </xf>
    <xf numFmtId="38" fontId="0" fillId="0" borderId="0" xfId="0" applyNumberFormat="1" applyAlignment="1">
      <alignment horizontal="left" vertical="center"/>
    </xf>
    <xf numFmtId="38" fontId="2" fillId="2" borderId="7" xfId="0" applyNumberFormat="1" applyFont="1" applyFill="1" applyBorder="1" applyAlignment="1">
      <alignment horizontal="center" vertical="center"/>
    </xf>
    <xf numFmtId="0" fontId="0" fillId="0" borderId="10" xfId="0" quotePrefix="1" applyBorder="1" applyAlignment="1">
      <alignment horizontal="left" vertical="center"/>
    </xf>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TimingResults!$F$6:$F$27</c:f>
              <c:numCache>
                <c:formatCode>General</c:formatCode>
                <c:ptCount val="22"/>
                <c:pt idx="0">
                  <c:v>2.8290000045672059E-4</c:v>
                </c:pt>
                <c:pt idx="1">
                  <c:v>1.1735999723896384E-3</c:v>
                </c:pt>
                <c:pt idx="2">
                  <c:v>1.1415000190027058E-3</c:v>
                </c:pt>
                <c:pt idx="3">
                  <c:v>1.6418000450357795E-3</c:v>
                </c:pt>
                <c:pt idx="4">
                  <c:v>1.7053000046871603E-3</c:v>
                </c:pt>
                <c:pt idx="5">
                  <c:v>2.1052999654784799E-3</c:v>
                </c:pt>
                <c:pt idx="6">
                  <c:v>1.3541000080294907E-3</c:v>
                </c:pt>
                <c:pt idx="7">
                  <c:v>2.3159999982453883E-3</c:v>
                </c:pt>
                <c:pt idx="8">
                  <c:v>2.8936999733559787E-3</c:v>
                </c:pt>
                <c:pt idx="9">
                  <c:v>2.5426999782212079E-3</c:v>
                </c:pt>
                <c:pt idx="10">
                  <c:v>3.3801000099629164E-3</c:v>
                </c:pt>
                <c:pt idx="11">
                  <c:v>4.661999992094934E-3</c:v>
                </c:pt>
                <c:pt idx="12">
                  <c:v>8.0608000280335546E-3</c:v>
                </c:pt>
                <c:pt idx="13">
                  <c:v>1.5441700001247227E-2</c:v>
                </c:pt>
                <c:pt idx="14">
                  <c:v>3.0011800001375377E-2</c:v>
                </c:pt>
                <c:pt idx="15">
                  <c:v>6.0348200029693544E-2</c:v>
                </c:pt>
                <c:pt idx="16">
                  <c:v>0.13030229997821152</c:v>
                </c:pt>
                <c:pt idx="17">
                  <c:v>0.28178150003077462</c:v>
                </c:pt>
                <c:pt idx="18">
                  <c:v>0.68529619998298585</c:v>
                </c:pt>
                <c:pt idx="19">
                  <c:v>1.7182137999916449</c:v>
                </c:pt>
                <c:pt idx="20">
                  <c:v>4.6814566000248305</c:v>
                </c:pt>
                <c:pt idx="21">
                  <c:v>15.127278900006786</c:v>
                </c:pt>
              </c:numCache>
            </c:numRef>
          </c:yVal>
          <c:smooth val="0"/>
          <c:extLst>
            <c:ext xmlns:c16="http://schemas.microsoft.com/office/drawing/2014/chart" uri="{C3380CC4-5D6E-409C-BE32-E72D297353CC}">
              <c16:uniqueId val="{00000000-E455-40A9-B689-A9A1AE2A433F}"/>
            </c:ext>
          </c:extLst>
        </c:ser>
        <c:ser>
          <c:idx val="1"/>
          <c:order val="1"/>
          <c:tx>
            <c:strRef>
              <c:f>TimingResults!$G$5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TimingResults!$G$6:$G$27</c:f>
              <c:numCache>
                <c:formatCode>General</c:formatCode>
                <c:ptCount val="22"/>
                <c:pt idx="0">
                  <c:v>1.8520001322031021E-4</c:v>
                </c:pt>
                <c:pt idx="1">
                  <c:v>1.7600000137463212E-4</c:v>
                </c:pt>
                <c:pt idx="2">
                  <c:v>1.829999964684248E-4</c:v>
                </c:pt>
                <c:pt idx="3">
                  <c:v>2.1360005484893918E-4</c:v>
                </c:pt>
                <c:pt idx="4">
                  <c:v>2.4989998200908303E-4</c:v>
                </c:pt>
                <c:pt idx="5">
                  <c:v>2.9469997389242053E-4</c:v>
                </c:pt>
                <c:pt idx="6">
                  <c:v>3.0230003176257014E-4</c:v>
                </c:pt>
                <c:pt idx="7">
                  <c:v>5.9209996834397316E-4</c:v>
                </c:pt>
                <c:pt idx="8">
                  <c:v>8.409000001847744E-4</c:v>
                </c:pt>
                <c:pt idx="9">
                  <c:v>1.0011999984271824E-3</c:v>
                </c:pt>
                <c:pt idx="10">
                  <c:v>1.5516999992541969E-3</c:v>
                </c:pt>
                <c:pt idx="11">
                  <c:v>2.3764999932609499E-3</c:v>
                </c:pt>
                <c:pt idx="12">
                  <c:v>4.6701999963261187E-3</c:v>
                </c:pt>
                <c:pt idx="13">
                  <c:v>9.0142000117339194E-3</c:v>
                </c:pt>
                <c:pt idx="14">
                  <c:v>1.7756899993401021E-2</c:v>
                </c:pt>
                <c:pt idx="15">
                  <c:v>4.6244600031059235E-2</c:v>
                </c:pt>
                <c:pt idx="16">
                  <c:v>7.318250002572313E-2</c:v>
                </c:pt>
                <c:pt idx="17">
                  <c:v>0.14964859996689484</c:v>
                </c:pt>
                <c:pt idx="18">
                  <c:v>0.32139579998329282</c:v>
                </c:pt>
                <c:pt idx="19">
                  <c:v>0.6275923999492079</c:v>
                </c:pt>
                <c:pt idx="20">
                  <c:v>1.3357477000099607</c:v>
                </c:pt>
                <c:pt idx="21">
                  <c:v>2.7925923999864608</c:v>
                </c:pt>
              </c:numCache>
            </c:numRef>
          </c:yVal>
          <c:smooth val="0"/>
          <c:extLst>
            <c:ext xmlns:c16="http://schemas.microsoft.com/office/drawing/2014/chart" uri="{C3380CC4-5D6E-409C-BE32-E72D297353CC}">
              <c16:uniqueId val="{00000001-E455-40A9-B689-A9A1AE2A433F}"/>
            </c:ext>
          </c:extLst>
        </c:ser>
        <c:ser>
          <c:idx val="2"/>
          <c:order val="2"/>
          <c:tx>
            <c:strRef>
              <c:f>TimingResults!$H$5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TimingResults!$H$6:$H$27</c:f>
              <c:numCache>
                <c:formatCode>General</c:formatCode>
                <c:ptCount val="22"/>
                <c:pt idx="0">
                  <c:v>2.2822699975222349E-2</c:v>
                </c:pt>
                <c:pt idx="1">
                  <c:v>1.7512000049464405E-3</c:v>
                </c:pt>
                <c:pt idx="2">
                  <c:v>1.9192000036127865E-3</c:v>
                </c:pt>
                <c:pt idx="3">
                  <c:v>4.4502000091597438E-3</c:v>
                </c:pt>
                <c:pt idx="4">
                  <c:v>2.4059999850578606E-3</c:v>
                </c:pt>
                <c:pt idx="5">
                  <c:v>2.4598999880254269E-3</c:v>
                </c:pt>
                <c:pt idx="6">
                  <c:v>2.4639999610371888E-3</c:v>
                </c:pt>
                <c:pt idx="7">
                  <c:v>4.9316000076942146E-3</c:v>
                </c:pt>
                <c:pt idx="8">
                  <c:v>4.0083000203594565E-3</c:v>
                </c:pt>
                <c:pt idx="9">
                  <c:v>4.7727999626658857E-3</c:v>
                </c:pt>
                <c:pt idx="10">
                  <c:v>6.687499990221113E-3</c:v>
                </c:pt>
                <c:pt idx="11">
                  <c:v>1.2496099981945008E-2</c:v>
                </c:pt>
                <c:pt idx="12">
                  <c:v>1.7053999996278435E-2</c:v>
                </c:pt>
                <c:pt idx="13">
                  <c:v>3.2592900039162487E-2</c:v>
                </c:pt>
                <c:pt idx="14">
                  <c:v>7.2234599967487156E-2</c:v>
                </c:pt>
                <c:pt idx="15">
                  <c:v>0.15520310000283644</c:v>
                </c:pt>
                <c:pt idx="16">
                  <c:v>0.2820866999682039</c:v>
                </c:pt>
                <c:pt idx="17">
                  <c:v>0.62500150001142174</c:v>
                </c:pt>
                <c:pt idx="18">
                  <c:v>1.1080950000323355</c:v>
                </c:pt>
                <c:pt idx="19">
                  <c:v>2.330278100038413</c:v>
                </c:pt>
                <c:pt idx="20">
                  <c:v>4.3761660999734886</c:v>
                </c:pt>
                <c:pt idx="21">
                  <c:v>8.6799638000084087</c:v>
                </c:pt>
              </c:numCache>
            </c:numRef>
          </c:yVal>
          <c:smooth val="0"/>
          <c:extLst>
            <c:ext xmlns:c16="http://schemas.microsoft.com/office/drawing/2014/chart" uri="{C3380CC4-5D6E-409C-BE32-E72D297353CC}">
              <c16:uniqueId val="{00000002-E455-40A9-B689-A9A1AE2A433F}"/>
            </c:ext>
          </c:extLst>
        </c:ser>
        <c:ser>
          <c:idx val="3"/>
          <c:order val="3"/>
          <c:tx>
            <c:strRef>
              <c:f>TimingResults!$I$5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TimingResults!$I$6:$I$27</c:f>
              <c:numCache>
                <c:formatCode>General</c:formatCode>
                <c:ptCount val="22"/>
                <c:pt idx="0">
                  <c:v>6.2369997613132E-4</c:v>
                </c:pt>
                <c:pt idx="1">
                  <c:v>4.9140001647174358E-4</c:v>
                </c:pt>
                <c:pt idx="2">
                  <c:v>4.7809997340664268E-4</c:v>
                </c:pt>
                <c:pt idx="3">
                  <c:v>8.037000079639256E-4</c:v>
                </c:pt>
                <c:pt idx="4">
                  <c:v>1.0660999687388539E-3</c:v>
                </c:pt>
                <c:pt idx="5">
                  <c:v>6.5100000938400626E-4</c:v>
                </c:pt>
                <c:pt idx="6">
                  <c:v>7.3939998401328921E-4</c:v>
                </c:pt>
                <c:pt idx="7">
                  <c:v>1.3046999811194837E-3</c:v>
                </c:pt>
                <c:pt idx="8">
                  <c:v>1.3898999895900488E-3</c:v>
                </c:pt>
                <c:pt idx="9">
                  <c:v>1.7600000137463212E-3</c:v>
                </c:pt>
                <c:pt idx="10">
                  <c:v>2.7635000296868384E-3</c:v>
                </c:pt>
                <c:pt idx="11">
                  <c:v>4.4468999840319157E-3</c:v>
                </c:pt>
                <c:pt idx="12">
                  <c:v>1.1584400024730712E-2</c:v>
                </c:pt>
                <c:pt idx="13">
                  <c:v>1.6894999949727207E-2</c:v>
                </c:pt>
                <c:pt idx="14">
                  <c:v>3.9552000002004206E-2</c:v>
                </c:pt>
                <c:pt idx="15">
                  <c:v>7.8607500006910414E-2</c:v>
                </c:pt>
                <c:pt idx="16">
                  <c:v>0.14400789997307584</c:v>
                </c:pt>
                <c:pt idx="17">
                  <c:v>0.30920080002397299</c:v>
                </c:pt>
                <c:pt idx="18">
                  <c:v>0.74524400004884228</c:v>
                </c:pt>
                <c:pt idx="19">
                  <c:v>1.9031871000188403</c:v>
                </c:pt>
                <c:pt idx="20">
                  <c:v>5.1118712000316009</c:v>
                </c:pt>
                <c:pt idx="21">
                  <c:v>15.398568400007207</c:v>
                </c:pt>
              </c:numCache>
            </c:numRef>
          </c:yVal>
          <c:smooth val="0"/>
          <c:extLst>
            <c:ext xmlns:c16="http://schemas.microsoft.com/office/drawing/2014/chart" uri="{C3380CC4-5D6E-409C-BE32-E72D297353CC}">
              <c16:uniqueId val="{00000003-E455-40A9-B689-A9A1AE2A433F}"/>
            </c:ext>
          </c:extLst>
        </c:ser>
        <c:ser>
          <c:idx val="4"/>
          <c:order val="4"/>
          <c:tx>
            <c:strRef>
              <c:f>TimingResults!$J$5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TimingResults!$J$6:$J$27</c:f>
              <c:numCache>
                <c:formatCode>General</c:formatCode>
                <c:ptCount val="22"/>
                <c:pt idx="0">
                  <c:v>2.1540001034736633E-4</c:v>
                </c:pt>
                <c:pt idx="1">
                  <c:v>1.5590002294629812E-4</c:v>
                </c:pt>
                <c:pt idx="2">
                  <c:v>1.6090000281110406E-4</c:v>
                </c:pt>
                <c:pt idx="3">
                  <c:v>2.0389998098835349E-4</c:v>
                </c:pt>
                <c:pt idx="4">
                  <c:v>3.003000165335834E-4</c:v>
                </c:pt>
                <c:pt idx="5">
                  <c:v>2.5329994969069958E-4</c:v>
                </c:pt>
                <c:pt idx="6">
                  <c:v>3.1249999301508069E-4</c:v>
                </c:pt>
                <c:pt idx="7">
                  <c:v>4.9279996892437339E-4</c:v>
                </c:pt>
                <c:pt idx="8">
                  <c:v>7.4230000609531999E-4</c:v>
                </c:pt>
                <c:pt idx="9">
                  <c:v>1.1399000068195164E-3</c:v>
                </c:pt>
                <c:pt idx="10">
                  <c:v>1.8102999893017113E-3</c:v>
                </c:pt>
                <c:pt idx="11">
                  <c:v>3.0844000284560025E-3</c:v>
                </c:pt>
                <c:pt idx="12">
                  <c:v>6.0354999732226133E-3</c:v>
                </c:pt>
                <c:pt idx="13">
                  <c:v>1.1970999999903142E-2</c:v>
                </c:pt>
                <c:pt idx="14">
                  <c:v>2.9123500047717243E-2</c:v>
                </c:pt>
                <c:pt idx="15">
                  <c:v>4.9025400017853826E-2</c:v>
                </c:pt>
                <c:pt idx="16">
                  <c:v>0.10743010003352538</c:v>
                </c:pt>
                <c:pt idx="17">
                  <c:v>0.24807719996897504</c:v>
                </c:pt>
                <c:pt idx="18">
                  <c:v>0.40079640003386885</c:v>
                </c:pt>
                <c:pt idx="19">
                  <c:v>0.84625880001112819</c:v>
                </c:pt>
                <c:pt idx="20">
                  <c:v>1.8040685000014491</c:v>
                </c:pt>
                <c:pt idx="21">
                  <c:v>3.67946379998466</c:v>
                </c:pt>
              </c:numCache>
            </c:numRef>
          </c:yVal>
          <c:smooth val="0"/>
          <c:extLst>
            <c:ext xmlns:c16="http://schemas.microsoft.com/office/drawing/2014/chart" uri="{C3380CC4-5D6E-409C-BE32-E72D297353CC}">
              <c16:uniqueId val="{00000004-E455-40A9-B689-A9A1AE2A433F}"/>
            </c:ext>
          </c:extLst>
        </c:ser>
        <c:dLbls>
          <c:showLegendKey val="0"/>
          <c:showVal val="0"/>
          <c:showCatName val="0"/>
          <c:showSerName val="0"/>
          <c:showPercent val="0"/>
          <c:showBubbleSize val="0"/>
        </c:dLbls>
        <c:axId val="2012977760"/>
        <c:axId val="2012967776"/>
      </c:scatterChart>
      <c:valAx>
        <c:axId val="20129777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7776"/>
        <c:crosses val="autoZero"/>
        <c:crossBetween val="midCat"/>
      </c:valAx>
      <c:valAx>
        <c:axId val="201296777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777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TimingResults!$F$33:$F$53</c:f>
              <c:numCache>
                <c:formatCode>General</c:formatCode>
                <c:ptCount val="21"/>
                <c:pt idx="0">
                  <c:v>1.5176200016867369E-2</c:v>
                </c:pt>
                <c:pt idx="1">
                  <c:v>1.6150299983564764E-2</c:v>
                </c:pt>
                <c:pt idx="2">
                  <c:v>1.8272000015713274E-2</c:v>
                </c:pt>
                <c:pt idx="3">
                  <c:v>2.0913499989546835E-2</c:v>
                </c:pt>
                <c:pt idx="4">
                  <c:v>1.5614399977494031E-2</c:v>
                </c:pt>
                <c:pt idx="5">
                  <c:v>1.7637600016314536E-2</c:v>
                </c:pt>
                <c:pt idx="6">
                  <c:v>1.5075600007548928E-2</c:v>
                </c:pt>
                <c:pt idx="7">
                  <c:v>1.7717999988235533E-2</c:v>
                </c:pt>
                <c:pt idx="8">
                  <c:v>1.7991499975323677E-2</c:v>
                </c:pt>
                <c:pt idx="9">
                  <c:v>2.2485299967229366E-2</c:v>
                </c:pt>
                <c:pt idx="10">
                  <c:v>2.6814000040758401E-2</c:v>
                </c:pt>
                <c:pt idx="11">
                  <c:v>3.002459998242557E-2</c:v>
                </c:pt>
                <c:pt idx="12">
                  <c:v>3.9065100019797683E-2</c:v>
                </c:pt>
                <c:pt idx="13">
                  <c:v>5.2646900003310293E-2</c:v>
                </c:pt>
                <c:pt idx="14">
                  <c:v>7.0219799992628396E-2</c:v>
                </c:pt>
                <c:pt idx="15">
                  <c:v>0.12987430003704503</c:v>
                </c:pt>
                <c:pt idx="16">
                  <c:v>0.25436200003605336</c:v>
                </c:pt>
                <c:pt idx="17">
                  <c:v>0.6004341000225395</c:v>
                </c:pt>
                <c:pt idx="18">
                  <c:v>1.2257075000088662</c:v>
                </c:pt>
                <c:pt idx="19">
                  <c:v>2.9604671000270173</c:v>
                </c:pt>
                <c:pt idx="20">
                  <c:v>6.912750200019218</c:v>
                </c:pt>
              </c:numCache>
            </c:numRef>
          </c:yVal>
          <c:smooth val="0"/>
          <c:extLst>
            <c:ext xmlns:c16="http://schemas.microsoft.com/office/drawing/2014/chart" uri="{C3380CC4-5D6E-409C-BE32-E72D297353CC}">
              <c16:uniqueId val="{00000000-E50F-46BC-81FC-A9D12F90B7D8}"/>
            </c:ext>
          </c:extLst>
        </c:ser>
        <c:ser>
          <c:idx val="1"/>
          <c:order val="1"/>
          <c:tx>
            <c:strRef>
              <c:f>TimingResults!$G$32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TimingResults!$G$33:$G$53</c:f>
              <c:numCache>
                <c:formatCode>General</c:formatCode>
                <c:ptCount val="21"/>
                <c:pt idx="0">
                  <c:v>1.2494999682530761E-3</c:v>
                </c:pt>
                <c:pt idx="1">
                  <c:v>1.269000000320375E-3</c:v>
                </c:pt>
                <c:pt idx="2">
                  <c:v>2.1586999646387994E-3</c:v>
                </c:pt>
                <c:pt idx="3">
                  <c:v>2.4565999628975987E-3</c:v>
                </c:pt>
                <c:pt idx="4">
                  <c:v>1.4206999912858009E-3</c:v>
                </c:pt>
                <c:pt idx="5">
                  <c:v>1.6635000356473029E-3</c:v>
                </c:pt>
                <c:pt idx="6">
                  <c:v>1.5002000145614147E-3</c:v>
                </c:pt>
                <c:pt idx="7">
                  <c:v>1.5152999549172819E-3</c:v>
                </c:pt>
                <c:pt idx="8">
                  <c:v>1.8862000433728099E-3</c:v>
                </c:pt>
                <c:pt idx="9">
                  <c:v>2.6604000013321638E-3</c:v>
                </c:pt>
                <c:pt idx="10">
                  <c:v>4.0687999571673572E-3</c:v>
                </c:pt>
                <c:pt idx="11">
                  <c:v>6.6223000176250935E-3</c:v>
                </c:pt>
                <c:pt idx="12">
                  <c:v>1.280249998671934E-2</c:v>
                </c:pt>
                <c:pt idx="13">
                  <c:v>2.4837300006765872E-2</c:v>
                </c:pt>
                <c:pt idx="14">
                  <c:v>4.945739998947829E-2</c:v>
                </c:pt>
                <c:pt idx="15">
                  <c:v>9.4546800013631582E-2</c:v>
                </c:pt>
                <c:pt idx="16">
                  <c:v>0.23638899996876717</c:v>
                </c:pt>
                <c:pt idx="17">
                  <c:v>0.37130940001225099</c:v>
                </c:pt>
                <c:pt idx="18">
                  <c:v>0.83484650001628324</c:v>
                </c:pt>
                <c:pt idx="19">
                  <c:v>1.5643389000324532</c:v>
                </c:pt>
                <c:pt idx="20">
                  <c:v>3.8571489999885671</c:v>
                </c:pt>
              </c:numCache>
            </c:numRef>
          </c:yVal>
          <c:smooth val="0"/>
          <c:extLst>
            <c:ext xmlns:c16="http://schemas.microsoft.com/office/drawing/2014/chart" uri="{C3380CC4-5D6E-409C-BE32-E72D297353CC}">
              <c16:uniqueId val="{00000001-E50F-46BC-81FC-A9D12F90B7D8}"/>
            </c:ext>
          </c:extLst>
        </c:ser>
        <c:ser>
          <c:idx val="2"/>
          <c:order val="2"/>
          <c:tx>
            <c:strRef>
              <c:f>TimingResults!$H$32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TimingResults!$H$33:$H$53</c:f>
              <c:numCache>
                <c:formatCode>General</c:formatCode>
                <c:ptCount val="21"/>
                <c:pt idx="0">
                  <c:v>2.9074000020045787E-2</c:v>
                </c:pt>
                <c:pt idx="1">
                  <c:v>6.0208000359125435E-3</c:v>
                </c:pt>
                <c:pt idx="2">
                  <c:v>1.1237400001846254E-2</c:v>
                </c:pt>
                <c:pt idx="3">
                  <c:v>1.0321000008843839E-2</c:v>
                </c:pt>
                <c:pt idx="4">
                  <c:v>3.8908000569790602E-3</c:v>
                </c:pt>
                <c:pt idx="5">
                  <c:v>2.509299956727773E-3</c:v>
                </c:pt>
                <c:pt idx="6">
                  <c:v>2.628499991260469E-3</c:v>
                </c:pt>
                <c:pt idx="7">
                  <c:v>2.7157000149600208E-3</c:v>
                </c:pt>
                <c:pt idx="8">
                  <c:v>3.2590999617241323E-3</c:v>
                </c:pt>
                <c:pt idx="9">
                  <c:v>4.7257000114768744E-3</c:v>
                </c:pt>
                <c:pt idx="10">
                  <c:v>7.0496000116690993E-3</c:v>
                </c:pt>
                <c:pt idx="11">
                  <c:v>1.0933599958661944E-2</c:v>
                </c:pt>
                <c:pt idx="12">
                  <c:v>2.1599299972876906E-2</c:v>
                </c:pt>
                <c:pt idx="13">
                  <c:v>3.7649900012183934E-2</c:v>
                </c:pt>
                <c:pt idx="14">
                  <c:v>7.071249996079132E-2</c:v>
                </c:pt>
                <c:pt idx="15">
                  <c:v>0.13788689998909831</c:v>
                </c:pt>
                <c:pt idx="16">
                  <c:v>0.27030059997923672</c:v>
                </c:pt>
                <c:pt idx="17">
                  <c:v>0.54300399997737259</c:v>
                </c:pt>
                <c:pt idx="18">
                  <c:v>1.6811251000035554</c:v>
                </c:pt>
                <c:pt idx="19">
                  <c:v>2.7096040000324138</c:v>
                </c:pt>
                <c:pt idx="20">
                  <c:v>5.9129245999502018</c:v>
                </c:pt>
              </c:numCache>
            </c:numRef>
          </c:yVal>
          <c:smooth val="0"/>
          <c:extLst>
            <c:ext xmlns:c16="http://schemas.microsoft.com/office/drawing/2014/chart" uri="{C3380CC4-5D6E-409C-BE32-E72D297353CC}">
              <c16:uniqueId val="{00000002-E50F-46BC-81FC-A9D12F90B7D8}"/>
            </c:ext>
          </c:extLst>
        </c:ser>
        <c:ser>
          <c:idx val="3"/>
          <c:order val="3"/>
          <c:tx>
            <c:strRef>
              <c:f>TimingResults!$I$32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TimingResults!$I$33:$I$53</c:f>
              <c:numCache>
                <c:formatCode>General</c:formatCode>
                <c:ptCount val="21"/>
                <c:pt idx="0">
                  <c:v>5.0879997434094548E-4</c:v>
                </c:pt>
                <c:pt idx="1">
                  <c:v>6.0759996995329857E-4</c:v>
                </c:pt>
                <c:pt idx="2">
                  <c:v>7.8070000745356083E-4</c:v>
                </c:pt>
                <c:pt idx="3">
                  <c:v>5.9010001132264733E-4</c:v>
                </c:pt>
                <c:pt idx="4">
                  <c:v>6.0960004338994622E-4</c:v>
                </c:pt>
                <c:pt idx="5">
                  <c:v>7.2920002276077867E-4</c:v>
                </c:pt>
                <c:pt idx="6">
                  <c:v>8.4190000779926777E-4</c:v>
                </c:pt>
                <c:pt idx="7">
                  <c:v>8.9299998944625258E-4</c:v>
                </c:pt>
                <c:pt idx="8">
                  <c:v>1.7961999983526766E-3</c:v>
                </c:pt>
                <c:pt idx="9">
                  <c:v>2.3789000115357339E-3</c:v>
                </c:pt>
                <c:pt idx="10">
                  <c:v>4.3134000152349472E-3</c:v>
                </c:pt>
                <c:pt idx="11">
                  <c:v>7.9566000495105982E-3</c:v>
                </c:pt>
                <c:pt idx="12">
                  <c:v>1.5065899991896003E-2</c:v>
                </c:pt>
                <c:pt idx="13">
                  <c:v>3.0964299978222698E-2</c:v>
                </c:pt>
                <c:pt idx="14">
                  <c:v>6.3844899996183813E-2</c:v>
                </c:pt>
                <c:pt idx="15">
                  <c:v>0.13695169996935874</c:v>
                </c:pt>
                <c:pt idx="16">
                  <c:v>0.26094870001543313</c:v>
                </c:pt>
                <c:pt idx="17">
                  <c:v>0.53036559995962307</c:v>
                </c:pt>
                <c:pt idx="18">
                  <c:v>1.3151761000044644</c:v>
                </c:pt>
                <c:pt idx="19">
                  <c:v>2.8399193999939598</c:v>
                </c:pt>
                <c:pt idx="20">
                  <c:v>7.6316496999934316</c:v>
                </c:pt>
              </c:numCache>
            </c:numRef>
          </c:yVal>
          <c:smooth val="0"/>
          <c:extLst>
            <c:ext xmlns:c16="http://schemas.microsoft.com/office/drawing/2014/chart" uri="{C3380CC4-5D6E-409C-BE32-E72D297353CC}">
              <c16:uniqueId val="{00000003-E50F-46BC-81FC-A9D12F90B7D8}"/>
            </c:ext>
          </c:extLst>
        </c:ser>
        <c:ser>
          <c:idx val="4"/>
          <c:order val="4"/>
          <c:tx>
            <c:strRef>
              <c:f>TimingResults!$J$32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TimingResults!$J$33:$J$53</c:f>
              <c:numCache>
                <c:formatCode>General</c:formatCode>
                <c:ptCount val="21"/>
                <c:pt idx="0">
                  <c:v>2.3910001618787646E-4</c:v>
                </c:pt>
                <c:pt idx="1">
                  <c:v>2.7339998632669449E-4</c:v>
                </c:pt>
                <c:pt idx="2">
                  <c:v>3.2099999953061342E-4</c:v>
                </c:pt>
                <c:pt idx="3">
                  <c:v>3.0720001086592674E-4</c:v>
                </c:pt>
                <c:pt idx="4">
                  <c:v>3.5640003625303507E-4</c:v>
                </c:pt>
                <c:pt idx="5">
                  <c:v>5.5439997231587768E-4</c:v>
                </c:pt>
                <c:pt idx="6">
                  <c:v>5.5699999211356044E-4</c:v>
                </c:pt>
                <c:pt idx="7">
                  <c:v>8.2370004383847117E-4</c:v>
                </c:pt>
                <c:pt idx="8">
                  <c:v>1.4314000145532191E-3</c:v>
                </c:pt>
                <c:pt idx="9">
                  <c:v>2.6713999686762691E-3</c:v>
                </c:pt>
                <c:pt idx="10">
                  <c:v>4.7157999943010509E-3</c:v>
                </c:pt>
                <c:pt idx="11">
                  <c:v>1.0223999968729913E-2</c:v>
                </c:pt>
                <c:pt idx="12">
                  <c:v>2.1680900012142956E-2</c:v>
                </c:pt>
                <c:pt idx="13">
                  <c:v>3.9407100004609674E-2</c:v>
                </c:pt>
                <c:pt idx="14">
                  <c:v>7.5889399973675609E-2</c:v>
                </c:pt>
                <c:pt idx="15">
                  <c:v>0.15610749996267259</c:v>
                </c:pt>
                <c:pt idx="16">
                  <c:v>0.30836610001279041</c:v>
                </c:pt>
                <c:pt idx="17">
                  <c:v>0.62640100001590326</c:v>
                </c:pt>
                <c:pt idx="18">
                  <c:v>1.4010665999958292</c:v>
                </c:pt>
                <c:pt idx="19">
                  <c:v>2.8456501999753527</c:v>
                </c:pt>
                <c:pt idx="20">
                  <c:v>5.6242901000077836</c:v>
                </c:pt>
              </c:numCache>
            </c:numRef>
          </c:yVal>
          <c:smooth val="0"/>
          <c:extLst>
            <c:ext xmlns:c16="http://schemas.microsoft.com/office/drawing/2014/chart" uri="{C3380CC4-5D6E-409C-BE32-E72D297353CC}">
              <c16:uniqueId val="{00000004-E50F-46BC-81FC-A9D12F90B7D8}"/>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TimingResults!$F$60:$F$80</c:f>
              <c:numCache>
                <c:formatCode>General</c:formatCode>
                <c:ptCount val="21"/>
                <c:pt idx="0">
                  <c:v>4.3053200002759695E-2</c:v>
                </c:pt>
                <c:pt idx="1">
                  <c:v>1.7764899996109307E-2</c:v>
                </c:pt>
                <c:pt idx="2">
                  <c:v>2.228640002431348E-2</c:v>
                </c:pt>
                <c:pt idx="3">
                  <c:v>1.9337400037329644E-2</c:v>
                </c:pt>
                <c:pt idx="4">
                  <c:v>2.0543700025882572E-2</c:v>
                </c:pt>
                <c:pt idx="5">
                  <c:v>2.35114999813959E-2</c:v>
                </c:pt>
                <c:pt idx="6">
                  <c:v>2.1917300007771701E-2</c:v>
                </c:pt>
                <c:pt idx="7">
                  <c:v>2.0605999976396561E-2</c:v>
                </c:pt>
                <c:pt idx="8">
                  <c:v>5.0478100019972771E-2</c:v>
                </c:pt>
                <c:pt idx="9">
                  <c:v>2.4432500009424984E-2</c:v>
                </c:pt>
                <c:pt idx="10">
                  <c:v>2.4309900007210672E-2</c:v>
                </c:pt>
                <c:pt idx="11">
                  <c:v>2.5201099982950836E-2</c:v>
                </c:pt>
                <c:pt idx="12">
                  <c:v>3.3447999972850084E-2</c:v>
                </c:pt>
                <c:pt idx="13">
                  <c:v>6.8146600038744509E-2</c:v>
                </c:pt>
                <c:pt idx="14">
                  <c:v>9.1286499984562397E-2</c:v>
                </c:pt>
                <c:pt idx="15">
                  <c:v>0.16569309995975345</c:v>
                </c:pt>
                <c:pt idx="16">
                  <c:v>0.30001919995993376</c:v>
                </c:pt>
                <c:pt idx="17">
                  <c:v>0.58487129997229204</c:v>
                </c:pt>
                <c:pt idx="18">
                  <c:v>1.316952399967704</c:v>
                </c:pt>
                <c:pt idx="19">
                  <c:v>2.9243978000013158</c:v>
                </c:pt>
                <c:pt idx="20">
                  <c:v>7.4043524999869987</c:v>
                </c:pt>
              </c:numCache>
            </c:numRef>
          </c:yVal>
          <c:smooth val="0"/>
          <c:extLst>
            <c:ext xmlns:c16="http://schemas.microsoft.com/office/drawing/2014/chart" uri="{C3380CC4-5D6E-409C-BE32-E72D297353CC}">
              <c16:uniqueId val="{00000000-6FEA-466A-9F00-5748CDFE44D8}"/>
            </c:ext>
          </c:extLst>
        </c:ser>
        <c:ser>
          <c:idx val="1"/>
          <c:order val="1"/>
          <c:tx>
            <c:strRef>
              <c:f>TimingResults!$G$59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TimingResults!$G$60:$G$80</c:f>
              <c:numCache>
                <c:formatCode>General</c:formatCode>
                <c:ptCount val="21"/>
                <c:pt idx="0">
                  <c:v>1.2667999835684896E-3</c:v>
                </c:pt>
                <c:pt idx="1">
                  <c:v>1.2907999916933477E-3</c:v>
                </c:pt>
                <c:pt idx="2">
                  <c:v>2.2949000122025609E-3</c:v>
                </c:pt>
                <c:pt idx="3">
                  <c:v>2.4294999893754721E-3</c:v>
                </c:pt>
                <c:pt idx="4">
                  <c:v>2.6966000441461802E-3</c:v>
                </c:pt>
                <c:pt idx="5">
                  <c:v>2.0132000208832324E-3</c:v>
                </c:pt>
                <c:pt idx="6">
                  <c:v>2.4454999947920442E-3</c:v>
                </c:pt>
                <c:pt idx="7">
                  <c:v>2.1513000247068703E-3</c:v>
                </c:pt>
                <c:pt idx="8">
                  <c:v>4.0399999707005918E-3</c:v>
                </c:pt>
                <c:pt idx="9">
                  <c:v>5.3050999995321035E-3</c:v>
                </c:pt>
                <c:pt idx="10">
                  <c:v>6.3566999742761254E-3</c:v>
                </c:pt>
                <c:pt idx="11">
                  <c:v>8.8956000399775803E-3</c:v>
                </c:pt>
                <c:pt idx="12">
                  <c:v>1.648879999993369E-2</c:v>
                </c:pt>
                <c:pt idx="13">
                  <c:v>2.8189899981953204E-2</c:v>
                </c:pt>
                <c:pt idx="14">
                  <c:v>7.577820000005886E-2</c:v>
                </c:pt>
                <c:pt idx="15">
                  <c:v>0.11127110000234097</c:v>
                </c:pt>
                <c:pt idx="16">
                  <c:v>0.21063169999979436</c:v>
                </c:pt>
                <c:pt idx="17">
                  <c:v>0.54865169996628538</c:v>
                </c:pt>
                <c:pt idx="18">
                  <c:v>0.848440199973993</c:v>
                </c:pt>
                <c:pt idx="19">
                  <c:v>1.7199133000103757</c:v>
                </c:pt>
                <c:pt idx="20">
                  <c:v>3.5928548999945633</c:v>
                </c:pt>
              </c:numCache>
            </c:numRef>
          </c:yVal>
          <c:smooth val="0"/>
          <c:extLst>
            <c:ext xmlns:c16="http://schemas.microsoft.com/office/drawing/2014/chart" uri="{C3380CC4-5D6E-409C-BE32-E72D297353CC}">
              <c16:uniqueId val="{00000001-6FEA-466A-9F00-5748CDFE44D8}"/>
            </c:ext>
          </c:extLst>
        </c:ser>
        <c:ser>
          <c:idx val="2"/>
          <c:order val="2"/>
          <c:tx>
            <c:strRef>
              <c:f>TimingResults!$H$59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TimingResults!$H$60:$H$80</c:f>
              <c:numCache>
                <c:formatCode>General</c:formatCode>
                <c:ptCount val="21"/>
                <c:pt idx="0">
                  <c:v>2.769280003849417E-2</c:v>
                </c:pt>
                <c:pt idx="1">
                  <c:v>6.1990999965928495E-3</c:v>
                </c:pt>
                <c:pt idx="2">
                  <c:v>1.5532699995674193E-2</c:v>
                </c:pt>
                <c:pt idx="3">
                  <c:v>9.9958000355400145E-3</c:v>
                </c:pt>
                <c:pt idx="4">
                  <c:v>7.9304000246338546E-3</c:v>
                </c:pt>
                <c:pt idx="5">
                  <c:v>8.0452000256627798E-3</c:v>
                </c:pt>
                <c:pt idx="6">
                  <c:v>1.0330200020689517E-2</c:v>
                </c:pt>
                <c:pt idx="7">
                  <c:v>1.0601599991787225E-2</c:v>
                </c:pt>
                <c:pt idx="8">
                  <c:v>2.0968900003936142E-2</c:v>
                </c:pt>
                <c:pt idx="9">
                  <c:v>2.8581099992152303E-2</c:v>
                </c:pt>
                <c:pt idx="10">
                  <c:v>4.552970000077039E-2</c:v>
                </c:pt>
                <c:pt idx="11">
                  <c:v>7.3910299979615957E-2</c:v>
                </c:pt>
                <c:pt idx="12">
                  <c:v>0.14136650000000373</c:v>
                </c:pt>
                <c:pt idx="13">
                  <c:v>0.29284369997913018</c:v>
                </c:pt>
                <c:pt idx="14">
                  <c:v>0.57838949997676536</c:v>
                </c:pt>
                <c:pt idx="15">
                  <c:v>1.0460054000141099</c:v>
                </c:pt>
                <c:pt idx="16">
                  <c:v>2.1127128999796696</c:v>
                </c:pt>
                <c:pt idx="17">
                  <c:v>4.552565100020729</c:v>
                </c:pt>
                <c:pt idx="18">
                  <c:v>9.8559875999926589</c:v>
                </c:pt>
                <c:pt idx="19">
                  <c:v>20.335658400028478</c:v>
                </c:pt>
                <c:pt idx="20">
                  <c:v>41.85931209998671</c:v>
                </c:pt>
              </c:numCache>
            </c:numRef>
          </c:yVal>
          <c:smooth val="0"/>
          <c:extLst>
            <c:ext xmlns:c16="http://schemas.microsoft.com/office/drawing/2014/chart" uri="{C3380CC4-5D6E-409C-BE32-E72D297353CC}">
              <c16:uniqueId val="{00000002-6FEA-466A-9F00-5748CDFE44D8}"/>
            </c:ext>
          </c:extLst>
        </c:ser>
        <c:ser>
          <c:idx val="3"/>
          <c:order val="3"/>
          <c:tx>
            <c:strRef>
              <c:f>TimingResults!$I$59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TimingResults!$I$60:$I$80</c:f>
              <c:numCache>
                <c:formatCode>General</c:formatCode>
                <c:ptCount val="21"/>
                <c:pt idx="0">
                  <c:v>5.3999997908249497E-4</c:v>
                </c:pt>
                <c:pt idx="1">
                  <c:v>7.5680000009015203E-4</c:v>
                </c:pt>
                <c:pt idx="2">
                  <c:v>5.9830001555383205E-4</c:v>
                </c:pt>
                <c:pt idx="3">
                  <c:v>1.2200000346638262E-3</c:v>
                </c:pt>
                <c:pt idx="4">
                  <c:v>9.095999994315207E-4</c:v>
                </c:pt>
                <c:pt idx="5">
                  <c:v>1.4591999934054911E-3</c:v>
                </c:pt>
                <c:pt idx="6">
                  <c:v>1.8644999945536256E-3</c:v>
                </c:pt>
                <c:pt idx="7">
                  <c:v>2.2728000185452402E-3</c:v>
                </c:pt>
                <c:pt idx="8">
                  <c:v>3.9017000235617161E-3</c:v>
                </c:pt>
                <c:pt idx="9">
                  <c:v>6.2895999872125685E-3</c:v>
                </c:pt>
                <c:pt idx="10">
                  <c:v>9.8151999991387129E-3</c:v>
                </c:pt>
                <c:pt idx="11">
                  <c:v>1.6762299987021834E-2</c:v>
                </c:pt>
                <c:pt idx="12">
                  <c:v>3.1909200013615191E-2</c:v>
                </c:pt>
                <c:pt idx="13">
                  <c:v>6.3298900029622018E-2</c:v>
                </c:pt>
                <c:pt idx="14">
                  <c:v>0.12673419999191537</c:v>
                </c:pt>
                <c:pt idx="15">
                  <c:v>0.25710470002377406</c:v>
                </c:pt>
                <c:pt idx="16">
                  <c:v>0.55460959998890758</c:v>
                </c:pt>
                <c:pt idx="17">
                  <c:v>1.2147248000255786</c:v>
                </c:pt>
                <c:pt idx="18">
                  <c:v>2.295150600024499</c:v>
                </c:pt>
                <c:pt idx="19">
                  <c:v>4.9150539999827743</c:v>
                </c:pt>
                <c:pt idx="20">
                  <c:v>11.426568099996075</c:v>
                </c:pt>
              </c:numCache>
            </c:numRef>
          </c:yVal>
          <c:smooth val="0"/>
          <c:extLst>
            <c:ext xmlns:c16="http://schemas.microsoft.com/office/drawing/2014/chart" uri="{C3380CC4-5D6E-409C-BE32-E72D297353CC}">
              <c16:uniqueId val="{00000003-6FEA-466A-9F00-5748CDFE44D8}"/>
            </c:ext>
          </c:extLst>
        </c:ser>
        <c:ser>
          <c:idx val="4"/>
          <c:order val="4"/>
          <c:tx>
            <c:strRef>
              <c:f>TimingResults!$J$59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TimingResults!$J$60:$J$80</c:f>
              <c:numCache>
                <c:formatCode>General</c:formatCode>
                <c:ptCount val="21"/>
                <c:pt idx="0">
                  <c:v>2.5629997253417969E-4</c:v>
                </c:pt>
                <c:pt idx="1">
                  <c:v>2.7720001526176929E-4</c:v>
                </c:pt>
                <c:pt idx="2">
                  <c:v>2.7170003158971667E-4</c:v>
                </c:pt>
                <c:pt idx="3">
                  <c:v>1.1156999971717596E-3</c:v>
                </c:pt>
                <c:pt idx="4">
                  <c:v>4.3949997052550316E-4</c:v>
                </c:pt>
                <c:pt idx="5">
                  <c:v>5.8799999533221126E-4</c:v>
                </c:pt>
                <c:pt idx="6">
                  <c:v>7.9889997141435742E-4</c:v>
                </c:pt>
                <c:pt idx="7">
                  <c:v>1.3920000055804849E-3</c:v>
                </c:pt>
                <c:pt idx="8">
                  <c:v>2.3947000154294074E-3</c:v>
                </c:pt>
                <c:pt idx="9">
                  <c:v>3.6314999451860785E-3</c:v>
                </c:pt>
                <c:pt idx="10">
                  <c:v>6.6601000144146383E-3</c:v>
                </c:pt>
                <c:pt idx="11">
                  <c:v>1.0573300009127706E-2</c:v>
                </c:pt>
                <c:pt idx="12">
                  <c:v>2.0679200009908527E-2</c:v>
                </c:pt>
                <c:pt idx="13">
                  <c:v>4.023589997086674E-2</c:v>
                </c:pt>
                <c:pt idx="14">
                  <c:v>8.0228200007695705E-2</c:v>
                </c:pt>
                <c:pt idx="15">
                  <c:v>0.16562390001490712</c:v>
                </c:pt>
                <c:pt idx="16">
                  <c:v>0.38096480001695454</c:v>
                </c:pt>
                <c:pt idx="17">
                  <c:v>0.71838420000858605</c:v>
                </c:pt>
                <c:pt idx="18">
                  <c:v>1.3641382999485359</c:v>
                </c:pt>
                <c:pt idx="19">
                  <c:v>2.876290499989409</c:v>
                </c:pt>
                <c:pt idx="20">
                  <c:v>9.4910005999845453</c:v>
                </c:pt>
              </c:numCache>
            </c:numRef>
          </c:yVal>
          <c:smooth val="0"/>
          <c:extLst>
            <c:ext xmlns:c16="http://schemas.microsoft.com/office/drawing/2014/chart" uri="{C3380CC4-5D6E-409C-BE32-E72D297353CC}">
              <c16:uniqueId val="{00000004-6FEA-466A-9F00-5748CDFE44D8}"/>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TimingResults!$F$87:$F$105</c:f>
              <c:numCache>
                <c:formatCode>General</c:formatCode>
                <c:ptCount val="19"/>
                <c:pt idx="0">
                  <c:v>1.5077500022016466E-2</c:v>
                </c:pt>
                <c:pt idx="1">
                  <c:v>1.5977900009602308E-2</c:v>
                </c:pt>
                <c:pt idx="2">
                  <c:v>2.319589996477589E-2</c:v>
                </c:pt>
                <c:pt idx="3">
                  <c:v>2.1439999982248992E-2</c:v>
                </c:pt>
                <c:pt idx="4">
                  <c:v>2.3741000040899962E-2</c:v>
                </c:pt>
                <c:pt idx="5">
                  <c:v>2.5429900037124753E-2</c:v>
                </c:pt>
                <c:pt idx="6">
                  <c:v>2.6990699989255518E-2</c:v>
                </c:pt>
                <c:pt idx="7">
                  <c:v>2.8836699959356338E-2</c:v>
                </c:pt>
                <c:pt idx="8">
                  <c:v>3.1505600025411695E-2</c:v>
                </c:pt>
                <c:pt idx="9">
                  <c:v>3.4992500033695251E-2</c:v>
                </c:pt>
                <c:pt idx="10">
                  <c:v>3.8944899977650493E-2</c:v>
                </c:pt>
                <c:pt idx="11">
                  <c:v>5.7295699953101575E-2</c:v>
                </c:pt>
                <c:pt idx="12">
                  <c:v>8.0399600032251328E-2</c:v>
                </c:pt>
                <c:pt idx="13">
                  <c:v>0.15154639998218045</c:v>
                </c:pt>
                <c:pt idx="14">
                  <c:v>0.29876289999810979</c:v>
                </c:pt>
                <c:pt idx="15">
                  <c:v>0.60008219996234402</c:v>
                </c:pt>
                <c:pt idx="16">
                  <c:v>1.2118106000125408</c:v>
                </c:pt>
                <c:pt idx="17">
                  <c:v>2.4753716000122949</c:v>
                </c:pt>
                <c:pt idx="18">
                  <c:v>5.073931300023105</c:v>
                </c:pt>
              </c:numCache>
            </c:numRef>
          </c:yVal>
          <c:smooth val="0"/>
          <c:extLst>
            <c:ext xmlns:c16="http://schemas.microsoft.com/office/drawing/2014/chart" uri="{C3380CC4-5D6E-409C-BE32-E72D297353CC}">
              <c16:uniqueId val="{00000000-6FB2-4C27-82C2-7022D08007FF}"/>
            </c:ext>
          </c:extLst>
        </c:ser>
        <c:ser>
          <c:idx val="1"/>
          <c:order val="1"/>
          <c:tx>
            <c:strRef>
              <c:f>TimingResults!$G$86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TimingResults!$G$87:$G$105</c:f>
              <c:numCache>
                <c:formatCode>General</c:formatCode>
                <c:ptCount val="19"/>
                <c:pt idx="0">
                  <c:v>1.2296999921090901E-3</c:v>
                </c:pt>
                <c:pt idx="1">
                  <c:v>2.3155000526458025E-3</c:v>
                </c:pt>
                <c:pt idx="2">
                  <c:v>2.54539999878034E-3</c:v>
                </c:pt>
                <c:pt idx="3">
                  <c:v>1.7348999972455204E-3</c:v>
                </c:pt>
                <c:pt idx="4">
                  <c:v>2.4506999761797488E-3</c:v>
                </c:pt>
                <c:pt idx="5">
                  <c:v>3.1936999876052141E-3</c:v>
                </c:pt>
                <c:pt idx="6">
                  <c:v>3.7969999830238521E-3</c:v>
                </c:pt>
                <c:pt idx="7">
                  <c:v>5.1418999792076647E-3</c:v>
                </c:pt>
                <c:pt idx="8">
                  <c:v>6.9452000316232443E-3</c:v>
                </c:pt>
                <c:pt idx="9">
                  <c:v>1.1693399981595576E-2</c:v>
                </c:pt>
                <c:pt idx="10">
                  <c:v>1.9929800007957965E-2</c:v>
                </c:pt>
                <c:pt idx="11">
                  <c:v>3.7492900039069355E-2</c:v>
                </c:pt>
                <c:pt idx="12">
                  <c:v>7.5045000005047768E-2</c:v>
                </c:pt>
                <c:pt idx="13">
                  <c:v>0.15355970000382513</c:v>
                </c:pt>
                <c:pt idx="14">
                  <c:v>0.32159569999203086</c:v>
                </c:pt>
                <c:pt idx="15">
                  <c:v>0.6435605000006035</c:v>
                </c:pt>
                <c:pt idx="16">
                  <c:v>1.36728890001541</c:v>
                </c:pt>
                <c:pt idx="17">
                  <c:v>2.7189134999644011</c:v>
                </c:pt>
                <c:pt idx="18">
                  <c:v>5.3458472000202164</c:v>
                </c:pt>
              </c:numCache>
            </c:numRef>
          </c:yVal>
          <c:smooth val="0"/>
          <c:extLst>
            <c:ext xmlns:c16="http://schemas.microsoft.com/office/drawing/2014/chart" uri="{C3380CC4-5D6E-409C-BE32-E72D297353CC}">
              <c16:uniqueId val="{00000001-6FB2-4C27-82C2-7022D08007FF}"/>
            </c:ext>
          </c:extLst>
        </c:ser>
        <c:ser>
          <c:idx val="2"/>
          <c:order val="2"/>
          <c:tx>
            <c:strRef>
              <c:f>TimingResults!$H$86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TimingResults!$H$87:$H$105</c:f>
              <c:numCache>
                <c:formatCode>General</c:formatCode>
                <c:ptCount val="19"/>
                <c:pt idx="0">
                  <c:v>1.0052500001620501E-2</c:v>
                </c:pt>
                <c:pt idx="1">
                  <c:v>7.305899984203279E-3</c:v>
                </c:pt>
                <c:pt idx="2">
                  <c:v>8.2629999960772693E-3</c:v>
                </c:pt>
                <c:pt idx="3">
                  <c:v>9.4434000202454627E-3</c:v>
                </c:pt>
                <c:pt idx="4">
                  <c:v>9.990899998228997E-3</c:v>
                </c:pt>
                <c:pt idx="5">
                  <c:v>8.3415000117383897E-3</c:v>
                </c:pt>
                <c:pt idx="6">
                  <c:v>1.1326699983328581E-2</c:v>
                </c:pt>
                <c:pt idx="7">
                  <c:v>1.0795400012284517E-2</c:v>
                </c:pt>
                <c:pt idx="8">
                  <c:v>1.4090200013015419E-2</c:v>
                </c:pt>
                <c:pt idx="9">
                  <c:v>2.0820699981413782E-2</c:v>
                </c:pt>
                <c:pt idx="10">
                  <c:v>3.4175199980381876E-2</c:v>
                </c:pt>
                <c:pt idx="11">
                  <c:v>6.6299199999775738E-2</c:v>
                </c:pt>
                <c:pt idx="12">
                  <c:v>0.1201969999819994</c:v>
                </c:pt>
                <c:pt idx="13">
                  <c:v>0.25047920003999025</c:v>
                </c:pt>
                <c:pt idx="14">
                  <c:v>0.49019449995830655</c:v>
                </c:pt>
                <c:pt idx="15">
                  <c:v>0.96358300000429153</c:v>
                </c:pt>
                <c:pt idx="16">
                  <c:v>2.3191617000265978</c:v>
                </c:pt>
                <c:pt idx="17">
                  <c:v>4.6054800999700092</c:v>
                </c:pt>
                <c:pt idx="18">
                  <c:v>8.6856814000057057</c:v>
                </c:pt>
              </c:numCache>
            </c:numRef>
          </c:yVal>
          <c:smooth val="0"/>
          <c:extLst>
            <c:ext xmlns:c16="http://schemas.microsoft.com/office/drawing/2014/chart" uri="{C3380CC4-5D6E-409C-BE32-E72D297353CC}">
              <c16:uniqueId val="{00000002-6FB2-4C27-82C2-7022D08007FF}"/>
            </c:ext>
          </c:extLst>
        </c:ser>
        <c:ser>
          <c:idx val="3"/>
          <c:order val="3"/>
          <c:tx>
            <c:strRef>
              <c:f>TimingResults!$I$86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TimingResults!$I$87:$I$105</c:f>
              <c:numCache>
                <c:formatCode>General</c:formatCode>
                <c:ptCount val="19"/>
                <c:pt idx="0">
                  <c:v>5.7710002874955535E-4</c:v>
                </c:pt>
                <c:pt idx="1">
                  <c:v>7.5720000313594937E-4</c:v>
                </c:pt>
                <c:pt idx="2">
                  <c:v>9.1430003521963954E-4</c:v>
                </c:pt>
                <c:pt idx="3">
                  <c:v>1.1607999913394451E-3</c:v>
                </c:pt>
                <c:pt idx="4">
                  <c:v>1.3537999475374818E-3</c:v>
                </c:pt>
                <c:pt idx="5">
                  <c:v>1.9475999870337546E-3</c:v>
                </c:pt>
                <c:pt idx="6">
                  <c:v>2.2527999826706946E-3</c:v>
                </c:pt>
                <c:pt idx="7">
                  <c:v>3.4789000055752695E-3</c:v>
                </c:pt>
                <c:pt idx="8">
                  <c:v>5.1382000092417002E-3</c:v>
                </c:pt>
                <c:pt idx="9">
                  <c:v>8.2856999943032861E-3</c:v>
                </c:pt>
                <c:pt idx="10">
                  <c:v>2.0020500000100583E-2</c:v>
                </c:pt>
                <c:pt idx="11">
                  <c:v>3.5950999998021871E-2</c:v>
                </c:pt>
                <c:pt idx="12">
                  <c:v>6.9172499992419034E-2</c:v>
                </c:pt>
                <c:pt idx="13">
                  <c:v>0.13748880004277453</c:v>
                </c:pt>
                <c:pt idx="14">
                  <c:v>0.3082616999745369</c:v>
                </c:pt>
                <c:pt idx="15">
                  <c:v>0.60934119997546077</c:v>
                </c:pt>
                <c:pt idx="16">
                  <c:v>1.2230475999531336</c:v>
                </c:pt>
                <c:pt idx="17">
                  <c:v>2.5373637999873608</c:v>
                </c:pt>
                <c:pt idx="18">
                  <c:v>5.1760619999840856</c:v>
                </c:pt>
              </c:numCache>
            </c:numRef>
          </c:yVal>
          <c:smooth val="0"/>
          <c:extLst>
            <c:ext xmlns:c16="http://schemas.microsoft.com/office/drawing/2014/chart" uri="{C3380CC4-5D6E-409C-BE32-E72D297353CC}">
              <c16:uniqueId val="{00000003-6FB2-4C27-82C2-7022D08007FF}"/>
            </c:ext>
          </c:extLst>
        </c:ser>
        <c:ser>
          <c:idx val="4"/>
          <c:order val="4"/>
          <c:tx>
            <c:strRef>
              <c:f>TimingResults!$J$86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TimingResults!$J$87:$J$105</c:f>
              <c:numCache>
                <c:formatCode>General</c:formatCode>
                <c:ptCount val="19"/>
                <c:pt idx="0">
                  <c:v>2.8779997956007719E-4</c:v>
                </c:pt>
                <c:pt idx="1">
                  <c:v>3.994000144302845E-4</c:v>
                </c:pt>
                <c:pt idx="2">
                  <c:v>5.3750001825392246E-4</c:v>
                </c:pt>
                <c:pt idx="3">
                  <c:v>7.7489996328949928E-4</c:v>
                </c:pt>
                <c:pt idx="4">
                  <c:v>1.1577000259421766E-3</c:v>
                </c:pt>
                <c:pt idx="5">
                  <c:v>4.8537999973632395E-3</c:v>
                </c:pt>
                <c:pt idx="6">
                  <c:v>3.4712000051513314E-3</c:v>
                </c:pt>
                <c:pt idx="7">
                  <c:v>6.071200012229383E-3</c:v>
                </c:pt>
                <c:pt idx="8">
                  <c:v>1.1004499974660575E-2</c:v>
                </c:pt>
                <c:pt idx="9">
                  <c:v>1.9848699972499162E-2</c:v>
                </c:pt>
                <c:pt idx="10">
                  <c:v>3.9377699955366552E-2</c:v>
                </c:pt>
                <c:pt idx="11">
                  <c:v>6.6862999985460192E-2</c:v>
                </c:pt>
                <c:pt idx="12">
                  <c:v>0.14951119996840134</c:v>
                </c:pt>
                <c:pt idx="13">
                  <c:v>0.28059550002217293</c:v>
                </c:pt>
                <c:pt idx="14">
                  <c:v>0.7590908000129275</c:v>
                </c:pt>
                <c:pt idx="15">
                  <c:v>1.18847289995756</c:v>
                </c:pt>
                <c:pt idx="16">
                  <c:v>2.4911242999951355</c:v>
                </c:pt>
                <c:pt idx="17">
                  <c:v>4.7337224000366405</c:v>
                </c:pt>
                <c:pt idx="18">
                  <c:v>9.5881117000244558</c:v>
                </c:pt>
              </c:numCache>
            </c:numRef>
          </c:yVal>
          <c:smooth val="0"/>
          <c:extLst>
            <c:ext xmlns:c16="http://schemas.microsoft.com/office/drawing/2014/chart" uri="{C3380CC4-5D6E-409C-BE32-E72D297353CC}">
              <c16:uniqueId val="{00000004-6FB2-4C27-82C2-7022D08007FF}"/>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TimingResults!$F$114:$F$127</c:f>
              <c:numCache>
                <c:formatCode>General</c:formatCode>
                <c:ptCount val="14"/>
                <c:pt idx="0">
                  <c:v>1.7095699964556843E-2</c:v>
                </c:pt>
                <c:pt idx="1">
                  <c:v>1.4889800047967583E-2</c:v>
                </c:pt>
                <c:pt idx="2">
                  <c:v>1.4880199974868447E-2</c:v>
                </c:pt>
                <c:pt idx="3">
                  <c:v>4.4729200017172843E-2</c:v>
                </c:pt>
                <c:pt idx="4">
                  <c:v>1.5106600010767579E-2</c:v>
                </c:pt>
                <c:pt idx="5">
                  <c:v>1.8785499967634678E-2</c:v>
                </c:pt>
                <c:pt idx="6">
                  <c:v>1.6189599991776049E-2</c:v>
                </c:pt>
                <c:pt idx="7">
                  <c:v>1.8854300025850534E-2</c:v>
                </c:pt>
                <c:pt idx="8">
                  <c:v>2.3377300007268786E-2</c:v>
                </c:pt>
                <c:pt idx="9">
                  <c:v>2.1597699960693717E-2</c:v>
                </c:pt>
                <c:pt idx="10">
                  <c:v>2.6628800027538091E-2</c:v>
                </c:pt>
                <c:pt idx="11">
                  <c:v>3.9571499975863844E-2</c:v>
                </c:pt>
                <c:pt idx="12">
                  <c:v>5.7417500007431954E-2</c:v>
                </c:pt>
                <c:pt idx="13">
                  <c:v>0.11337929998990148</c:v>
                </c:pt>
              </c:numCache>
            </c:numRef>
          </c:yVal>
          <c:smooth val="0"/>
          <c:extLst>
            <c:ext xmlns:c16="http://schemas.microsoft.com/office/drawing/2014/chart" uri="{C3380CC4-5D6E-409C-BE32-E72D297353CC}">
              <c16:uniqueId val="{00000000-5183-4BE9-AB91-F625F721E4E7}"/>
            </c:ext>
          </c:extLst>
        </c:ser>
        <c:ser>
          <c:idx val="1"/>
          <c:order val="1"/>
          <c:tx>
            <c:strRef>
              <c:f>TimingResults!$G$113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TimingResults!$G$114:$G$127</c:f>
              <c:numCache>
                <c:formatCode>General</c:formatCode>
                <c:ptCount val="14"/>
                <c:pt idx="0">
                  <c:v>1.8267999985255301E-3</c:v>
                </c:pt>
                <c:pt idx="1">
                  <c:v>1.3684000005014241E-3</c:v>
                </c:pt>
                <c:pt idx="2">
                  <c:v>1.3586999848484993E-3</c:v>
                </c:pt>
                <c:pt idx="3">
                  <c:v>1.5966999926604331E-3</c:v>
                </c:pt>
                <c:pt idx="4">
                  <c:v>1.6665000002831221E-3</c:v>
                </c:pt>
                <c:pt idx="5">
                  <c:v>2.0502999541349709E-3</c:v>
                </c:pt>
                <c:pt idx="6">
                  <c:v>2.3395000025629997E-3</c:v>
                </c:pt>
                <c:pt idx="7">
                  <c:v>3.683699993416667E-3</c:v>
                </c:pt>
                <c:pt idx="8">
                  <c:v>7.7852000249549747E-3</c:v>
                </c:pt>
                <c:pt idx="9">
                  <c:v>9.090400009881705E-3</c:v>
                </c:pt>
                <c:pt idx="10">
                  <c:v>1.5098900010343641E-2</c:v>
                </c:pt>
                <c:pt idx="11">
                  <c:v>2.8764499991666526E-2</c:v>
                </c:pt>
                <c:pt idx="12">
                  <c:v>5.5438899958971888E-2</c:v>
                </c:pt>
                <c:pt idx="13">
                  <c:v>0.11162629997124895</c:v>
                </c:pt>
              </c:numCache>
            </c:numRef>
          </c:yVal>
          <c:smooth val="0"/>
          <c:extLst>
            <c:ext xmlns:c16="http://schemas.microsoft.com/office/drawing/2014/chart" uri="{C3380CC4-5D6E-409C-BE32-E72D297353CC}">
              <c16:uniqueId val="{00000001-5183-4BE9-AB91-F625F721E4E7}"/>
            </c:ext>
          </c:extLst>
        </c:ser>
        <c:ser>
          <c:idx val="2"/>
          <c:order val="2"/>
          <c:tx>
            <c:strRef>
              <c:f>TimingResults!$H$113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TimingResults!$H$114:$H$127</c:f>
              <c:numCache>
                <c:formatCode>General</c:formatCode>
                <c:ptCount val="14"/>
                <c:pt idx="0">
                  <c:v>3.4949099994264543E-2</c:v>
                </c:pt>
                <c:pt idx="1">
                  <c:v>2.8245699999388307E-2</c:v>
                </c:pt>
                <c:pt idx="2">
                  <c:v>2.9033400001935661E-2</c:v>
                </c:pt>
                <c:pt idx="3">
                  <c:v>3.2554300036281347E-2</c:v>
                </c:pt>
                <c:pt idx="4">
                  <c:v>2.9183699982240796E-2</c:v>
                </c:pt>
                <c:pt idx="5">
                  <c:v>2.9555400018580258E-2</c:v>
                </c:pt>
                <c:pt idx="6">
                  <c:v>3.3666699950117618E-2</c:v>
                </c:pt>
                <c:pt idx="7">
                  <c:v>5.5838900036178529E-2</c:v>
                </c:pt>
                <c:pt idx="8">
                  <c:v>9.1383600025437772E-2</c:v>
                </c:pt>
                <c:pt idx="9">
                  <c:v>0.23289340001065284</c:v>
                </c:pt>
                <c:pt idx="10">
                  <c:v>0.89304190000984818</c:v>
                </c:pt>
                <c:pt idx="11">
                  <c:v>3.7259243000298738</c:v>
                </c:pt>
                <c:pt idx="12">
                  <c:v>15.090628900041338</c:v>
                </c:pt>
                <c:pt idx="13">
                  <c:v>61.65111189999152</c:v>
                </c:pt>
              </c:numCache>
            </c:numRef>
          </c:yVal>
          <c:smooth val="0"/>
          <c:extLst>
            <c:ext xmlns:c16="http://schemas.microsoft.com/office/drawing/2014/chart" uri="{C3380CC4-5D6E-409C-BE32-E72D297353CC}">
              <c16:uniqueId val="{00000002-5183-4BE9-AB91-F625F721E4E7}"/>
            </c:ext>
          </c:extLst>
        </c:ser>
        <c:ser>
          <c:idx val="3"/>
          <c:order val="3"/>
          <c:tx>
            <c:strRef>
              <c:f>TimingResults!$I$113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TimingResults!$I$114:$I$127</c:f>
              <c:numCache>
                <c:formatCode>General</c:formatCode>
                <c:ptCount val="14"/>
                <c:pt idx="0">
                  <c:v>5.3279998246580362E-4</c:v>
                </c:pt>
                <c:pt idx="1">
                  <c:v>5.1139999413862824E-4</c:v>
                </c:pt>
                <c:pt idx="2">
                  <c:v>5.6580000091344118E-4</c:v>
                </c:pt>
                <c:pt idx="3">
                  <c:v>6.4510002266615629E-4</c:v>
                </c:pt>
                <c:pt idx="4">
                  <c:v>1.0462000500410795E-3</c:v>
                </c:pt>
                <c:pt idx="5">
                  <c:v>9.0140005340799689E-4</c:v>
                </c:pt>
                <c:pt idx="6">
                  <c:v>1.3641000259667635E-3</c:v>
                </c:pt>
                <c:pt idx="7">
                  <c:v>2.357599965762347E-3</c:v>
                </c:pt>
                <c:pt idx="8">
                  <c:v>3.6799999652430415E-3</c:v>
                </c:pt>
                <c:pt idx="9">
                  <c:v>6.1379999970085919E-3</c:v>
                </c:pt>
                <c:pt idx="10">
                  <c:v>1.1863399995490909E-2</c:v>
                </c:pt>
                <c:pt idx="11">
                  <c:v>2.3276299994904548E-2</c:v>
                </c:pt>
                <c:pt idx="12">
                  <c:v>4.6976500016171485E-2</c:v>
                </c:pt>
                <c:pt idx="13">
                  <c:v>0.10658439999679103</c:v>
                </c:pt>
              </c:numCache>
            </c:numRef>
          </c:yVal>
          <c:smooth val="0"/>
          <c:extLst>
            <c:ext xmlns:c16="http://schemas.microsoft.com/office/drawing/2014/chart" uri="{C3380CC4-5D6E-409C-BE32-E72D297353CC}">
              <c16:uniqueId val="{00000003-5183-4BE9-AB91-F625F721E4E7}"/>
            </c:ext>
          </c:extLst>
        </c:ser>
        <c:ser>
          <c:idx val="4"/>
          <c:order val="4"/>
          <c:tx>
            <c:strRef>
              <c:f>TimingResults!$J$113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TimingResults!$J$114:$J$127</c:f>
              <c:numCache>
                <c:formatCode>General</c:formatCode>
                <c:ptCount val="14"/>
                <c:pt idx="0">
                  <c:v>2.8549996204674244E-4</c:v>
                </c:pt>
                <c:pt idx="1">
                  <c:v>3.2849999843165278E-4</c:v>
                </c:pt>
                <c:pt idx="2">
                  <c:v>3.7490000249817967E-4</c:v>
                </c:pt>
                <c:pt idx="3">
                  <c:v>5.3119997028261423E-4</c:v>
                </c:pt>
                <c:pt idx="4">
                  <c:v>8.1800000043585896E-4</c:v>
                </c:pt>
                <c:pt idx="5">
                  <c:v>1.2759000528603792E-3</c:v>
                </c:pt>
                <c:pt idx="6">
                  <c:v>2.6582000427879393E-3</c:v>
                </c:pt>
                <c:pt idx="7">
                  <c:v>4.94710000930354E-3</c:v>
                </c:pt>
                <c:pt idx="8">
                  <c:v>8.1380000337958336E-3</c:v>
                </c:pt>
                <c:pt idx="9">
                  <c:v>1.4866899990011007E-2</c:v>
                </c:pt>
                <c:pt idx="10">
                  <c:v>2.951800002483651E-2</c:v>
                </c:pt>
                <c:pt idx="11">
                  <c:v>7.179999997606501E-2</c:v>
                </c:pt>
                <c:pt idx="12">
                  <c:v>0.13672619999852031</c:v>
                </c:pt>
                <c:pt idx="13">
                  <c:v>0.24441360001219437</c:v>
                </c:pt>
              </c:numCache>
            </c:numRef>
          </c:yVal>
          <c:smooth val="0"/>
          <c:extLst>
            <c:ext xmlns:c16="http://schemas.microsoft.com/office/drawing/2014/chart" uri="{C3380CC4-5D6E-409C-BE32-E72D297353CC}">
              <c16:uniqueId val="{00000004-5183-4BE9-AB91-F625F721E4E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TimingResults!$F$141:$F$155</c:f>
              <c:numCache>
                <c:formatCode>General</c:formatCode>
                <c:ptCount val="15"/>
                <c:pt idx="0">
                  <c:v>1.0359700012486428E-2</c:v>
                </c:pt>
                <c:pt idx="1">
                  <c:v>2.7442399994470179E-2</c:v>
                </c:pt>
                <c:pt idx="2">
                  <c:v>2.4761700013186783E-2</c:v>
                </c:pt>
                <c:pt idx="3">
                  <c:v>3.0473500024527311E-2</c:v>
                </c:pt>
                <c:pt idx="4">
                  <c:v>3.4457299974747002E-2</c:v>
                </c:pt>
                <c:pt idx="5">
                  <c:v>6.0565699997823685E-2</c:v>
                </c:pt>
                <c:pt idx="6">
                  <c:v>7.539589999942109E-2</c:v>
                </c:pt>
                <c:pt idx="7">
                  <c:v>0.10513810004340485</c:v>
                </c:pt>
                <c:pt idx="8">
                  <c:v>0.18172479997156188</c:v>
                </c:pt>
                <c:pt idx="9">
                  <c:v>0.3448163999710232</c:v>
                </c:pt>
                <c:pt idx="10">
                  <c:v>0.68517260003136471</c:v>
                </c:pt>
                <c:pt idx="11">
                  <c:v>1.1170607000240125</c:v>
                </c:pt>
                <c:pt idx="12">
                  <c:v>2.0432018999708816</c:v>
                </c:pt>
                <c:pt idx="13">
                  <c:v>4.5043161999783479</c:v>
                </c:pt>
                <c:pt idx="14">
                  <c:v>8.2157686999998987</c:v>
                </c:pt>
              </c:numCache>
            </c:numRef>
          </c:yVal>
          <c:smooth val="0"/>
          <c:extLst>
            <c:ext xmlns:c16="http://schemas.microsoft.com/office/drawing/2014/chart" uri="{C3380CC4-5D6E-409C-BE32-E72D297353CC}">
              <c16:uniqueId val="{00000000-0AEA-4B8D-A073-8A73C9489EE0}"/>
            </c:ext>
          </c:extLst>
        </c:ser>
        <c:ser>
          <c:idx val="1"/>
          <c:order val="1"/>
          <c:tx>
            <c:strRef>
              <c:f>TimingResults!$G$140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TimingResults!$G$141:$G$155</c:f>
              <c:numCache>
                <c:formatCode>General</c:formatCode>
                <c:ptCount val="15"/>
                <c:pt idx="0">
                  <c:v>9.6447999821975827E-3</c:v>
                </c:pt>
                <c:pt idx="1">
                  <c:v>1.2565699988044798E-2</c:v>
                </c:pt>
                <c:pt idx="2">
                  <c:v>1.1765900009777397E-2</c:v>
                </c:pt>
                <c:pt idx="3">
                  <c:v>1.2809699983336031E-2</c:v>
                </c:pt>
                <c:pt idx="4">
                  <c:v>1.6927599965129048E-2</c:v>
                </c:pt>
                <c:pt idx="5">
                  <c:v>2.4614599999040365E-2</c:v>
                </c:pt>
                <c:pt idx="6">
                  <c:v>4.5138699992094189E-2</c:v>
                </c:pt>
                <c:pt idx="7">
                  <c:v>8.5255600046366453E-2</c:v>
                </c:pt>
                <c:pt idx="8">
                  <c:v>0.16359449998708442</c:v>
                </c:pt>
                <c:pt idx="9">
                  <c:v>0.31131860002642497</c:v>
                </c:pt>
                <c:pt idx="10">
                  <c:v>0.43829540000297129</c:v>
                </c:pt>
                <c:pt idx="11">
                  <c:v>0.91002559999469668</c:v>
                </c:pt>
                <c:pt idx="12">
                  <c:v>1.7246194999897853</c:v>
                </c:pt>
                <c:pt idx="13">
                  <c:v>3.6461847999598831</c:v>
                </c:pt>
                <c:pt idx="14">
                  <c:v>7.9263091000029817</c:v>
                </c:pt>
              </c:numCache>
            </c:numRef>
          </c:yVal>
          <c:smooth val="0"/>
          <c:extLst>
            <c:ext xmlns:c16="http://schemas.microsoft.com/office/drawing/2014/chart" uri="{C3380CC4-5D6E-409C-BE32-E72D297353CC}">
              <c16:uniqueId val="{00000001-0AEA-4B8D-A073-8A73C9489EE0}"/>
            </c:ext>
          </c:extLst>
        </c:ser>
        <c:ser>
          <c:idx val="2"/>
          <c:order val="2"/>
          <c:tx>
            <c:strRef>
              <c:f>TimingResults!$H$140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TimingResults!$H$141:$H$155</c:f>
              <c:numCache>
                <c:formatCode>General</c:formatCode>
                <c:ptCount val="15"/>
                <c:pt idx="0">
                  <c:v>0.2893548000138253</c:v>
                </c:pt>
                <c:pt idx="1">
                  <c:v>3.8157600036356598E-2</c:v>
                </c:pt>
                <c:pt idx="2">
                  <c:v>3.1361599976662546E-2</c:v>
                </c:pt>
                <c:pt idx="3">
                  <c:v>2.6218699989840388E-2</c:v>
                </c:pt>
                <c:pt idx="4">
                  <c:v>2.5732900016009808E-2</c:v>
                </c:pt>
                <c:pt idx="5">
                  <c:v>2.6927499973680824E-2</c:v>
                </c:pt>
                <c:pt idx="6">
                  <c:v>2.9744500003289431E-2</c:v>
                </c:pt>
                <c:pt idx="7">
                  <c:v>3.433469997253269E-2</c:v>
                </c:pt>
                <c:pt idx="8">
                  <c:v>4.6974099997896701E-2</c:v>
                </c:pt>
                <c:pt idx="9">
                  <c:v>9.2531600035727024E-2</c:v>
                </c:pt>
                <c:pt idx="10">
                  <c:v>0.20937300001969561</c:v>
                </c:pt>
                <c:pt idx="11">
                  <c:v>0.85669579997193068</c:v>
                </c:pt>
                <c:pt idx="12">
                  <c:v>2.2134572000359185</c:v>
                </c:pt>
                <c:pt idx="13">
                  <c:v>8.4295572999981232</c:v>
                </c:pt>
                <c:pt idx="14">
                  <c:v>49.62571549997665</c:v>
                </c:pt>
              </c:numCache>
            </c:numRef>
          </c:yVal>
          <c:smooth val="0"/>
          <c:extLst>
            <c:ext xmlns:c16="http://schemas.microsoft.com/office/drawing/2014/chart" uri="{C3380CC4-5D6E-409C-BE32-E72D297353CC}">
              <c16:uniqueId val="{00000002-0AEA-4B8D-A073-8A73C9489EE0}"/>
            </c:ext>
          </c:extLst>
        </c:ser>
        <c:ser>
          <c:idx val="3"/>
          <c:order val="3"/>
          <c:tx>
            <c:strRef>
              <c:f>TimingResults!$I$140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TimingResults!$I$141:$I$155</c:f>
              <c:numCache>
                <c:formatCode>General</c:formatCode>
                <c:ptCount val="15"/>
                <c:pt idx="0">
                  <c:v>6.8625999847427011E-3</c:v>
                </c:pt>
                <c:pt idx="1">
                  <c:v>8.6545000085607171E-3</c:v>
                </c:pt>
                <c:pt idx="2">
                  <c:v>9.8496999708004296E-3</c:v>
                </c:pt>
                <c:pt idx="3">
                  <c:v>9.7539999987930059E-3</c:v>
                </c:pt>
                <c:pt idx="4">
                  <c:v>1.4901100017596036E-2</c:v>
                </c:pt>
                <c:pt idx="5">
                  <c:v>2.2197899990715086E-2</c:v>
                </c:pt>
                <c:pt idx="6">
                  <c:v>5.3095399984158576E-2</c:v>
                </c:pt>
                <c:pt idx="7">
                  <c:v>6.4359200012404472E-2</c:v>
                </c:pt>
                <c:pt idx="8">
                  <c:v>0.12224430002970621</c:v>
                </c:pt>
                <c:pt idx="9">
                  <c:v>0.24639109999407083</c:v>
                </c:pt>
                <c:pt idx="10">
                  <c:v>0.44864110002527013</c:v>
                </c:pt>
                <c:pt idx="11">
                  <c:v>0.9148511000094004</c:v>
                </c:pt>
                <c:pt idx="12">
                  <c:v>1.8866630000411533</c:v>
                </c:pt>
                <c:pt idx="13">
                  <c:v>3.8482305000070482</c:v>
                </c:pt>
                <c:pt idx="14">
                  <c:v>8.3116042999899946</c:v>
                </c:pt>
              </c:numCache>
            </c:numRef>
          </c:yVal>
          <c:smooth val="0"/>
          <c:extLst>
            <c:ext xmlns:c16="http://schemas.microsoft.com/office/drawing/2014/chart" uri="{C3380CC4-5D6E-409C-BE32-E72D297353CC}">
              <c16:uniqueId val="{00000003-0AEA-4B8D-A073-8A73C9489EE0}"/>
            </c:ext>
          </c:extLst>
        </c:ser>
        <c:ser>
          <c:idx val="4"/>
          <c:order val="4"/>
          <c:tx>
            <c:strRef>
              <c:f>TimingResults!$J$140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TimingResults!$J$141:$J$155</c:f>
              <c:numCache>
                <c:formatCode>General</c:formatCode>
                <c:ptCount val="15"/>
                <c:pt idx="0">
                  <c:v>1.0164499981328845E-2</c:v>
                </c:pt>
                <c:pt idx="1">
                  <c:v>1.5491499972995371E-2</c:v>
                </c:pt>
                <c:pt idx="2">
                  <c:v>2.1030900010373443E-2</c:v>
                </c:pt>
                <c:pt idx="3">
                  <c:v>2.9446500004269183E-2</c:v>
                </c:pt>
                <c:pt idx="4">
                  <c:v>6.5882200025953352E-2</c:v>
                </c:pt>
                <c:pt idx="5">
                  <c:v>8.8363099959678948E-2</c:v>
                </c:pt>
                <c:pt idx="6">
                  <c:v>0.16033189999870956</c:v>
                </c:pt>
                <c:pt idx="7">
                  <c:v>0.31729000003542751</c:v>
                </c:pt>
                <c:pt idx="8">
                  <c:v>0.60402939998311922</c:v>
                </c:pt>
                <c:pt idx="9">
                  <c:v>1.3569625000236556</c:v>
                </c:pt>
                <c:pt idx="10">
                  <c:v>2.3978941999957897</c:v>
                </c:pt>
                <c:pt idx="11">
                  <c:v>5.111669100006111</c:v>
                </c:pt>
                <c:pt idx="12">
                  <c:v>10.396468500024639</c:v>
                </c:pt>
                <c:pt idx="13">
                  <c:v>20.243478999997023</c:v>
                </c:pt>
                <c:pt idx="14">
                  <c:v>40.080299000022933</c:v>
                </c:pt>
              </c:numCache>
            </c:numRef>
          </c:yVal>
          <c:smooth val="0"/>
          <c:extLst>
            <c:ext xmlns:c16="http://schemas.microsoft.com/office/drawing/2014/chart" uri="{C3380CC4-5D6E-409C-BE32-E72D297353CC}">
              <c16:uniqueId val="{00000004-0AEA-4B8D-A073-8A73C9489EE0}"/>
            </c:ext>
          </c:extLst>
        </c:ser>
        <c:dLbls>
          <c:showLegendKey val="0"/>
          <c:showVal val="0"/>
          <c:showCatName val="0"/>
          <c:showSerName val="0"/>
          <c:showPercent val="0"/>
          <c:showBubbleSize val="0"/>
        </c:dLbls>
        <c:axId val="450070176"/>
        <c:axId val="450050208"/>
      </c:scatterChart>
      <c:valAx>
        <c:axId val="4500701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50208"/>
        <c:crosses val="autoZero"/>
        <c:crossBetween val="midCat"/>
      </c:valAx>
      <c:valAx>
        <c:axId val="45005020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TimingResults!$F$168:$F$182</c:f>
              <c:numCache>
                <c:formatCode>General</c:formatCode>
                <c:ptCount val="15"/>
                <c:pt idx="0">
                  <c:v>3.3281800046097487E-2</c:v>
                </c:pt>
                <c:pt idx="1">
                  <c:v>3.9189099974464625E-2</c:v>
                </c:pt>
                <c:pt idx="2">
                  <c:v>5.5210400023497641E-2</c:v>
                </c:pt>
                <c:pt idx="3">
                  <c:v>5.1408100000116974E-2</c:v>
                </c:pt>
                <c:pt idx="4">
                  <c:v>5.5127300031017512E-2</c:v>
                </c:pt>
                <c:pt idx="5">
                  <c:v>6.5491599962115288E-2</c:v>
                </c:pt>
                <c:pt idx="6">
                  <c:v>5.9393800038378686E-2</c:v>
                </c:pt>
                <c:pt idx="7">
                  <c:v>8.8449299975764006E-2</c:v>
                </c:pt>
                <c:pt idx="8">
                  <c:v>0.14517149998573586</c:v>
                </c:pt>
                <c:pt idx="9">
                  <c:v>0.34941720002098009</c:v>
                </c:pt>
                <c:pt idx="10">
                  <c:v>0.71769090002635494</c:v>
                </c:pt>
                <c:pt idx="11">
                  <c:v>1.4376950999721885</c:v>
                </c:pt>
                <c:pt idx="12">
                  <c:v>2.2592681999667548</c:v>
                </c:pt>
                <c:pt idx="13">
                  <c:v>4.2284333999850787</c:v>
                </c:pt>
                <c:pt idx="14">
                  <c:v>8.695037700003013</c:v>
                </c:pt>
              </c:numCache>
            </c:numRef>
          </c:yVal>
          <c:smooth val="0"/>
          <c:extLst>
            <c:ext xmlns:c16="http://schemas.microsoft.com/office/drawing/2014/chart" uri="{C3380CC4-5D6E-409C-BE32-E72D297353CC}">
              <c16:uniqueId val="{00000000-C495-447B-9130-851AF781EF8D}"/>
            </c:ext>
          </c:extLst>
        </c:ser>
        <c:ser>
          <c:idx val="1"/>
          <c:order val="1"/>
          <c:tx>
            <c:strRef>
              <c:f>TimingResults!$G$167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TimingResults!$G$168:$G$182</c:f>
              <c:numCache>
                <c:formatCode>General</c:formatCode>
                <c:ptCount val="15"/>
                <c:pt idx="0">
                  <c:v>1.625470002181828E-2</c:v>
                </c:pt>
                <c:pt idx="1">
                  <c:v>1.7045399989001453E-2</c:v>
                </c:pt>
                <c:pt idx="2">
                  <c:v>1.6798999975435436E-2</c:v>
                </c:pt>
                <c:pt idx="3">
                  <c:v>1.905940001597628E-2</c:v>
                </c:pt>
                <c:pt idx="4">
                  <c:v>2.3405299987643957E-2</c:v>
                </c:pt>
                <c:pt idx="5">
                  <c:v>3.3224700018763542E-2</c:v>
                </c:pt>
                <c:pt idx="6">
                  <c:v>5.7478600007016212E-2</c:v>
                </c:pt>
                <c:pt idx="7">
                  <c:v>7.6437200012151152E-2</c:v>
                </c:pt>
                <c:pt idx="8">
                  <c:v>0.12183939997339621</c:v>
                </c:pt>
                <c:pt idx="9">
                  <c:v>0.28949009999632835</c:v>
                </c:pt>
                <c:pt idx="10">
                  <c:v>0.65130190004128963</c:v>
                </c:pt>
                <c:pt idx="11">
                  <c:v>0.86916699999710545</c:v>
                </c:pt>
                <c:pt idx="12">
                  <c:v>1.7380381999537349</c:v>
                </c:pt>
                <c:pt idx="13">
                  <c:v>3.5751564999809489</c:v>
                </c:pt>
                <c:pt idx="14">
                  <c:v>7.6204534999560565</c:v>
                </c:pt>
              </c:numCache>
            </c:numRef>
          </c:yVal>
          <c:smooth val="0"/>
          <c:extLst>
            <c:ext xmlns:c16="http://schemas.microsoft.com/office/drawing/2014/chart" uri="{C3380CC4-5D6E-409C-BE32-E72D297353CC}">
              <c16:uniqueId val="{00000001-C495-447B-9130-851AF781EF8D}"/>
            </c:ext>
          </c:extLst>
        </c:ser>
        <c:ser>
          <c:idx val="2"/>
          <c:order val="2"/>
          <c:tx>
            <c:strRef>
              <c:f>TimingResults!$H$167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TimingResults!$H$168:$H$182</c:f>
              <c:numCache>
                <c:formatCode>General</c:formatCode>
                <c:ptCount val="15"/>
                <c:pt idx="0">
                  <c:v>0.32000359997618943</c:v>
                </c:pt>
                <c:pt idx="1">
                  <c:v>7.0489400008227676E-2</c:v>
                </c:pt>
                <c:pt idx="2">
                  <c:v>3.5310100007336587E-2</c:v>
                </c:pt>
                <c:pt idx="3">
                  <c:v>3.3554399968124926E-2</c:v>
                </c:pt>
                <c:pt idx="4">
                  <c:v>3.3390399999916553E-2</c:v>
                </c:pt>
                <c:pt idx="5">
                  <c:v>3.4697099996265024E-2</c:v>
                </c:pt>
                <c:pt idx="6">
                  <c:v>3.221299999859184E-2</c:v>
                </c:pt>
                <c:pt idx="7">
                  <c:v>4.0808200021274388E-2</c:v>
                </c:pt>
                <c:pt idx="8">
                  <c:v>5.5378699966240674E-2</c:v>
                </c:pt>
                <c:pt idx="9">
                  <c:v>8.5704200027976185E-2</c:v>
                </c:pt>
                <c:pt idx="10">
                  <c:v>0.2133816999848932</c:v>
                </c:pt>
                <c:pt idx="11">
                  <c:v>0.81597350002266467</c:v>
                </c:pt>
                <c:pt idx="12">
                  <c:v>2.2408271000022069</c:v>
                </c:pt>
                <c:pt idx="13">
                  <c:v>8.3887801999808289</c:v>
                </c:pt>
                <c:pt idx="14">
                  <c:v>49.269899300008547</c:v>
                </c:pt>
              </c:numCache>
            </c:numRef>
          </c:yVal>
          <c:smooth val="0"/>
          <c:extLst>
            <c:ext xmlns:c16="http://schemas.microsoft.com/office/drawing/2014/chart" uri="{C3380CC4-5D6E-409C-BE32-E72D297353CC}">
              <c16:uniqueId val="{00000002-C495-447B-9130-851AF781EF8D}"/>
            </c:ext>
          </c:extLst>
        </c:ser>
        <c:ser>
          <c:idx val="3"/>
          <c:order val="3"/>
          <c:tx>
            <c:strRef>
              <c:f>TimingResults!$I$167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TimingResults!$I$168:$I$182</c:f>
              <c:numCache>
                <c:formatCode>General</c:formatCode>
                <c:ptCount val="15"/>
                <c:pt idx="0">
                  <c:v>2.2498100006487221E-2</c:v>
                </c:pt>
                <c:pt idx="1">
                  <c:v>3.700299997581169E-2</c:v>
                </c:pt>
                <c:pt idx="2">
                  <c:v>3.2968799991067499E-2</c:v>
                </c:pt>
                <c:pt idx="3">
                  <c:v>3.7877099995967001E-2</c:v>
                </c:pt>
                <c:pt idx="4">
                  <c:v>4.9985599995125085E-2</c:v>
                </c:pt>
                <c:pt idx="5">
                  <c:v>7.9607499996200204E-2</c:v>
                </c:pt>
                <c:pt idx="6">
                  <c:v>0.1350465000141412</c:v>
                </c:pt>
                <c:pt idx="7">
                  <c:v>0.24546130001544952</c:v>
                </c:pt>
                <c:pt idx="8">
                  <c:v>0.47170619998360053</c:v>
                </c:pt>
                <c:pt idx="9">
                  <c:v>0.90148010000120848</c:v>
                </c:pt>
                <c:pt idx="10">
                  <c:v>1.7922197000007145</c:v>
                </c:pt>
                <c:pt idx="11">
                  <c:v>3.6077716999570839</c:v>
                </c:pt>
                <c:pt idx="12">
                  <c:v>7.3255450000287965</c:v>
                </c:pt>
                <c:pt idx="13">
                  <c:v>14.905898600001819</c:v>
                </c:pt>
                <c:pt idx="14">
                  <c:v>31.082620300003327</c:v>
                </c:pt>
              </c:numCache>
            </c:numRef>
          </c:yVal>
          <c:smooth val="0"/>
          <c:extLst>
            <c:ext xmlns:c16="http://schemas.microsoft.com/office/drawing/2014/chart" uri="{C3380CC4-5D6E-409C-BE32-E72D297353CC}">
              <c16:uniqueId val="{00000003-C495-447B-9130-851AF781EF8D}"/>
            </c:ext>
          </c:extLst>
        </c:ser>
        <c:ser>
          <c:idx val="4"/>
          <c:order val="4"/>
          <c:tx>
            <c:strRef>
              <c:f>TimingResults!$J$167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TimingResults!$J$168:$J$182</c:f>
              <c:numCache>
                <c:formatCode>General</c:formatCode>
                <c:ptCount val="15"/>
                <c:pt idx="0">
                  <c:v>1.8530100001953542E-2</c:v>
                </c:pt>
                <c:pt idx="1">
                  <c:v>2.7068600000347942E-2</c:v>
                </c:pt>
                <c:pt idx="2">
                  <c:v>2.3026799957733601E-2</c:v>
                </c:pt>
                <c:pt idx="3">
                  <c:v>2.9305200034286827E-2</c:v>
                </c:pt>
                <c:pt idx="4">
                  <c:v>4.1560699988622218E-2</c:v>
                </c:pt>
                <c:pt idx="5">
                  <c:v>6.4913699985481799E-2</c:v>
                </c:pt>
                <c:pt idx="6">
                  <c:v>0.11769560002721846</c:v>
                </c:pt>
                <c:pt idx="7">
                  <c:v>0.22313430003123358</c:v>
                </c:pt>
                <c:pt idx="8">
                  <c:v>0.42975159996422008</c:v>
                </c:pt>
                <c:pt idx="9">
                  <c:v>0.90292800002498552</c:v>
                </c:pt>
                <c:pt idx="10">
                  <c:v>1.8460826999507844</c:v>
                </c:pt>
                <c:pt idx="11">
                  <c:v>3.6778381000040099</c:v>
                </c:pt>
                <c:pt idx="12">
                  <c:v>7.2671172000118531</c:v>
                </c:pt>
                <c:pt idx="13">
                  <c:v>14.126898700022139</c:v>
                </c:pt>
                <c:pt idx="14">
                  <c:v>29.477620400022715</c:v>
                </c:pt>
              </c:numCache>
            </c:numRef>
          </c:yVal>
          <c:smooth val="0"/>
          <c:extLst>
            <c:ext xmlns:c16="http://schemas.microsoft.com/office/drawing/2014/chart" uri="{C3380CC4-5D6E-409C-BE32-E72D297353CC}">
              <c16:uniqueId val="{00000004-C495-447B-9130-851AF781EF8D}"/>
            </c:ext>
          </c:extLst>
        </c:ser>
        <c:dLbls>
          <c:showLegendKey val="0"/>
          <c:showVal val="0"/>
          <c:showCatName val="0"/>
          <c:showSerName val="0"/>
          <c:showPercent val="0"/>
          <c:showBubbleSize val="0"/>
        </c:dLbls>
        <c:axId val="450106784"/>
        <c:axId val="450107200"/>
      </c:scatterChart>
      <c:valAx>
        <c:axId val="4501067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7200"/>
        <c:crosses val="autoZero"/>
        <c:crossBetween val="midCat"/>
      </c:valAx>
      <c:valAx>
        <c:axId val="45010720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6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(2)'!$F$33:$F$53</c:f>
              <c:numCache>
                <c:formatCode>General</c:formatCode>
                <c:ptCount val="21"/>
                <c:pt idx="0">
                  <c:v>1.7053699993994087E-2</c:v>
                </c:pt>
                <c:pt idx="1">
                  <c:v>1.8475299992132932E-2</c:v>
                </c:pt>
                <c:pt idx="2">
                  <c:v>2.0431499986443669E-2</c:v>
                </c:pt>
                <c:pt idx="3">
                  <c:v>2.7275100001133978E-2</c:v>
                </c:pt>
                <c:pt idx="4">
                  <c:v>2.2360100003425032E-2</c:v>
                </c:pt>
                <c:pt idx="5">
                  <c:v>2.28789999964647E-2</c:v>
                </c:pt>
                <c:pt idx="6">
                  <c:v>2.3728600004687905E-2</c:v>
                </c:pt>
                <c:pt idx="7">
                  <c:v>2.4001499987207353E-2</c:v>
                </c:pt>
                <c:pt idx="8">
                  <c:v>2.7108500013127923E-2</c:v>
                </c:pt>
                <c:pt idx="9">
                  <c:v>4.0373499970883131E-2</c:v>
                </c:pt>
                <c:pt idx="10">
                  <c:v>4.8795100010465831E-2</c:v>
                </c:pt>
                <c:pt idx="11">
                  <c:v>3.8264599977992475E-2</c:v>
                </c:pt>
                <c:pt idx="12">
                  <c:v>4.3154300015885383E-2</c:v>
                </c:pt>
                <c:pt idx="13">
                  <c:v>5.3139400028157979E-2</c:v>
                </c:pt>
                <c:pt idx="14">
                  <c:v>8.3431200007908046E-2</c:v>
                </c:pt>
                <c:pt idx="15">
                  <c:v>0.12872089998563752</c:v>
                </c:pt>
                <c:pt idx="16">
                  <c:v>0.25268279999727383</c:v>
                </c:pt>
                <c:pt idx="17">
                  <c:v>0.58814939996227622</c:v>
                </c:pt>
                <c:pt idx="18">
                  <c:v>1.4008571000304073</c:v>
                </c:pt>
                <c:pt idx="19">
                  <c:v>2.7287517000222579</c:v>
                </c:pt>
                <c:pt idx="20">
                  <c:v>6.9250081999925897</c:v>
                </c:pt>
              </c:numCache>
            </c:numRef>
          </c:yVal>
          <c:smooth val="0"/>
          <c:extLst>
            <c:ext xmlns:c16="http://schemas.microsoft.com/office/drawing/2014/chart" uri="{C3380CC4-5D6E-409C-BE32-E72D297353CC}">
              <c16:uniqueId val="{00000000-9889-4DEF-AF58-45F8D7639BA3}"/>
            </c:ext>
          </c:extLst>
        </c:ser>
        <c:ser>
          <c:idx val="1"/>
          <c:order val="1"/>
          <c:tx>
            <c:strRef>
              <c:f>'TimingResults (2)'!$G$32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(2)'!$G$33:$G$53</c:f>
              <c:numCache>
                <c:formatCode>General</c:formatCode>
                <c:ptCount val="21"/>
                <c:pt idx="0">
                  <c:v>1.5552999684587121E-3</c:v>
                </c:pt>
                <c:pt idx="1">
                  <c:v>2.4599999887868762E-3</c:v>
                </c:pt>
                <c:pt idx="2">
                  <c:v>2.2382999886758626E-3</c:v>
                </c:pt>
                <c:pt idx="3">
                  <c:v>2.3541999980807304E-3</c:v>
                </c:pt>
                <c:pt idx="4">
                  <c:v>1.0125800035893917E-2</c:v>
                </c:pt>
                <c:pt idx="5">
                  <c:v>2.6411999715492129E-3</c:v>
                </c:pt>
                <c:pt idx="6">
                  <c:v>2.4580000317655504E-3</c:v>
                </c:pt>
                <c:pt idx="7">
                  <c:v>2.5140000507235527E-3</c:v>
                </c:pt>
                <c:pt idx="8">
                  <c:v>3.3470000489614904E-3</c:v>
                </c:pt>
                <c:pt idx="9">
                  <c:v>3.8573999772779644E-3</c:v>
                </c:pt>
                <c:pt idx="10">
                  <c:v>6.2313000089488924E-3</c:v>
                </c:pt>
                <c:pt idx="11">
                  <c:v>8.1675999681465328E-3</c:v>
                </c:pt>
                <c:pt idx="12">
                  <c:v>1.3384699996095151E-2</c:v>
                </c:pt>
                <c:pt idx="13">
                  <c:v>2.3792399966623634E-2</c:v>
                </c:pt>
                <c:pt idx="14">
                  <c:v>4.7021799953654408E-2</c:v>
                </c:pt>
                <c:pt idx="15">
                  <c:v>9.2623299977276474E-2</c:v>
                </c:pt>
                <c:pt idx="16">
                  <c:v>0.19783399999141693</c:v>
                </c:pt>
                <c:pt idx="17">
                  <c:v>0.39596509997500107</c:v>
                </c:pt>
                <c:pt idx="18">
                  <c:v>0.98150510003324598</c:v>
                </c:pt>
                <c:pt idx="19">
                  <c:v>1.826311299984809</c:v>
                </c:pt>
                <c:pt idx="20">
                  <c:v>3.118951799988281</c:v>
                </c:pt>
              </c:numCache>
            </c:numRef>
          </c:yVal>
          <c:smooth val="0"/>
          <c:extLst>
            <c:ext xmlns:c16="http://schemas.microsoft.com/office/drawing/2014/chart" uri="{C3380CC4-5D6E-409C-BE32-E72D297353CC}">
              <c16:uniqueId val="{00000001-9889-4DEF-AF58-45F8D7639BA3}"/>
            </c:ext>
          </c:extLst>
        </c:ser>
        <c:ser>
          <c:idx val="2"/>
          <c:order val="2"/>
          <c:tx>
            <c:strRef>
              <c:f>'TimingResults (2)'!$H$32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(2)'!$H$33:$H$53</c:f>
              <c:numCache>
                <c:formatCode>General</c:formatCode>
                <c:ptCount val="21"/>
                <c:pt idx="0">
                  <c:v>1.5600399987306446E-2</c:v>
                </c:pt>
                <c:pt idx="1">
                  <c:v>5.1606000051833689E-3</c:v>
                </c:pt>
                <c:pt idx="2">
                  <c:v>8.8065000018104911E-3</c:v>
                </c:pt>
                <c:pt idx="3">
                  <c:v>1.1588499997742474E-2</c:v>
                </c:pt>
                <c:pt idx="4">
                  <c:v>8.6022999603301287E-3</c:v>
                </c:pt>
                <c:pt idx="5">
                  <c:v>1.4432700001634657E-2</c:v>
                </c:pt>
                <c:pt idx="6">
                  <c:v>6.0449999873526394E-3</c:v>
                </c:pt>
                <c:pt idx="7">
                  <c:v>6.6574999946169555E-3</c:v>
                </c:pt>
                <c:pt idx="8">
                  <c:v>1.7203899973537773E-2</c:v>
                </c:pt>
                <c:pt idx="9">
                  <c:v>9.0664000017568469E-3</c:v>
                </c:pt>
                <c:pt idx="10">
                  <c:v>1.0722799983341247E-2</c:v>
                </c:pt>
                <c:pt idx="11">
                  <c:v>1.4091300021391362E-2</c:v>
                </c:pt>
                <c:pt idx="12">
                  <c:v>2.9688599985092878E-2</c:v>
                </c:pt>
                <c:pt idx="13">
                  <c:v>5.291560001205653E-2</c:v>
                </c:pt>
                <c:pt idx="14">
                  <c:v>0.10899590002372861</c:v>
                </c:pt>
                <c:pt idx="15">
                  <c:v>0.15006790001643822</c:v>
                </c:pt>
                <c:pt idx="16">
                  <c:v>0.37815609999233857</c:v>
                </c:pt>
                <c:pt idx="17">
                  <c:v>0.59534060000441968</c:v>
                </c:pt>
                <c:pt idx="18">
                  <c:v>1.7505844000261277</c:v>
                </c:pt>
                <c:pt idx="19">
                  <c:v>2.7499195999698713</c:v>
                </c:pt>
                <c:pt idx="20">
                  <c:v>5.4111464999732561</c:v>
                </c:pt>
              </c:numCache>
            </c:numRef>
          </c:yVal>
          <c:smooth val="0"/>
          <c:extLst>
            <c:ext xmlns:c16="http://schemas.microsoft.com/office/drawing/2014/chart" uri="{C3380CC4-5D6E-409C-BE32-E72D297353CC}">
              <c16:uniqueId val="{00000002-9889-4DEF-AF58-45F8D7639BA3}"/>
            </c:ext>
          </c:extLst>
        </c:ser>
        <c:ser>
          <c:idx val="3"/>
          <c:order val="3"/>
          <c:tx>
            <c:strRef>
              <c:f>'TimingResults (2)'!$I$32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(2)'!$I$33:$I$53</c:f>
              <c:numCache>
                <c:formatCode>General</c:formatCode>
                <c:ptCount val="21"/>
                <c:pt idx="0">
                  <c:v>6.2450004043057561E-4</c:v>
                </c:pt>
                <c:pt idx="1">
                  <c:v>6.4230000134557486E-4</c:v>
                </c:pt>
                <c:pt idx="2">
                  <c:v>1.0303999879397452E-3</c:v>
                </c:pt>
                <c:pt idx="3">
                  <c:v>7.6329999137669802E-4</c:v>
                </c:pt>
                <c:pt idx="4">
                  <c:v>7.3579995660111308E-4</c:v>
                </c:pt>
                <c:pt idx="5">
                  <c:v>8.5070001659914851E-4</c:v>
                </c:pt>
                <c:pt idx="6">
                  <c:v>9.4746999675408006E-3</c:v>
                </c:pt>
                <c:pt idx="7">
                  <c:v>1.4960999833419919E-3</c:v>
                </c:pt>
                <c:pt idx="8">
                  <c:v>2.6865999680012465E-3</c:v>
                </c:pt>
                <c:pt idx="9">
                  <c:v>3.7444999907165766E-3</c:v>
                </c:pt>
                <c:pt idx="10">
                  <c:v>1.2132000003475696E-2</c:v>
                </c:pt>
                <c:pt idx="11">
                  <c:v>1.426189998164773E-2</c:v>
                </c:pt>
                <c:pt idx="12">
                  <c:v>1.874969998607412E-2</c:v>
                </c:pt>
                <c:pt idx="13">
                  <c:v>3.5985600028652698E-2</c:v>
                </c:pt>
                <c:pt idx="14">
                  <c:v>7.5546299980487674E-2</c:v>
                </c:pt>
                <c:pt idx="15">
                  <c:v>0.13028479996137321</c:v>
                </c:pt>
                <c:pt idx="16">
                  <c:v>0.28655649995198473</c:v>
                </c:pt>
                <c:pt idx="17">
                  <c:v>0.5480797000345774</c:v>
                </c:pt>
                <c:pt idx="18">
                  <c:v>1.2598947000224143</c:v>
                </c:pt>
                <c:pt idx="19">
                  <c:v>2.7539830000023358</c:v>
                </c:pt>
                <c:pt idx="20">
                  <c:v>7.1372284999815747</c:v>
                </c:pt>
              </c:numCache>
            </c:numRef>
          </c:yVal>
          <c:smooth val="0"/>
          <c:extLst>
            <c:ext xmlns:c16="http://schemas.microsoft.com/office/drawing/2014/chart" uri="{C3380CC4-5D6E-409C-BE32-E72D297353CC}">
              <c16:uniqueId val="{00000003-9889-4DEF-AF58-45F8D7639BA3}"/>
            </c:ext>
          </c:extLst>
        </c:ser>
        <c:ser>
          <c:idx val="4"/>
          <c:order val="4"/>
          <c:tx>
            <c:strRef>
              <c:f>'TimingResults (2)'!$J$32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(2)'!$J$33:$J$53</c:f>
              <c:numCache>
                <c:formatCode>General</c:formatCode>
                <c:ptCount val="21"/>
                <c:pt idx="0">
                  <c:v>2.2079999325796962E-4</c:v>
                </c:pt>
                <c:pt idx="1">
                  <c:v>2.0339997718110681E-4</c:v>
                </c:pt>
                <c:pt idx="2">
                  <c:v>2.5330000789836049E-4</c:v>
                </c:pt>
                <c:pt idx="3">
                  <c:v>2.48999975156039E-4</c:v>
                </c:pt>
                <c:pt idx="4">
                  <c:v>3.0239997431635857E-4</c:v>
                </c:pt>
                <c:pt idx="5">
                  <c:v>3.5829999251291156E-4</c:v>
                </c:pt>
                <c:pt idx="6">
                  <c:v>5.2770000183954835E-4</c:v>
                </c:pt>
                <c:pt idx="7">
                  <c:v>7.3930004145950079E-4</c:v>
                </c:pt>
                <c:pt idx="8">
                  <c:v>1.1851000017486513E-3</c:v>
                </c:pt>
                <c:pt idx="9">
                  <c:v>2.3767999955452979E-3</c:v>
                </c:pt>
                <c:pt idx="10">
                  <c:v>3.6498000263236463E-3</c:v>
                </c:pt>
                <c:pt idx="11">
                  <c:v>5.4703999776393175E-3</c:v>
                </c:pt>
                <c:pt idx="12">
                  <c:v>1.3814799953252077E-2</c:v>
                </c:pt>
                <c:pt idx="13">
                  <c:v>2.0587300008628517E-2</c:v>
                </c:pt>
                <c:pt idx="14">
                  <c:v>4.3398400011938065E-2</c:v>
                </c:pt>
                <c:pt idx="15">
                  <c:v>9.9518499977421016E-2</c:v>
                </c:pt>
                <c:pt idx="16">
                  <c:v>0.21128749998752028</c:v>
                </c:pt>
                <c:pt idx="17">
                  <c:v>0.43728010001359507</c:v>
                </c:pt>
                <c:pt idx="18">
                  <c:v>0.69688600004883483</c:v>
                </c:pt>
                <c:pt idx="19">
                  <c:v>1.4180215999949723</c:v>
                </c:pt>
                <c:pt idx="20">
                  <c:v>3.0963703000452369</c:v>
                </c:pt>
              </c:numCache>
            </c:numRef>
          </c:yVal>
          <c:smooth val="0"/>
          <c:extLst>
            <c:ext xmlns:c16="http://schemas.microsoft.com/office/drawing/2014/chart" uri="{C3380CC4-5D6E-409C-BE32-E72D297353CC}">
              <c16:uniqueId val="{00000004-9889-4DEF-AF58-45F8D7639BA3}"/>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(2)'!$F$60:$F$80</c:f>
              <c:numCache>
                <c:formatCode>General</c:formatCode>
                <c:ptCount val="21"/>
                <c:pt idx="0">
                  <c:v>1.6792400041595101E-2</c:v>
                </c:pt>
                <c:pt idx="1">
                  <c:v>1.7361900012474507E-2</c:v>
                </c:pt>
                <c:pt idx="2">
                  <c:v>1.9216499989852309E-2</c:v>
                </c:pt>
                <c:pt idx="3">
                  <c:v>2.0189300004858524E-2</c:v>
                </c:pt>
                <c:pt idx="4">
                  <c:v>1.5972799970768392E-2</c:v>
                </c:pt>
                <c:pt idx="5">
                  <c:v>1.4420600025914609E-2</c:v>
                </c:pt>
                <c:pt idx="6">
                  <c:v>1.4777200005482882E-2</c:v>
                </c:pt>
                <c:pt idx="7">
                  <c:v>1.4974899997469038E-2</c:v>
                </c:pt>
                <c:pt idx="8">
                  <c:v>1.4708699949551374E-2</c:v>
                </c:pt>
                <c:pt idx="9">
                  <c:v>1.4207899977918714E-2</c:v>
                </c:pt>
                <c:pt idx="10">
                  <c:v>1.5603700012434274E-2</c:v>
                </c:pt>
                <c:pt idx="11">
                  <c:v>2.0902299962472171E-2</c:v>
                </c:pt>
                <c:pt idx="12">
                  <c:v>3.483399999095127E-2</c:v>
                </c:pt>
                <c:pt idx="13">
                  <c:v>4.6983999956864864E-2</c:v>
                </c:pt>
                <c:pt idx="14">
                  <c:v>8.2939599989913404E-2</c:v>
                </c:pt>
                <c:pt idx="15">
                  <c:v>0.14122789999237284</c:v>
                </c:pt>
                <c:pt idx="16">
                  <c:v>0.27820739999879152</c:v>
                </c:pt>
                <c:pt idx="17">
                  <c:v>0.55212150001898408</c:v>
                </c:pt>
                <c:pt idx="18">
                  <c:v>1.3379114000126719</c:v>
                </c:pt>
                <c:pt idx="19">
                  <c:v>3.0529567000339739</c:v>
                </c:pt>
                <c:pt idx="20">
                  <c:v>8.1846114000072703</c:v>
                </c:pt>
              </c:numCache>
            </c:numRef>
          </c:yVal>
          <c:smooth val="0"/>
          <c:extLst>
            <c:ext xmlns:c16="http://schemas.microsoft.com/office/drawing/2014/chart" uri="{C3380CC4-5D6E-409C-BE32-E72D297353CC}">
              <c16:uniqueId val="{00000000-41FC-4DEB-895A-88C688E0C15A}"/>
            </c:ext>
          </c:extLst>
        </c:ser>
        <c:ser>
          <c:idx val="1"/>
          <c:order val="1"/>
          <c:tx>
            <c:strRef>
              <c:f>'TimingResults (2)'!$G$59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(2)'!$G$60:$G$80</c:f>
              <c:numCache>
                <c:formatCode>General</c:formatCode>
                <c:ptCount val="21"/>
                <c:pt idx="0">
                  <c:v>1.6966999974101782E-3</c:v>
                </c:pt>
                <c:pt idx="1">
                  <c:v>1.6551000298932195E-3</c:v>
                </c:pt>
                <c:pt idx="2">
                  <c:v>2.552499994635582E-3</c:v>
                </c:pt>
                <c:pt idx="3">
                  <c:v>2.2089999984018505E-3</c:v>
                </c:pt>
                <c:pt idx="4">
                  <c:v>1.3198999804444611E-3</c:v>
                </c:pt>
                <c:pt idx="5">
                  <c:v>1.3757999986410141E-3</c:v>
                </c:pt>
                <c:pt idx="6">
                  <c:v>1.6347999917343259E-3</c:v>
                </c:pt>
                <c:pt idx="7">
                  <c:v>1.8085999763570726E-3</c:v>
                </c:pt>
                <c:pt idx="8">
                  <c:v>2.2669000318273902E-3</c:v>
                </c:pt>
                <c:pt idx="9">
                  <c:v>3.4982999786734581E-3</c:v>
                </c:pt>
                <c:pt idx="10">
                  <c:v>4.6447000349871814E-3</c:v>
                </c:pt>
                <c:pt idx="11">
                  <c:v>8.6026000208221376E-3</c:v>
                </c:pt>
                <c:pt idx="12">
                  <c:v>1.4704600034747273E-2</c:v>
                </c:pt>
                <c:pt idx="13">
                  <c:v>2.7720500016584992E-2</c:v>
                </c:pt>
                <c:pt idx="14">
                  <c:v>5.5854199978057295E-2</c:v>
                </c:pt>
                <c:pt idx="15">
                  <c:v>0.10576249996665865</c:v>
                </c:pt>
                <c:pt idx="16">
                  <c:v>0.21860389999346808</c:v>
                </c:pt>
                <c:pt idx="17">
                  <c:v>0.44634359999326989</c:v>
                </c:pt>
                <c:pt idx="18">
                  <c:v>0.91846340004121885</c:v>
                </c:pt>
                <c:pt idx="19">
                  <c:v>1.9816720000235364</c:v>
                </c:pt>
                <c:pt idx="20">
                  <c:v>3.600106300029438</c:v>
                </c:pt>
              </c:numCache>
            </c:numRef>
          </c:yVal>
          <c:smooth val="0"/>
          <c:extLst>
            <c:ext xmlns:c16="http://schemas.microsoft.com/office/drawing/2014/chart" uri="{C3380CC4-5D6E-409C-BE32-E72D297353CC}">
              <c16:uniqueId val="{00000001-41FC-4DEB-895A-88C688E0C15A}"/>
            </c:ext>
          </c:extLst>
        </c:ser>
        <c:ser>
          <c:idx val="2"/>
          <c:order val="2"/>
          <c:tx>
            <c:strRef>
              <c:f>'TimingResults (2)'!$H$59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(2)'!$H$60:$H$80</c:f>
              <c:numCache>
                <c:formatCode>General</c:formatCode>
                <c:ptCount val="21"/>
                <c:pt idx="0">
                  <c:v>1.0163800034206361E-2</c:v>
                </c:pt>
                <c:pt idx="1">
                  <c:v>5.3633999777957797E-3</c:v>
                </c:pt>
                <c:pt idx="2">
                  <c:v>6.5749999484978616E-3</c:v>
                </c:pt>
                <c:pt idx="3">
                  <c:v>8.9921000180765986E-3</c:v>
                </c:pt>
                <c:pt idx="4">
                  <c:v>3.0638999887742102E-3</c:v>
                </c:pt>
                <c:pt idx="5">
                  <c:v>3.7543999496847391E-3</c:v>
                </c:pt>
                <c:pt idx="6">
                  <c:v>5.0533000030554831E-3</c:v>
                </c:pt>
                <c:pt idx="7">
                  <c:v>7.8090000315569341E-3</c:v>
                </c:pt>
                <c:pt idx="8">
                  <c:v>1.2013799976557493E-2</c:v>
                </c:pt>
                <c:pt idx="9">
                  <c:v>1.942690002033487E-2</c:v>
                </c:pt>
                <c:pt idx="10">
                  <c:v>3.6239899985957891E-2</c:v>
                </c:pt>
                <c:pt idx="11">
                  <c:v>6.7473399976734072E-2</c:v>
                </c:pt>
                <c:pt idx="12">
                  <c:v>0.13685319997603074</c:v>
                </c:pt>
                <c:pt idx="13">
                  <c:v>0.2686585999908857</c:v>
                </c:pt>
                <c:pt idx="14">
                  <c:v>0.58213130000513047</c:v>
                </c:pt>
                <c:pt idx="15">
                  <c:v>1.2084183000260964</c:v>
                </c:pt>
                <c:pt idx="16">
                  <c:v>2.2651555999764241</c:v>
                </c:pt>
                <c:pt idx="17">
                  <c:v>4.4848750999663025</c:v>
                </c:pt>
                <c:pt idx="18">
                  <c:v>9.6381975000258535</c:v>
                </c:pt>
                <c:pt idx="19">
                  <c:v>19.494493700040039</c:v>
                </c:pt>
                <c:pt idx="20">
                  <c:v>37.055853500030935</c:v>
                </c:pt>
              </c:numCache>
            </c:numRef>
          </c:yVal>
          <c:smooth val="0"/>
          <c:extLst>
            <c:ext xmlns:c16="http://schemas.microsoft.com/office/drawing/2014/chart" uri="{C3380CC4-5D6E-409C-BE32-E72D297353CC}">
              <c16:uniqueId val="{00000002-41FC-4DEB-895A-88C688E0C15A}"/>
            </c:ext>
          </c:extLst>
        </c:ser>
        <c:ser>
          <c:idx val="3"/>
          <c:order val="3"/>
          <c:tx>
            <c:strRef>
              <c:f>'TimingResults (2)'!$I$59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(2)'!$I$60:$I$80</c:f>
              <c:numCache>
                <c:formatCode>General</c:formatCode>
                <c:ptCount val="21"/>
                <c:pt idx="0">
                  <c:v>5.5810000048950315E-4</c:v>
                </c:pt>
                <c:pt idx="1">
                  <c:v>6.6510000033304095E-4</c:v>
                </c:pt>
                <c:pt idx="2">
                  <c:v>9.076999849639833E-4</c:v>
                </c:pt>
                <c:pt idx="3">
                  <c:v>7.3460000567138195E-4</c:v>
                </c:pt>
                <c:pt idx="4">
                  <c:v>6.5820000600069761E-4</c:v>
                </c:pt>
                <c:pt idx="5">
                  <c:v>8.8300002971664071E-4</c:v>
                </c:pt>
                <c:pt idx="6">
                  <c:v>1.1435000342316926E-3</c:v>
                </c:pt>
                <c:pt idx="7">
                  <c:v>1.8420999986119568E-3</c:v>
                </c:pt>
                <c:pt idx="8">
                  <c:v>2.5894999853335321E-3</c:v>
                </c:pt>
                <c:pt idx="9">
                  <c:v>4.281400004401803E-3</c:v>
                </c:pt>
                <c:pt idx="10">
                  <c:v>1.1225600028410554E-2</c:v>
                </c:pt>
                <c:pt idx="11">
                  <c:v>1.6043599986005574E-2</c:v>
                </c:pt>
                <c:pt idx="12">
                  <c:v>3.1986900023184717E-2</c:v>
                </c:pt>
                <c:pt idx="13">
                  <c:v>6.5182899998035282E-2</c:v>
                </c:pt>
                <c:pt idx="14">
                  <c:v>0.12864989996887743</c:v>
                </c:pt>
                <c:pt idx="15">
                  <c:v>0.27847550000296906</c:v>
                </c:pt>
                <c:pt idx="16">
                  <c:v>0.51526209997246042</c:v>
                </c:pt>
                <c:pt idx="17">
                  <c:v>2.5971964999916963</c:v>
                </c:pt>
                <c:pt idx="18">
                  <c:v>2.5495491999899969</c:v>
                </c:pt>
                <c:pt idx="19">
                  <c:v>5.6156824000063352</c:v>
                </c:pt>
                <c:pt idx="20">
                  <c:v>11.39609080000082</c:v>
                </c:pt>
              </c:numCache>
            </c:numRef>
          </c:yVal>
          <c:smooth val="0"/>
          <c:extLst>
            <c:ext xmlns:c16="http://schemas.microsoft.com/office/drawing/2014/chart" uri="{C3380CC4-5D6E-409C-BE32-E72D297353CC}">
              <c16:uniqueId val="{00000003-41FC-4DEB-895A-88C688E0C15A}"/>
            </c:ext>
          </c:extLst>
        </c:ser>
        <c:ser>
          <c:idx val="4"/>
          <c:order val="4"/>
          <c:tx>
            <c:strRef>
              <c:f>'TimingResults (2)'!$J$59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(2)'!$J$60:$J$80</c:f>
              <c:numCache>
                <c:formatCode>General</c:formatCode>
                <c:ptCount val="21"/>
                <c:pt idx="0">
                  <c:v>1.9009999232366681E-4</c:v>
                </c:pt>
                <c:pt idx="1">
                  <c:v>1.9349996000528336E-4</c:v>
                </c:pt>
                <c:pt idx="2">
                  <c:v>2.5749998167157173E-4</c:v>
                </c:pt>
                <c:pt idx="3">
                  <c:v>2.5370001094415784E-4</c:v>
                </c:pt>
                <c:pt idx="4">
                  <c:v>2.4359999224543571E-4</c:v>
                </c:pt>
                <c:pt idx="5">
                  <c:v>2.8630002634599805E-4</c:v>
                </c:pt>
                <c:pt idx="6">
                  <c:v>3.9980001747608185E-4</c:v>
                </c:pt>
                <c:pt idx="7">
                  <c:v>5.7730003027245402E-4</c:v>
                </c:pt>
                <c:pt idx="8">
                  <c:v>8.3309999899938703E-4</c:v>
                </c:pt>
                <c:pt idx="9">
                  <c:v>1.3415999710559845E-3</c:v>
                </c:pt>
                <c:pt idx="10">
                  <c:v>3.6220999900251627E-3</c:v>
                </c:pt>
                <c:pt idx="11">
                  <c:v>4.8442999832332134E-3</c:v>
                </c:pt>
                <c:pt idx="12">
                  <c:v>9.8071999964304268E-3</c:v>
                </c:pt>
                <c:pt idx="13">
                  <c:v>2.0289300009608269E-2</c:v>
                </c:pt>
                <c:pt idx="14">
                  <c:v>4.2705300031229854E-2</c:v>
                </c:pt>
                <c:pt idx="15">
                  <c:v>9.6827200031839311E-2</c:v>
                </c:pt>
                <c:pt idx="16">
                  <c:v>0.1590862000011839</c:v>
                </c:pt>
                <c:pt idx="17">
                  <c:v>0.47442579997004941</c:v>
                </c:pt>
                <c:pt idx="18">
                  <c:v>0.69732749997638166</c:v>
                </c:pt>
                <c:pt idx="19">
                  <c:v>1.4906988000147976</c:v>
                </c:pt>
                <c:pt idx="20">
                  <c:v>2.8772398000000976</c:v>
                </c:pt>
              </c:numCache>
            </c:numRef>
          </c:yVal>
          <c:smooth val="0"/>
          <c:extLst>
            <c:ext xmlns:c16="http://schemas.microsoft.com/office/drawing/2014/chart" uri="{C3380CC4-5D6E-409C-BE32-E72D297353CC}">
              <c16:uniqueId val="{00000004-41FC-4DEB-895A-88C688E0C15A}"/>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(2)'!$F$87:$F$105</c:f>
              <c:numCache>
                <c:formatCode>General</c:formatCode>
                <c:ptCount val="19"/>
                <c:pt idx="0">
                  <c:v>2.1853999933227897E-3</c:v>
                </c:pt>
                <c:pt idx="1">
                  <c:v>1.333200023509562E-3</c:v>
                </c:pt>
                <c:pt idx="2">
                  <c:v>1.5745800046715885E-2</c:v>
                </c:pt>
                <c:pt idx="3">
                  <c:v>1.9530999707058072E-3</c:v>
                </c:pt>
                <c:pt idx="4">
                  <c:v>3.6376999923959374E-3</c:v>
                </c:pt>
                <c:pt idx="5">
                  <c:v>2.089400019031018E-3</c:v>
                </c:pt>
                <c:pt idx="6">
                  <c:v>2.5575999752618372E-3</c:v>
                </c:pt>
                <c:pt idx="7">
                  <c:v>3.5397000028751791E-3</c:v>
                </c:pt>
                <c:pt idx="8">
                  <c:v>5.24490000680089E-3</c:v>
                </c:pt>
                <c:pt idx="9">
                  <c:v>9.0844000224024057E-3</c:v>
                </c:pt>
                <c:pt idx="10">
                  <c:v>1.7180699971504509E-2</c:v>
                </c:pt>
                <c:pt idx="11">
                  <c:v>3.3370199962519109E-2</c:v>
                </c:pt>
                <c:pt idx="12">
                  <c:v>7.9585600004065782E-2</c:v>
                </c:pt>
                <c:pt idx="13">
                  <c:v>0.13874649995705113</c:v>
                </c:pt>
                <c:pt idx="14">
                  <c:v>0.2893482000217773</c:v>
                </c:pt>
                <c:pt idx="15">
                  <c:v>0.61006279999855906</c:v>
                </c:pt>
                <c:pt idx="16">
                  <c:v>1.266010700026527</c:v>
                </c:pt>
                <c:pt idx="17">
                  <c:v>2.7537714000209235</c:v>
                </c:pt>
                <c:pt idx="18">
                  <c:v>5.4117666000383906</c:v>
                </c:pt>
              </c:numCache>
            </c:numRef>
          </c:yVal>
          <c:smooth val="0"/>
          <c:extLst>
            <c:ext xmlns:c16="http://schemas.microsoft.com/office/drawing/2014/chart" uri="{C3380CC4-5D6E-409C-BE32-E72D297353CC}">
              <c16:uniqueId val="{00000000-C169-44DB-8637-F1DCB9BB3C29}"/>
            </c:ext>
          </c:extLst>
        </c:ser>
        <c:ser>
          <c:idx val="1"/>
          <c:order val="1"/>
          <c:tx>
            <c:strRef>
              <c:f>'TimingResults (2)'!$G$86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(2)'!$G$87:$G$105</c:f>
              <c:numCache>
                <c:formatCode>General</c:formatCode>
                <c:ptCount val="19"/>
                <c:pt idx="0">
                  <c:v>7.4480002513155341E-4</c:v>
                </c:pt>
                <c:pt idx="1">
                  <c:v>2.6739999884739518E-4</c:v>
                </c:pt>
                <c:pt idx="2">
                  <c:v>4.6569999540224671E-4</c:v>
                </c:pt>
                <c:pt idx="3">
                  <c:v>4.6449998626485467E-4</c:v>
                </c:pt>
                <c:pt idx="4">
                  <c:v>1.0866000084206462E-3</c:v>
                </c:pt>
                <c:pt idx="5">
                  <c:v>1.0742999729700387E-3</c:v>
                </c:pt>
                <c:pt idx="6">
                  <c:v>1.7060000100173056E-3</c:v>
                </c:pt>
                <c:pt idx="7">
                  <c:v>2.8013999690301716E-3</c:v>
                </c:pt>
                <c:pt idx="8">
                  <c:v>4.6042000176385045E-3</c:v>
                </c:pt>
                <c:pt idx="9">
                  <c:v>1.6002200020011514E-2</c:v>
                </c:pt>
                <c:pt idx="10">
                  <c:v>1.8125200003851205E-2</c:v>
                </c:pt>
                <c:pt idx="11">
                  <c:v>3.8505600008647889E-2</c:v>
                </c:pt>
                <c:pt idx="12">
                  <c:v>7.2970599983818829E-2</c:v>
                </c:pt>
                <c:pt idx="13">
                  <c:v>0.16396829998120666</c:v>
                </c:pt>
                <c:pt idx="14">
                  <c:v>0.31731820001732558</c:v>
                </c:pt>
                <c:pt idx="15">
                  <c:v>0.65075000002980232</c:v>
                </c:pt>
                <c:pt idx="16">
                  <c:v>1.3248103999649175</c:v>
                </c:pt>
                <c:pt idx="17">
                  <c:v>2.741540500021074</c:v>
                </c:pt>
                <c:pt idx="18">
                  <c:v>5.4170814999961294</c:v>
                </c:pt>
              </c:numCache>
            </c:numRef>
          </c:yVal>
          <c:smooth val="0"/>
          <c:extLst>
            <c:ext xmlns:c16="http://schemas.microsoft.com/office/drawing/2014/chart" uri="{C3380CC4-5D6E-409C-BE32-E72D297353CC}">
              <c16:uniqueId val="{00000001-C169-44DB-8637-F1DCB9BB3C29}"/>
            </c:ext>
          </c:extLst>
        </c:ser>
        <c:ser>
          <c:idx val="2"/>
          <c:order val="2"/>
          <c:tx>
            <c:strRef>
              <c:f>'TimingResults (2)'!$H$86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(2)'!$H$87:$H$105</c:f>
              <c:numCache>
                <c:formatCode>General</c:formatCode>
                <c:ptCount val="19"/>
                <c:pt idx="0">
                  <c:v>0.63813099998515099</c:v>
                </c:pt>
                <c:pt idx="1">
                  <c:v>2.4592000409029424E-3</c:v>
                </c:pt>
                <c:pt idx="2">
                  <c:v>9.2662000097334385E-3</c:v>
                </c:pt>
                <c:pt idx="3">
                  <c:v>4.3080999748781323E-3</c:v>
                </c:pt>
                <c:pt idx="4">
                  <c:v>6.8231000332161784E-3</c:v>
                </c:pt>
                <c:pt idx="5">
                  <c:v>3.9859999669715762E-3</c:v>
                </c:pt>
                <c:pt idx="6">
                  <c:v>4.9953999696299434E-3</c:v>
                </c:pt>
                <c:pt idx="7">
                  <c:v>7.6558000291697681E-3</c:v>
                </c:pt>
                <c:pt idx="8">
                  <c:v>1.0719200014136732E-2</c:v>
                </c:pt>
                <c:pt idx="9">
                  <c:v>2.0393099985085428E-2</c:v>
                </c:pt>
                <c:pt idx="10">
                  <c:v>3.3751900016795844E-2</c:v>
                </c:pt>
                <c:pt idx="11">
                  <c:v>5.7477499998640269E-2</c:v>
                </c:pt>
                <c:pt idx="12">
                  <c:v>0.11035329999867827</c:v>
                </c:pt>
                <c:pt idx="13">
                  <c:v>0.28423250000923872</c:v>
                </c:pt>
                <c:pt idx="14">
                  <c:v>0.6426107999868691</c:v>
                </c:pt>
                <c:pt idx="15">
                  <c:v>1.0488981999806128</c:v>
                </c:pt>
                <c:pt idx="16">
                  <c:v>2.7256815999862738</c:v>
                </c:pt>
                <c:pt idx="17">
                  <c:v>4.7710705000208691</c:v>
                </c:pt>
                <c:pt idx="18">
                  <c:v>8.7916612999979407</c:v>
                </c:pt>
              </c:numCache>
            </c:numRef>
          </c:yVal>
          <c:smooth val="0"/>
          <c:extLst>
            <c:ext xmlns:c16="http://schemas.microsoft.com/office/drawing/2014/chart" uri="{C3380CC4-5D6E-409C-BE32-E72D297353CC}">
              <c16:uniqueId val="{00000002-C169-44DB-8637-F1DCB9BB3C29}"/>
            </c:ext>
          </c:extLst>
        </c:ser>
        <c:ser>
          <c:idx val="3"/>
          <c:order val="3"/>
          <c:tx>
            <c:strRef>
              <c:f>'TimingResults (2)'!$I$86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(2)'!$I$87:$I$105</c:f>
              <c:numCache>
                <c:formatCode>General</c:formatCode>
                <c:ptCount val="19"/>
                <c:pt idx="0">
                  <c:v>5.9689994668588042E-4</c:v>
                </c:pt>
                <c:pt idx="1">
                  <c:v>5.9910002164542675E-4</c:v>
                </c:pt>
                <c:pt idx="2">
                  <c:v>1.4075000071898103E-3</c:v>
                </c:pt>
                <c:pt idx="3">
                  <c:v>7.9029996413737535E-4</c:v>
                </c:pt>
                <c:pt idx="4">
                  <c:v>1.5077000134624541E-3</c:v>
                </c:pt>
                <c:pt idx="5">
                  <c:v>1.2304999982006848E-3</c:v>
                </c:pt>
                <c:pt idx="6">
                  <c:v>1.8285000114701688E-3</c:v>
                </c:pt>
                <c:pt idx="7">
                  <c:v>2.7012999635189772E-3</c:v>
                </c:pt>
                <c:pt idx="8">
                  <c:v>4.4541999814100564E-3</c:v>
                </c:pt>
                <c:pt idx="9">
                  <c:v>8.1552999909035861E-3</c:v>
                </c:pt>
                <c:pt idx="10">
                  <c:v>1.6627400007564574E-2</c:v>
                </c:pt>
                <c:pt idx="11">
                  <c:v>3.2777699991129339E-2</c:v>
                </c:pt>
                <c:pt idx="12">
                  <c:v>7.3827499989420176E-2</c:v>
                </c:pt>
                <c:pt idx="13">
                  <c:v>0.14074989996151999</c:v>
                </c:pt>
                <c:pt idx="14">
                  <c:v>0.30527230002917349</c:v>
                </c:pt>
                <c:pt idx="15">
                  <c:v>0.62527459999546409</c:v>
                </c:pt>
                <c:pt idx="16">
                  <c:v>1.3377772999810986</c:v>
                </c:pt>
                <c:pt idx="17">
                  <c:v>2.6687209999654442</c:v>
                </c:pt>
                <c:pt idx="18">
                  <c:v>5.3054268999840133</c:v>
                </c:pt>
              </c:numCache>
            </c:numRef>
          </c:yVal>
          <c:smooth val="0"/>
          <c:extLst>
            <c:ext xmlns:c16="http://schemas.microsoft.com/office/drawing/2014/chart" uri="{C3380CC4-5D6E-409C-BE32-E72D297353CC}">
              <c16:uniqueId val="{00000003-C169-44DB-8637-F1DCB9BB3C29}"/>
            </c:ext>
          </c:extLst>
        </c:ser>
        <c:ser>
          <c:idx val="4"/>
          <c:order val="4"/>
          <c:tx>
            <c:strRef>
              <c:f>'TimingResults (2)'!$J$86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(2)'!$J$87:$J$105</c:f>
              <c:numCache>
                <c:formatCode>General</c:formatCode>
                <c:ptCount val="19"/>
                <c:pt idx="0">
                  <c:v>2.0080001559108496E-4</c:v>
                </c:pt>
                <c:pt idx="1">
                  <c:v>3.3000000985339284E-4</c:v>
                </c:pt>
                <c:pt idx="2">
                  <c:v>3.8140005199238658E-4</c:v>
                </c:pt>
                <c:pt idx="3">
                  <c:v>3.8300000596791506E-4</c:v>
                </c:pt>
                <c:pt idx="4">
                  <c:v>7.4869999662041664E-4</c:v>
                </c:pt>
                <c:pt idx="5">
                  <c:v>8.9219998335465789E-4</c:v>
                </c:pt>
                <c:pt idx="6">
                  <c:v>1.4904999989084899E-3</c:v>
                </c:pt>
                <c:pt idx="7">
                  <c:v>2.4836999946273863E-3</c:v>
                </c:pt>
                <c:pt idx="8">
                  <c:v>3.9504000451415777E-3</c:v>
                </c:pt>
                <c:pt idx="9">
                  <c:v>9.8686999990604818E-3</c:v>
                </c:pt>
                <c:pt idx="10">
                  <c:v>1.6794700000900775E-2</c:v>
                </c:pt>
                <c:pt idx="11">
                  <c:v>3.2917800010181963E-2</c:v>
                </c:pt>
                <c:pt idx="12">
                  <c:v>6.9678100000601262E-2</c:v>
                </c:pt>
                <c:pt idx="13">
                  <c:v>0.13674340001307428</c:v>
                </c:pt>
                <c:pt idx="14">
                  <c:v>0.31478370004333556</c:v>
                </c:pt>
                <c:pt idx="15">
                  <c:v>0.61417859996436164</c:v>
                </c:pt>
                <c:pt idx="16">
                  <c:v>1.2325813000206836</c:v>
                </c:pt>
                <c:pt idx="17">
                  <c:v>2.6471457000006922</c:v>
                </c:pt>
                <c:pt idx="18">
                  <c:v>4.788134100032039</c:v>
                </c:pt>
              </c:numCache>
            </c:numRef>
          </c:yVal>
          <c:smooth val="0"/>
          <c:extLst>
            <c:ext xmlns:c16="http://schemas.microsoft.com/office/drawing/2014/chart" uri="{C3380CC4-5D6E-409C-BE32-E72D297353CC}">
              <c16:uniqueId val="{00000004-C169-44DB-8637-F1DCB9BB3C29}"/>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(2)'!$F$114:$F$127</c:f>
              <c:numCache>
                <c:formatCode>General</c:formatCode>
                <c:ptCount val="14"/>
                <c:pt idx="0">
                  <c:v>2.626429998781532E-2</c:v>
                </c:pt>
                <c:pt idx="1">
                  <c:v>2.9394600016530603E-2</c:v>
                </c:pt>
                <c:pt idx="2">
                  <c:v>2.6841300015803427E-2</c:v>
                </c:pt>
                <c:pt idx="3">
                  <c:v>1.64560999837704E-2</c:v>
                </c:pt>
                <c:pt idx="4">
                  <c:v>1.4130000025033951E-2</c:v>
                </c:pt>
                <c:pt idx="5">
                  <c:v>1.495969999814406E-2</c:v>
                </c:pt>
                <c:pt idx="6">
                  <c:v>1.5774299972690642E-2</c:v>
                </c:pt>
                <c:pt idx="7">
                  <c:v>1.4780000026803464E-2</c:v>
                </c:pt>
                <c:pt idx="8">
                  <c:v>6.1742399993818253E-2</c:v>
                </c:pt>
                <c:pt idx="9">
                  <c:v>1.9438299990724772E-2</c:v>
                </c:pt>
                <c:pt idx="10">
                  <c:v>2.5571100006345659E-2</c:v>
                </c:pt>
                <c:pt idx="11">
                  <c:v>3.7786000000778586E-2</c:v>
                </c:pt>
                <c:pt idx="12">
                  <c:v>5.6682599999476224E-2</c:v>
                </c:pt>
                <c:pt idx="13">
                  <c:v>0.10845729999709874</c:v>
                </c:pt>
              </c:numCache>
            </c:numRef>
          </c:yVal>
          <c:smooth val="0"/>
          <c:extLst>
            <c:ext xmlns:c16="http://schemas.microsoft.com/office/drawing/2014/chart" uri="{C3380CC4-5D6E-409C-BE32-E72D297353CC}">
              <c16:uniqueId val="{00000000-F0B7-4DF9-9424-AC5E5CF02EC7}"/>
            </c:ext>
          </c:extLst>
        </c:ser>
        <c:ser>
          <c:idx val="1"/>
          <c:order val="1"/>
          <c:tx>
            <c:strRef>
              <c:f>'TimingResults (2)'!$G$113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(2)'!$G$114:$G$127</c:f>
              <c:numCache>
                <c:formatCode>General</c:formatCode>
                <c:ptCount val="14"/>
                <c:pt idx="0">
                  <c:v>1.2954000267200172E-3</c:v>
                </c:pt>
                <c:pt idx="1">
                  <c:v>3.6035000230185688E-3</c:v>
                </c:pt>
                <c:pt idx="2">
                  <c:v>2.0804000087082386E-3</c:v>
                </c:pt>
                <c:pt idx="3">
                  <c:v>1.5714999753981829E-3</c:v>
                </c:pt>
                <c:pt idx="4">
                  <c:v>1.7678000149317086E-3</c:v>
                </c:pt>
                <c:pt idx="5">
                  <c:v>1.8306999700143933E-3</c:v>
                </c:pt>
                <c:pt idx="6">
                  <c:v>2.5952999712899327E-3</c:v>
                </c:pt>
                <c:pt idx="7">
                  <c:v>3.1088999821804464E-3</c:v>
                </c:pt>
                <c:pt idx="8">
                  <c:v>5.1672999979928136E-3</c:v>
                </c:pt>
                <c:pt idx="9">
                  <c:v>8.249000005889684E-3</c:v>
                </c:pt>
                <c:pt idx="10">
                  <c:v>1.5223999973386526E-2</c:v>
                </c:pt>
                <c:pt idx="11">
                  <c:v>2.9053299978841096E-2</c:v>
                </c:pt>
                <c:pt idx="12">
                  <c:v>7.1584099961910397E-2</c:v>
                </c:pt>
                <c:pt idx="13">
                  <c:v>0.11377180000999942</c:v>
                </c:pt>
              </c:numCache>
            </c:numRef>
          </c:yVal>
          <c:smooth val="0"/>
          <c:extLst>
            <c:ext xmlns:c16="http://schemas.microsoft.com/office/drawing/2014/chart" uri="{C3380CC4-5D6E-409C-BE32-E72D297353CC}">
              <c16:uniqueId val="{00000001-F0B7-4DF9-9424-AC5E5CF02EC7}"/>
            </c:ext>
          </c:extLst>
        </c:ser>
        <c:ser>
          <c:idx val="2"/>
          <c:order val="2"/>
          <c:tx>
            <c:strRef>
              <c:f>'TimingResults (2)'!$H$113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(2)'!$H$114:$H$127</c:f>
              <c:numCache>
                <c:formatCode>General</c:formatCode>
                <c:ptCount val="14"/>
                <c:pt idx="0">
                  <c:v>0.44338449998758733</c:v>
                </c:pt>
                <c:pt idx="1">
                  <c:v>3.0280999490059912E-3</c:v>
                </c:pt>
                <c:pt idx="2">
                  <c:v>5.8098000008612871E-3</c:v>
                </c:pt>
                <c:pt idx="3">
                  <c:v>2.7236000169068575E-3</c:v>
                </c:pt>
                <c:pt idx="4">
                  <c:v>3.003499994520098E-3</c:v>
                </c:pt>
                <c:pt idx="5">
                  <c:v>4.156299983151257E-3</c:v>
                </c:pt>
                <c:pt idx="6">
                  <c:v>8.2698999904096127E-3</c:v>
                </c:pt>
                <c:pt idx="7">
                  <c:v>1.8069799989461899E-2</c:v>
                </c:pt>
                <c:pt idx="8">
                  <c:v>6.2681399984285235E-2</c:v>
                </c:pt>
                <c:pt idx="9">
                  <c:v>0.22342619998380542</c:v>
                </c:pt>
                <c:pt idx="10">
                  <c:v>0.87007479998283088</c:v>
                </c:pt>
                <c:pt idx="11">
                  <c:v>3.7981016000267118</c:v>
                </c:pt>
                <c:pt idx="12">
                  <c:v>14.812297600030433</c:v>
                </c:pt>
                <c:pt idx="13">
                  <c:v>57.741974800010212</c:v>
                </c:pt>
              </c:numCache>
            </c:numRef>
          </c:yVal>
          <c:smooth val="0"/>
          <c:extLst>
            <c:ext xmlns:c16="http://schemas.microsoft.com/office/drawing/2014/chart" uri="{C3380CC4-5D6E-409C-BE32-E72D297353CC}">
              <c16:uniqueId val="{00000002-F0B7-4DF9-9424-AC5E5CF02EC7}"/>
            </c:ext>
          </c:extLst>
        </c:ser>
        <c:ser>
          <c:idx val="3"/>
          <c:order val="3"/>
          <c:tx>
            <c:strRef>
              <c:f>'TimingResults (2)'!$I$113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(2)'!$I$114:$I$127</c:f>
              <c:numCache>
                <c:formatCode>General</c:formatCode>
                <c:ptCount val="14"/>
                <c:pt idx="0">
                  <c:v>5.7329999981448054E-4</c:v>
                </c:pt>
                <c:pt idx="1">
                  <c:v>7.4510002741590142E-4</c:v>
                </c:pt>
                <c:pt idx="2">
                  <c:v>1.3070999993942678E-3</c:v>
                </c:pt>
                <c:pt idx="3">
                  <c:v>6.5130001166835427E-4</c:v>
                </c:pt>
                <c:pt idx="4">
                  <c:v>7.5289997039362788E-4</c:v>
                </c:pt>
                <c:pt idx="5">
                  <c:v>9.64700011536479E-4</c:v>
                </c:pt>
                <c:pt idx="6">
                  <c:v>1.409500022418797E-3</c:v>
                </c:pt>
                <c:pt idx="7">
                  <c:v>1.8199000041931868E-3</c:v>
                </c:pt>
                <c:pt idx="8">
                  <c:v>3.2184000010602176E-3</c:v>
                </c:pt>
                <c:pt idx="9">
                  <c:v>5.891700042411685E-3</c:v>
                </c:pt>
                <c:pt idx="10">
                  <c:v>1.1724900046829134E-2</c:v>
                </c:pt>
                <c:pt idx="11">
                  <c:v>2.394409995758906E-2</c:v>
                </c:pt>
                <c:pt idx="12">
                  <c:v>8.4099599975161254E-2</c:v>
                </c:pt>
                <c:pt idx="13">
                  <c:v>9.7981800034176558E-2</c:v>
                </c:pt>
              </c:numCache>
            </c:numRef>
          </c:yVal>
          <c:smooth val="0"/>
          <c:extLst>
            <c:ext xmlns:c16="http://schemas.microsoft.com/office/drawing/2014/chart" uri="{C3380CC4-5D6E-409C-BE32-E72D297353CC}">
              <c16:uniqueId val="{00000003-F0B7-4DF9-9424-AC5E5CF02EC7}"/>
            </c:ext>
          </c:extLst>
        </c:ser>
        <c:ser>
          <c:idx val="4"/>
          <c:order val="4"/>
          <c:tx>
            <c:strRef>
              <c:f>'TimingResults (2)'!$J$113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(2)'!$J$114:$J$127</c:f>
              <c:numCache>
                <c:formatCode>General</c:formatCode>
                <c:ptCount val="14"/>
                <c:pt idx="0">
                  <c:v>1.870999694801867E-4</c:v>
                </c:pt>
                <c:pt idx="1">
                  <c:v>3.2599997939541936E-4</c:v>
                </c:pt>
                <c:pt idx="2">
                  <c:v>4.4719997094944119E-4</c:v>
                </c:pt>
                <c:pt idx="3">
                  <c:v>3.2930000452324748E-4</c:v>
                </c:pt>
                <c:pt idx="4">
                  <c:v>4.366000066511333E-4</c:v>
                </c:pt>
                <c:pt idx="5">
                  <c:v>7.246999884955585E-4</c:v>
                </c:pt>
                <c:pt idx="6">
                  <c:v>1.1071000481024384E-3</c:v>
                </c:pt>
                <c:pt idx="7">
                  <c:v>1.562100020237267E-3</c:v>
                </c:pt>
                <c:pt idx="8">
                  <c:v>3.4574000164866447E-3</c:v>
                </c:pt>
                <c:pt idx="9">
                  <c:v>5.8300999808125198E-3</c:v>
                </c:pt>
                <c:pt idx="10">
                  <c:v>1.1977099988143891E-2</c:v>
                </c:pt>
                <c:pt idx="11">
                  <c:v>2.499910001643002E-2</c:v>
                </c:pt>
                <c:pt idx="12">
                  <c:v>4.8628300020936877E-2</c:v>
                </c:pt>
                <c:pt idx="13">
                  <c:v>0.105867899954319</c:v>
                </c:pt>
              </c:numCache>
            </c:numRef>
          </c:yVal>
          <c:smooth val="0"/>
          <c:extLst>
            <c:ext xmlns:c16="http://schemas.microsoft.com/office/drawing/2014/chart" uri="{C3380CC4-5D6E-409C-BE32-E72D297353CC}">
              <c16:uniqueId val="{00000004-F0B7-4DF9-9424-AC5E5CF02EC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(2)'!$F$141:$F$155</c:f>
              <c:numCache>
                <c:formatCode>General</c:formatCode>
                <c:ptCount val="15"/>
                <c:pt idx="0">
                  <c:v>2.6823799998965114E-2</c:v>
                </c:pt>
                <c:pt idx="1">
                  <c:v>8.3218100015074015E-2</c:v>
                </c:pt>
                <c:pt idx="2">
                  <c:v>2.4946200021076947E-2</c:v>
                </c:pt>
                <c:pt idx="3">
                  <c:v>2.9203000012785196E-2</c:v>
                </c:pt>
                <c:pt idx="4">
                  <c:v>3.0552799988072366E-2</c:v>
                </c:pt>
                <c:pt idx="5">
                  <c:v>3.9154099998995662E-2</c:v>
                </c:pt>
                <c:pt idx="6">
                  <c:v>5.3211899998132139E-2</c:v>
                </c:pt>
                <c:pt idx="7">
                  <c:v>8.5601700004190207E-2</c:v>
                </c:pt>
                <c:pt idx="8">
                  <c:v>0.15022130002034828</c:v>
                </c:pt>
                <c:pt idx="9">
                  <c:v>0.27958360000047833</c:v>
                </c:pt>
                <c:pt idx="10">
                  <c:v>0.54683310003019869</c:v>
                </c:pt>
                <c:pt idx="11">
                  <c:v>1.0780455999774858</c:v>
                </c:pt>
                <c:pt idx="12">
                  <c:v>2.0973028999869712</c:v>
                </c:pt>
                <c:pt idx="13">
                  <c:v>4.5203319999855012</c:v>
                </c:pt>
                <c:pt idx="14">
                  <c:v>9.0891992999822833</c:v>
                </c:pt>
              </c:numCache>
            </c:numRef>
          </c:yVal>
          <c:smooth val="0"/>
          <c:extLst>
            <c:ext xmlns:c16="http://schemas.microsoft.com/office/drawing/2014/chart" uri="{C3380CC4-5D6E-409C-BE32-E72D297353CC}">
              <c16:uniqueId val="{00000000-207A-4593-A5BB-492404C1B0A8}"/>
            </c:ext>
          </c:extLst>
        </c:ser>
        <c:ser>
          <c:idx val="1"/>
          <c:order val="1"/>
          <c:tx>
            <c:strRef>
              <c:f>'TimingResults (2)'!$G$140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(2)'!$G$141:$G$155</c:f>
              <c:numCache>
                <c:formatCode>General</c:formatCode>
                <c:ptCount val="15"/>
                <c:pt idx="0">
                  <c:v>9.3001000350341201E-3</c:v>
                </c:pt>
                <c:pt idx="1">
                  <c:v>1.395970000885427E-2</c:v>
                </c:pt>
                <c:pt idx="2">
                  <c:v>1.2385600013658404E-2</c:v>
                </c:pt>
                <c:pt idx="3">
                  <c:v>1.4473300019744784E-2</c:v>
                </c:pt>
                <c:pt idx="4">
                  <c:v>1.8664000032003969E-2</c:v>
                </c:pt>
                <c:pt idx="5">
                  <c:v>2.7447699976619333E-2</c:v>
                </c:pt>
                <c:pt idx="6">
                  <c:v>4.2932100011967123E-2</c:v>
                </c:pt>
                <c:pt idx="7">
                  <c:v>7.5077200017403811E-2</c:v>
                </c:pt>
                <c:pt idx="8">
                  <c:v>0.13840779999736696</c:v>
                </c:pt>
                <c:pt idx="9">
                  <c:v>0.25504319998435676</c:v>
                </c:pt>
                <c:pt idx="10">
                  <c:v>0.48333339998498559</c:v>
                </c:pt>
                <c:pt idx="11">
                  <c:v>0.94380230002570897</c:v>
                </c:pt>
                <c:pt idx="12">
                  <c:v>2.001174799981527</c:v>
                </c:pt>
                <c:pt idx="13">
                  <c:v>4.00323600001866</c:v>
                </c:pt>
                <c:pt idx="14">
                  <c:v>7.9397517999750562</c:v>
                </c:pt>
              </c:numCache>
            </c:numRef>
          </c:yVal>
          <c:smooth val="0"/>
          <c:extLst>
            <c:ext xmlns:c16="http://schemas.microsoft.com/office/drawing/2014/chart" uri="{C3380CC4-5D6E-409C-BE32-E72D297353CC}">
              <c16:uniqueId val="{00000001-207A-4593-A5BB-492404C1B0A8}"/>
            </c:ext>
          </c:extLst>
        </c:ser>
        <c:ser>
          <c:idx val="2"/>
          <c:order val="2"/>
          <c:tx>
            <c:strRef>
              <c:f>'TimingResults (2)'!$H$140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(2)'!$H$141:$H$155</c:f>
              <c:numCache>
                <c:formatCode>General</c:formatCode>
                <c:ptCount val="15"/>
                <c:pt idx="0">
                  <c:v>0.52409039996564388</c:v>
                </c:pt>
                <c:pt idx="1">
                  <c:v>3.3424900029785931E-2</c:v>
                </c:pt>
                <c:pt idx="2">
                  <c:v>3.4393900015857071E-2</c:v>
                </c:pt>
                <c:pt idx="3">
                  <c:v>3.5623800009489059E-2</c:v>
                </c:pt>
                <c:pt idx="4">
                  <c:v>3.8487500045448542E-2</c:v>
                </c:pt>
                <c:pt idx="5">
                  <c:v>4.0163700003176928E-2</c:v>
                </c:pt>
                <c:pt idx="6">
                  <c:v>4.2574199964292347E-2</c:v>
                </c:pt>
                <c:pt idx="7">
                  <c:v>5.83603999693878E-2</c:v>
                </c:pt>
                <c:pt idx="8">
                  <c:v>7.7477900020312518E-2</c:v>
                </c:pt>
                <c:pt idx="9">
                  <c:v>9.6820599981583655E-2</c:v>
                </c:pt>
                <c:pt idx="10">
                  <c:v>0.1994206000235863</c:v>
                </c:pt>
                <c:pt idx="11">
                  <c:v>0.61746360000688583</c:v>
                </c:pt>
                <c:pt idx="12">
                  <c:v>2.7207112000323832</c:v>
                </c:pt>
                <c:pt idx="13">
                  <c:v>9.7837547999806702</c:v>
                </c:pt>
                <c:pt idx="14">
                  <c:v>51.549360700009856</c:v>
                </c:pt>
              </c:numCache>
            </c:numRef>
          </c:yVal>
          <c:smooth val="0"/>
          <c:extLst>
            <c:ext xmlns:c16="http://schemas.microsoft.com/office/drawing/2014/chart" uri="{C3380CC4-5D6E-409C-BE32-E72D297353CC}">
              <c16:uniqueId val="{00000002-207A-4593-A5BB-492404C1B0A8}"/>
            </c:ext>
          </c:extLst>
        </c:ser>
        <c:ser>
          <c:idx val="3"/>
          <c:order val="3"/>
          <c:tx>
            <c:strRef>
              <c:f>'TimingResults (2)'!$I$140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(2)'!$I$141:$I$155</c:f>
              <c:numCache>
                <c:formatCode>General</c:formatCode>
                <c:ptCount val="15"/>
                <c:pt idx="0">
                  <c:v>8.5908999899402261E-3</c:v>
                </c:pt>
                <c:pt idx="1">
                  <c:v>8.5043999715708196E-3</c:v>
                </c:pt>
                <c:pt idx="2">
                  <c:v>1.0650399955920875E-2</c:v>
                </c:pt>
                <c:pt idx="3">
                  <c:v>1.4166800014209002E-2</c:v>
                </c:pt>
                <c:pt idx="4">
                  <c:v>1.8683900008909404E-2</c:v>
                </c:pt>
                <c:pt idx="5">
                  <c:v>2.6886000006925315E-2</c:v>
                </c:pt>
                <c:pt idx="6">
                  <c:v>4.2865799972787499E-2</c:v>
                </c:pt>
                <c:pt idx="7">
                  <c:v>7.7966499957256019E-2</c:v>
                </c:pt>
                <c:pt idx="8">
                  <c:v>0.13946489995578304</c:v>
                </c:pt>
                <c:pt idx="9">
                  <c:v>0.26628950005397201</c:v>
                </c:pt>
                <c:pt idx="10">
                  <c:v>0.48940760002005845</c:v>
                </c:pt>
                <c:pt idx="11">
                  <c:v>1.0109449000447057</c:v>
                </c:pt>
                <c:pt idx="12">
                  <c:v>2.0569526000181213</c:v>
                </c:pt>
                <c:pt idx="13">
                  <c:v>4.1575770999770612</c:v>
                </c:pt>
                <c:pt idx="14">
                  <c:v>8.4672628000262193</c:v>
                </c:pt>
              </c:numCache>
            </c:numRef>
          </c:yVal>
          <c:smooth val="0"/>
          <c:extLst>
            <c:ext xmlns:c16="http://schemas.microsoft.com/office/drawing/2014/chart" uri="{C3380CC4-5D6E-409C-BE32-E72D297353CC}">
              <c16:uniqueId val="{00000003-207A-4593-A5BB-492404C1B0A8}"/>
            </c:ext>
          </c:extLst>
        </c:ser>
        <c:ser>
          <c:idx val="4"/>
          <c:order val="4"/>
          <c:tx>
            <c:strRef>
              <c:f>'TimingResults (2)'!$J$140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(2)'!$J$141:$J$155</c:f>
              <c:numCache>
                <c:formatCode>General</c:formatCode>
                <c:ptCount val="15"/>
                <c:pt idx="0">
                  <c:v>1.1060799995902926E-2</c:v>
                </c:pt>
                <c:pt idx="1">
                  <c:v>9.3922999803908169E-3</c:v>
                </c:pt>
                <c:pt idx="2">
                  <c:v>1.027349999640137E-2</c:v>
                </c:pt>
                <c:pt idx="3">
                  <c:v>1.2093600002117455E-2</c:v>
                </c:pt>
                <c:pt idx="4">
                  <c:v>1.5358999953605235E-2</c:v>
                </c:pt>
                <c:pt idx="5">
                  <c:v>2.347739995457232E-2</c:v>
                </c:pt>
                <c:pt idx="6">
                  <c:v>4.2166800005361438E-2</c:v>
                </c:pt>
                <c:pt idx="7">
                  <c:v>7.150080002611503E-2</c:v>
                </c:pt>
                <c:pt idx="8">
                  <c:v>0.14376070001162589</c:v>
                </c:pt>
                <c:pt idx="9">
                  <c:v>0.24247100000502542</c:v>
                </c:pt>
                <c:pt idx="10">
                  <c:v>0.53925969998817891</c:v>
                </c:pt>
                <c:pt idx="11">
                  <c:v>1.0050991000025533</c:v>
                </c:pt>
                <c:pt idx="12">
                  <c:v>2.0129922000342049</c:v>
                </c:pt>
                <c:pt idx="13">
                  <c:v>3.9809158000280149</c:v>
                </c:pt>
                <c:pt idx="14">
                  <c:v>7.7866390999988653</c:v>
                </c:pt>
              </c:numCache>
            </c:numRef>
          </c:yVal>
          <c:smooth val="0"/>
          <c:extLst>
            <c:ext xmlns:c16="http://schemas.microsoft.com/office/drawing/2014/chart" uri="{C3380CC4-5D6E-409C-BE32-E72D297353CC}">
              <c16:uniqueId val="{00000004-207A-4593-A5BB-492404C1B0A8}"/>
            </c:ext>
          </c:extLst>
        </c:ser>
        <c:dLbls>
          <c:showLegendKey val="0"/>
          <c:showVal val="0"/>
          <c:showCatName val="0"/>
          <c:showSerName val="0"/>
          <c:showPercent val="0"/>
          <c:showBubbleSize val="0"/>
        </c:dLbls>
        <c:axId val="1754234560"/>
        <c:axId val="1754238304"/>
      </c:scatterChart>
      <c:valAx>
        <c:axId val="17542345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8304"/>
        <c:crosses val="autoZero"/>
        <c:crossBetween val="midCat"/>
      </c:valAx>
      <c:valAx>
        <c:axId val="17542383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(2)'!$F$205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(2)'!$F$206:$F$226</c:f>
              <c:numCache>
                <c:formatCode>General</c:formatCode>
                <c:ptCount val="21"/>
                <c:pt idx="0">
                  <c:v>1.3073000009171665E-3</c:v>
                </c:pt>
                <c:pt idx="1">
                  <c:v>2.061900042463094E-3</c:v>
                </c:pt>
                <c:pt idx="2">
                  <c:v>1.3386000064201653E-3</c:v>
                </c:pt>
                <c:pt idx="3">
                  <c:v>1.4727000379934907E-3</c:v>
                </c:pt>
                <c:pt idx="4">
                  <c:v>1.9765999750234187E-3</c:v>
                </c:pt>
                <c:pt idx="5">
                  <c:v>2.1080000442452729E-3</c:v>
                </c:pt>
                <c:pt idx="6">
                  <c:v>2.0155000383965671E-3</c:v>
                </c:pt>
                <c:pt idx="7">
                  <c:v>2.1762999822385609E-3</c:v>
                </c:pt>
                <c:pt idx="8">
                  <c:v>3.3313999883830547E-3</c:v>
                </c:pt>
                <c:pt idx="9">
                  <c:v>4.9324999563395977E-3</c:v>
                </c:pt>
                <c:pt idx="10">
                  <c:v>7.4868000228889287E-3</c:v>
                </c:pt>
                <c:pt idx="11">
                  <c:v>1.28127999487333E-2</c:v>
                </c:pt>
                <c:pt idx="12">
                  <c:v>1.5847600006964058E-2</c:v>
                </c:pt>
                <c:pt idx="13">
                  <c:v>3.0181100009940565E-2</c:v>
                </c:pt>
                <c:pt idx="14">
                  <c:v>6.0336700000334531E-2</c:v>
                </c:pt>
                <c:pt idx="15">
                  <c:v>0.12664470000891015</c:v>
                </c:pt>
                <c:pt idx="16">
                  <c:v>0.25743719999445602</c:v>
                </c:pt>
                <c:pt idx="17">
                  <c:v>0.57537249999586493</c:v>
                </c:pt>
                <c:pt idx="18">
                  <c:v>1.3082041000016034</c:v>
                </c:pt>
                <c:pt idx="19">
                  <c:v>3.2645319000002928</c:v>
                </c:pt>
                <c:pt idx="20">
                  <c:v>7.3716585999936797</c:v>
                </c:pt>
              </c:numCache>
            </c:numRef>
          </c:yVal>
          <c:smooth val="0"/>
          <c:extLst>
            <c:ext xmlns:c16="http://schemas.microsoft.com/office/drawing/2014/chart" uri="{C3380CC4-5D6E-409C-BE32-E72D297353CC}">
              <c16:uniqueId val="{00000000-BB14-48EC-A6C9-B6BFE5702C83}"/>
            </c:ext>
          </c:extLst>
        </c:ser>
        <c:ser>
          <c:idx val="1"/>
          <c:order val="1"/>
          <c:tx>
            <c:strRef>
              <c:f>'TimingResults (2)'!$G$205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(2)'!$G$206:$G$226</c:f>
              <c:numCache>
                <c:formatCode>General</c:formatCode>
                <c:ptCount val="21"/>
                <c:pt idx="0">
                  <c:v>2.7300004148855805E-4</c:v>
                </c:pt>
                <c:pt idx="1">
                  <c:v>2.1169998217374086E-4</c:v>
                </c:pt>
                <c:pt idx="2">
                  <c:v>2.0619999850168824E-4</c:v>
                </c:pt>
                <c:pt idx="3">
                  <c:v>2.6980001712217927E-4</c:v>
                </c:pt>
                <c:pt idx="4">
                  <c:v>3.1430000672116876E-4</c:v>
                </c:pt>
                <c:pt idx="5">
                  <c:v>6.8130000727251172E-4</c:v>
                </c:pt>
                <c:pt idx="6">
                  <c:v>5.0470000132918358E-4</c:v>
                </c:pt>
                <c:pt idx="7">
                  <c:v>7.9169997479766607E-4</c:v>
                </c:pt>
                <c:pt idx="8">
                  <c:v>1.3622000114992261E-3</c:v>
                </c:pt>
                <c:pt idx="9">
                  <c:v>2.5596999912522733E-3</c:v>
                </c:pt>
                <c:pt idx="10">
                  <c:v>4.7271999646909535E-3</c:v>
                </c:pt>
                <c:pt idx="11">
                  <c:v>8.1530999741517007E-3</c:v>
                </c:pt>
                <c:pt idx="12">
                  <c:v>1.1315899959299713E-2</c:v>
                </c:pt>
                <c:pt idx="13">
                  <c:v>2.3188099963590503E-2</c:v>
                </c:pt>
                <c:pt idx="14">
                  <c:v>4.9274199991486967E-2</c:v>
                </c:pt>
                <c:pt idx="15">
                  <c:v>9.3931599985808134E-2</c:v>
                </c:pt>
                <c:pt idx="16">
                  <c:v>0.269713599991519</c:v>
                </c:pt>
                <c:pt idx="17">
                  <c:v>0.39961419999599457</c:v>
                </c:pt>
                <c:pt idx="18">
                  <c:v>0.85779840004397556</c:v>
                </c:pt>
                <c:pt idx="19">
                  <c:v>1.6737998000462539</c:v>
                </c:pt>
                <c:pt idx="20">
                  <c:v>3.1422552999574691</c:v>
                </c:pt>
              </c:numCache>
            </c:numRef>
          </c:yVal>
          <c:smooth val="0"/>
          <c:extLst>
            <c:ext xmlns:c16="http://schemas.microsoft.com/office/drawing/2014/chart" uri="{C3380CC4-5D6E-409C-BE32-E72D297353CC}">
              <c16:uniqueId val="{00000001-BB14-48EC-A6C9-B6BFE5702C83}"/>
            </c:ext>
          </c:extLst>
        </c:ser>
        <c:ser>
          <c:idx val="2"/>
          <c:order val="2"/>
          <c:tx>
            <c:strRef>
              <c:f>'TimingResults (2)'!$H$205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(2)'!$H$206:$H$226</c:f>
              <c:numCache>
                <c:formatCode>General</c:formatCode>
                <c:ptCount val="21"/>
                <c:pt idx="0">
                  <c:v>0.59166030003689229</c:v>
                </c:pt>
                <c:pt idx="1">
                  <c:v>4.3785999878309667E-3</c:v>
                </c:pt>
                <c:pt idx="2">
                  <c:v>5.1314000156708062E-3</c:v>
                </c:pt>
                <c:pt idx="3">
                  <c:v>2.3260899994056672E-2</c:v>
                </c:pt>
                <c:pt idx="4">
                  <c:v>6.0073000495322049E-3</c:v>
                </c:pt>
                <c:pt idx="5">
                  <c:v>5.8074000407941639E-3</c:v>
                </c:pt>
                <c:pt idx="6">
                  <c:v>1.0167900007218122E-2</c:v>
                </c:pt>
                <c:pt idx="7">
                  <c:v>9.1182999894954264E-3</c:v>
                </c:pt>
                <c:pt idx="8">
                  <c:v>2.9115400044247508E-2</c:v>
                </c:pt>
                <c:pt idx="9">
                  <c:v>1.0453900031279773E-2</c:v>
                </c:pt>
                <c:pt idx="10">
                  <c:v>4.4966200017370284E-2</c:v>
                </c:pt>
                <c:pt idx="11">
                  <c:v>1.8675400002393872E-2</c:v>
                </c:pt>
                <c:pt idx="12">
                  <c:v>2.5105200009420514E-2</c:v>
                </c:pt>
                <c:pt idx="13">
                  <c:v>4.6739000012166798E-2</c:v>
                </c:pt>
                <c:pt idx="14">
                  <c:v>0.10835699999006465</c:v>
                </c:pt>
                <c:pt idx="15">
                  <c:v>0.13951100001577288</c:v>
                </c:pt>
                <c:pt idx="16">
                  <c:v>0.34298660000786185</c:v>
                </c:pt>
                <c:pt idx="17">
                  <c:v>0.61890320002567023</c:v>
                </c:pt>
                <c:pt idx="18">
                  <c:v>1.7037074000108987</c:v>
                </c:pt>
                <c:pt idx="19">
                  <c:v>2.9046065000002272</c:v>
                </c:pt>
                <c:pt idx="20">
                  <c:v>5.2746361999888904</c:v>
                </c:pt>
              </c:numCache>
            </c:numRef>
          </c:yVal>
          <c:smooth val="0"/>
          <c:extLst>
            <c:ext xmlns:c16="http://schemas.microsoft.com/office/drawing/2014/chart" uri="{C3380CC4-5D6E-409C-BE32-E72D297353CC}">
              <c16:uniqueId val="{00000002-BB14-48EC-A6C9-B6BFE5702C83}"/>
            </c:ext>
          </c:extLst>
        </c:ser>
        <c:ser>
          <c:idx val="3"/>
          <c:order val="3"/>
          <c:tx>
            <c:strRef>
              <c:f>'TimingResults (2)'!$I$205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(2)'!$I$206:$I$226</c:f>
              <c:numCache>
                <c:formatCode>General</c:formatCode>
                <c:ptCount val="21"/>
                <c:pt idx="0">
                  <c:v>1.3407000224106014E-3</c:v>
                </c:pt>
                <c:pt idx="1">
                  <c:v>5.3249998018145561E-4</c:v>
                </c:pt>
                <c:pt idx="2">
                  <c:v>5.7220004964619875E-4</c:v>
                </c:pt>
                <c:pt idx="3">
                  <c:v>1.6977000050246716E-3</c:v>
                </c:pt>
                <c:pt idx="4">
                  <c:v>7.4069999391213059E-4</c:v>
                </c:pt>
                <c:pt idx="5">
                  <c:v>8.9640001533553004E-4</c:v>
                </c:pt>
                <c:pt idx="6">
                  <c:v>1.1789999553002417E-3</c:v>
                </c:pt>
                <c:pt idx="7">
                  <c:v>1.5090000233612955E-3</c:v>
                </c:pt>
                <c:pt idx="8">
                  <c:v>2.3622000007890165E-3</c:v>
                </c:pt>
                <c:pt idx="9">
                  <c:v>6.7961000022478402E-3</c:v>
                </c:pt>
                <c:pt idx="10">
                  <c:v>1.9614299992099404E-2</c:v>
                </c:pt>
                <c:pt idx="11">
                  <c:v>1.0344800015445799E-2</c:v>
                </c:pt>
                <c:pt idx="12">
                  <c:v>2.0479600003454834E-2</c:v>
                </c:pt>
                <c:pt idx="13">
                  <c:v>3.6414999980479479E-2</c:v>
                </c:pt>
                <c:pt idx="14">
                  <c:v>6.4623199985362589E-2</c:v>
                </c:pt>
                <c:pt idx="15">
                  <c:v>0.13151289999950677</c:v>
                </c:pt>
                <c:pt idx="16">
                  <c:v>0.3180232000304386</c:v>
                </c:pt>
                <c:pt idx="17">
                  <c:v>0.63035380002111197</c:v>
                </c:pt>
                <c:pt idx="18">
                  <c:v>1.2784864999703132</c:v>
                </c:pt>
                <c:pt idx="19">
                  <c:v>3.3708526000264101</c:v>
                </c:pt>
                <c:pt idx="20">
                  <c:v>7.2869120000395924</c:v>
                </c:pt>
              </c:numCache>
            </c:numRef>
          </c:yVal>
          <c:smooth val="0"/>
          <c:extLst>
            <c:ext xmlns:c16="http://schemas.microsoft.com/office/drawing/2014/chart" uri="{C3380CC4-5D6E-409C-BE32-E72D297353CC}">
              <c16:uniqueId val="{00000003-BB14-48EC-A6C9-B6BFE5702C83}"/>
            </c:ext>
          </c:extLst>
        </c:ser>
        <c:ser>
          <c:idx val="4"/>
          <c:order val="4"/>
          <c:tx>
            <c:strRef>
              <c:f>'TimingResults (2)'!$J$205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(2)'!$J$206:$J$226</c:f>
              <c:numCache>
                <c:formatCode>General</c:formatCode>
                <c:ptCount val="21"/>
                <c:pt idx="0">
                  <c:v>6.9349998375400901E-4</c:v>
                </c:pt>
                <c:pt idx="1">
                  <c:v>2.4030002532526851E-4</c:v>
                </c:pt>
                <c:pt idx="2">
                  <c:v>1.7550005577504635E-4</c:v>
                </c:pt>
                <c:pt idx="3">
                  <c:v>4.9529998796060681E-4</c:v>
                </c:pt>
                <c:pt idx="4">
                  <c:v>3.3760000951588154E-4</c:v>
                </c:pt>
                <c:pt idx="5">
                  <c:v>3.4830003278329968E-4</c:v>
                </c:pt>
                <c:pt idx="6">
                  <c:v>5.2360002882778645E-4</c:v>
                </c:pt>
                <c:pt idx="7">
                  <c:v>7.0080003933981061E-4</c:v>
                </c:pt>
                <c:pt idx="8">
                  <c:v>1.2504999758675694E-3</c:v>
                </c:pt>
                <c:pt idx="9">
                  <c:v>7.7243000268936157E-3</c:v>
                </c:pt>
                <c:pt idx="10">
                  <c:v>7.0226999814622104E-3</c:v>
                </c:pt>
                <c:pt idx="11">
                  <c:v>7.0794999483041465E-3</c:v>
                </c:pt>
                <c:pt idx="12">
                  <c:v>1.5126600046642125E-2</c:v>
                </c:pt>
                <c:pt idx="13">
                  <c:v>2.1198000002186745E-2</c:v>
                </c:pt>
                <c:pt idx="14">
                  <c:v>4.2275200015865266E-2</c:v>
                </c:pt>
                <c:pt idx="15">
                  <c:v>0.11697889998322353</c:v>
                </c:pt>
                <c:pt idx="16">
                  <c:v>0.20148680004058406</c:v>
                </c:pt>
                <c:pt idx="17">
                  <c:v>0.38635739998426288</c:v>
                </c:pt>
                <c:pt idx="18">
                  <c:v>0.70758270000806078</c:v>
                </c:pt>
                <c:pt idx="19">
                  <c:v>1.5094577000127174</c:v>
                </c:pt>
                <c:pt idx="20">
                  <c:v>2.7813290000194684</c:v>
                </c:pt>
              </c:numCache>
            </c:numRef>
          </c:yVal>
          <c:smooth val="0"/>
          <c:extLst>
            <c:ext xmlns:c16="http://schemas.microsoft.com/office/drawing/2014/chart" uri="{C3380CC4-5D6E-409C-BE32-E72D297353CC}">
              <c16:uniqueId val="{00000004-BB14-48EC-A6C9-B6BFE5702C83}"/>
            </c:ext>
          </c:extLst>
        </c:ser>
        <c:dLbls>
          <c:showLegendKey val="0"/>
          <c:showVal val="0"/>
          <c:showCatName val="0"/>
          <c:showSerName val="0"/>
          <c:showPercent val="0"/>
          <c:showBubbleSize val="0"/>
        </c:dLbls>
        <c:axId val="450031488"/>
        <c:axId val="450034816"/>
      </c:scatterChart>
      <c:valAx>
        <c:axId val="4500314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4816"/>
        <c:crosses val="autoZero"/>
        <c:crossBetween val="midCat"/>
      </c:valAx>
      <c:valAx>
        <c:axId val="45003481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(2)'!$F$6:$F$27</c:f>
              <c:numCache>
                <c:formatCode>General</c:formatCode>
                <c:ptCount val="22"/>
                <c:pt idx="0">
                  <c:v>3.8640003185719252E-4</c:v>
                </c:pt>
                <c:pt idx="1">
                  <c:v>1.1339000193402171E-3</c:v>
                </c:pt>
                <c:pt idx="2">
                  <c:v>1.464200031477958E-3</c:v>
                </c:pt>
                <c:pt idx="3">
                  <c:v>1.6084000235423446E-3</c:v>
                </c:pt>
                <c:pt idx="4">
                  <c:v>1.1842999956570566E-3</c:v>
                </c:pt>
                <c:pt idx="5">
                  <c:v>1.2464000028558075E-3</c:v>
                </c:pt>
                <c:pt idx="6">
                  <c:v>1.3457000022754073E-3</c:v>
                </c:pt>
                <c:pt idx="7">
                  <c:v>1.422200002707541E-3</c:v>
                </c:pt>
                <c:pt idx="8">
                  <c:v>2.7791000320576131E-3</c:v>
                </c:pt>
                <c:pt idx="9">
                  <c:v>2.8764999588020146E-3</c:v>
                </c:pt>
                <c:pt idx="10">
                  <c:v>6.1654999735765159E-3</c:v>
                </c:pt>
                <c:pt idx="11">
                  <c:v>6.1779000097885728E-3</c:v>
                </c:pt>
                <c:pt idx="12">
                  <c:v>1.6365699993912131E-2</c:v>
                </c:pt>
                <c:pt idx="13">
                  <c:v>1.9259399967268109E-2</c:v>
                </c:pt>
                <c:pt idx="14">
                  <c:v>3.1504300015512854E-2</c:v>
                </c:pt>
                <c:pt idx="15">
                  <c:v>6.5324400027748197E-2</c:v>
                </c:pt>
                <c:pt idx="16">
                  <c:v>0.18557510001119226</c:v>
                </c:pt>
                <c:pt idx="17">
                  <c:v>0.26909000001614913</c:v>
                </c:pt>
                <c:pt idx="18">
                  <c:v>0.67688779998570681</c:v>
                </c:pt>
                <c:pt idx="19">
                  <c:v>1.7352230999968015</c:v>
                </c:pt>
                <c:pt idx="20">
                  <c:v>6.2788360999547876</c:v>
                </c:pt>
                <c:pt idx="21">
                  <c:v>19.627202000003308</c:v>
                </c:pt>
              </c:numCache>
            </c:numRef>
          </c:yVal>
          <c:smooth val="0"/>
          <c:extLst>
            <c:ext xmlns:c16="http://schemas.microsoft.com/office/drawing/2014/chart" uri="{C3380CC4-5D6E-409C-BE32-E72D297353CC}">
              <c16:uniqueId val="{00000000-DC24-404B-90CF-8D8D179D9EE8}"/>
            </c:ext>
          </c:extLst>
        </c:ser>
        <c:ser>
          <c:idx val="1"/>
          <c:order val="1"/>
          <c:tx>
            <c:strRef>
              <c:f>'TimingResults (2)'!$G$5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(2)'!$G$6:$G$27</c:f>
              <c:numCache>
                <c:formatCode>General</c:formatCode>
                <c:ptCount val="22"/>
                <c:pt idx="0">
                  <c:v>2.2789998911321163E-4</c:v>
                </c:pt>
                <c:pt idx="1">
                  <c:v>2.0000000949949026E-4</c:v>
                </c:pt>
                <c:pt idx="2">
                  <c:v>2.5839998852461576E-4</c:v>
                </c:pt>
                <c:pt idx="3">
                  <c:v>2.5430001551285386E-4</c:v>
                </c:pt>
                <c:pt idx="4">
                  <c:v>2.4060002760961652E-4</c:v>
                </c:pt>
                <c:pt idx="5">
                  <c:v>2.6940001407638192E-4</c:v>
                </c:pt>
                <c:pt idx="6">
                  <c:v>3.7729996256530285E-4</c:v>
                </c:pt>
                <c:pt idx="7">
                  <c:v>4.070000140927732E-4</c:v>
                </c:pt>
                <c:pt idx="8">
                  <c:v>8.5730000864714384E-4</c:v>
                </c:pt>
                <c:pt idx="9">
                  <c:v>1.1091000051237643E-3</c:v>
                </c:pt>
                <c:pt idx="10">
                  <c:v>1.8094999832101166E-3</c:v>
                </c:pt>
                <c:pt idx="11">
                  <c:v>2.832000027410686E-3</c:v>
                </c:pt>
                <c:pt idx="12">
                  <c:v>7.0168999955058098E-3</c:v>
                </c:pt>
                <c:pt idx="13">
                  <c:v>1.1104899982456118E-2</c:v>
                </c:pt>
                <c:pt idx="14">
                  <c:v>1.8788399989716709E-2</c:v>
                </c:pt>
                <c:pt idx="15">
                  <c:v>3.735119994962588E-2</c:v>
                </c:pt>
                <c:pt idx="16">
                  <c:v>0.12440269999206066</c:v>
                </c:pt>
                <c:pt idx="17">
                  <c:v>0.15236929996171966</c:v>
                </c:pt>
                <c:pt idx="18">
                  <c:v>0.36111060000257567</c:v>
                </c:pt>
                <c:pt idx="19">
                  <c:v>0.65050849999533966</c:v>
                </c:pt>
                <c:pt idx="20">
                  <c:v>1.4784270999953151</c:v>
                </c:pt>
                <c:pt idx="21">
                  <c:v>3.2361052000196651</c:v>
                </c:pt>
              </c:numCache>
            </c:numRef>
          </c:yVal>
          <c:smooth val="0"/>
          <c:extLst>
            <c:ext xmlns:c16="http://schemas.microsoft.com/office/drawing/2014/chart" uri="{C3380CC4-5D6E-409C-BE32-E72D297353CC}">
              <c16:uniqueId val="{00000001-DC24-404B-90CF-8D8D179D9EE8}"/>
            </c:ext>
          </c:extLst>
        </c:ser>
        <c:ser>
          <c:idx val="2"/>
          <c:order val="2"/>
          <c:tx>
            <c:strRef>
              <c:f>'TimingResults (2)'!$H$5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(2)'!$H$6:$H$27</c:f>
              <c:numCache>
                <c:formatCode>General</c:formatCode>
                <c:ptCount val="22"/>
                <c:pt idx="0">
                  <c:v>1.5467199962586164E-2</c:v>
                </c:pt>
                <c:pt idx="1">
                  <c:v>1.5504900016821921E-2</c:v>
                </c:pt>
                <c:pt idx="2">
                  <c:v>1.9404400023631752E-2</c:v>
                </c:pt>
                <c:pt idx="3">
                  <c:v>1.1901799996849149E-2</c:v>
                </c:pt>
                <c:pt idx="4">
                  <c:v>1.5425099991261959E-2</c:v>
                </c:pt>
                <c:pt idx="5">
                  <c:v>1.3613700051791966E-2</c:v>
                </c:pt>
                <c:pt idx="6">
                  <c:v>1.5996400034055114E-2</c:v>
                </c:pt>
                <c:pt idx="7">
                  <c:v>1.4476599986664951E-2</c:v>
                </c:pt>
                <c:pt idx="8">
                  <c:v>2.2525899985339493E-2</c:v>
                </c:pt>
                <c:pt idx="9">
                  <c:v>1.8075799976941198E-2</c:v>
                </c:pt>
                <c:pt idx="10">
                  <c:v>2.2945899982005358E-2</c:v>
                </c:pt>
                <c:pt idx="11">
                  <c:v>2.6496500009670854E-2</c:v>
                </c:pt>
                <c:pt idx="12">
                  <c:v>2.9168200038839132E-2</c:v>
                </c:pt>
                <c:pt idx="13">
                  <c:v>5.9730500041041523E-2</c:v>
                </c:pt>
                <c:pt idx="14">
                  <c:v>8.4959400002844632E-2</c:v>
                </c:pt>
                <c:pt idx="15">
                  <c:v>0.16928520001238212</c:v>
                </c:pt>
                <c:pt idx="16">
                  <c:v>0.31520369998179376</c:v>
                </c:pt>
                <c:pt idx="17">
                  <c:v>0.62440859997877851</c:v>
                </c:pt>
                <c:pt idx="18">
                  <c:v>1.110718599986285</c:v>
                </c:pt>
                <c:pt idx="19">
                  <c:v>2.1529021000023931</c:v>
                </c:pt>
                <c:pt idx="20">
                  <c:v>5.1295437999651767</c:v>
                </c:pt>
                <c:pt idx="21">
                  <c:v>10.335117299982812</c:v>
                </c:pt>
              </c:numCache>
            </c:numRef>
          </c:yVal>
          <c:smooth val="0"/>
          <c:extLst>
            <c:ext xmlns:c16="http://schemas.microsoft.com/office/drawing/2014/chart" uri="{C3380CC4-5D6E-409C-BE32-E72D297353CC}">
              <c16:uniqueId val="{00000002-DC24-404B-90CF-8D8D179D9EE8}"/>
            </c:ext>
          </c:extLst>
        </c:ser>
        <c:ser>
          <c:idx val="3"/>
          <c:order val="3"/>
          <c:tx>
            <c:strRef>
              <c:f>'TimingResults (2)'!$I$5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(2)'!$I$6:$I$27</c:f>
              <c:numCache>
                <c:formatCode>General</c:formatCode>
                <c:ptCount val="22"/>
                <c:pt idx="0">
                  <c:v>5.1220000023022294E-4</c:v>
                </c:pt>
                <c:pt idx="1">
                  <c:v>7.1020005270838737E-4</c:v>
                </c:pt>
                <c:pt idx="2">
                  <c:v>5.2589998813346028E-4</c:v>
                </c:pt>
                <c:pt idx="3">
                  <c:v>7.5070001184940338E-4</c:v>
                </c:pt>
                <c:pt idx="4">
                  <c:v>5.8730004820972681E-4</c:v>
                </c:pt>
                <c:pt idx="5">
                  <c:v>5.9479998890310526E-4</c:v>
                </c:pt>
                <c:pt idx="6">
                  <c:v>8.8589999359101057E-4</c:v>
                </c:pt>
                <c:pt idx="7">
                  <c:v>9.1519998386502266E-4</c:v>
                </c:pt>
                <c:pt idx="8">
                  <c:v>3.247199987526983E-3</c:v>
                </c:pt>
                <c:pt idx="9">
                  <c:v>1.830599969252944E-3</c:v>
                </c:pt>
                <c:pt idx="10">
                  <c:v>4.8138000420294702E-3</c:v>
                </c:pt>
                <c:pt idx="11">
                  <c:v>4.8818999784998596E-3</c:v>
                </c:pt>
                <c:pt idx="12">
                  <c:v>1.0306300013326108E-2</c:v>
                </c:pt>
                <c:pt idx="13">
                  <c:v>3.0745399999432266E-2</c:v>
                </c:pt>
                <c:pt idx="14">
                  <c:v>3.4649199980776757E-2</c:v>
                </c:pt>
                <c:pt idx="15">
                  <c:v>6.9853399996645749E-2</c:v>
                </c:pt>
                <c:pt idx="16">
                  <c:v>0.14402539998991415</c:v>
                </c:pt>
                <c:pt idx="17">
                  <c:v>0.32937630004016683</c:v>
                </c:pt>
                <c:pt idx="18">
                  <c:v>0.74757930001942441</c:v>
                </c:pt>
                <c:pt idx="19">
                  <c:v>2.1457842000527307</c:v>
                </c:pt>
                <c:pt idx="20">
                  <c:v>6.4192103000241332</c:v>
                </c:pt>
                <c:pt idx="21">
                  <c:v>20.015034099982586</c:v>
                </c:pt>
              </c:numCache>
            </c:numRef>
          </c:yVal>
          <c:smooth val="0"/>
          <c:extLst>
            <c:ext xmlns:c16="http://schemas.microsoft.com/office/drawing/2014/chart" uri="{C3380CC4-5D6E-409C-BE32-E72D297353CC}">
              <c16:uniqueId val="{00000003-DC24-404B-90CF-8D8D179D9EE8}"/>
            </c:ext>
          </c:extLst>
        </c:ser>
        <c:ser>
          <c:idx val="4"/>
          <c:order val="4"/>
          <c:tx>
            <c:strRef>
              <c:f>'TimingResults (2)'!$J$5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(2)'!$J$6:$J$27</c:f>
              <c:numCache>
                <c:formatCode>General</c:formatCode>
                <c:ptCount val="22"/>
                <c:pt idx="0">
                  <c:v>1.6559998039156199E-4</c:v>
                </c:pt>
                <c:pt idx="1">
                  <c:v>1.8279999494552612E-4</c:v>
                </c:pt>
                <c:pt idx="2">
                  <c:v>1.8659996567294002E-4</c:v>
                </c:pt>
                <c:pt idx="3">
                  <c:v>2.411000314168632E-4</c:v>
                </c:pt>
                <c:pt idx="4">
                  <c:v>2.0000000949949026E-4</c:v>
                </c:pt>
                <c:pt idx="5">
                  <c:v>2.0760000916197896E-4</c:v>
                </c:pt>
                <c:pt idx="6">
                  <c:v>9.7730004927143455E-4</c:v>
                </c:pt>
                <c:pt idx="7">
                  <c:v>3.1099998159334064E-4</c:v>
                </c:pt>
                <c:pt idx="8">
                  <c:v>1.4730000402778387E-3</c:v>
                </c:pt>
                <c:pt idx="9">
                  <c:v>7.3929998325183988E-4</c:v>
                </c:pt>
                <c:pt idx="10">
                  <c:v>1.1484999558888376E-3</c:v>
                </c:pt>
                <c:pt idx="11">
                  <c:v>1.9479999900795519E-3</c:v>
                </c:pt>
                <c:pt idx="12">
                  <c:v>3.7115999730303884E-3</c:v>
                </c:pt>
                <c:pt idx="13">
                  <c:v>7.7648999867960811E-3</c:v>
                </c:pt>
                <c:pt idx="14">
                  <c:v>1.4951899996958673E-2</c:v>
                </c:pt>
                <c:pt idx="15">
                  <c:v>2.9054099984932691E-2</c:v>
                </c:pt>
                <c:pt idx="16">
                  <c:v>5.9420200006570667E-2</c:v>
                </c:pt>
                <c:pt idx="17">
                  <c:v>0.11699680000310764</c:v>
                </c:pt>
                <c:pt idx="18">
                  <c:v>0.29572399996686727</c:v>
                </c:pt>
                <c:pt idx="19">
                  <c:v>0.48953130003064871</c:v>
                </c:pt>
                <c:pt idx="20">
                  <c:v>1.2330025999690406</c:v>
                </c:pt>
                <c:pt idx="21">
                  <c:v>2.2005713000544347</c:v>
                </c:pt>
              </c:numCache>
            </c:numRef>
          </c:yVal>
          <c:smooth val="0"/>
          <c:extLst>
            <c:ext xmlns:c16="http://schemas.microsoft.com/office/drawing/2014/chart" uri="{C3380CC4-5D6E-409C-BE32-E72D297353CC}">
              <c16:uniqueId val="{00000004-DC24-404B-90CF-8D8D179D9EE8}"/>
            </c:ext>
          </c:extLst>
        </c:ser>
        <c:dLbls>
          <c:showLegendKey val="0"/>
          <c:showVal val="0"/>
          <c:showCatName val="0"/>
          <c:showSerName val="0"/>
          <c:showPercent val="0"/>
          <c:showBubbleSize val="0"/>
        </c:dLbls>
        <c:axId val="505665903"/>
        <c:axId val="505665487"/>
      </c:scatterChart>
      <c:valAx>
        <c:axId val="50566590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487"/>
        <c:crosses val="autoZero"/>
        <c:crossBetween val="midCat"/>
      </c:valAx>
      <c:valAx>
        <c:axId val="50566548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(2)'!$F$168:$F$182</c:f>
              <c:numCache>
                <c:formatCode>General</c:formatCode>
                <c:ptCount val="15"/>
                <c:pt idx="0">
                  <c:v>3.0923200014512986E-2</c:v>
                </c:pt>
                <c:pt idx="1">
                  <c:v>3.8819800014607608E-2</c:v>
                </c:pt>
                <c:pt idx="2">
                  <c:v>4.2408199980854988E-2</c:v>
                </c:pt>
                <c:pt idx="3">
                  <c:v>4.3458600004669279E-2</c:v>
                </c:pt>
                <c:pt idx="4">
                  <c:v>4.9194499966688454E-2</c:v>
                </c:pt>
                <c:pt idx="5">
                  <c:v>0.11192890000529587</c:v>
                </c:pt>
                <c:pt idx="6">
                  <c:v>5.508889997145161E-2</c:v>
                </c:pt>
                <c:pt idx="7">
                  <c:v>9.0794500021729618E-2</c:v>
                </c:pt>
                <c:pt idx="8">
                  <c:v>0.1437772000208497</c:v>
                </c:pt>
                <c:pt idx="9">
                  <c:v>0.26697539997985587</c:v>
                </c:pt>
                <c:pt idx="10">
                  <c:v>0.52728340000612661</c:v>
                </c:pt>
                <c:pt idx="11">
                  <c:v>1.0498941999976523</c:v>
                </c:pt>
                <c:pt idx="12">
                  <c:v>2.0204454999766313</c:v>
                </c:pt>
                <c:pt idx="13">
                  <c:v>4.4352110000327229</c:v>
                </c:pt>
                <c:pt idx="14">
                  <c:v>9.4424290000461042</c:v>
                </c:pt>
              </c:numCache>
            </c:numRef>
          </c:yVal>
          <c:smooth val="0"/>
          <c:extLst>
            <c:ext xmlns:c16="http://schemas.microsoft.com/office/drawing/2014/chart" uri="{C3380CC4-5D6E-409C-BE32-E72D297353CC}">
              <c16:uniqueId val="{00000000-242D-406F-A661-DB1D81152E1D}"/>
            </c:ext>
          </c:extLst>
        </c:ser>
        <c:ser>
          <c:idx val="1"/>
          <c:order val="1"/>
          <c:tx>
            <c:strRef>
              <c:f>'TimingResults (2)'!$G$167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(2)'!$G$168:$G$182</c:f>
              <c:numCache>
                <c:formatCode>General</c:formatCode>
                <c:ptCount val="15"/>
                <c:pt idx="0">
                  <c:v>1.5717100002802908E-2</c:v>
                </c:pt>
                <c:pt idx="1">
                  <c:v>1.7838599975220859E-2</c:v>
                </c:pt>
                <c:pt idx="2">
                  <c:v>1.6750100010540336E-2</c:v>
                </c:pt>
                <c:pt idx="3">
                  <c:v>1.8848900042939931E-2</c:v>
                </c:pt>
                <c:pt idx="4">
                  <c:v>2.22716000280343E-2</c:v>
                </c:pt>
                <c:pt idx="5">
                  <c:v>2.917870000237599E-2</c:v>
                </c:pt>
                <c:pt idx="6">
                  <c:v>4.2620200023520738E-2</c:v>
                </c:pt>
                <c:pt idx="7">
                  <c:v>7.0718100003432482E-2</c:v>
                </c:pt>
                <c:pt idx="8">
                  <c:v>0.12588459998369217</c:v>
                </c:pt>
                <c:pt idx="9">
                  <c:v>0.24898679996840656</c:v>
                </c:pt>
                <c:pt idx="10">
                  <c:v>0.50145879999035969</c:v>
                </c:pt>
                <c:pt idx="11">
                  <c:v>0.88798930001212284</c:v>
                </c:pt>
                <c:pt idx="12">
                  <c:v>1.7630615999805741</c:v>
                </c:pt>
                <c:pt idx="13">
                  <c:v>3.6931761000305414</c:v>
                </c:pt>
                <c:pt idx="14">
                  <c:v>8.0634535000426695</c:v>
                </c:pt>
              </c:numCache>
            </c:numRef>
          </c:yVal>
          <c:smooth val="0"/>
          <c:extLst>
            <c:ext xmlns:c16="http://schemas.microsoft.com/office/drawing/2014/chart" uri="{C3380CC4-5D6E-409C-BE32-E72D297353CC}">
              <c16:uniqueId val="{00000001-242D-406F-A661-DB1D81152E1D}"/>
            </c:ext>
          </c:extLst>
        </c:ser>
        <c:ser>
          <c:idx val="2"/>
          <c:order val="2"/>
          <c:tx>
            <c:strRef>
              <c:f>'TimingResults (2)'!$H$167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(2)'!$H$168:$H$182</c:f>
              <c:numCache>
                <c:formatCode>General</c:formatCode>
                <c:ptCount val="15"/>
                <c:pt idx="0">
                  <c:v>0.52945329999784008</c:v>
                </c:pt>
                <c:pt idx="1">
                  <c:v>3.6708700004965067E-2</c:v>
                </c:pt>
                <c:pt idx="2">
                  <c:v>3.6830099998041987E-2</c:v>
                </c:pt>
                <c:pt idx="3">
                  <c:v>3.6037899961229414E-2</c:v>
                </c:pt>
                <c:pt idx="4">
                  <c:v>4.3054499954450876E-2</c:v>
                </c:pt>
                <c:pt idx="5">
                  <c:v>4.164039995521307E-2</c:v>
                </c:pt>
                <c:pt idx="6">
                  <c:v>4.4014299986883998E-2</c:v>
                </c:pt>
                <c:pt idx="7">
                  <c:v>5.5174200038891286E-2</c:v>
                </c:pt>
                <c:pt idx="8">
                  <c:v>6.5075699996668845E-2</c:v>
                </c:pt>
                <c:pt idx="9">
                  <c:v>9.9457999982405454E-2</c:v>
                </c:pt>
                <c:pt idx="10">
                  <c:v>0.21844419999979436</c:v>
                </c:pt>
                <c:pt idx="11">
                  <c:v>0.58580619998974726</c:v>
                </c:pt>
                <c:pt idx="12">
                  <c:v>2.6432426000246778</c:v>
                </c:pt>
                <c:pt idx="13">
                  <c:v>9.8440398999955505</c:v>
                </c:pt>
                <c:pt idx="14">
                  <c:v>52.655040800047573</c:v>
                </c:pt>
              </c:numCache>
            </c:numRef>
          </c:yVal>
          <c:smooth val="0"/>
          <c:extLst>
            <c:ext xmlns:c16="http://schemas.microsoft.com/office/drawing/2014/chart" uri="{C3380CC4-5D6E-409C-BE32-E72D297353CC}">
              <c16:uniqueId val="{00000002-242D-406F-A661-DB1D81152E1D}"/>
            </c:ext>
          </c:extLst>
        </c:ser>
        <c:ser>
          <c:idx val="3"/>
          <c:order val="3"/>
          <c:tx>
            <c:strRef>
              <c:f>'TimingResults (2)'!$I$167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(2)'!$I$168:$I$182</c:f>
              <c:numCache>
                <c:formatCode>General</c:formatCode>
                <c:ptCount val="15"/>
                <c:pt idx="0">
                  <c:v>4.5851400005631149E-2</c:v>
                </c:pt>
                <c:pt idx="1">
                  <c:v>2.435899997362867E-2</c:v>
                </c:pt>
                <c:pt idx="2">
                  <c:v>3.1141700048465282E-2</c:v>
                </c:pt>
                <c:pt idx="3">
                  <c:v>3.8472499989438802E-2</c:v>
                </c:pt>
                <c:pt idx="4">
                  <c:v>5.0586899975314736E-2</c:v>
                </c:pt>
                <c:pt idx="5">
                  <c:v>8.056520001264289E-2</c:v>
                </c:pt>
                <c:pt idx="6">
                  <c:v>0.13701509998645633</c:v>
                </c:pt>
                <c:pt idx="7">
                  <c:v>0.2572105000144802</c:v>
                </c:pt>
                <c:pt idx="8">
                  <c:v>0.49046200001612306</c:v>
                </c:pt>
                <c:pt idx="9">
                  <c:v>1.0112365999957547</c:v>
                </c:pt>
                <c:pt idx="10">
                  <c:v>1.8591258999658749</c:v>
                </c:pt>
                <c:pt idx="11">
                  <c:v>3.7234349999926053</c:v>
                </c:pt>
                <c:pt idx="12">
                  <c:v>7.5617846000241116</c:v>
                </c:pt>
                <c:pt idx="13">
                  <c:v>15.772818800003733</c:v>
                </c:pt>
                <c:pt idx="14">
                  <c:v>31.528255500015803</c:v>
                </c:pt>
              </c:numCache>
            </c:numRef>
          </c:yVal>
          <c:smooth val="0"/>
          <c:extLst>
            <c:ext xmlns:c16="http://schemas.microsoft.com/office/drawing/2014/chart" uri="{C3380CC4-5D6E-409C-BE32-E72D297353CC}">
              <c16:uniqueId val="{00000003-242D-406F-A661-DB1D81152E1D}"/>
            </c:ext>
          </c:extLst>
        </c:ser>
        <c:ser>
          <c:idx val="4"/>
          <c:order val="4"/>
          <c:tx>
            <c:strRef>
              <c:f>'TimingResults (2)'!$J$167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(2)'!$J$168:$J$182</c:f>
              <c:numCache>
                <c:formatCode>General</c:formatCode>
                <c:ptCount val="15"/>
                <c:pt idx="0">
                  <c:v>2.0397800020873547E-2</c:v>
                </c:pt>
                <c:pt idx="1">
                  <c:v>1.4411700016353279E-2</c:v>
                </c:pt>
                <c:pt idx="2">
                  <c:v>1.3163199997507036E-2</c:v>
                </c:pt>
                <c:pt idx="3">
                  <c:v>1.5787200012709945E-2</c:v>
                </c:pt>
                <c:pt idx="4">
                  <c:v>1.7787400051020086E-2</c:v>
                </c:pt>
                <c:pt idx="5">
                  <c:v>2.470730000641197E-2</c:v>
                </c:pt>
                <c:pt idx="6">
                  <c:v>3.8932700001168996E-2</c:v>
                </c:pt>
                <c:pt idx="7">
                  <c:v>6.6121599986217916E-2</c:v>
                </c:pt>
                <c:pt idx="8">
                  <c:v>0.12059589999262244</c:v>
                </c:pt>
                <c:pt idx="9">
                  <c:v>0.25082349998410791</c:v>
                </c:pt>
                <c:pt idx="10">
                  <c:v>0.45754600001964718</c:v>
                </c:pt>
                <c:pt idx="11">
                  <c:v>0.95281849999446422</c:v>
                </c:pt>
                <c:pt idx="12">
                  <c:v>1.9243134999996983</c:v>
                </c:pt>
                <c:pt idx="13">
                  <c:v>3.6949727999744937</c:v>
                </c:pt>
                <c:pt idx="14">
                  <c:v>8.153816599980928</c:v>
                </c:pt>
              </c:numCache>
            </c:numRef>
          </c:yVal>
          <c:smooth val="0"/>
          <c:extLst>
            <c:ext xmlns:c16="http://schemas.microsoft.com/office/drawing/2014/chart" uri="{C3380CC4-5D6E-409C-BE32-E72D297353CC}">
              <c16:uniqueId val="{00000004-242D-406F-A661-DB1D81152E1D}"/>
            </c:ext>
          </c:extLst>
        </c:ser>
        <c:dLbls>
          <c:showLegendKey val="0"/>
          <c:showVal val="0"/>
          <c:showCatName val="0"/>
          <c:showSerName val="0"/>
          <c:showPercent val="0"/>
          <c:showBubbleSize val="0"/>
        </c:dLbls>
        <c:axId val="2081570399"/>
        <c:axId val="2081569983"/>
      </c:scatterChart>
      <c:valAx>
        <c:axId val="2081570399"/>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69983"/>
        <c:crosses val="autoZero"/>
        <c:crossBetween val="midCat"/>
      </c:valAx>
      <c:valAx>
        <c:axId val="208156998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7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17</xdr:col>
      <xdr:colOff>0</xdr:colOff>
      <xdr:row>3</xdr:row>
      <xdr:rowOff>180974</xdr:rowOff>
    </xdr:from>
    <xdr:to>
      <xdr:col>28</xdr:col>
      <xdr:colOff>0</xdr:colOff>
      <xdr:row>28</xdr:row>
      <xdr:rowOff>180974</xdr:rowOff>
    </xdr:to>
    <xdr:graphicFrame macro="">
      <xdr:nvGraphicFramePr>
        <xdr:cNvPr id="8" name="Chart 7">
          <a:extLst>
            <a:ext uri="{FF2B5EF4-FFF2-40B4-BE49-F238E27FC236}">
              <a16:creationId xmlns:a16="http://schemas.microsoft.com/office/drawing/2014/main" id="{8E26AEDA-3BE2-4475-8AA9-F6E2A6AC78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31</xdr:row>
      <xdr:rowOff>1</xdr:rowOff>
    </xdr:from>
    <xdr:to>
      <xdr:col>28</xdr:col>
      <xdr:colOff>0</xdr:colOff>
      <xdr:row>55</xdr:row>
      <xdr:rowOff>1</xdr:rowOff>
    </xdr:to>
    <xdr:graphicFrame macro="">
      <xdr:nvGraphicFramePr>
        <xdr:cNvPr id="27" name="Chart 26">
          <a:extLst>
            <a:ext uri="{FF2B5EF4-FFF2-40B4-BE49-F238E27FC236}">
              <a16:creationId xmlns:a16="http://schemas.microsoft.com/office/drawing/2014/main" id="{2D4718C0-04EF-4F1C-A0C7-D1C8F5975D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29" name="Chart 28">
          <a:extLst>
            <a:ext uri="{FF2B5EF4-FFF2-40B4-BE49-F238E27FC236}">
              <a16:creationId xmlns:a16="http://schemas.microsoft.com/office/drawing/2014/main" id="{1811C562-7E61-4996-A453-2321073F2C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30" name="Chart 29">
          <a:extLst>
            <a:ext uri="{FF2B5EF4-FFF2-40B4-BE49-F238E27FC236}">
              <a16:creationId xmlns:a16="http://schemas.microsoft.com/office/drawing/2014/main" id="{98C01733-B3CA-4663-8671-505E756839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31" name="Chart 30">
          <a:extLst>
            <a:ext uri="{FF2B5EF4-FFF2-40B4-BE49-F238E27FC236}">
              <a16:creationId xmlns:a16="http://schemas.microsoft.com/office/drawing/2014/main" id="{1849721D-745B-4E0B-8142-1A4D1898D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32" name="Chart 31">
          <a:extLst>
            <a:ext uri="{FF2B5EF4-FFF2-40B4-BE49-F238E27FC236}">
              <a16:creationId xmlns:a16="http://schemas.microsoft.com/office/drawing/2014/main" id="{036C1D01-7879-49A8-9BC0-BD19006A7D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33" name="Chart 32">
          <a:extLst>
            <a:ext uri="{FF2B5EF4-FFF2-40B4-BE49-F238E27FC236}">
              <a16:creationId xmlns:a16="http://schemas.microsoft.com/office/drawing/2014/main" id="{154CCBAE-7DF7-4328-85E1-E82DA812F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31</xdr:row>
      <xdr:rowOff>1</xdr:rowOff>
    </xdr:from>
    <xdr:to>
      <xdr:col>28</xdr:col>
      <xdr:colOff>0</xdr:colOff>
      <xdr:row>55</xdr:row>
      <xdr:rowOff>1</xdr:rowOff>
    </xdr:to>
    <xdr:graphicFrame macro="">
      <xdr:nvGraphicFramePr>
        <xdr:cNvPr id="3" name="Chart 2">
          <a:extLst>
            <a:ext uri="{FF2B5EF4-FFF2-40B4-BE49-F238E27FC236}">
              <a16:creationId xmlns:a16="http://schemas.microsoft.com/office/drawing/2014/main" id="{89C57BB8-9C90-4E0B-8237-D59A8EF49A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4" name="Chart 3">
          <a:extLst>
            <a:ext uri="{FF2B5EF4-FFF2-40B4-BE49-F238E27FC236}">
              <a16:creationId xmlns:a16="http://schemas.microsoft.com/office/drawing/2014/main" id="{1ABF25E1-75D3-4DB9-906B-D7365DE3A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5" name="Chart 4">
          <a:extLst>
            <a:ext uri="{FF2B5EF4-FFF2-40B4-BE49-F238E27FC236}">
              <a16:creationId xmlns:a16="http://schemas.microsoft.com/office/drawing/2014/main" id="{977A30C3-A684-4DE5-84FE-0500171E2C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6" name="Chart 5">
          <a:extLst>
            <a:ext uri="{FF2B5EF4-FFF2-40B4-BE49-F238E27FC236}">
              <a16:creationId xmlns:a16="http://schemas.microsoft.com/office/drawing/2014/main" id="{A37F6EB1-371F-42F5-B871-730EFC017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7" name="Chart 6">
          <a:extLst>
            <a:ext uri="{FF2B5EF4-FFF2-40B4-BE49-F238E27FC236}">
              <a16:creationId xmlns:a16="http://schemas.microsoft.com/office/drawing/2014/main" id="{15F6BC77-C45F-4CAA-8D28-38123F605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204</xdr:row>
      <xdr:rowOff>0</xdr:rowOff>
    </xdr:from>
    <xdr:to>
      <xdr:col>28</xdr:col>
      <xdr:colOff>0</xdr:colOff>
      <xdr:row>227</xdr:row>
      <xdr:rowOff>117475</xdr:rowOff>
    </xdr:to>
    <xdr:graphicFrame macro="">
      <xdr:nvGraphicFramePr>
        <xdr:cNvPr id="9" name="Chart 8">
          <a:extLst>
            <a:ext uri="{FF2B5EF4-FFF2-40B4-BE49-F238E27FC236}">
              <a16:creationId xmlns:a16="http://schemas.microsoft.com/office/drawing/2014/main" id="{6AA144D2-E49D-4333-91F6-C8A65AFB3A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4</xdr:row>
      <xdr:rowOff>0</xdr:rowOff>
    </xdr:from>
    <xdr:to>
      <xdr:col>28</xdr:col>
      <xdr:colOff>0</xdr:colOff>
      <xdr:row>27</xdr:row>
      <xdr:rowOff>117475</xdr:rowOff>
    </xdr:to>
    <xdr:graphicFrame macro="">
      <xdr:nvGraphicFramePr>
        <xdr:cNvPr id="10" name="Chart 9">
          <a:extLst>
            <a:ext uri="{FF2B5EF4-FFF2-40B4-BE49-F238E27FC236}">
              <a16:creationId xmlns:a16="http://schemas.microsoft.com/office/drawing/2014/main" id="{400A948A-9D96-43C9-A858-EEFBB3D9D2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11" name="Chart 10">
          <a:extLst>
            <a:ext uri="{FF2B5EF4-FFF2-40B4-BE49-F238E27FC236}">
              <a16:creationId xmlns:a16="http://schemas.microsoft.com/office/drawing/2014/main" id="{9BA601A9-73DF-418A-A446-9061B6031B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42</v>
      </c>
    </row>
    <row r="3" spans="1:17" x14ac:dyDescent="0.45">
      <c r="B3" s="22" t="s">
        <v>40</v>
      </c>
      <c r="G3" s="23" t="s">
        <v>69</v>
      </c>
    </row>
    <row r="4" spans="1:17" x14ac:dyDescent="0.45">
      <c r="B4" t="s">
        <v>0</v>
      </c>
      <c r="C4" s="15" t="s">
        <v>39</v>
      </c>
      <c r="G4" s="30" t="s">
        <v>70</v>
      </c>
    </row>
    <row r="5" spans="1:17" x14ac:dyDescent="0.45">
      <c r="B5" t="s">
        <v>12</v>
      </c>
      <c r="C5" s="16" t="b">
        <v>1</v>
      </c>
      <c r="G5" s="25" t="s">
        <v>43</v>
      </c>
    </row>
    <row r="6" spans="1:17" x14ac:dyDescent="0.45">
      <c r="B6" t="s">
        <v>1</v>
      </c>
      <c r="C6" s="15" t="s">
        <v>17</v>
      </c>
      <c r="G6" s="43" t="s">
        <v>181</v>
      </c>
    </row>
    <row r="7" spans="1:17" x14ac:dyDescent="0.45">
      <c r="B7" t="s">
        <v>13</v>
      </c>
      <c r="C7" s="15" t="s">
        <v>18</v>
      </c>
      <c r="G7" s="28" t="s">
        <v>45</v>
      </c>
    </row>
    <row r="8" spans="1:17" x14ac:dyDescent="0.45">
      <c r="B8" t="s">
        <v>14</v>
      </c>
      <c r="C8" s="16" t="b">
        <v>0</v>
      </c>
      <c r="G8" s="26" t="s">
        <v>44</v>
      </c>
    </row>
    <row r="9" spans="1:17" x14ac:dyDescent="0.45">
      <c r="B9" t="s">
        <v>15</v>
      </c>
      <c r="C9" s="16" t="s">
        <v>16</v>
      </c>
    </row>
    <row r="10" spans="1:17" x14ac:dyDescent="0.45">
      <c r="C10" s="16"/>
      <c r="P10" s="23" t="s">
        <v>54</v>
      </c>
    </row>
    <row r="11" spans="1:17" x14ac:dyDescent="0.45">
      <c r="B11" s="10"/>
      <c r="C11" s="16"/>
      <c r="P11" s="17" t="b">
        <f ca="1">AND(ROWS(B13:C52)=ROWS(_xlfn.ANCHORARRAY(J13)),COLUMNS(B13:C52)=COLUMNS(_xlfn.ANCHORARRAY(J13)),AND(_xlfn.ANCHORARRAY(P13)))</f>
        <v>1</v>
      </c>
    </row>
    <row r="12" spans="1:17" x14ac:dyDescent="0.45">
      <c r="B12" s="22" t="s">
        <v>50</v>
      </c>
      <c r="E12" s="23" t="s">
        <v>53</v>
      </c>
      <c r="F12" s="23"/>
      <c r="G12" s="22" t="s">
        <v>52</v>
      </c>
      <c r="J12" s="22" t="s">
        <v>51</v>
      </c>
      <c r="M12" s="22" t="s">
        <v>41</v>
      </c>
      <c r="P12" t="s">
        <v>19</v>
      </c>
    </row>
    <row r="13" spans="1:17" x14ac:dyDescent="0.45">
      <c r="B13" s="27" t="e" cm="1">
        <f t="array" aca="1" ref="B13:C52" ca="1">RandomVariants(40,2,TRUE,Unicode,EOL)</f>
        <v>#N/A</v>
      </c>
      <c r="C13" s="27">
        <f ca="1"/>
        <v>0</v>
      </c>
      <c r="E13" t="str" cm="1">
        <f t="array" aca="1" ref="E13" ca="1">CSVWrite(FileName,B13:C52,QuoteAllStrings,DateFormat,DateTimeFormat,,Unicode,EOL,FALSE)</f>
        <v>C:\Temp\TestFile.CSV</v>
      </c>
      <c r="G13" s="27" t="str" cm="1">
        <f t="array" aca="1" ref="G13:G56" ca="1">CSVRead_V2(E13,,FALSE)</f>
        <v>#N/A,0</v>
      </c>
      <c r="J13" s="27" t="str" cm="1">
        <f t="array" aca="1" ref="J13:K52" ca="1">CSVRead_V2(E13,FALSE)</f>
        <v>#N/A</v>
      </c>
      <c r="K13" s="27" t="str">
        <f ca="1"/>
        <v>0</v>
      </c>
      <c r="M13" s="27" t="e" cm="1">
        <f t="array" aca="1" ref="M13:N52" ca="1">CSVRead_V2(E13,TRUE,,DateFormat)</f>
        <v>#N/A</v>
      </c>
      <c r="N13" s="27">
        <f ca="1"/>
        <v>0</v>
      </c>
      <c r="P13" s="17" t="b" cm="1">
        <f t="array" aca="1" ref="P13:Q52" ca="1">[1]!sArrayEquals(B13:C52,_xlfn.ANCHORARRAY(M13))</f>
        <v>1</v>
      </c>
      <c r="Q13" s="17" t="b">
        <f ca="1"/>
        <v>1</v>
      </c>
    </row>
    <row r="14" spans="1:17" x14ac:dyDescent="0.45">
      <c r="B14" s="27">
        <f ca="1"/>
        <v>0</v>
      </c>
      <c r="C14" s="27" t="str">
        <f ca="1"/>
        <v>-21.661468063473</v>
      </c>
      <c r="G14" s="27" t="str">
        <f ca="1"/>
        <v>0,"-21.661468063473"</v>
      </c>
      <c r="J14" s="27" t="str">
        <f ca="1"/>
        <v>0</v>
      </c>
      <c r="K14" s="27" t="str">
        <f ca="1"/>
        <v>-21.661468063473</v>
      </c>
      <c r="M14" s="27">
        <f ca="1"/>
        <v>0</v>
      </c>
      <c r="N14" s="27" t="str">
        <f ca="1"/>
        <v>-21.661468063473</v>
      </c>
      <c r="P14" s="17" t="b">
        <f ca="1"/>
        <v>1</v>
      </c>
      <c r="Q14" s="17" t="b">
        <f ca="1"/>
        <v>1</v>
      </c>
    </row>
    <row r="15" spans="1:17" x14ac:dyDescent="0.45">
      <c r="B15" s="27" t="e">
        <f ca="1"/>
        <v>#NULL!</v>
      </c>
      <c r="C15" s="27" t="str">
        <f ca="1"/>
        <v>FALSE</v>
      </c>
      <c r="G15" s="27" t="str">
        <f ca="1"/>
        <v>#NULL!,"FALSE"</v>
      </c>
      <c r="J15" s="27" t="str">
        <f ca="1"/>
        <v>#NULL!</v>
      </c>
      <c r="K15" s="27" t="str">
        <f ca="1"/>
        <v>FALSE</v>
      </c>
      <c r="M15" s="27" t="e">
        <f ca="1"/>
        <v>#NULL!</v>
      </c>
      <c r="N15" s="27" t="str">
        <f ca="1"/>
        <v>FALSE</v>
      </c>
      <c r="P15" s="17" t="b">
        <f ca="1"/>
        <v>1</v>
      </c>
      <c r="Q15" s="17" t="b">
        <f ca="1"/>
        <v>1</v>
      </c>
    </row>
    <row r="16" spans="1:17" x14ac:dyDescent="0.45">
      <c r="B16" s="39" t="e">
        <f ca="1"/>
        <v>#NAME?</v>
      </c>
      <c r="C16" s="27">
        <f ca="1"/>
        <v>-1.3065012707520101E-2</v>
      </c>
      <c r="G16" s="27" t="str">
        <f ca="1"/>
        <v>#NAME?,-1.30650127075201E-02</v>
      </c>
      <c r="J16" s="39" t="str">
        <f ca="1"/>
        <v>#NAME?</v>
      </c>
      <c r="K16" s="27" t="str">
        <f ca="1"/>
        <v>-1.30650127075201E-02</v>
      </c>
      <c r="M16" s="39" t="e">
        <f ca="1"/>
        <v>#NAME?</v>
      </c>
      <c r="N16" s="27">
        <f ca="1"/>
        <v>-1.3065012707520101E-2</v>
      </c>
      <c r="P16" s="17" t="b">
        <f ca="1"/>
        <v>1</v>
      </c>
      <c r="Q16" s="17" t="b">
        <f ca="1"/>
        <v>1</v>
      </c>
    </row>
    <row r="17" spans="2:17" x14ac:dyDescent="0.45">
      <c r="B17" s="27" t="e">
        <f ca="1"/>
        <v>#NULL!</v>
      </c>
      <c r="C17" s="27" t="e">
        <f ca="1"/>
        <v>#REF!</v>
      </c>
      <c r="G17" s="27" t="str">
        <f ca="1"/>
        <v>#NULL!,#REF!</v>
      </c>
      <c r="J17" s="27" t="str">
        <f ca="1"/>
        <v>#NULL!</v>
      </c>
      <c r="K17" s="27" t="str">
        <f ca="1"/>
        <v>#REF!</v>
      </c>
      <c r="M17" s="27" t="e">
        <f ca="1"/>
        <v>#NULL!</v>
      </c>
      <c r="N17" s="27" t="e">
        <f ca="1"/>
        <v>#REF!</v>
      </c>
      <c r="P17" s="17" t="b">
        <f ca="1"/>
        <v>1</v>
      </c>
      <c r="Q17" s="17" t="b">
        <f ca="1"/>
        <v>1</v>
      </c>
    </row>
    <row r="18" spans="2:17" x14ac:dyDescent="0.45">
      <c r="B18" s="27" t="b">
        <f ca="1"/>
        <v>0</v>
      </c>
      <c r="C18" s="27">
        <f ca="1"/>
        <v>0</v>
      </c>
      <c r="G18" s="27" t="str">
        <f ca="1"/>
        <v>False,0</v>
      </c>
      <c r="J18" s="27" t="str">
        <f ca="1"/>
        <v>False</v>
      </c>
      <c r="K18" s="27" t="str">
        <f ca="1"/>
        <v>0</v>
      </c>
      <c r="M18" s="27" t="b">
        <f ca="1"/>
        <v>0</v>
      </c>
      <c r="N18" s="27">
        <f ca="1"/>
        <v>0</v>
      </c>
      <c r="P18" s="17" t="b">
        <f ca="1"/>
        <v>1</v>
      </c>
      <c r="Q18" s="17" t="b">
        <f ca="1"/>
        <v>1</v>
      </c>
    </row>
    <row r="19" spans="2:17" x14ac:dyDescent="0.45">
      <c r="B19" s="27" t="str">
        <f ca="1"/>
        <v>iDIgC6Q"U@&lt;W;pnWUNn</v>
      </c>
      <c r="C19" s="27" t="str">
        <f ca="1"/>
        <v/>
      </c>
      <c r="G19" s="27" t="str">
        <f ca="1"/>
        <v>"iDIgC6Q""U@&lt;W;pnWUNn",""</v>
      </c>
      <c r="J19" s="27" t="str">
        <f ca="1"/>
        <v>iDIgC6Q"U@&lt;W;pnWUNn</v>
      </c>
      <c r="K19" s="27" t="str">
        <f ca="1"/>
        <v/>
      </c>
      <c r="M19" s="27" t="str">
        <f ca="1"/>
        <v>iDIgC6Q"U@&lt;W;pnWUNn</v>
      </c>
      <c r="N19" s="27" t="str">
        <f ca="1"/>
        <v/>
      </c>
      <c r="P19" s="17" t="b">
        <f ca="1"/>
        <v>1</v>
      </c>
      <c r="Q19" s="17" t="b">
        <f ca="1"/>
        <v>1</v>
      </c>
    </row>
    <row r="20" spans="2:17" x14ac:dyDescent="0.45">
      <c r="B20" s="27" t="str">
        <f ca="1"/>
        <v>FALSE</v>
      </c>
      <c r="C20" s="27" t="b">
        <f ca="1"/>
        <v>1</v>
      </c>
      <c r="G20" s="27" t="str">
        <f ca="1"/>
        <v>"FALSE",True</v>
      </c>
      <c r="J20" s="27" t="str">
        <f ca="1"/>
        <v>FALSE</v>
      </c>
      <c r="K20" s="27" t="str">
        <f ca="1"/>
        <v>True</v>
      </c>
      <c r="M20" s="27" t="str">
        <f ca="1"/>
        <v>FALSE</v>
      </c>
      <c r="N20" s="27" t="b">
        <f ca="1"/>
        <v>1</v>
      </c>
      <c r="P20" s="17" t="b">
        <f ca="1"/>
        <v>1</v>
      </c>
      <c r="Q20" s="17" t="b">
        <f ca="1"/>
        <v>1</v>
      </c>
    </row>
    <row r="21" spans="2:17" x14ac:dyDescent="0.45">
      <c r="B21" s="27">
        <f ca="1"/>
        <v>-115.494241695214</v>
      </c>
      <c r="C21" s="27">
        <f ca="1"/>
        <v>10766100.6733742</v>
      </c>
      <c r="G21" s="27" t="str">
        <f ca="1"/>
        <v>-115.494241695214,10766100.6733742</v>
      </c>
      <c r="J21" s="27" t="str">
        <f ca="1"/>
        <v>-115.494241695214</v>
      </c>
      <c r="K21" s="27" t="str">
        <f ca="1"/>
        <v>10766100.6733742</v>
      </c>
      <c r="M21" s="27">
        <f ca="1"/>
        <v>-115.494241695214</v>
      </c>
      <c r="N21" s="27">
        <f ca="1"/>
        <v>10766100.6733742</v>
      </c>
      <c r="P21" s="17" t="b">
        <f ca="1"/>
        <v>1</v>
      </c>
      <c r="Q21" s="17" t="b">
        <f ca="1"/>
        <v>1</v>
      </c>
    </row>
    <row r="22" spans="2:17" x14ac:dyDescent="0.45">
      <c r="B22" s="27" t="str">
        <f ca="1"/>
        <v>#C</v>
      </c>
      <c r="C22" s="27" t="str">
        <f ca="1"/>
        <v>-6.08130134160087E-09</v>
      </c>
      <c r="G22" s="27" t="str">
        <f ca="1"/>
        <v>"#C","-6.08130134160087E-09"</v>
      </c>
      <c r="J22" s="27" t="str">
        <f ca="1"/>
        <v>#C</v>
      </c>
      <c r="K22" s="27" t="str">
        <f ca="1"/>
        <v>-6.08130134160087E-09</v>
      </c>
      <c r="M22" s="27" t="str">
        <f ca="1"/>
        <v>#C</v>
      </c>
      <c r="N22" s="27" t="str">
        <f ca="1"/>
        <v>-6.08130134160087E-09</v>
      </c>
      <c r="P22" s="17" t="b">
        <f ca="1"/>
        <v>1</v>
      </c>
      <c r="Q22" s="17" t="b">
        <f ca="1"/>
        <v>1</v>
      </c>
    </row>
    <row r="23" spans="2:17" x14ac:dyDescent="0.45">
      <c r="B23" s="27" t="str">
        <f ca="1"/>
        <v>2013-Aug-12</v>
      </c>
      <c r="C23" s="27" t="str">
        <f ca="1"/>
        <v>1.5372744393339E-07</v>
      </c>
      <c r="G23" s="27" t="str">
        <f ca="1"/>
        <v>"2013-Aug-12","1.5372744393339E-07"</v>
      </c>
      <c r="J23" s="27" t="str">
        <f ca="1"/>
        <v>2013-Aug-12</v>
      </c>
      <c r="K23" s="27" t="str">
        <f ca="1"/>
        <v>1.5372744393339E-07</v>
      </c>
      <c r="M23" s="27" t="str">
        <f ca="1"/>
        <v>2013-Aug-12</v>
      </c>
      <c r="N23" s="27" t="str">
        <f ca="1"/>
        <v>1.5372744393339E-07</v>
      </c>
      <c r="P23" s="17" t="b">
        <f ca="1"/>
        <v>1</v>
      </c>
      <c r="Q23" s="17" t="b">
        <f ca="1"/>
        <v>1</v>
      </c>
    </row>
    <row r="24" spans="2:17" x14ac:dyDescent="0.45">
      <c r="B24" s="27">
        <f ca="1"/>
        <v>25896</v>
      </c>
      <c r="C24" s="27" t="str">
        <f ca="1"/>
        <v>2007-Jun-27</v>
      </c>
      <c r="G24" s="27" t="str">
        <f ca="1"/>
        <v>25896,"2007-Jun-27"</v>
      </c>
      <c r="J24" s="27" t="str">
        <f ca="1"/>
        <v>25896</v>
      </c>
      <c r="K24" s="27" t="str">
        <f ca="1"/>
        <v>2007-Jun-27</v>
      </c>
      <c r="M24" s="27">
        <f ca="1"/>
        <v>25896</v>
      </c>
      <c r="N24" s="27" t="str">
        <f ca="1"/>
        <v>2007-Jun-27</v>
      </c>
      <c r="P24" s="17" t="b">
        <f ca="1"/>
        <v>1</v>
      </c>
      <c r="Q24" s="17" t="b">
        <f ca="1"/>
        <v>1</v>
      </c>
    </row>
    <row r="25" spans="2:17" x14ac:dyDescent="0.45">
      <c r="B25" s="27" t="e">
        <f ca="1"/>
        <v>#NAME?</v>
      </c>
      <c r="C25" s="27">
        <f ca="1"/>
        <v>-166795</v>
      </c>
      <c r="G25" s="27" t="str">
        <f ca="1"/>
        <v>#NAME?,-166795</v>
      </c>
      <c r="J25" s="27" t="str">
        <f ca="1"/>
        <v>#NAME?</v>
      </c>
      <c r="K25" s="27" t="str">
        <f ca="1"/>
        <v>-166795</v>
      </c>
      <c r="M25" s="27" t="e">
        <f ca="1"/>
        <v>#NAME?</v>
      </c>
      <c r="N25" s="27">
        <f ca="1"/>
        <v>-166795</v>
      </c>
      <c r="P25" s="17" t="b">
        <f ca="1"/>
        <v>1</v>
      </c>
      <c r="Q25" s="17" t="b">
        <f ca="1"/>
        <v>1</v>
      </c>
    </row>
    <row r="26" spans="2:17" x14ac:dyDescent="0.45">
      <c r="B26" s="27">
        <f ca="1"/>
        <v>29297</v>
      </c>
      <c r="C26" s="27" t="str">
        <f ca="1"/>
        <v/>
      </c>
      <c r="G26" s="27" t="str">
        <f ca="1"/>
        <v>29297,""</v>
      </c>
      <c r="J26" s="27" t="str">
        <f ca="1"/>
        <v>29297</v>
      </c>
      <c r="K26" s="27" t="str">
        <f ca="1"/>
        <v/>
      </c>
      <c r="M26" s="27">
        <f ca="1"/>
        <v>29297</v>
      </c>
      <c r="N26" s="27" t="str">
        <f ca="1"/>
        <v/>
      </c>
      <c r="P26" s="17" t="b">
        <f ca="1"/>
        <v>1</v>
      </c>
      <c r="Q26" s="17" t="b">
        <f ca="1"/>
        <v>1</v>
      </c>
    </row>
    <row r="27" spans="2:17" x14ac:dyDescent="0.45">
      <c r="B27" s="27">
        <f ca="1"/>
        <v>365518</v>
      </c>
      <c r="C27" s="27" t="str">
        <f ca="1"/>
        <v>m'</v>
      </c>
      <c r="G27" s="27" t="str">
        <f ca="1"/>
        <v>365518,"m'"</v>
      </c>
      <c r="J27" s="27" t="str">
        <f ca="1"/>
        <v>365518</v>
      </c>
      <c r="K27" s="27" t="str">
        <f ca="1"/>
        <v>m'</v>
      </c>
      <c r="M27" s="27">
        <f ca="1"/>
        <v>365518</v>
      </c>
      <c r="N27" s="27" t="str">
        <f ca="1"/>
        <v>m'</v>
      </c>
      <c r="P27" s="17" t="b">
        <f ca="1"/>
        <v>1</v>
      </c>
      <c r="Q27" s="17" t="b">
        <f ca="1"/>
        <v>1</v>
      </c>
    </row>
    <row r="28" spans="2:17" x14ac:dyDescent="0.45">
      <c r="B28" s="27" t="str">
        <f ca="1"/>
        <v>2026-Jul-03</v>
      </c>
      <c r="C28" s="27" t="str">
        <f ca="1"/>
        <v>Q9\YOu#Ugo/\EgG&amp;</v>
      </c>
      <c r="G28" s="27" t="str">
        <f ca="1"/>
        <v>"2026-Jul-03","Q9\YOu#Ugo/\EgG&amp;"</v>
      </c>
      <c r="J28" s="27" t="str">
        <f ca="1"/>
        <v>2026-Jul-03</v>
      </c>
      <c r="K28" s="27" t="str">
        <f ca="1"/>
        <v>Q9\YOu#Ugo/\EgG&amp;</v>
      </c>
      <c r="M28" s="27" t="str">
        <f ca="1"/>
        <v>2026-Jul-03</v>
      </c>
      <c r="N28" s="27" t="str">
        <f ca="1"/>
        <v>Q9\YOu#Ugo/\EgG&amp;</v>
      </c>
      <c r="P28" s="17" t="b">
        <f ca="1"/>
        <v>1</v>
      </c>
      <c r="Q28" s="17" t="b">
        <f ca="1"/>
        <v>1</v>
      </c>
    </row>
    <row r="29" spans="2:17" x14ac:dyDescent="0.45">
      <c r="B29" s="27">
        <f ca="1"/>
        <v>-958402</v>
      </c>
      <c r="C29" s="27" t="str">
        <f ca="1"/>
        <v>682.387394292558</v>
      </c>
      <c r="G29" s="27" t="str">
        <f ca="1"/>
        <v>-958402,"682.387394292558"</v>
      </c>
      <c r="J29" s="27" t="str">
        <f ca="1"/>
        <v>-958402</v>
      </c>
      <c r="K29" s="27" t="str">
        <f ca="1"/>
        <v>682.387394292558</v>
      </c>
      <c r="M29" s="27">
        <f ca="1"/>
        <v>-958402</v>
      </c>
      <c r="N29" s="27" t="str">
        <f ca="1"/>
        <v>682.387394292558</v>
      </c>
      <c r="P29" s="17" t="b">
        <f ca="1"/>
        <v>1</v>
      </c>
      <c r="Q29" s="17" t="b">
        <f ca="1"/>
        <v>1</v>
      </c>
    </row>
    <row r="30" spans="2:17" x14ac:dyDescent="0.45">
      <c r="B30" s="27">
        <f ca="1"/>
        <v>31480</v>
      </c>
      <c r="C30" s="27" t="b">
        <f ca="1"/>
        <v>1</v>
      </c>
      <c r="G30" s="27" t="str">
        <f ca="1"/>
        <v>31480,True</v>
      </c>
      <c r="J30" s="27" t="str">
        <f ca="1"/>
        <v>31480</v>
      </c>
      <c r="K30" s="27" t="str">
        <f ca="1"/>
        <v>True</v>
      </c>
      <c r="M30" s="27">
        <f ca="1"/>
        <v>31480</v>
      </c>
      <c r="N30" s="27" t="b">
        <f ca="1"/>
        <v>1</v>
      </c>
      <c r="P30" s="17" t="b">
        <f ca="1"/>
        <v>1</v>
      </c>
      <c r="Q30" s="17" t="b">
        <f ca="1"/>
        <v>1</v>
      </c>
    </row>
    <row r="31" spans="2:17" x14ac:dyDescent="0.45">
      <c r="B31" s="27">
        <f ca="1"/>
        <v>0</v>
      </c>
      <c r="C31" s="27" t="b">
        <f ca="1"/>
        <v>0</v>
      </c>
      <c r="G31" s="27" t="str">
        <f ca="1"/>
        <v>0,False</v>
      </c>
      <c r="J31" s="27" t="str">
        <f ca="1"/>
        <v>0</v>
      </c>
      <c r="K31" s="27" t="str">
        <f ca="1"/>
        <v>False</v>
      </c>
      <c r="M31" s="27">
        <f ca="1"/>
        <v>0</v>
      </c>
      <c r="N31" s="27" t="b">
        <f ca="1"/>
        <v>0</v>
      </c>
      <c r="P31" s="17" t="b">
        <f ca="1"/>
        <v>1</v>
      </c>
      <c r="Q31" s="17" t="b">
        <f ca="1"/>
        <v>1</v>
      </c>
    </row>
    <row r="32" spans="2:17" x14ac:dyDescent="0.45">
      <c r="B32" s="27" t="b">
        <f ca="1"/>
        <v>0</v>
      </c>
      <c r="C32" s="27" t="str">
        <f ca="1"/>
        <v/>
      </c>
      <c r="G32" s="27" t="str">
        <f ca="1"/>
        <v>False,""</v>
      </c>
      <c r="J32" s="27" t="str">
        <f ca="1"/>
        <v>False</v>
      </c>
      <c r="K32" s="27" t="str">
        <f ca="1"/>
        <v/>
      </c>
      <c r="M32" s="27" t="b">
        <f ca="1"/>
        <v>0</v>
      </c>
      <c r="N32" s="27" t="str">
        <f ca="1"/>
        <v/>
      </c>
      <c r="P32" s="17" t="b">
        <f ca="1"/>
        <v>1</v>
      </c>
      <c r="Q32" s="17" t="b">
        <f ca="1"/>
        <v>1</v>
      </c>
    </row>
    <row r="33" spans="2:17" x14ac:dyDescent="0.45">
      <c r="B33" s="27" t="str">
        <f ca="1"/>
        <v>_Y1oHa6_x000D_
8,.r%M</v>
      </c>
      <c r="C33" s="27" t="b">
        <f ca="1"/>
        <v>0</v>
      </c>
      <c r="G33" s="27" t="str">
        <f ca="1"/>
        <v>"_Y1oHa6</v>
      </c>
      <c r="J33" s="27" t="str">
        <f ca="1"/>
        <v>_Y1oHa6_x000D_
8,.r%M</v>
      </c>
      <c r="K33" s="27" t="str">
        <f ca="1"/>
        <v>False</v>
      </c>
      <c r="M33" s="27" t="str">
        <f ca="1"/>
        <v>_Y1oHa6_x000D_
8,.r%M</v>
      </c>
      <c r="N33" s="27" t="b">
        <f ca="1"/>
        <v>0</v>
      </c>
      <c r="P33" s="17" t="b">
        <f ca="1"/>
        <v>1</v>
      </c>
      <c r="Q33" s="17" t="b">
        <f ca="1"/>
        <v>1</v>
      </c>
    </row>
    <row r="34" spans="2:17" x14ac:dyDescent="0.45">
      <c r="B34" s="27">
        <f ca="1"/>
        <v>0</v>
      </c>
      <c r="C34" s="27">
        <f ca="1"/>
        <v>344006</v>
      </c>
      <c r="G34" s="27" t="str">
        <f ca="1"/>
        <v>8,.r%M",False</v>
      </c>
      <c r="J34" s="27" t="str">
        <f ca="1"/>
        <v>0</v>
      </c>
      <c r="K34" s="27" t="str">
        <f ca="1"/>
        <v>344006</v>
      </c>
      <c r="M34" s="27">
        <f ca="1"/>
        <v>0</v>
      </c>
      <c r="N34" s="27">
        <f ca="1"/>
        <v>344006</v>
      </c>
      <c r="P34" s="17" t="b">
        <f ca="1"/>
        <v>1</v>
      </c>
      <c r="Q34" s="17" t="b">
        <f ca="1"/>
        <v>1</v>
      </c>
    </row>
    <row r="35" spans="2:17" x14ac:dyDescent="0.45">
      <c r="B35" s="27" t="str">
        <f ca="1"/>
        <v xml:space="preserve">Here's a carriage return (ascii 13):_x000D_and here's a line feed (ascii 10):
and here's both together:_x000D_
</v>
      </c>
      <c r="C35" s="27" t="str">
        <f ca="1"/>
        <v>1978-Mar-12</v>
      </c>
      <c r="G35" s="27" t="str">
        <f ca="1"/>
        <v>0,344006</v>
      </c>
      <c r="J35" s="27" t="str">
        <f ca="1"/>
        <v xml:space="preserve">Here's a carriage return (ascii 13):_x000D_and here's a line feed (ascii 10):
and here's both together:_x000D_
</v>
      </c>
      <c r="K35" s="27" t="str">
        <f ca="1"/>
        <v>1978-Mar-12</v>
      </c>
      <c r="M35" s="27" t="str">
        <f ca="1"/>
        <v xml:space="preserve">Here's a carriage return (ascii 13):_x000D_and here's a line feed (ascii 10):
and here's both together:_x000D_
</v>
      </c>
      <c r="N35" s="27" t="str">
        <f ca="1"/>
        <v>1978-Mar-12</v>
      </c>
      <c r="P35" s="17" t="b">
        <f ca="1"/>
        <v>1</v>
      </c>
      <c r="Q35" s="17" t="b">
        <f ca="1"/>
        <v>1</v>
      </c>
    </row>
    <row r="36" spans="2:17" x14ac:dyDescent="0.45">
      <c r="B36" s="27" t="str">
        <f ca="1"/>
        <v>2047-Jan-26</v>
      </c>
      <c r="C36" s="27">
        <f ca="1"/>
        <v>8.1536638181538705E-6</v>
      </c>
      <c r="G36" s="27" t="str">
        <f ca="1"/>
        <v>"Here's a carriage return (ascii 13):</v>
      </c>
      <c r="J36" s="27" t="str">
        <f ca="1"/>
        <v>2047-Jan-26</v>
      </c>
      <c r="K36" s="27" t="str">
        <f ca="1"/>
        <v>8.15366381815387E-06</v>
      </c>
      <c r="M36" s="27" t="str">
        <f ca="1"/>
        <v>2047-Jan-26</v>
      </c>
      <c r="N36" s="27">
        <f ca="1"/>
        <v>8.1536638181538705E-6</v>
      </c>
      <c r="P36" s="17" t="b">
        <f ca="1"/>
        <v>1</v>
      </c>
      <c r="Q36" s="17" t="b">
        <f ca="1"/>
        <v>1</v>
      </c>
    </row>
    <row r="37" spans="2:17" x14ac:dyDescent="0.45">
      <c r="B37" s="27" t="str">
        <f ca="1"/>
        <v>2050-Aug-22</v>
      </c>
      <c r="C37" s="27">
        <f ca="1"/>
        <v>0</v>
      </c>
      <c r="G37" s="27" t="str">
        <f ca="1"/>
        <v>and here's a line feed (ascii 10):</v>
      </c>
      <c r="J37" s="27" t="str">
        <f ca="1"/>
        <v>2050-Aug-22</v>
      </c>
      <c r="K37" s="27" t="str">
        <f ca="1"/>
        <v>0</v>
      </c>
      <c r="M37" s="27" t="str">
        <f ca="1"/>
        <v>2050-Aug-22</v>
      </c>
      <c r="N37" s="27">
        <f ca="1"/>
        <v>0</v>
      </c>
      <c r="P37" s="17" t="b">
        <f ca="1"/>
        <v>1</v>
      </c>
      <c r="Q37" s="17" t="b">
        <f ca="1"/>
        <v>1</v>
      </c>
    </row>
    <row r="38" spans="2:17" x14ac:dyDescent="0.45">
      <c r="B38" s="27">
        <f ca="1"/>
        <v>54208</v>
      </c>
      <c r="C38" s="27">
        <f ca="1"/>
        <v>-4442163.0531621296</v>
      </c>
      <c r="G38" s="27" t="str">
        <f ca="1"/>
        <v>and here's both together:</v>
      </c>
      <c r="J38" s="27" t="str">
        <f ca="1"/>
        <v>54208</v>
      </c>
      <c r="K38" s="27" t="str">
        <f ca="1"/>
        <v>-4442163.05316213</v>
      </c>
      <c r="M38" s="27">
        <f ca="1"/>
        <v>54208</v>
      </c>
      <c r="N38" s="27">
        <f ca="1"/>
        <v>-4442163.0531621296</v>
      </c>
      <c r="P38" s="17" t="b">
        <f ca="1"/>
        <v>1</v>
      </c>
      <c r="Q38" s="17" t="b">
        <f ca="1"/>
        <v>1</v>
      </c>
    </row>
    <row r="39" spans="2:17" x14ac:dyDescent="0.45">
      <c r="B39" s="27">
        <f ca="1"/>
        <v>-770843</v>
      </c>
      <c r="C39" s="27" t="e">
        <f ca="1"/>
        <v>#VALUE!</v>
      </c>
      <c r="G39" s="27" t="str">
        <f ca="1"/>
        <v>","1978-Mar-12"</v>
      </c>
      <c r="J39" s="27" t="str">
        <f ca="1"/>
        <v>-770843</v>
      </c>
      <c r="K39" s="27" t="str">
        <f ca="1"/>
        <v>#VALUE!</v>
      </c>
      <c r="M39" s="27">
        <f ca="1"/>
        <v>-770843</v>
      </c>
      <c r="N39" s="27" t="e">
        <f ca="1"/>
        <v>#VALUE!</v>
      </c>
      <c r="P39" s="17" t="b">
        <f ca="1"/>
        <v>1</v>
      </c>
      <c r="Q39" s="17" t="b">
        <f ca="1"/>
        <v>1</v>
      </c>
    </row>
    <row r="40" spans="2:17" x14ac:dyDescent="0.45">
      <c r="B40" s="27" t="str">
        <f ca="1"/>
        <v>FALSE</v>
      </c>
      <c r="C40" s="27" t="str">
        <f ca="1"/>
        <v>TRUE</v>
      </c>
      <c r="G40" s="27" t="str">
        <f ca="1"/>
        <v>"2047-Jan-26",8.15366381815387E-06</v>
      </c>
      <c r="J40" s="27" t="str">
        <f ca="1"/>
        <v>FALSE</v>
      </c>
      <c r="K40" s="27" t="str">
        <f ca="1"/>
        <v>TRUE</v>
      </c>
      <c r="M40" s="27" t="str">
        <f ca="1"/>
        <v>FALSE</v>
      </c>
      <c r="N40" s="27" t="str">
        <f ca="1"/>
        <v>TRUE</v>
      </c>
      <c r="P40" s="17" t="b">
        <f ca="1"/>
        <v>1</v>
      </c>
      <c r="Q40" s="17" t="b">
        <f ca="1"/>
        <v>1</v>
      </c>
    </row>
    <row r="41" spans="2:17" x14ac:dyDescent="0.45">
      <c r="B41" s="27" t="str">
        <f ca="1"/>
        <v>FALSE</v>
      </c>
      <c r="C41" s="27" t="b">
        <f ca="1"/>
        <v>1</v>
      </c>
      <c r="G41" s="27" t="str">
        <f ca="1"/>
        <v>"2050-Aug-22",0</v>
      </c>
      <c r="J41" s="27" t="str">
        <f ca="1"/>
        <v>FALSE</v>
      </c>
      <c r="K41" s="27" t="str">
        <f ca="1"/>
        <v>True</v>
      </c>
      <c r="M41" s="27" t="str">
        <f ca="1"/>
        <v>FALSE</v>
      </c>
      <c r="N41" s="27" t="b">
        <f ca="1"/>
        <v>1</v>
      </c>
      <c r="P41" s="17" t="b">
        <f ca="1"/>
        <v>1</v>
      </c>
      <c r="Q41" s="17" t="b">
        <f ca="1"/>
        <v>1</v>
      </c>
    </row>
    <row r="42" spans="2:17" x14ac:dyDescent="0.45">
      <c r="B42" s="27" t="str">
        <f ca="1"/>
        <v>sh@</v>
      </c>
      <c r="C42" s="27" t="str">
        <f ca="1"/>
        <v>26611997.1680831</v>
      </c>
      <c r="G42" s="27" t="str">
        <f ca="1"/>
        <v>54208,-4442163.05316213</v>
      </c>
      <c r="J42" s="27" t="str">
        <f ca="1"/>
        <v>sh@</v>
      </c>
      <c r="K42" s="27" t="str">
        <f ca="1"/>
        <v>26611997.1680831</v>
      </c>
      <c r="M42" s="27" t="str">
        <f ca="1"/>
        <v>sh@</v>
      </c>
      <c r="N42" s="27" t="str">
        <f ca="1"/>
        <v>26611997.1680831</v>
      </c>
      <c r="P42" s="17" t="b">
        <f ca="1"/>
        <v>1</v>
      </c>
      <c r="Q42" s="17" t="b">
        <f ca="1"/>
        <v>1</v>
      </c>
    </row>
    <row r="43" spans="2:17" x14ac:dyDescent="0.45">
      <c r="B43" s="27" t="str">
        <f ca="1"/>
        <v>2001-Nov-30</v>
      </c>
      <c r="C43" s="27" t="str">
        <f ca="1"/>
        <v/>
      </c>
      <c r="G43" s="27" t="str">
        <f ca="1"/>
        <v>-770843,#VALUE!</v>
      </c>
      <c r="J43" s="27" t="str">
        <f ca="1"/>
        <v>2001-Nov-30</v>
      </c>
      <c r="K43" s="27" t="str">
        <f ca="1"/>
        <v/>
      </c>
      <c r="M43" s="27" t="str">
        <f ca="1"/>
        <v>2001-Nov-30</v>
      </c>
      <c r="N43" s="27" t="str">
        <f ca="1"/>
        <v/>
      </c>
      <c r="P43" s="17" t="b">
        <f ca="1"/>
        <v>1</v>
      </c>
      <c r="Q43" s="17" t="b">
        <f ca="1"/>
        <v>1</v>
      </c>
    </row>
    <row r="44" spans="2:17" x14ac:dyDescent="0.45">
      <c r="B44" s="27" t="e">
        <f ca="1"/>
        <v>#REF!</v>
      </c>
      <c r="C44" s="27">
        <f ca="1"/>
        <v>278584</v>
      </c>
      <c r="G44" s="27" t="str">
        <f ca="1"/>
        <v>"FALSE","TRUE"</v>
      </c>
      <c r="J44" s="27" t="str">
        <f ca="1"/>
        <v>#REF!</v>
      </c>
      <c r="K44" s="27" t="str">
        <f ca="1"/>
        <v>278584</v>
      </c>
      <c r="M44" s="27" t="e">
        <f ca="1"/>
        <v>#REF!</v>
      </c>
      <c r="N44" s="27">
        <f ca="1"/>
        <v>278584</v>
      </c>
      <c r="P44" s="17" t="b">
        <f ca="1"/>
        <v>1</v>
      </c>
      <c r="Q44" s="17" t="b">
        <f ca="1"/>
        <v>1</v>
      </c>
    </row>
    <row r="45" spans="2:17" x14ac:dyDescent="0.45">
      <c r="B45" s="27" t="str">
        <f ca="1"/>
        <v>FALSE</v>
      </c>
      <c r="C45" s="27" t="b">
        <f ca="1"/>
        <v>1</v>
      </c>
      <c r="G45" s="27" t="str">
        <f ca="1"/>
        <v>"FALSE",True</v>
      </c>
      <c r="J45" s="27" t="str">
        <f ca="1"/>
        <v>FALSE</v>
      </c>
      <c r="K45" s="27" t="str">
        <f ca="1"/>
        <v>True</v>
      </c>
      <c r="M45" s="27" t="str">
        <f ca="1"/>
        <v>FALSE</v>
      </c>
      <c r="N45" s="27" t="b">
        <f ca="1"/>
        <v>1</v>
      </c>
      <c r="P45" s="17" t="b">
        <f ca="1"/>
        <v>1</v>
      </c>
      <c r="Q45" s="17" t="b">
        <f ca="1"/>
        <v>1</v>
      </c>
    </row>
    <row r="46" spans="2:17" x14ac:dyDescent="0.45">
      <c r="B46" s="27" t="b">
        <f ca="1"/>
        <v>0</v>
      </c>
      <c r="C46" s="27" t="str">
        <f ca="1"/>
        <v>1998-May-12</v>
      </c>
      <c r="G46" s="27" t="str">
        <f ca="1"/>
        <v>"sh@","26611997.1680831"</v>
      </c>
      <c r="J46" s="27" t="str">
        <f ca="1"/>
        <v>False</v>
      </c>
      <c r="K46" s="27" t="str">
        <f ca="1"/>
        <v>1998-May-12</v>
      </c>
      <c r="M46" s="27" t="b">
        <f ca="1"/>
        <v>0</v>
      </c>
      <c r="N46" s="27" t="str">
        <f ca="1"/>
        <v>1998-May-12</v>
      </c>
      <c r="P46" s="17" t="b">
        <f ca="1"/>
        <v>1</v>
      </c>
      <c r="Q46" s="17" t="b">
        <f ca="1"/>
        <v>1</v>
      </c>
    </row>
    <row r="47" spans="2:17" x14ac:dyDescent="0.45">
      <c r="B47" s="27" t="str">
        <f ca="1"/>
        <v/>
      </c>
      <c r="C47" s="27">
        <f ca="1"/>
        <v>517072</v>
      </c>
      <c r="G47" s="27" t="str">
        <f ca="1"/>
        <v>"2001-Nov-30",""</v>
      </c>
      <c r="J47" s="27" t="str">
        <f ca="1"/>
        <v/>
      </c>
      <c r="K47" s="27" t="str">
        <f ca="1"/>
        <v>517072</v>
      </c>
      <c r="M47" s="27" t="str">
        <f ca="1"/>
        <v/>
      </c>
      <c r="N47" s="27">
        <f ca="1"/>
        <v>517072</v>
      </c>
      <c r="P47" s="17" t="b">
        <f ca="1"/>
        <v>1</v>
      </c>
      <c r="Q47" s="17" t="b">
        <f ca="1"/>
        <v>1</v>
      </c>
    </row>
    <row r="48" spans="2:17" x14ac:dyDescent="0.45">
      <c r="B48" s="27">
        <f ca="1"/>
        <v>0</v>
      </c>
      <c r="C48" s="27" t="e">
        <f ca="1"/>
      </c>
      <c r="G48" s="27" t="str">
        <f ca="1"/>
        <v>#REF!,278584</v>
      </c>
      <c r="J48" s="27" t="str">
        <f ca="1"/>
        <v>0</v>
      </c>
      <c r="K48" s="27" t="str">
        <f ca="1"/>
        <v>#SPILL!</v>
      </c>
      <c r="M48" s="27">
        <f ca="1"/>
        <v>0</v>
      </c>
      <c r="N48" s="27" t="e">
        <f ca="1"/>
      </c>
      <c r="P48" s="17" t="b">
        <f ca="1"/>
        <v>1</v>
      </c>
      <c r="Q48" s="17" t="b">
        <f ca="1"/>
        <v>1</v>
      </c>
    </row>
    <row r="49" spans="2:17" x14ac:dyDescent="0.45">
      <c r="B49" s="27" t="e">
        <f ca="1"/>
      </c>
      <c r="C49" s="27">
        <f ca="1"/>
        <v>50648</v>
      </c>
      <c r="G49" s="27" t="str">
        <f ca="1"/>
        <v>"FALSE",True</v>
      </c>
      <c r="J49" s="27" t="str">
        <f ca="1"/>
        <v>#CONNECT!</v>
      </c>
      <c r="K49" s="27" t="str">
        <f ca="1"/>
        <v>50648</v>
      </c>
      <c r="M49" s="27" t="e">
        <f ca="1"/>
      </c>
      <c r="N49" s="27">
        <f ca="1"/>
        <v>50648</v>
      </c>
      <c r="P49" s="17" t="b">
        <f ca="1"/>
        <v>1</v>
      </c>
      <c r="Q49" s="17" t="b">
        <f ca="1"/>
        <v>1</v>
      </c>
    </row>
    <row r="50" spans="2:17" x14ac:dyDescent="0.45">
      <c r="B50" s="27" t="str">
        <f ca="1"/>
        <v/>
      </c>
      <c r="C50" s="27" t="b">
        <f ca="1"/>
        <v>0</v>
      </c>
      <c r="G50" s="27" t="str">
        <f ca="1"/>
        <v>False,"1998-May-12"</v>
      </c>
      <c r="J50" s="27" t="str">
        <f ca="1"/>
        <v/>
      </c>
      <c r="K50" s="27" t="str">
        <f ca="1"/>
        <v>False</v>
      </c>
      <c r="M50" s="27" t="str">
        <f ca="1"/>
        <v/>
      </c>
      <c r="N50" s="27" t="b">
        <f ca="1"/>
        <v>0</v>
      </c>
      <c r="P50" s="17" t="b">
        <f ca="1"/>
        <v>1</v>
      </c>
      <c r="Q50" s="17" t="b">
        <f ca="1"/>
        <v>1</v>
      </c>
    </row>
    <row r="51" spans="2:17" x14ac:dyDescent="0.45">
      <c r="B51" s="27">
        <f ca="1"/>
        <v>-521279</v>
      </c>
      <c r="C51" s="27" t="str">
        <f ca="1"/>
        <v>1994-Feb-20</v>
      </c>
      <c r="G51" s="27" t="str">
        <f ca="1"/>
        <v>"",517072</v>
      </c>
      <c r="J51" s="27" t="str">
        <f ca="1"/>
        <v>-521279</v>
      </c>
      <c r="K51" s="27" t="str">
        <f ca="1"/>
        <v>1994-Feb-20</v>
      </c>
      <c r="M51" s="27">
        <f ca="1"/>
        <v>-521279</v>
      </c>
      <c r="N51" s="27" t="str">
        <f ca="1"/>
        <v>1994-Feb-20</v>
      </c>
      <c r="P51" s="17" t="b">
        <f ca="1"/>
        <v>1</v>
      </c>
      <c r="Q51" s="17" t="b">
        <f ca="1"/>
        <v>1</v>
      </c>
    </row>
    <row r="52" spans="2:17" x14ac:dyDescent="0.45">
      <c r="B52" s="27">
        <f ca="1"/>
        <v>-546845</v>
      </c>
      <c r="C52" s="27">
        <f ca="1"/>
        <v>36408</v>
      </c>
      <c r="G52" s="27" t="str">
        <f ca="1"/>
        <v>0,#SPILL!</v>
      </c>
      <c r="J52" s="27" t="str">
        <f ca="1"/>
        <v>-546845</v>
      </c>
      <c r="K52" s="27" t="str">
        <f ca="1"/>
        <v>36408</v>
      </c>
      <c r="M52" s="27">
        <f ca="1"/>
        <v>-546845</v>
      </c>
      <c r="N52" s="27">
        <f ca="1"/>
        <v>36408</v>
      </c>
      <c r="P52" s="17" t="b">
        <f ca="1"/>
        <v>1</v>
      </c>
      <c r="Q52" s="17" t="b">
        <f ca="1"/>
        <v>1</v>
      </c>
    </row>
    <row r="53" spans="2:17" x14ac:dyDescent="0.45">
      <c r="G53" s="27" t="str">
        <f ca="1"/>
        <v>#CONNECT!,50648</v>
      </c>
    </row>
    <row r="54" spans="2:17" x14ac:dyDescent="0.45">
      <c r="G54" s="27" t="str">
        <f ca="1"/>
        <v>"",False</v>
      </c>
    </row>
    <row r="55" spans="2:17" x14ac:dyDescent="0.45">
      <c r="G55" s="27" t="str">
        <f ca="1"/>
        <v>-521279,"1994-Feb-20"</v>
      </c>
    </row>
    <row r="56" spans="2:17" x14ac:dyDescent="0.45">
      <c r="G56" s="27" t="str">
        <f ca="1"/>
        <v>-546845,36408</v>
      </c>
    </row>
    <row r="57" spans="2:17" x14ac:dyDescent="0.45">
      <c r="G57" s="27"/>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37</v>
      </c>
    </row>
    <row r="3" spans="2:9" x14ac:dyDescent="0.45">
      <c r="B3" s="32" t="s">
        <v>33</v>
      </c>
      <c r="C3" s="32" t="s">
        <v>34</v>
      </c>
      <c r="H3" s="32" t="s">
        <v>33</v>
      </c>
      <c r="I3" s="32" t="s">
        <v>34</v>
      </c>
    </row>
    <row r="4" spans="2:9" ht="42.75" x14ac:dyDescent="0.45">
      <c r="B4" s="49" t="s">
        <v>277</v>
      </c>
      <c r="C4" s="33" t="s">
        <v>25</v>
      </c>
      <c r="H4" s="33" t="s">
        <v>53</v>
      </c>
      <c r="I4" s="36" t="s">
        <v>60</v>
      </c>
    </row>
    <row r="5" spans="2:9" x14ac:dyDescent="0.45">
      <c r="B5" s="32" t="s">
        <v>31</v>
      </c>
      <c r="C5" s="32" t="s">
        <v>35</v>
      </c>
      <c r="H5" s="32" t="s">
        <v>31</v>
      </c>
      <c r="I5" s="32" t="s">
        <v>35</v>
      </c>
    </row>
    <row r="6" spans="2:9" x14ac:dyDescent="0.45">
      <c r="B6" s="34" t="s">
        <v>0</v>
      </c>
      <c r="C6" s="34" t="s" cm="1">
        <v>26</v>
      </c>
      <c r="H6" s="34" t="s">
        <v>0</v>
      </c>
      <c r="I6" s="36" t="s">
        <v>26</v>
      </c>
    </row>
    <row r="7" spans="2:9" ht="42.75" x14ac:dyDescent="0.45">
      <c r="B7" s="34" t="s">
        <v>267</v>
      </c>
      <c r="C7" s="36" t="s">
        <v>268</v>
      </c>
      <c r="H7" s="34" t="s">
        <v>58</v>
      </c>
      <c r="I7" s="36" t="s">
        <v>65</v>
      </c>
    </row>
    <row r="8" spans="2:9" ht="57" x14ac:dyDescent="0.45">
      <c r="B8" s="35" t="s">
        <v>20</v>
      </c>
      <c r="C8" s="34" t="s">
        <v>27</v>
      </c>
      <c r="H8" s="34" t="s">
        <v>12</v>
      </c>
      <c r="I8" s="34" t="s">
        <v>61</v>
      </c>
    </row>
    <row r="9" spans="2:9" ht="42.75" x14ac:dyDescent="0.45">
      <c r="B9" s="35" t="s">
        <v>1</v>
      </c>
      <c r="C9" s="34" t="s">
        <v>28</v>
      </c>
      <c r="H9" s="34" t="s">
        <v>1</v>
      </c>
      <c r="I9" s="34" t="s">
        <v>62</v>
      </c>
    </row>
    <row r="10" spans="2:9" ht="42.75" x14ac:dyDescent="0.45">
      <c r="B10" s="36" t="s">
        <v>273</v>
      </c>
      <c r="C10" s="36" t="s">
        <v>274</v>
      </c>
      <c r="H10" s="34" t="s">
        <v>13</v>
      </c>
      <c r="I10" s="36" t="s">
        <v>68</v>
      </c>
    </row>
    <row r="11" spans="2:9" ht="28.5" x14ac:dyDescent="0.45">
      <c r="B11" s="34" t="s">
        <v>269</v>
      </c>
      <c r="C11" s="36" t="s">
        <v>270</v>
      </c>
      <c r="H11" s="34" t="s">
        <v>20</v>
      </c>
      <c r="I11" s="34" t="s">
        <v>63</v>
      </c>
    </row>
    <row r="12" spans="2:9" ht="28.5" x14ac:dyDescent="0.45">
      <c r="B12" s="36" t="s">
        <v>21</v>
      </c>
      <c r="C12" s="36" t="s">
        <v>275</v>
      </c>
      <c r="H12" s="34" t="s">
        <v>14</v>
      </c>
      <c r="I12" s="34" t="s">
        <v>66</v>
      </c>
    </row>
    <row r="13" spans="2:9" ht="28.5" x14ac:dyDescent="0.45">
      <c r="B13" s="34" t="s">
        <v>22</v>
      </c>
      <c r="C13" s="36" t="s">
        <v>271</v>
      </c>
      <c r="H13" s="34" t="s">
        <v>15</v>
      </c>
      <c r="I13" s="34" t="s">
        <v>64</v>
      </c>
    </row>
    <row r="14" spans="2:9" ht="28.5" x14ac:dyDescent="0.45">
      <c r="B14" s="34" t="s">
        <v>14</v>
      </c>
      <c r="C14" s="36" t="s">
        <v>272</v>
      </c>
      <c r="H14" s="34" t="s">
        <v>59</v>
      </c>
      <c r="I14" s="36" t="s">
        <v>265</v>
      </c>
    </row>
    <row r="15" spans="2:9" ht="57" x14ac:dyDescent="0.45">
      <c r="B15" s="34" t="s">
        <v>23</v>
      </c>
      <c r="C15" s="34" t="s">
        <v>30</v>
      </c>
      <c r="H15" s="34" t="s">
        <v>38</v>
      </c>
      <c r="I15" s="37" t="s">
        <v>67</v>
      </c>
    </row>
    <row r="16" spans="2:9" ht="28.5" x14ac:dyDescent="0.45">
      <c r="B16" s="34" t="s">
        <v>24</v>
      </c>
      <c r="C16" s="34" t="s">
        <v>29</v>
      </c>
    </row>
    <row r="17" spans="2:8" ht="199.5" x14ac:dyDescent="0.45">
      <c r="B17" s="34" t="s">
        <v>38</v>
      </c>
      <c r="C17" s="36" t="s">
        <v>276</v>
      </c>
    </row>
    <row r="19" spans="2:8" x14ac:dyDescent="0.45">
      <c r="C19" s="10"/>
    </row>
    <row r="20" spans="2:8" x14ac:dyDescent="0.45">
      <c r="C20" s="10"/>
    </row>
    <row r="21" spans="2:8" x14ac:dyDescent="0.45">
      <c r="B21" s="19" t="s">
        <v>82</v>
      </c>
    </row>
    <row r="22" spans="2:8" x14ac:dyDescent="0.45">
      <c r="B22" s="20" t="str" cm="1">
        <f t="array" aca="1" ref="B22:B38" ca="1">CodeToRegister(B4,C4,C6:C16)</f>
        <v>Sub RegisterCSVRead_V2()</v>
      </c>
      <c r="H22" s="20" t="str" cm="1">
        <f t="array" aca="1" ref="H22:H36" ca="1">CodeToRegister(H4,I4,I6:I14)</f>
        <v>Sub RegisterCSVWrite()</v>
      </c>
    </row>
    <row r="23" spans="2:8" x14ac:dyDescent="0.45">
      <c r="B23" s="20" t="str">
        <f ca="1"/>
        <v xml:space="preserve">    Const FnDesc = "Returns the contents of a comma-separated file on disk as an array."</v>
      </c>
      <c r="H23" s="20" t="str">
        <f ca="1"/>
        <v xml:space="preserve">    Const FnDesc = "Creates a csv file on disk containing the data in the array Data. Any existing file of the same name is overwritten. If successful, the function returns the name of the file written, otherwise an error string. "</v>
      </c>
    </row>
    <row r="24" spans="2:8" x14ac:dyDescent="0.45">
      <c r="B24" s="20" t="str">
        <f ca="1"/>
        <v xml:space="preserve">    Dim ArgDescs() As String</v>
      </c>
      <c r="H24" s="20" t="str">
        <f ca="1"/>
        <v xml:space="preserve">    Dim ArgDescs() As String</v>
      </c>
    </row>
    <row r="25" spans="2:8" x14ac:dyDescent="0.45">
      <c r="B25" s="20" t="str">
        <f ca="1"/>
        <v xml:space="preserve">    ReDim ArgDescs(1 To 11)</v>
      </c>
      <c r="H25" s="20" t="str">
        <f ca="1"/>
        <v xml:space="preserve">    ReDim ArgDescs(1 To 9)</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Booleans and Excel Errors into their typed values, or FALSE to leave as strings. For more control enter a string containing the letters N,D,B, and E eg ""NB"" to convert just numbers and Booleans, not dates or errors."</v>
      </c>
      <c r="H27" s="20" t="str">
        <f ca="1"/>
        <v xml:space="preserve">    ArgDescs(2) = "An array of arbitrary data. Elements may be strings, numbers, dates, Booleans, empty, Excel errors or null values."</v>
      </c>
    </row>
    <row r="28" spans="2:8" x14ac:dyDescent="0.45">
      <c r="B28" s="20" t="str">
        <f ca="1"/>
        <v xml:space="preserve">    ArgDescs(3) = "Delimiter character. Defaults to the first instance of comma, tab, semi-colon, colon or vertical bar found in the file outside quoted regions. Enter FALSE to to see the file's raw contents as would be displayed in a text editor."</v>
      </c>
      <c r="H28" s="20"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such as 'yyyy-mm-dd' that determine how dates (e.g. cells formatted as dates) appear in the file."</v>
      </c>
    </row>
    <row r="30" spans="2:8" x14ac:dyDescent="0.45">
      <c r="B30" s="20" t="str">
        <f ca="1"/>
        <v xml:space="preserve">    ArgDescs(5) = "The row in the file at which reading starts. Optional and defaults to 1 to read from the first row."</v>
      </c>
      <c r="H30" s="20" t="str">
        <f ca="1"/>
        <v xml:space="preserve">    ArgDescs(5) = "A format string, such as 'yyyy-mm-dd hh:mm:ss' that determine how elements of dates with time appear in the file. Currently the companion function CVSRead is not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"If TRUE then the file written is encoded as unicode. Defaults to FALSE for an ascii file."</v>
      </c>
    </row>
    <row r="32" spans="2:8" x14ac:dyDescent="0.45">
      <c r="B32" s="20" t="str">
        <f ca="1"/>
        <v xml:space="preserve">    ArgDescs(7) = "The number of rows to read from the file. If omitted (or zero), all rows from SkipToRow to the end of the file are read."</v>
      </c>
      <c r="H32" s="20" t="str">
        <f ca="1"/>
        <v xml:space="preserve">    ArgDescs(7) = "If FALSE (the default) the file written will be ascii. If TRUE the file written will be Unicode."</v>
      </c>
    </row>
    <row r="33" spans="2:8" x14ac:dyDescent="0.45">
      <c r="B33" s="20" t="str">
        <f ca="1"/>
        <v xml:space="preserve">    ArgDescs(8) = "The number of columns to read from the file. If omitted (or zero), all columns from SkipToCol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"Enter TRUE if the file is unicode, FALSE if the file is ascii. Omit to infer from the file's contents."</v>
      </c>
      <c r="H34" s="20" t="str">
        <f ca="1"/>
        <v xml:space="preserve">    ArgDescs(9) = "This argument is for development purposes only, it will soon be removed."</v>
      </c>
    </row>
    <row r="35" spans="2:8" x14ac:dyDescent="0.45">
      <c r="B35" s="20" t="str">
        <f ca="1"/>
        <v xml:space="preserve">    ArgDescs(10) = "Value to represent empty fields (successive delimiters) in the file. May be a string or an Empty value. Optional and defaults to the zero-length string."</v>
      </c>
      <c r="H35" s="20" t="str">
        <f ca="1"/>
        <v xml:space="preserve">    Application.MacroOptions "CSVWrite", FnDesc, , , , , , , , , ArgDescs</v>
      </c>
    </row>
    <row r="36" spans="2:8" x14ac:dyDescent="0.45">
      <c r="B36" s="20" t="str">
        <f ca="1"/>
        <v xml:space="preserve">    ArgDescs(11) = "The character that represents a decimal point. If omitted, then the value from Windows regional settings is used."</v>
      </c>
      <c r="H36" s="20" t="str">
        <f ca="1"/>
        <v>End Sub</v>
      </c>
    </row>
    <row r="37" spans="2:8" x14ac:dyDescent="0.45">
      <c r="B37" s="20" t="str">
        <f ca="1"/>
        <v xml:space="preserve">    Application.MacroOptions "CSVRead_V2", FnDesc, , , , , , , , , ArgDescs</v>
      </c>
    </row>
    <row r="38" spans="2:8" x14ac:dyDescent="0.45">
      <c r="B38" s="20" t="str">
        <f ca="1"/>
        <v>End Sub</v>
      </c>
    </row>
    <row r="39" spans="2:8" x14ac:dyDescent="0.45">
      <c r="B39" s="20"/>
    </row>
    <row r="40" spans="2:8" x14ac:dyDescent="0.45">
      <c r="B40" s="20"/>
    </row>
    <row r="42" spans="2:8" x14ac:dyDescent="0.45">
      <c r="B42" s="18" t="s">
        <v>36</v>
      </c>
      <c r="H42" s="18" t="s">
        <v>36</v>
      </c>
    </row>
    <row r="43" spans="2:8" x14ac:dyDescent="0.45">
      <c r="B43" s="20" t="str" cm="1">
        <f t="array" aca="1" ref="B43:B89" ca="1">HelpForVBE(B4,C4,B6:B16,C6:C16,C17)</f>
        <v>'---------------------------------------------------------------------------------------------------------</v>
      </c>
      <c r="H43" s="20" t="str" cm="1">
        <f t="array" aca="1" ref="H43:H73" ca="1">HelpForVBE(H4,I4,H6:H14,I6:I14,I15)</f>
        <v>'---------------------------------------------------------------------------------------------------------</v>
      </c>
    </row>
    <row r="44" spans="2:8" x14ac:dyDescent="0.45">
      <c r="B44" s="20" t="str">
        <f ca="1"/>
        <v>' Procedure : CSVRead_V2</v>
      </c>
      <c r="H44" s="20" t="str">
        <f ca="1"/>
        <v>' Procedure : CSVWrite</v>
      </c>
    </row>
    <row r="45" spans="2:8" x14ac:dyDescent="0.45">
      <c r="B45" s="20" t="str">
        <f ca="1"/>
        <v>' Purpose   : Returns the contents of a comma-separated file on disk as an array.</v>
      </c>
      <c r="H45" s="20" t="str">
        <f ca="1"/>
        <v>' Purpose   : Creates a csv file on disk containing the data in the array Data. Any existing file of the</v>
      </c>
    </row>
    <row r="46" spans="2:8" x14ac:dyDescent="0.45">
      <c r="B46" s="20" t="str">
        <f ca="1"/>
        <v>' Arguments</v>
      </c>
      <c r="H46" s="20" t="str">
        <f ca="1"/>
        <v>'             same name is overwritten. If successful, the function returns the name of the</v>
      </c>
    </row>
    <row r="47" spans="2:8" x14ac:dyDescent="0.45">
      <c r="B47" s="20" t="str">
        <f ca="1"/>
        <v>' FileName  : The full name of the file, including the path.</v>
      </c>
      <c r="H47" s="20" t="str">
        <f ca="1"/>
        <v xml:space="preserve">'             file written, otherwise an error string. </v>
      </c>
    </row>
    <row r="48" spans="2:8" x14ac:dyDescent="0.45">
      <c r="B48" s="20" t="str">
        <f ca="1"/>
        <v>' ConvertTypes: TRUE to convert Numbers, Dates, Booleans and Excel Errors into their typed values, or</v>
      </c>
      <c r="H48" s="20" t="str">
        <f ca="1"/>
        <v>' Arguments</v>
      </c>
    </row>
    <row r="49" spans="2:8" x14ac:dyDescent="0.45">
      <c r="B49" s="20" t="str">
        <f ca="1"/>
        <v>'             FALSE to leave as strings. For more control enter a string containing the</v>
      </c>
      <c r="H49" s="20" t="str">
        <f ca="1"/>
        <v>' FileName  : The full name of the file, including the path.</v>
      </c>
    </row>
    <row r="50" spans="2:8" x14ac:dyDescent="0.45">
      <c r="B50" s="20" t="str">
        <f ca="1"/>
        <v>'             letters N,D,B, and E eg "NB" to convert just numbers and Booleans, not dates</v>
      </c>
      <c r="H50" s="20" t="str">
        <f ca="1"/>
        <v>' Data      : An array of arbitrary data. Elements may be strings, numbers, dates, Booleans, empty,</v>
      </c>
    </row>
    <row r="51" spans="2:8" x14ac:dyDescent="0.45">
      <c r="B51" s="20" t="str">
        <f ca="1"/>
        <v>'             or errors.</v>
      </c>
      <c r="H51" s="20" t="str">
        <f ca="1"/>
        <v>'             Excel errors or null values.</v>
      </c>
    </row>
    <row r="52" spans="2:8" x14ac:dyDescent="0.45">
      <c r="B52" s="20" t="str">
        <f ca="1"/>
        <v>' Delimiter : Delimiter character. Defaults to the first instance of comma, tab, semi-colon, colon or</v>
      </c>
      <c r="H52" s="20" t="str">
        <f ca="1"/>
        <v>' QuoteAllStrings: If TRUE (the default) then ALL strings are quoted before being written to file. Otherwise</v>
      </c>
    </row>
    <row r="53" spans="2:8" x14ac:dyDescent="0.45">
      <c r="B53" s="20" t="str">
        <f ca="1"/>
        <v>'             vertical bar found in the file outside quoted regions. Enter FALSE to to see</v>
      </c>
      <c r="H53" s="20" t="str">
        <f ca="1"/>
        <v>'             (FALSE) only strings containing characters comma, line feed, carriage return</v>
      </c>
    </row>
    <row r="54" spans="2:8" x14ac:dyDescent="0.45">
      <c r="B54" s="20" t="str">
        <f ca="1"/>
        <v>'             the file's raw contents as would be displayed in a text editor.</v>
      </c>
      <c r="H54" s="20" t="str">
        <f ca="1"/>
        <v>'             or double quote are quoted. Double quotes are always escaped by a second</v>
      </c>
    </row>
    <row r="55" spans="2:8" x14ac:dyDescent="0.45">
      <c r="B55" s="20" t="str">
        <f ca="1"/>
        <v>' DateFormat: The format of dates in the file such as D-M-Y, M-D-Y or Y/M/D. If omitted a value is read</v>
      </c>
      <c r="H55" s="20" t="str">
        <f ca="1"/>
        <v>'             double quote.</v>
      </c>
    </row>
    <row r="56" spans="2:8" x14ac:dyDescent="0.45">
      <c r="B56" s="20" t="str">
        <f ca="1"/>
        <v>'             from Windows regional settings. Repeated D's (or M's or Y's) are equivalent</v>
      </c>
      <c r="H56" s="20" t="str">
        <f ca="1"/>
        <v>' DateFormat: A format string, such as 'yyyy-mm-dd' that determine how dates (e.g. cells formatted as</v>
      </c>
    </row>
    <row r="57" spans="2:8" x14ac:dyDescent="0.45">
      <c r="B57" s="20" t="str">
        <f ca="1"/>
        <v>'             to single instances, so that d-m-y and DD-MMM-YYYY are equivalent.</v>
      </c>
      <c r="H57" s="20" t="str">
        <f ca="1"/>
        <v>'             dates) appear in the file.</v>
      </c>
    </row>
    <row r="58" spans="2:8" x14ac:dyDescent="0.45">
      <c r="B58" s="20" t="str">
        <f ca="1"/>
        <v>' SkipToRow : The row in the file at which reading starts. Optional and defaults to 1 to read from the</v>
      </c>
      <c r="H58" s="20" t="str">
        <f ca="1"/>
        <v>' DateTimeFormat: A format string, such as 'yyyy-mm-dd hh:mm:ss' that determine how elements of dates with</v>
      </c>
    </row>
    <row r="59" spans="2:8" x14ac:dyDescent="0.45">
      <c r="B59" s="20" t="str">
        <f ca="1"/>
        <v>'             first row.</v>
      </c>
      <c r="H59" s="20" t="str">
        <f ca="1"/>
        <v>'             time appear in the file. Currently the companion function CVSRead is not</v>
      </c>
    </row>
    <row r="60" spans="2:8" x14ac:dyDescent="0.45">
      <c r="B60" s="20" t="str">
        <f ca="1"/>
        <v>' SkipToCol : The column in the file at which reading starts. Optional and defaults to 1 to read from</v>
      </c>
      <c r="H60" s="20" t="str">
        <f ca="1"/>
        <v>'             capable of interpreting fields written in DateTime format.</v>
      </c>
    </row>
    <row r="61" spans="2:8" x14ac:dyDescent="0.45">
      <c r="B61" s="20" t="str">
        <f ca="1"/>
        <v>'             the first column.</v>
      </c>
      <c r="H61" s="20" t="str">
        <f ca="1"/>
        <v>' Delimiter : If TRUE then the file written is encoded as unicode. Defaults to FALSE for an ascii file.</v>
      </c>
    </row>
    <row r="62" spans="2:8" x14ac:dyDescent="0.45">
      <c r="B62" s="20" t="str">
        <f ca="1"/>
        <v>' NumRows   : The number of rows to read from the file. If omitted (or zero), all rows from SkipToRow to</v>
      </c>
      <c r="H62" s="20" t="str">
        <f ca="1"/>
        <v>' Unicode   : If FALSE (the default) the file written will be ascii. If TRUE the file written will be</v>
      </c>
    </row>
    <row r="63" spans="2:8" x14ac:dyDescent="0.45">
      <c r="B63" s="20" t="str">
        <f ca="1"/>
        <v>'             the end of the file are read.</v>
      </c>
      <c r="H63" s="20" t="str">
        <f ca="1"/>
        <v>'             Unicode.</v>
      </c>
    </row>
    <row r="64" spans="2:8" x14ac:dyDescent="0.45">
      <c r="B64" s="20" t="str">
        <f ca="1"/>
        <v>' NumCols   : The number of columns to read from the file. If omitted (or zero), all columns from</v>
      </c>
      <c r="H64" s="20" t="str">
        <f ca="1"/>
        <v>' EOL       : Enter the required line ending character as "Windows" (or ascii 13 plus ascii 10), or</v>
      </c>
    </row>
    <row r="65" spans="2:8" x14ac:dyDescent="0.45">
      <c r="B65" s="20" t="str">
        <f ca="1"/>
        <v>'             SkipToCol are read.</v>
      </c>
      <c r="H65" s="20" t="str">
        <f ca="1"/>
        <v>'             "Unix" (or ascii 10) or "Mac" (or ascii 13). If omitted defaults to</v>
      </c>
    </row>
    <row r="66" spans="2:8" x14ac:dyDescent="0.45">
      <c r="B66" s="20" t="str">
        <f ca="1"/>
        <v>' Unicode   : Enter TRUE if the file is unicode, FALSE if the file is ascii. Omit to infer from the</v>
      </c>
      <c r="H66" s="20" t="str">
        <f ca="1"/>
        <v>'             "Windows".</v>
      </c>
    </row>
    <row r="67" spans="2:8" x14ac:dyDescent="0.45">
      <c r="B67" s="20" t="str">
        <f ca="1"/>
        <v>'             file's contents.</v>
      </c>
      <c r="H67" s="20" t="str">
        <f ca="1"/>
        <v>' Ragged    : This argument is for development purposes only, it will soon be removed.</v>
      </c>
    </row>
    <row r="68" spans="2:8" x14ac:dyDescent="0.45">
      <c r="B68" s="20" t="str">
        <f ca="1"/>
        <v>' ShowMissingsAs: Value to represent empty fields (successive delimiters) in the file. May be a string or an</v>
      </c>
      <c r="H68" s="20" t="str">
        <f ca="1"/>
        <v>'</v>
      </c>
    </row>
    <row r="69" spans="2:8" x14ac:dyDescent="0.45">
      <c r="B69" s="20" t="str">
        <f ca="1"/>
        <v>'             Empty value. Optional and defaults to the zero-length string.</v>
      </c>
      <c r="H69" s="20" t="str">
        <f ca="1"/>
        <v>' Notes     : See also CSVRead which is the inverse of this function.</v>
      </c>
    </row>
    <row r="70" spans="2:8" x14ac:dyDescent="0.45">
      <c r="B70" s="20" t="str">
        <f ca="1"/>
        <v>' DecimalSeparator: The character that represents a decimal point. If omitted, then the value from Windows</v>
      </c>
      <c r="H70" s="20" t="str">
        <f ca="1"/>
        <v xml:space="preserve">'             </v>
      </c>
    </row>
    <row r="71" spans="2:8" x14ac:dyDescent="0.45">
      <c r="B71" s="20" t="str">
        <f ca="1"/>
        <v>'             regional settings is used.</v>
      </c>
      <c r="H71" s="20" t="str">
        <f ca="1"/>
        <v>'             For definition of the CSV format see</v>
      </c>
    </row>
    <row r="72" spans="2:8" x14ac:dyDescent="0.45">
      <c r="B72" s="20" t="str">
        <f ca="1"/>
        <v>'</v>
      </c>
      <c r="H72" s="20" t="str">
        <f ca="1"/>
        <v>'             https://tools.ietf.org/html/rfc4180#section-2</v>
      </c>
    </row>
    <row r="73" spans="2:8" x14ac:dyDescent="0.45">
      <c r="B73" s="20" t="str">
        <f ca="1"/>
        <v>' Notes     : See also CSVWrite for which this function is the inverse.</v>
      </c>
      <c r="H73" s="20" t="str">
        <f ca="1"/>
        <v>'---------------------------------------------------------------------------------------------------------</v>
      </c>
    </row>
    <row r="74" spans="2:8" x14ac:dyDescent="0.45">
      <c r="B74" s="20" t="str">
        <f ca="1"/>
        <v xml:space="preserve">'             </v>
      </c>
      <c r="H74" s="20"/>
    </row>
    <row r="75" spans="2:8" x14ac:dyDescent="0.45">
      <c r="B75" s="20" t="str">
        <f ca="1"/>
        <v>'             The function handles all csv files that conform to the standards described in</v>
      </c>
      <c r="H75" s="20"/>
    </row>
    <row r="76" spans="2:8" x14ac:dyDescent="0.45">
      <c r="B76" s="20" t="str">
        <f ca="1"/>
        <v>'             RFC4180  https://www.rfc-editor.org/rfc/rfc4180.txt including files with</v>
      </c>
      <c r="H76" s="20"/>
    </row>
    <row r="77" spans="2:8" x14ac:dyDescent="0.45">
      <c r="B77" s="20" t="str">
        <f ca="1"/>
        <v>'             quoted fields.</v>
      </c>
      <c r="H77" s="20"/>
    </row>
    <row r="78" spans="2:8" x14ac:dyDescent="0.45">
      <c r="B78" s="20" t="str">
        <f ca="1"/>
        <v xml:space="preserve">'             </v>
      </c>
      <c r="H78" s="20"/>
    </row>
    <row r="79" spans="2:8" x14ac:dyDescent="0.45">
      <c r="B79" s="20" t="str">
        <f ca="1"/>
        <v>'             In addition the function handles files which break some of those standards:</v>
      </c>
      <c r="H79" s="20"/>
    </row>
    <row r="80" spans="2:8" x14ac:dyDescent="0.45">
      <c r="B80" s="20" t="str">
        <f ca="1"/>
        <v>'             * Not all lines of the file need have the same number of fields. The function</v>
      </c>
      <c r="H80" s="20"/>
    </row>
    <row r="81" spans="2:8" x14ac:dyDescent="0.45">
      <c r="B81" s="20" t="str">
        <f ca="1"/>
        <v>'             "pads" with the value given by ShowMissingsAs.</v>
      </c>
      <c r="H81" s="20"/>
    </row>
    <row r="82" spans="2:8" x14ac:dyDescent="0.45">
      <c r="B82" s="20" t="str">
        <f ca="1"/>
        <v>'             * Fields which start with a double quote but do not end with a double quote</v>
      </c>
      <c r="H82" s="20"/>
    </row>
    <row r="83" spans="2:8" x14ac:dyDescent="0.45">
      <c r="B83" s="20" t="str">
        <f ca="1"/>
        <v>'             are handled by being returned unchanged. Necessarily such fields have an even</v>
      </c>
      <c r="H83" s="20"/>
    </row>
    <row r="84" spans="2:8" x14ac:dyDescent="0.45">
      <c r="B84" s="20" t="str">
        <f ca="1"/>
        <v>'             number of double quotes, or otherwise the field will be treated as the last</v>
      </c>
      <c r="H84" s="20"/>
    </row>
    <row r="85" spans="2:8" x14ac:dyDescent="0.45">
      <c r="B85" s="20" t="str">
        <f ca="1"/>
        <v>'             field in the file.</v>
      </c>
      <c r="H85" s="20"/>
    </row>
    <row r="86" spans="2:8" x14ac:dyDescent="0.45">
      <c r="B86" s="20" t="str">
        <f ca="1"/>
        <v>'             * The standard states that csv files should have Windows-style line endings,</v>
      </c>
      <c r="H86" s="20"/>
    </row>
    <row r="87" spans="2:8" x14ac:dyDescent="0.45">
      <c r="B87" s="20" t="str">
        <f ca="1"/>
        <v>'             but the function supports files with Windows, Unix and (old) Mac line</v>
      </c>
      <c r="H87" s="20"/>
    </row>
    <row r="88" spans="2:8" x14ac:dyDescent="0.45">
      <c r="B88" s="20" t="str">
        <f ca="1"/>
        <v>'             endings. Files may also have mixed line endings.</v>
      </c>
      <c r="H88" s="20"/>
    </row>
    <row r="89" spans="2:8" x14ac:dyDescent="0.45">
      <c r="B89" s="20" t="str">
        <f ca="1"/>
        <v>'---------------------------------------------------------------------------------------------------------</v>
      </c>
      <c r="H89" s="20"/>
    </row>
    <row r="90" spans="2:8" x14ac:dyDescent="0.45">
      <c r="B90" s="20"/>
      <c r="H90" s="20"/>
    </row>
    <row r="91" spans="2:8" x14ac:dyDescent="0.45">
      <c r="B91" s="20"/>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30B5-1B64-4C7B-8E9E-D37FF8342CFE}">
  <sheetPr codeName="Sheet1"/>
  <dimension ref="A1:AF182"/>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4" width="4.9296875" bestFit="1" customWidth="1"/>
    <col min="15" max="15" width="91.73046875" bestFit="1" customWidth="1"/>
    <col min="16" max="16" width="10.6640625" bestFit="1" customWidth="1"/>
  </cols>
  <sheetData>
    <row r="1" spans="1:32" ht="28.5" x14ac:dyDescent="0.85">
      <c r="A1" s="1" t="s">
        <v>226</v>
      </c>
    </row>
    <row r="2" spans="1:32" x14ac:dyDescent="0.45">
      <c r="A2" s="45" t="s">
        <v>256</v>
      </c>
    </row>
    <row r="5" spans="1:32" x14ac:dyDescent="0.45">
      <c r="A5" t="s">
        <v>180</v>
      </c>
      <c r="B5" t="s">
        <v>87</v>
      </c>
      <c r="C5" t="s">
        <v>21</v>
      </c>
      <c r="D5" t="s">
        <v>22</v>
      </c>
      <c r="E5" t="s">
        <v>95</v>
      </c>
      <c r="F5" t="s">
        <v>32</v>
      </c>
      <c r="G5" t="s">
        <v>88</v>
      </c>
      <c r="H5" t="s">
        <v>89</v>
      </c>
      <c r="I5" t="s">
        <v>92</v>
      </c>
      <c r="J5" t="s">
        <v>184</v>
      </c>
      <c r="K5" t="s">
        <v>93</v>
      </c>
      <c r="L5" t="s">
        <v>94</v>
      </c>
      <c r="M5" t="s">
        <v>136</v>
      </c>
      <c r="N5" s="10" t="s">
        <v>183</v>
      </c>
      <c r="O5" t="s">
        <v>0</v>
      </c>
      <c r="P5" t="s">
        <v>90</v>
      </c>
      <c r="AF5">
        <v>5</v>
      </c>
    </row>
    <row r="6" spans="1:32" x14ac:dyDescent="0.45">
      <c r="A6">
        <f>LEN(B6)</f>
        <v>1</v>
      </c>
      <c r="B6" t="s">
        <v>85</v>
      </c>
      <c r="C6" s="42">
        <v>1</v>
      </c>
      <c r="D6">
        <v>1</v>
      </c>
      <c r="E6" t="b">
        <v>1</v>
      </c>
      <c r="F6">
        <v>2.8290000045672059E-4</v>
      </c>
      <c r="G6">
        <v>1.8520001322031021E-4</v>
      </c>
      <c r="H6">
        <v>2.2822699975222349E-2</v>
      </c>
      <c r="I6">
        <v>6.2369997613132E-4</v>
      </c>
      <c r="J6">
        <v>2.1540001034736633E-4</v>
      </c>
      <c r="K6" t="b">
        <v>1</v>
      </c>
      <c r="L6" t="b">
        <v>1</v>
      </c>
      <c r="M6" t="b">
        <v>1</v>
      </c>
      <c r="N6" s="42" t="b">
        <v>1</v>
      </c>
      <c r="O6" t="s">
        <v>91</v>
      </c>
      <c r="P6" s="44">
        <v>3</v>
      </c>
      <c r="AF6">
        <f t="shared" ref="AF6:AF18" si="0">AF5+27</f>
        <v>32</v>
      </c>
    </row>
    <row r="7" spans="1:32" x14ac:dyDescent="0.45">
      <c r="A7">
        <f t="shared" ref="A7:A27" si="1">LEN(B7)</f>
        <v>1</v>
      </c>
      <c r="B7" t="s">
        <v>85</v>
      </c>
      <c r="C7" s="42">
        <v>2</v>
      </c>
      <c r="D7">
        <v>1</v>
      </c>
      <c r="E7" t="b">
        <v>1</v>
      </c>
      <c r="F7">
        <v>1.1735999723896384E-3</v>
      </c>
      <c r="G7">
        <v>1.7600000137463212E-4</v>
      </c>
      <c r="H7">
        <v>1.7512000049464405E-3</v>
      </c>
      <c r="I7">
        <v>4.9140001647174358E-4</v>
      </c>
      <c r="J7">
        <v>1.5590002294629812E-4</v>
      </c>
      <c r="K7" t="b">
        <v>1</v>
      </c>
      <c r="L7" t="b">
        <v>1</v>
      </c>
      <c r="M7" t="b">
        <v>1</v>
      </c>
      <c r="N7" s="42" t="b">
        <v>1</v>
      </c>
      <c r="O7" t="s">
        <v>96</v>
      </c>
      <c r="P7" s="44">
        <v>6</v>
      </c>
      <c r="AF7">
        <f t="shared" si="0"/>
        <v>59</v>
      </c>
    </row>
    <row r="8" spans="1:32" x14ac:dyDescent="0.45">
      <c r="A8">
        <f t="shared" si="1"/>
        <v>1</v>
      </c>
      <c r="B8" t="s">
        <v>85</v>
      </c>
      <c r="C8" s="42">
        <v>4</v>
      </c>
      <c r="D8">
        <v>1</v>
      </c>
      <c r="E8" t="b">
        <v>1</v>
      </c>
      <c r="F8">
        <v>1.1415000190027058E-3</v>
      </c>
      <c r="G8">
        <v>1.829999964684248E-4</v>
      </c>
      <c r="H8">
        <v>1.9192000036127865E-3</v>
      </c>
      <c r="I8">
        <v>4.7809997340664268E-4</v>
      </c>
      <c r="J8">
        <v>1.6090000281110406E-4</v>
      </c>
      <c r="K8" t="b">
        <v>1</v>
      </c>
      <c r="L8" t="b">
        <v>1</v>
      </c>
      <c r="M8" t="b">
        <v>1</v>
      </c>
      <c r="N8" s="42" t="b">
        <v>1</v>
      </c>
      <c r="O8" t="s">
        <v>97</v>
      </c>
      <c r="P8" s="44">
        <v>12</v>
      </c>
      <c r="AF8">
        <f t="shared" si="0"/>
        <v>86</v>
      </c>
    </row>
    <row r="9" spans="1:32" x14ac:dyDescent="0.45">
      <c r="A9">
        <f t="shared" si="1"/>
        <v>1</v>
      </c>
      <c r="B9" t="s">
        <v>85</v>
      </c>
      <c r="C9" s="42">
        <v>8</v>
      </c>
      <c r="D9">
        <v>1</v>
      </c>
      <c r="E9" t="b">
        <v>1</v>
      </c>
      <c r="F9">
        <v>1.6418000450357795E-3</v>
      </c>
      <c r="G9">
        <v>2.1360005484893918E-4</v>
      </c>
      <c r="H9">
        <v>4.4502000091597438E-3</v>
      </c>
      <c r="I9">
        <v>8.037000079639256E-4</v>
      </c>
      <c r="J9">
        <v>2.0389998098835349E-4</v>
      </c>
      <c r="K9" t="b">
        <v>1</v>
      </c>
      <c r="L9" t="b">
        <v>1</v>
      </c>
      <c r="M9" t="b">
        <v>1</v>
      </c>
      <c r="N9" s="42" t="b">
        <v>1</v>
      </c>
      <c r="O9" t="s">
        <v>98</v>
      </c>
      <c r="P9" s="44">
        <v>24</v>
      </c>
      <c r="AF9">
        <f t="shared" si="0"/>
        <v>113</v>
      </c>
    </row>
    <row r="10" spans="1:32" x14ac:dyDescent="0.45">
      <c r="A10">
        <f t="shared" si="1"/>
        <v>1</v>
      </c>
      <c r="B10" t="s">
        <v>85</v>
      </c>
      <c r="C10" s="42">
        <v>16</v>
      </c>
      <c r="D10">
        <v>1</v>
      </c>
      <c r="E10" t="b">
        <v>1</v>
      </c>
      <c r="F10">
        <v>1.7053000046871603E-3</v>
      </c>
      <c r="G10">
        <v>2.4989998200908303E-4</v>
      </c>
      <c r="H10">
        <v>2.4059999850578606E-3</v>
      </c>
      <c r="I10">
        <v>1.0660999687388539E-3</v>
      </c>
      <c r="J10">
        <v>3.003000165335834E-4</v>
      </c>
      <c r="K10" t="b">
        <v>1</v>
      </c>
      <c r="L10" t="b">
        <v>1</v>
      </c>
      <c r="M10" t="b">
        <v>1</v>
      </c>
      <c r="N10" s="42" t="b">
        <v>1</v>
      </c>
      <c r="O10" t="s">
        <v>99</v>
      </c>
      <c r="P10" s="44">
        <v>48</v>
      </c>
      <c r="AF10">
        <f t="shared" si="0"/>
        <v>140</v>
      </c>
    </row>
    <row r="11" spans="1:32" x14ac:dyDescent="0.45">
      <c r="A11">
        <f t="shared" si="1"/>
        <v>1</v>
      </c>
      <c r="B11" t="s">
        <v>85</v>
      </c>
      <c r="C11" s="42">
        <v>32</v>
      </c>
      <c r="D11">
        <v>1</v>
      </c>
      <c r="E11" t="b">
        <v>1</v>
      </c>
      <c r="F11">
        <v>2.1052999654784799E-3</v>
      </c>
      <c r="G11">
        <v>2.9469997389242053E-4</v>
      </c>
      <c r="H11">
        <v>2.4598999880254269E-3</v>
      </c>
      <c r="I11">
        <v>6.5100000938400626E-4</v>
      </c>
      <c r="J11">
        <v>2.5329994969069958E-4</v>
      </c>
      <c r="K11" t="b">
        <v>1</v>
      </c>
      <c r="L11" t="b">
        <v>1</v>
      </c>
      <c r="M11" t="b">
        <v>1</v>
      </c>
      <c r="N11" s="42" t="b">
        <v>1</v>
      </c>
      <c r="O11" t="s">
        <v>100</v>
      </c>
      <c r="P11" s="44">
        <v>96</v>
      </c>
      <c r="AF11">
        <f t="shared" si="0"/>
        <v>167</v>
      </c>
    </row>
    <row r="12" spans="1:32" x14ac:dyDescent="0.45">
      <c r="A12">
        <f t="shared" si="1"/>
        <v>1</v>
      </c>
      <c r="B12" t="s">
        <v>85</v>
      </c>
      <c r="C12" s="42">
        <v>64</v>
      </c>
      <c r="D12">
        <v>1</v>
      </c>
      <c r="E12" t="b">
        <v>1</v>
      </c>
      <c r="F12">
        <v>1.3541000080294907E-3</v>
      </c>
      <c r="G12">
        <v>3.0230003176257014E-4</v>
      </c>
      <c r="H12">
        <v>2.4639999610371888E-3</v>
      </c>
      <c r="I12">
        <v>7.3939998401328921E-4</v>
      </c>
      <c r="J12">
        <v>3.1249999301508069E-4</v>
      </c>
      <c r="K12" t="b">
        <v>1</v>
      </c>
      <c r="L12" t="b">
        <v>1</v>
      </c>
      <c r="M12" t="b">
        <v>1</v>
      </c>
      <c r="N12" s="42" t="b">
        <v>1</v>
      </c>
      <c r="O12" t="s">
        <v>101</v>
      </c>
      <c r="P12" s="44">
        <v>192</v>
      </c>
      <c r="AF12">
        <f t="shared" si="0"/>
        <v>194</v>
      </c>
    </row>
    <row r="13" spans="1:32" x14ac:dyDescent="0.45">
      <c r="A13">
        <f t="shared" si="1"/>
        <v>1</v>
      </c>
      <c r="B13" t="s">
        <v>85</v>
      </c>
      <c r="C13" s="42">
        <v>128</v>
      </c>
      <c r="D13">
        <v>1</v>
      </c>
      <c r="E13" t="b">
        <v>1</v>
      </c>
      <c r="F13">
        <v>2.3159999982453883E-3</v>
      </c>
      <c r="G13">
        <v>5.9209996834397316E-4</v>
      </c>
      <c r="H13">
        <v>4.9316000076942146E-3</v>
      </c>
      <c r="I13">
        <v>1.3046999811194837E-3</v>
      </c>
      <c r="J13">
        <v>4.9279996892437339E-4</v>
      </c>
      <c r="K13" t="b">
        <v>1</v>
      </c>
      <c r="L13" t="b">
        <v>1</v>
      </c>
      <c r="M13" t="b">
        <v>1</v>
      </c>
      <c r="N13" s="42" t="b">
        <v>1</v>
      </c>
      <c r="O13" t="s">
        <v>102</v>
      </c>
      <c r="P13" s="44">
        <v>384</v>
      </c>
      <c r="AF13">
        <f t="shared" si="0"/>
        <v>221</v>
      </c>
    </row>
    <row r="14" spans="1:32" x14ac:dyDescent="0.45">
      <c r="A14">
        <f t="shared" si="1"/>
        <v>1</v>
      </c>
      <c r="B14" t="s">
        <v>85</v>
      </c>
      <c r="C14" s="42">
        <v>256</v>
      </c>
      <c r="D14">
        <v>1</v>
      </c>
      <c r="E14" t="b">
        <v>1</v>
      </c>
      <c r="F14">
        <v>2.8936999733559787E-3</v>
      </c>
      <c r="G14">
        <v>8.409000001847744E-4</v>
      </c>
      <c r="H14">
        <v>4.0083000203594565E-3</v>
      </c>
      <c r="I14">
        <v>1.3898999895900488E-3</v>
      </c>
      <c r="J14">
        <v>7.4230000609531999E-4</v>
      </c>
      <c r="K14" t="b">
        <v>1</v>
      </c>
      <c r="L14" t="b">
        <v>1</v>
      </c>
      <c r="M14" t="b">
        <v>1</v>
      </c>
      <c r="N14" s="42" t="b">
        <v>1</v>
      </c>
      <c r="O14" t="s">
        <v>103</v>
      </c>
      <c r="P14" s="44">
        <v>768</v>
      </c>
      <c r="AF14">
        <f t="shared" si="0"/>
        <v>248</v>
      </c>
    </row>
    <row r="15" spans="1:32" x14ac:dyDescent="0.45">
      <c r="A15">
        <f t="shared" si="1"/>
        <v>1</v>
      </c>
      <c r="B15" t="s">
        <v>85</v>
      </c>
      <c r="C15" s="42">
        <v>512</v>
      </c>
      <c r="D15">
        <v>1</v>
      </c>
      <c r="E15" t="b">
        <v>1</v>
      </c>
      <c r="F15">
        <v>2.5426999782212079E-3</v>
      </c>
      <c r="G15">
        <v>1.0011999984271824E-3</v>
      </c>
      <c r="H15">
        <v>4.7727999626658857E-3</v>
      </c>
      <c r="I15">
        <v>1.7600000137463212E-3</v>
      </c>
      <c r="J15">
        <v>1.1399000068195164E-3</v>
      </c>
      <c r="K15" t="b">
        <v>1</v>
      </c>
      <c r="L15" t="b">
        <v>1</v>
      </c>
      <c r="M15" t="b">
        <v>1</v>
      </c>
      <c r="N15" s="42" t="b">
        <v>1</v>
      </c>
      <c r="O15" t="s">
        <v>104</v>
      </c>
      <c r="P15" s="44">
        <v>1536</v>
      </c>
      <c r="AF15">
        <f t="shared" si="0"/>
        <v>275</v>
      </c>
    </row>
    <row r="16" spans="1:32" x14ac:dyDescent="0.45">
      <c r="A16">
        <f t="shared" si="1"/>
        <v>1</v>
      </c>
      <c r="B16" t="s">
        <v>85</v>
      </c>
      <c r="C16" s="42">
        <v>1024</v>
      </c>
      <c r="D16">
        <v>1</v>
      </c>
      <c r="E16" t="b">
        <v>1</v>
      </c>
      <c r="F16">
        <v>3.3801000099629164E-3</v>
      </c>
      <c r="G16">
        <v>1.5516999992541969E-3</v>
      </c>
      <c r="H16">
        <v>6.687499990221113E-3</v>
      </c>
      <c r="I16">
        <v>2.7635000296868384E-3</v>
      </c>
      <c r="J16">
        <v>1.8102999893017113E-3</v>
      </c>
      <c r="K16" t="b">
        <v>1</v>
      </c>
      <c r="L16" t="b">
        <v>1</v>
      </c>
      <c r="M16" t="b">
        <v>1</v>
      </c>
      <c r="N16" s="42" t="b">
        <v>1</v>
      </c>
      <c r="O16" t="s">
        <v>105</v>
      </c>
      <c r="P16" s="44">
        <v>3072</v>
      </c>
      <c r="AF16">
        <f t="shared" si="0"/>
        <v>302</v>
      </c>
    </row>
    <row r="17" spans="1:32" x14ac:dyDescent="0.45">
      <c r="A17">
        <f t="shared" si="1"/>
        <v>1</v>
      </c>
      <c r="B17" t="s">
        <v>85</v>
      </c>
      <c r="C17" s="42">
        <v>2048</v>
      </c>
      <c r="D17">
        <v>1</v>
      </c>
      <c r="E17" t="b">
        <v>1</v>
      </c>
      <c r="F17">
        <v>4.661999992094934E-3</v>
      </c>
      <c r="G17">
        <v>2.3764999932609499E-3</v>
      </c>
      <c r="H17">
        <v>1.2496099981945008E-2</v>
      </c>
      <c r="I17">
        <v>4.4468999840319157E-3</v>
      </c>
      <c r="J17">
        <v>3.0844000284560025E-3</v>
      </c>
      <c r="K17" t="b">
        <v>1</v>
      </c>
      <c r="L17" t="b">
        <v>1</v>
      </c>
      <c r="M17" t="b">
        <v>1</v>
      </c>
      <c r="N17" s="42" t="b">
        <v>1</v>
      </c>
      <c r="O17" t="s">
        <v>106</v>
      </c>
      <c r="P17" s="44">
        <v>6144</v>
      </c>
      <c r="AF17">
        <f t="shared" si="0"/>
        <v>329</v>
      </c>
    </row>
    <row r="18" spans="1:32" x14ac:dyDescent="0.45">
      <c r="A18">
        <f t="shared" si="1"/>
        <v>1</v>
      </c>
      <c r="B18" t="s">
        <v>85</v>
      </c>
      <c r="C18" s="42">
        <v>4096</v>
      </c>
      <c r="D18">
        <v>1</v>
      </c>
      <c r="E18" t="b">
        <v>1</v>
      </c>
      <c r="F18">
        <v>8.0608000280335546E-3</v>
      </c>
      <c r="G18">
        <v>4.6701999963261187E-3</v>
      </c>
      <c r="H18">
        <v>1.7053999996278435E-2</v>
      </c>
      <c r="I18">
        <v>1.1584400024730712E-2</v>
      </c>
      <c r="J18">
        <v>6.0354999732226133E-3</v>
      </c>
      <c r="K18" t="b">
        <v>1</v>
      </c>
      <c r="L18" t="b">
        <v>1</v>
      </c>
      <c r="M18" t="b">
        <v>1</v>
      </c>
      <c r="N18" s="42" t="b">
        <v>1</v>
      </c>
      <c r="O18" t="s">
        <v>107</v>
      </c>
      <c r="P18" s="44">
        <v>12288</v>
      </c>
      <c r="AF18">
        <f t="shared" si="0"/>
        <v>356</v>
      </c>
    </row>
    <row r="19" spans="1:32" x14ac:dyDescent="0.45">
      <c r="A19">
        <f t="shared" si="1"/>
        <v>1</v>
      </c>
      <c r="B19" t="s">
        <v>85</v>
      </c>
      <c r="C19" s="42">
        <v>8192</v>
      </c>
      <c r="D19">
        <v>1</v>
      </c>
      <c r="E19" t="b">
        <v>1</v>
      </c>
      <c r="F19">
        <v>1.5441700001247227E-2</v>
      </c>
      <c r="G19">
        <v>9.0142000117339194E-3</v>
      </c>
      <c r="H19">
        <v>3.2592900039162487E-2</v>
      </c>
      <c r="I19">
        <v>1.6894999949727207E-2</v>
      </c>
      <c r="J19">
        <v>1.1970999999903142E-2</v>
      </c>
      <c r="K19" t="b">
        <v>1</v>
      </c>
      <c r="L19" t="b">
        <v>1</v>
      </c>
      <c r="M19" t="b">
        <v>1</v>
      </c>
      <c r="N19" s="42" t="b">
        <v>1</v>
      </c>
      <c r="O19" t="s">
        <v>108</v>
      </c>
      <c r="P19" s="44">
        <v>24576</v>
      </c>
    </row>
    <row r="20" spans="1:32" x14ac:dyDescent="0.45">
      <c r="A20">
        <f t="shared" si="1"/>
        <v>1</v>
      </c>
      <c r="B20" t="s">
        <v>85</v>
      </c>
      <c r="C20" s="42">
        <v>16384</v>
      </c>
      <c r="D20">
        <v>1</v>
      </c>
      <c r="E20" t="b">
        <v>1</v>
      </c>
      <c r="F20">
        <v>3.0011800001375377E-2</v>
      </c>
      <c r="G20">
        <v>1.7756899993401021E-2</v>
      </c>
      <c r="H20">
        <v>7.2234599967487156E-2</v>
      </c>
      <c r="I20">
        <v>3.9552000002004206E-2</v>
      </c>
      <c r="J20">
        <v>2.9123500047717243E-2</v>
      </c>
      <c r="K20" t="b">
        <v>1</v>
      </c>
      <c r="L20" t="b">
        <v>1</v>
      </c>
      <c r="M20" t="b">
        <v>1</v>
      </c>
      <c r="N20" s="42" t="b">
        <v>1</v>
      </c>
      <c r="O20" t="s">
        <v>109</v>
      </c>
      <c r="P20" s="44">
        <v>49152</v>
      </c>
    </row>
    <row r="21" spans="1:32" x14ac:dyDescent="0.45">
      <c r="A21">
        <f t="shared" si="1"/>
        <v>1</v>
      </c>
      <c r="B21" t="s">
        <v>85</v>
      </c>
      <c r="C21" s="42">
        <v>32768</v>
      </c>
      <c r="D21">
        <v>1</v>
      </c>
      <c r="E21" t="b">
        <v>1</v>
      </c>
      <c r="F21">
        <v>6.0348200029693544E-2</v>
      </c>
      <c r="G21">
        <v>4.6244600031059235E-2</v>
      </c>
      <c r="H21">
        <v>0.15520310000283644</v>
      </c>
      <c r="I21">
        <v>7.8607500006910414E-2</v>
      </c>
      <c r="J21">
        <v>4.9025400017853826E-2</v>
      </c>
      <c r="K21" t="b">
        <v>1</v>
      </c>
      <c r="L21" t="b">
        <v>1</v>
      </c>
      <c r="M21" t="b">
        <v>1</v>
      </c>
      <c r="N21" s="42" t="b">
        <v>1</v>
      </c>
      <c r="O21" t="s">
        <v>110</v>
      </c>
      <c r="P21" s="44">
        <v>98304</v>
      </c>
    </row>
    <row r="22" spans="1:32" x14ac:dyDescent="0.45">
      <c r="A22">
        <f t="shared" si="1"/>
        <v>1</v>
      </c>
      <c r="B22" t="s">
        <v>85</v>
      </c>
      <c r="C22" s="42">
        <v>65536</v>
      </c>
      <c r="D22">
        <v>1</v>
      </c>
      <c r="E22" t="b">
        <v>1</v>
      </c>
      <c r="F22">
        <v>0.13030229997821152</v>
      </c>
      <c r="G22">
        <v>7.318250002572313E-2</v>
      </c>
      <c r="H22">
        <v>0.2820866999682039</v>
      </c>
      <c r="I22">
        <v>0.14400789997307584</v>
      </c>
      <c r="J22">
        <v>0.10743010003352538</v>
      </c>
      <c r="K22" t="b">
        <v>1</v>
      </c>
      <c r="L22" t="b">
        <v>1</v>
      </c>
      <c r="M22" t="b">
        <v>1</v>
      </c>
      <c r="N22" s="42" t="b">
        <v>1</v>
      </c>
      <c r="O22" t="s">
        <v>111</v>
      </c>
      <c r="P22" s="44">
        <v>196608</v>
      </c>
    </row>
    <row r="23" spans="1:32" x14ac:dyDescent="0.45">
      <c r="A23">
        <f t="shared" si="1"/>
        <v>1</v>
      </c>
      <c r="B23" t="s">
        <v>85</v>
      </c>
      <c r="C23" s="42">
        <v>131072</v>
      </c>
      <c r="D23">
        <v>1</v>
      </c>
      <c r="E23" t="b">
        <v>1</v>
      </c>
      <c r="F23">
        <v>0.28178150003077462</v>
      </c>
      <c r="G23">
        <v>0.14964859996689484</v>
      </c>
      <c r="H23">
        <v>0.62500150001142174</v>
      </c>
      <c r="I23">
        <v>0.30920080002397299</v>
      </c>
      <c r="J23">
        <v>0.24807719996897504</v>
      </c>
      <c r="K23" t="b">
        <v>1</v>
      </c>
      <c r="L23" t="b">
        <v>1</v>
      </c>
      <c r="M23" t="b">
        <v>1</v>
      </c>
      <c r="N23" s="42" t="b">
        <v>1</v>
      </c>
      <c r="O23" t="s">
        <v>112</v>
      </c>
      <c r="P23" s="44">
        <v>393216</v>
      </c>
    </row>
    <row r="24" spans="1:32" x14ac:dyDescent="0.45">
      <c r="A24">
        <f t="shared" si="1"/>
        <v>1</v>
      </c>
      <c r="B24" t="s">
        <v>85</v>
      </c>
      <c r="C24" s="42">
        <v>262144</v>
      </c>
      <c r="D24">
        <v>1</v>
      </c>
      <c r="E24" t="b">
        <v>1</v>
      </c>
      <c r="F24">
        <v>0.68529619998298585</v>
      </c>
      <c r="G24">
        <v>0.32139579998329282</v>
      </c>
      <c r="H24">
        <v>1.1080950000323355</v>
      </c>
      <c r="I24">
        <v>0.74524400004884228</v>
      </c>
      <c r="J24">
        <v>0.40079640003386885</v>
      </c>
      <c r="K24" t="b">
        <v>1</v>
      </c>
      <c r="L24" t="b">
        <v>1</v>
      </c>
      <c r="M24" t="b">
        <v>1</v>
      </c>
      <c r="N24" s="42" t="b">
        <v>1</v>
      </c>
      <c r="O24" t="s">
        <v>113</v>
      </c>
      <c r="P24" s="44">
        <v>786432</v>
      </c>
    </row>
    <row r="25" spans="1:32" x14ac:dyDescent="0.45">
      <c r="A25">
        <f t="shared" si="1"/>
        <v>1</v>
      </c>
      <c r="B25" t="s">
        <v>85</v>
      </c>
      <c r="C25" s="42">
        <v>524288</v>
      </c>
      <c r="D25">
        <v>1</v>
      </c>
      <c r="E25" t="b">
        <v>1</v>
      </c>
      <c r="F25">
        <v>1.7182137999916449</v>
      </c>
      <c r="G25">
        <v>0.6275923999492079</v>
      </c>
      <c r="H25">
        <v>2.330278100038413</v>
      </c>
      <c r="I25">
        <v>1.9031871000188403</v>
      </c>
      <c r="J25">
        <v>0.84625880001112819</v>
      </c>
      <c r="K25" t="b">
        <v>1</v>
      </c>
      <c r="L25" t="b">
        <v>1</v>
      </c>
      <c r="M25" t="b">
        <v>1</v>
      </c>
      <c r="N25" s="42" t="b">
        <v>1</v>
      </c>
      <c r="O25" t="s">
        <v>114</v>
      </c>
      <c r="P25" s="44">
        <v>1572864</v>
      </c>
    </row>
    <row r="26" spans="1:32" x14ac:dyDescent="0.45">
      <c r="A26">
        <f t="shared" si="1"/>
        <v>1</v>
      </c>
      <c r="B26" t="s">
        <v>85</v>
      </c>
      <c r="C26" s="42">
        <v>1048576</v>
      </c>
      <c r="D26">
        <v>1</v>
      </c>
      <c r="E26" t="b">
        <v>1</v>
      </c>
      <c r="F26">
        <v>4.6814566000248305</v>
      </c>
      <c r="G26">
        <v>1.3357477000099607</v>
      </c>
      <c r="H26">
        <v>4.3761660999734886</v>
      </c>
      <c r="I26">
        <v>5.1118712000316009</v>
      </c>
      <c r="J26">
        <v>1.8040685000014491</v>
      </c>
      <c r="K26" t="b">
        <v>1</v>
      </c>
      <c r="L26" t="b">
        <v>1</v>
      </c>
      <c r="M26" t="b">
        <v>1</v>
      </c>
      <c r="N26" s="42" t="b">
        <v>1</v>
      </c>
      <c r="O26" t="s">
        <v>115</v>
      </c>
      <c r="P26" s="44">
        <v>3145728</v>
      </c>
    </row>
    <row r="27" spans="1:32" x14ac:dyDescent="0.45">
      <c r="A27">
        <f t="shared" si="1"/>
        <v>1</v>
      </c>
      <c r="B27" t="s">
        <v>85</v>
      </c>
      <c r="C27" s="42">
        <v>2097152</v>
      </c>
      <c r="D27">
        <v>1</v>
      </c>
      <c r="E27" t="b">
        <v>1</v>
      </c>
      <c r="F27">
        <v>15.127278900006786</v>
      </c>
      <c r="G27">
        <v>2.7925923999864608</v>
      </c>
      <c r="H27">
        <v>8.6799638000084087</v>
      </c>
      <c r="I27">
        <v>15.398568400007207</v>
      </c>
      <c r="J27">
        <v>3.67946379998466</v>
      </c>
      <c r="K27" t="b">
        <v>1</v>
      </c>
      <c r="L27" t="b">
        <v>1</v>
      </c>
      <c r="M27" t="b">
        <v>1</v>
      </c>
      <c r="N27" s="42" t="b">
        <v>1</v>
      </c>
      <c r="O27" t="s">
        <v>116</v>
      </c>
      <c r="P27" s="44">
        <v>6291456</v>
      </c>
    </row>
    <row r="32" spans="1:32" x14ac:dyDescent="0.45">
      <c r="A32" t="s">
        <v>180</v>
      </c>
      <c r="B32" t="s">
        <v>87</v>
      </c>
      <c r="C32" t="s">
        <v>21</v>
      </c>
      <c r="D32" t="s">
        <v>22</v>
      </c>
      <c r="E32" t="s">
        <v>95</v>
      </c>
      <c r="F32" t="s">
        <v>32</v>
      </c>
      <c r="G32" t="s">
        <v>88</v>
      </c>
      <c r="H32" t="s">
        <v>89</v>
      </c>
      <c r="I32" t="s">
        <v>92</v>
      </c>
      <c r="J32" t="s">
        <v>184</v>
      </c>
      <c r="K32" t="s">
        <v>93</v>
      </c>
      <c r="L32" t="s">
        <v>94</v>
      </c>
      <c r="M32" t="s">
        <v>136</v>
      </c>
      <c r="N32" s="10" t="s">
        <v>183</v>
      </c>
      <c r="O32" t="s">
        <v>0</v>
      </c>
      <c r="P32" t="s">
        <v>90</v>
      </c>
    </row>
    <row r="33" spans="1:16" x14ac:dyDescent="0.45">
      <c r="A33">
        <f>LEN(B33)</f>
        <v>32</v>
      </c>
      <c r="B33" t="str">
        <f>REPT("x",32)</f>
        <v>xxxxxxxxxxxxxxxxxxxxxxxxxxxxxxxx</v>
      </c>
      <c r="C33" s="42">
        <v>1</v>
      </c>
      <c r="D33">
        <v>1</v>
      </c>
      <c r="E33" t="b">
        <v>1</v>
      </c>
      <c r="F33">
        <v>1.5176200016867369E-2</v>
      </c>
      <c r="G33">
        <v>1.2494999682530761E-3</v>
      </c>
      <c r="H33">
        <v>2.9074000020045787E-2</v>
      </c>
      <c r="I33">
        <v>5.0879997434094548E-4</v>
      </c>
      <c r="J33">
        <v>2.3910001618787646E-4</v>
      </c>
      <c r="K33" t="b">
        <v>1</v>
      </c>
      <c r="L33" t="b">
        <v>1</v>
      </c>
      <c r="M33" t="b">
        <v>1</v>
      </c>
      <c r="N33" s="42" t="b">
        <v>1</v>
      </c>
      <c r="O33" t="s">
        <v>258</v>
      </c>
      <c r="P33" s="44">
        <v>34</v>
      </c>
    </row>
    <row r="34" spans="1:16" x14ac:dyDescent="0.45">
      <c r="A34">
        <f t="shared" ref="A34:A53" si="2">LEN(B34)</f>
        <v>32</v>
      </c>
      <c r="B34" t="str">
        <f t="shared" ref="B34:B53" si="3">REPT("x",32)</f>
        <v>xxxxxxxxxxxxxxxxxxxxxxxxxxxxxxxx</v>
      </c>
      <c r="C34" s="42">
        <v>2</v>
      </c>
      <c r="D34">
        <v>1</v>
      </c>
      <c r="E34" t="b">
        <v>1</v>
      </c>
      <c r="F34">
        <v>1.6150299983564764E-2</v>
      </c>
      <c r="G34">
        <v>1.269000000320375E-3</v>
      </c>
      <c r="H34">
        <v>6.0208000359125435E-3</v>
      </c>
      <c r="I34">
        <v>6.0759996995329857E-4</v>
      </c>
      <c r="J34">
        <v>2.7339998632669449E-4</v>
      </c>
      <c r="K34" t="b">
        <v>1</v>
      </c>
      <c r="L34" t="b">
        <v>1</v>
      </c>
      <c r="M34" t="b">
        <v>1</v>
      </c>
      <c r="N34" s="42" t="b">
        <v>1</v>
      </c>
      <c r="O34" t="s">
        <v>185</v>
      </c>
      <c r="P34" s="44">
        <v>68</v>
      </c>
    </row>
    <row r="35" spans="1:16" x14ac:dyDescent="0.45">
      <c r="A35">
        <f t="shared" si="2"/>
        <v>32</v>
      </c>
      <c r="B35" t="str">
        <f t="shared" si="3"/>
        <v>xxxxxxxxxxxxxxxxxxxxxxxxxxxxxxxx</v>
      </c>
      <c r="C35" s="42">
        <v>4</v>
      </c>
      <c r="D35">
        <v>1</v>
      </c>
      <c r="E35" t="b">
        <v>1</v>
      </c>
      <c r="F35">
        <v>1.8272000015713274E-2</v>
      </c>
      <c r="G35">
        <v>2.1586999646387994E-3</v>
      </c>
      <c r="H35">
        <v>1.1237400001846254E-2</v>
      </c>
      <c r="I35">
        <v>7.8070000745356083E-4</v>
      </c>
      <c r="J35">
        <v>3.2099999953061342E-4</v>
      </c>
      <c r="K35" t="b">
        <v>1</v>
      </c>
      <c r="L35" t="b">
        <v>1</v>
      </c>
      <c r="M35" t="b">
        <v>1</v>
      </c>
      <c r="N35" s="42" t="b">
        <v>1</v>
      </c>
      <c r="O35" t="s">
        <v>186</v>
      </c>
      <c r="P35" s="44">
        <v>136</v>
      </c>
    </row>
    <row r="36" spans="1:16" x14ac:dyDescent="0.45">
      <c r="A36">
        <f t="shared" si="2"/>
        <v>32</v>
      </c>
      <c r="B36" t="str">
        <f t="shared" si="3"/>
        <v>xxxxxxxxxxxxxxxxxxxxxxxxxxxxxxxx</v>
      </c>
      <c r="C36" s="42">
        <v>8</v>
      </c>
      <c r="D36">
        <v>1</v>
      </c>
      <c r="E36" t="b">
        <v>1</v>
      </c>
      <c r="F36">
        <v>2.0913499989546835E-2</v>
      </c>
      <c r="G36">
        <v>2.4565999628975987E-3</v>
      </c>
      <c r="H36">
        <v>1.0321000008843839E-2</v>
      </c>
      <c r="I36">
        <v>5.9010001132264733E-4</v>
      </c>
      <c r="J36">
        <v>3.0720001086592674E-4</v>
      </c>
      <c r="K36" t="b">
        <v>1</v>
      </c>
      <c r="L36" t="b">
        <v>1</v>
      </c>
      <c r="M36" t="b">
        <v>1</v>
      </c>
      <c r="N36" s="42" t="b">
        <v>1</v>
      </c>
      <c r="O36" t="s">
        <v>187</v>
      </c>
      <c r="P36" s="44">
        <v>272</v>
      </c>
    </row>
    <row r="37" spans="1:16" x14ac:dyDescent="0.45">
      <c r="A37">
        <f t="shared" si="2"/>
        <v>32</v>
      </c>
      <c r="B37" t="str">
        <f t="shared" si="3"/>
        <v>xxxxxxxxxxxxxxxxxxxxxxxxxxxxxxxx</v>
      </c>
      <c r="C37" s="42">
        <v>16</v>
      </c>
      <c r="D37">
        <v>1</v>
      </c>
      <c r="E37" t="b">
        <v>1</v>
      </c>
      <c r="F37">
        <v>1.5614399977494031E-2</v>
      </c>
      <c r="G37">
        <v>1.4206999912858009E-3</v>
      </c>
      <c r="H37">
        <v>3.8908000569790602E-3</v>
      </c>
      <c r="I37">
        <v>6.0960004338994622E-4</v>
      </c>
      <c r="J37">
        <v>3.5640003625303507E-4</v>
      </c>
      <c r="K37" t="b">
        <v>1</v>
      </c>
      <c r="L37" t="b">
        <v>1</v>
      </c>
      <c r="M37" t="b">
        <v>1</v>
      </c>
      <c r="N37" s="42" t="b">
        <v>1</v>
      </c>
      <c r="O37" t="s">
        <v>188</v>
      </c>
      <c r="P37" s="44">
        <v>544</v>
      </c>
    </row>
    <row r="38" spans="1:16" x14ac:dyDescent="0.45">
      <c r="A38">
        <f t="shared" si="2"/>
        <v>32</v>
      </c>
      <c r="B38" t="str">
        <f t="shared" si="3"/>
        <v>xxxxxxxxxxxxxxxxxxxxxxxxxxxxxxxx</v>
      </c>
      <c r="C38" s="42">
        <v>32</v>
      </c>
      <c r="D38">
        <v>1</v>
      </c>
      <c r="E38" t="b">
        <v>1</v>
      </c>
      <c r="F38">
        <v>1.7637600016314536E-2</v>
      </c>
      <c r="G38">
        <v>1.6635000356473029E-3</v>
      </c>
      <c r="H38">
        <v>2.509299956727773E-3</v>
      </c>
      <c r="I38">
        <v>7.2920002276077867E-4</v>
      </c>
      <c r="J38">
        <v>5.5439997231587768E-4</v>
      </c>
      <c r="K38" t="b">
        <v>1</v>
      </c>
      <c r="L38" t="b">
        <v>1</v>
      </c>
      <c r="M38" t="b">
        <v>1</v>
      </c>
      <c r="N38" s="42" t="b">
        <v>1</v>
      </c>
      <c r="O38" t="s">
        <v>189</v>
      </c>
      <c r="P38" s="44">
        <v>1088</v>
      </c>
    </row>
    <row r="39" spans="1:16" x14ac:dyDescent="0.45">
      <c r="A39">
        <f t="shared" si="2"/>
        <v>32</v>
      </c>
      <c r="B39" t="str">
        <f t="shared" si="3"/>
        <v>xxxxxxxxxxxxxxxxxxxxxxxxxxxxxxxx</v>
      </c>
      <c r="C39" s="42">
        <v>64</v>
      </c>
      <c r="D39">
        <v>1</v>
      </c>
      <c r="E39" t="b">
        <v>1</v>
      </c>
      <c r="F39">
        <v>1.5075600007548928E-2</v>
      </c>
      <c r="G39">
        <v>1.5002000145614147E-3</v>
      </c>
      <c r="H39">
        <v>2.628499991260469E-3</v>
      </c>
      <c r="I39">
        <v>8.4190000779926777E-4</v>
      </c>
      <c r="J39">
        <v>5.5699999211356044E-4</v>
      </c>
      <c r="K39" t="b">
        <v>1</v>
      </c>
      <c r="L39" t="b">
        <v>1</v>
      </c>
      <c r="M39" t="b">
        <v>1</v>
      </c>
      <c r="N39" s="42" t="b">
        <v>1</v>
      </c>
      <c r="O39" t="s">
        <v>190</v>
      </c>
      <c r="P39" s="44">
        <v>2176</v>
      </c>
    </row>
    <row r="40" spans="1:16" x14ac:dyDescent="0.45">
      <c r="A40">
        <f t="shared" si="2"/>
        <v>32</v>
      </c>
      <c r="B40" t="str">
        <f t="shared" si="3"/>
        <v>xxxxxxxxxxxxxxxxxxxxxxxxxxxxxxxx</v>
      </c>
      <c r="C40" s="42">
        <v>128</v>
      </c>
      <c r="D40">
        <v>1</v>
      </c>
      <c r="E40" t="b">
        <v>1</v>
      </c>
      <c r="F40">
        <v>1.7717999988235533E-2</v>
      </c>
      <c r="G40">
        <v>1.5152999549172819E-3</v>
      </c>
      <c r="H40">
        <v>2.7157000149600208E-3</v>
      </c>
      <c r="I40">
        <v>8.9299998944625258E-4</v>
      </c>
      <c r="J40">
        <v>8.2370004383847117E-4</v>
      </c>
      <c r="K40" t="b">
        <v>1</v>
      </c>
      <c r="L40" t="b">
        <v>1</v>
      </c>
      <c r="M40" t="b">
        <v>1</v>
      </c>
      <c r="N40" s="42" t="b">
        <v>1</v>
      </c>
      <c r="O40" t="s">
        <v>191</v>
      </c>
      <c r="P40" s="44">
        <v>4352</v>
      </c>
    </row>
    <row r="41" spans="1:16" x14ac:dyDescent="0.45">
      <c r="A41">
        <f t="shared" si="2"/>
        <v>32</v>
      </c>
      <c r="B41" t="str">
        <f t="shared" si="3"/>
        <v>xxxxxxxxxxxxxxxxxxxxxxxxxxxxxxxx</v>
      </c>
      <c r="C41" s="42">
        <v>256</v>
      </c>
      <c r="D41">
        <v>1</v>
      </c>
      <c r="E41" t="b">
        <v>1</v>
      </c>
      <c r="F41">
        <v>1.7991499975323677E-2</v>
      </c>
      <c r="G41">
        <v>1.8862000433728099E-3</v>
      </c>
      <c r="H41">
        <v>3.2590999617241323E-3</v>
      </c>
      <c r="I41">
        <v>1.7961999983526766E-3</v>
      </c>
      <c r="J41">
        <v>1.4314000145532191E-3</v>
      </c>
      <c r="K41" t="b">
        <v>1</v>
      </c>
      <c r="L41" t="b">
        <v>1</v>
      </c>
      <c r="M41" t="b">
        <v>1</v>
      </c>
      <c r="N41" s="42" t="b">
        <v>1</v>
      </c>
      <c r="O41" t="s">
        <v>192</v>
      </c>
      <c r="P41" s="44">
        <v>8704</v>
      </c>
    </row>
    <row r="42" spans="1:16" x14ac:dyDescent="0.45">
      <c r="A42">
        <f t="shared" si="2"/>
        <v>32</v>
      </c>
      <c r="B42" t="str">
        <f t="shared" si="3"/>
        <v>xxxxxxxxxxxxxxxxxxxxxxxxxxxxxxxx</v>
      </c>
      <c r="C42" s="42">
        <v>512</v>
      </c>
      <c r="D42">
        <v>1</v>
      </c>
      <c r="E42" t="b">
        <v>1</v>
      </c>
      <c r="F42">
        <v>2.2485299967229366E-2</v>
      </c>
      <c r="G42">
        <v>2.6604000013321638E-3</v>
      </c>
      <c r="H42">
        <v>4.7257000114768744E-3</v>
      </c>
      <c r="I42">
        <v>2.3789000115357339E-3</v>
      </c>
      <c r="J42">
        <v>2.6713999686762691E-3</v>
      </c>
      <c r="K42" t="b">
        <v>1</v>
      </c>
      <c r="L42" t="b">
        <v>1</v>
      </c>
      <c r="M42" t="b">
        <v>1</v>
      </c>
      <c r="N42" s="42" t="b">
        <v>1</v>
      </c>
      <c r="O42" t="s">
        <v>193</v>
      </c>
      <c r="P42" s="44">
        <v>17408</v>
      </c>
    </row>
    <row r="43" spans="1:16" x14ac:dyDescent="0.45">
      <c r="A43">
        <f t="shared" si="2"/>
        <v>32</v>
      </c>
      <c r="B43" t="str">
        <f t="shared" si="3"/>
        <v>xxxxxxxxxxxxxxxxxxxxxxxxxxxxxxxx</v>
      </c>
      <c r="C43" s="42">
        <v>1024</v>
      </c>
      <c r="D43">
        <v>1</v>
      </c>
      <c r="E43" t="b">
        <v>1</v>
      </c>
      <c r="F43">
        <v>2.6814000040758401E-2</v>
      </c>
      <c r="G43">
        <v>4.0687999571673572E-3</v>
      </c>
      <c r="H43">
        <v>7.0496000116690993E-3</v>
      </c>
      <c r="I43">
        <v>4.3134000152349472E-3</v>
      </c>
      <c r="J43">
        <v>4.7157999943010509E-3</v>
      </c>
      <c r="K43" t="b">
        <v>1</v>
      </c>
      <c r="L43" t="b">
        <v>1</v>
      </c>
      <c r="M43" t="b">
        <v>1</v>
      </c>
      <c r="N43" s="42" t="b">
        <v>1</v>
      </c>
      <c r="O43" t="s">
        <v>194</v>
      </c>
      <c r="P43" s="44">
        <v>34816</v>
      </c>
    </row>
    <row r="44" spans="1:16" x14ac:dyDescent="0.45">
      <c r="A44">
        <f t="shared" si="2"/>
        <v>32</v>
      </c>
      <c r="B44" t="str">
        <f t="shared" si="3"/>
        <v>xxxxxxxxxxxxxxxxxxxxxxxxxxxxxxxx</v>
      </c>
      <c r="C44" s="42">
        <v>2048</v>
      </c>
      <c r="D44">
        <v>1</v>
      </c>
      <c r="E44" t="b">
        <v>1</v>
      </c>
      <c r="F44">
        <v>3.002459998242557E-2</v>
      </c>
      <c r="G44">
        <v>6.6223000176250935E-3</v>
      </c>
      <c r="H44">
        <v>1.0933599958661944E-2</v>
      </c>
      <c r="I44">
        <v>7.9566000495105982E-3</v>
      </c>
      <c r="J44">
        <v>1.0223999968729913E-2</v>
      </c>
      <c r="K44" t="b">
        <v>1</v>
      </c>
      <c r="L44" t="b">
        <v>1</v>
      </c>
      <c r="M44" t="b">
        <v>1</v>
      </c>
      <c r="N44" s="42" t="b">
        <v>1</v>
      </c>
      <c r="O44" t="s">
        <v>195</v>
      </c>
      <c r="P44" s="44">
        <v>69632</v>
      </c>
    </row>
    <row r="45" spans="1:16" x14ac:dyDescent="0.45">
      <c r="A45">
        <f t="shared" si="2"/>
        <v>32</v>
      </c>
      <c r="B45" t="str">
        <f t="shared" si="3"/>
        <v>xxxxxxxxxxxxxxxxxxxxxxxxxxxxxxxx</v>
      </c>
      <c r="C45" s="42">
        <v>4096</v>
      </c>
      <c r="D45">
        <v>1</v>
      </c>
      <c r="E45" t="b">
        <v>1</v>
      </c>
      <c r="F45">
        <v>3.9065100019797683E-2</v>
      </c>
      <c r="G45">
        <v>1.280249998671934E-2</v>
      </c>
      <c r="H45">
        <v>2.1599299972876906E-2</v>
      </c>
      <c r="I45">
        <v>1.5065899991896003E-2</v>
      </c>
      <c r="J45">
        <v>2.1680900012142956E-2</v>
      </c>
      <c r="K45" t="b">
        <v>1</v>
      </c>
      <c r="L45" t="b">
        <v>1</v>
      </c>
      <c r="M45" t="b">
        <v>1</v>
      </c>
      <c r="N45" s="42" t="b">
        <v>1</v>
      </c>
      <c r="O45" t="s">
        <v>196</v>
      </c>
      <c r="P45" s="44">
        <v>139264</v>
      </c>
    </row>
    <row r="46" spans="1:16" x14ac:dyDescent="0.45">
      <c r="A46">
        <f t="shared" si="2"/>
        <v>32</v>
      </c>
      <c r="B46" t="str">
        <f t="shared" si="3"/>
        <v>xxxxxxxxxxxxxxxxxxxxxxxxxxxxxxxx</v>
      </c>
      <c r="C46" s="42">
        <v>8192</v>
      </c>
      <c r="D46">
        <v>1</v>
      </c>
      <c r="E46" t="b">
        <v>1</v>
      </c>
      <c r="F46">
        <v>5.2646900003310293E-2</v>
      </c>
      <c r="G46">
        <v>2.4837300006765872E-2</v>
      </c>
      <c r="H46">
        <v>3.7649900012183934E-2</v>
      </c>
      <c r="I46">
        <v>3.0964299978222698E-2</v>
      </c>
      <c r="J46">
        <v>3.9407100004609674E-2</v>
      </c>
      <c r="K46" t="b">
        <v>1</v>
      </c>
      <c r="L46" t="b">
        <v>1</v>
      </c>
      <c r="M46" t="b">
        <v>1</v>
      </c>
      <c r="N46" s="42" t="b">
        <v>1</v>
      </c>
      <c r="O46" t="s">
        <v>197</v>
      </c>
      <c r="P46" s="44">
        <v>278528</v>
      </c>
    </row>
    <row r="47" spans="1:16" x14ac:dyDescent="0.45">
      <c r="A47">
        <f t="shared" si="2"/>
        <v>32</v>
      </c>
      <c r="B47" t="str">
        <f t="shared" si="3"/>
        <v>xxxxxxxxxxxxxxxxxxxxxxxxxxxxxxxx</v>
      </c>
      <c r="C47" s="42">
        <v>16384</v>
      </c>
      <c r="D47">
        <v>1</v>
      </c>
      <c r="E47" t="b">
        <v>1</v>
      </c>
      <c r="F47">
        <v>7.0219799992628396E-2</v>
      </c>
      <c r="G47">
        <v>4.945739998947829E-2</v>
      </c>
      <c r="H47">
        <v>7.071249996079132E-2</v>
      </c>
      <c r="I47">
        <v>6.3844899996183813E-2</v>
      </c>
      <c r="J47">
        <v>7.5889399973675609E-2</v>
      </c>
      <c r="K47" t="b">
        <v>1</v>
      </c>
      <c r="L47" t="b">
        <v>1</v>
      </c>
      <c r="M47" t="b">
        <v>1</v>
      </c>
      <c r="N47" s="42" t="b">
        <v>1</v>
      </c>
      <c r="O47" t="s">
        <v>198</v>
      </c>
      <c r="P47" s="44">
        <v>557056</v>
      </c>
    </row>
    <row r="48" spans="1:16" x14ac:dyDescent="0.45">
      <c r="A48">
        <f t="shared" si="2"/>
        <v>32</v>
      </c>
      <c r="B48" t="str">
        <f t="shared" si="3"/>
        <v>xxxxxxxxxxxxxxxxxxxxxxxxxxxxxxxx</v>
      </c>
      <c r="C48" s="42">
        <v>32768</v>
      </c>
      <c r="D48">
        <v>1</v>
      </c>
      <c r="E48" t="b">
        <v>1</v>
      </c>
      <c r="F48">
        <v>0.12987430003704503</v>
      </c>
      <c r="G48">
        <v>9.4546800013631582E-2</v>
      </c>
      <c r="H48">
        <v>0.13788689998909831</v>
      </c>
      <c r="I48">
        <v>0.13695169996935874</v>
      </c>
      <c r="J48">
        <v>0.15610749996267259</v>
      </c>
      <c r="K48" t="b">
        <v>1</v>
      </c>
      <c r="L48" t="b">
        <v>1</v>
      </c>
      <c r="M48" t="b">
        <v>1</v>
      </c>
      <c r="N48" s="42" t="b">
        <v>1</v>
      </c>
      <c r="O48" t="s">
        <v>199</v>
      </c>
      <c r="P48" s="44">
        <v>1114112</v>
      </c>
    </row>
    <row r="49" spans="1:16" x14ac:dyDescent="0.45">
      <c r="A49">
        <f t="shared" si="2"/>
        <v>32</v>
      </c>
      <c r="B49" t="str">
        <f t="shared" si="3"/>
        <v>xxxxxxxxxxxxxxxxxxxxxxxxxxxxxxxx</v>
      </c>
      <c r="C49" s="42">
        <v>65536</v>
      </c>
      <c r="D49">
        <v>1</v>
      </c>
      <c r="E49" t="b">
        <v>1</v>
      </c>
      <c r="F49">
        <v>0.25436200003605336</v>
      </c>
      <c r="G49">
        <v>0.23638899996876717</v>
      </c>
      <c r="H49">
        <v>0.27030059997923672</v>
      </c>
      <c r="I49">
        <v>0.26094870001543313</v>
      </c>
      <c r="J49">
        <v>0.30836610001279041</v>
      </c>
      <c r="K49" t="b">
        <v>1</v>
      </c>
      <c r="L49" t="b">
        <v>1</v>
      </c>
      <c r="M49" t="b">
        <v>1</v>
      </c>
      <c r="N49" s="42" t="b">
        <v>1</v>
      </c>
      <c r="O49" t="s">
        <v>200</v>
      </c>
      <c r="P49" s="44">
        <v>2228224</v>
      </c>
    </row>
    <row r="50" spans="1:16" x14ac:dyDescent="0.45">
      <c r="A50">
        <f t="shared" si="2"/>
        <v>32</v>
      </c>
      <c r="B50" t="str">
        <f t="shared" si="3"/>
        <v>xxxxxxxxxxxxxxxxxxxxxxxxxxxxxxxx</v>
      </c>
      <c r="C50" s="42">
        <v>131072</v>
      </c>
      <c r="D50">
        <v>1</v>
      </c>
      <c r="E50" t="b">
        <v>1</v>
      </c>
      <c r="F50">
        <v>0.6004341000225395</v>
      </c>
      <c r="G50">
        <v>0.37130940001225099</v>
      </c>
      <c r="H50">
        <v>0.54300399997737259</v>
      </c>
      <c r="I50">
        <v>0.53036559995962307</v>
      </c>
      <c r="J50">
        <v>0.62640100001590326</v>
      </c>
      <c r="K50" t="b">
        <v>1</v>
      </c>
      <c r="L50" t="b">
        <v>1</v>
      </c>
      <c r="M50" t="b">
        <v>1</v>
      </c>
      <c r="N50" s="42" t="b">
        <v>1</v>
      </c>
      <c r="O50" t="s">
        <v>201</v>
      </c>
      <c r="P50" s="44">
        <v>4456448</v>
      </c>
    </row>
    <row r="51" spans="1:16" x14ac:dyDescent="0.45">
      <c r="A51">
        <f t="shared" si="2"/>
        <v>32</v>
      </c>
      <c r="B51" t="str">
        <f t="shared" si="3"/>
        <v>xxxxxxxxxxxxxxxxxxxxxxxxxxxxxxxx</v>
      </c>
      <c r="C51" s="42">
        <v>262144</v>
      </c>
      <c r="D51">
        <v>1</v>
      </c>
      <c r="E51" t="b">
        <v>1</v>
      </c>
      <c r="F51">
        <v>1.2257075000088662</v>
      </c>
      <c r="G51">
        <v>0.83484650001628324</v>
      </c>
      <c r="H51">
        <v>1.6811251000035554</v>
      </c>
      <c r="I51">
        <v>1.3151761000044644</v>
      </c>
      <c r="J51">
        <v>1.4010665999958292</v>
      </c>
      <c r="K51" t="b">
        <v>1</v>
      </c>
      <c r="L51" t="b">
        <v>1</v>
      </c>
      <c r="M51" t="b">
        <v>1</v>
      </c>
      <c r="N51" s="42" t="b">
        <v>1</v>
      </c>
      <c r="O51" t="s">
        <v>202</v>
      </c>
      <c r="P51" s="44">
        <v>8912896</v>
      </c>
    </row>
    <row r="52" spans="1:16" x14ac:dyDescent="0.45">
      <c r="A52">
        <f t="shared" si="2"/>
        <v>32</v>
      </c>
      <c r="B52" t="str">
        <f t="shared" si="3"/>
        <v>xxxxxxxxxxxxxxxxxxxxxxxxxxxxxxxx</v>
      </c>
      <c r="C52" s="42">
        <v>524288</v>
      </c>
      <c r="D52">
        <v>1</v>
      </c>
      <c r="E52" t="b">
        <v>1</v>
      </c>
      <c r="F52">
        <v>2.9604671000270173</v>
      </c>
      <c r="G52">
        <v>1.5643389000324532</v>
      </c>
      <c r="H52">
        <v>2.7096040000324138</v>
      </c>
      <c r="I52">
        <v>2.8399193999939598</v>
      </c>
      <c r="J52">
        <v>2.8456501999753527</v>
      </c>
      <c r="K52" t="b">
        <v>1</v>
      </c>
      <c r="L52" t="b">
        <v>1</v>
      </c>
      <c r="M52" t="b">
        <v>1</v>
      </c>
      <c r="N52" s="42" t="b">
        <v>1</v>
      </c>
      <c r="O52" t="s">
        <v>203</v>
      </c>
      <c r="P52" s="44">
        <v>17825792</v>
      </c>
    </row>
    <row r="53" spans="1:16" x14ac:dyDescent="0.45">
      <c r="A53">
        <f t="shared" si="2"/>
        <v>32</v>
      </c>
      <c r="B53" t="str">
        <f t="shared" si="3"/>
        <v>xxxxxxxxxxxxxxxxxxxxxxxxxxxxxxxx</v>
      </c>
      <c r="C53" s="42">
        <v>1048576</v>
      </c>
      <c r="D53">
        <v>1</v>
      </c>
      <c r="E53" t="b">
        <v>1</v>
      </c>
      <c r="F53">
        <v>6.912750200019218</v>
      </c>
      <c r="G53">
        <v>3.8571489999885671</v>
      </c>
      <c r="H53">
        <v>5.9129245999502018</v>
      </c>
      <c r="I53">
        <v>7.6316496999934316</v>
      </c>
      <c r="J53">
        <v>5.6242901000077836</v>
      </c>
      <c r="K53" t="b">
        <v>1</v>
      </c>
      <c r="L53" t="b">
        <v>1</v>
      </c>
      <c r="M53" t="b">
        <v>1</v>
      </c>
      <c r="N53" s="42" t="b">
        <v>1</v>
      </c>
      <c r="O53" t="s">
        <v>204</v>
      </c>
      <c r="P53" s="44">
        <v>35651584</v>
      </c>
    </row>
    <row r="54" spans="1:16" x14ac:dyDescent="0.45">
      <c r="C54" s="42"/>
      <c r="N54" s="42"/>
    </row>
    <row r="59" spans="1:16" x14ac:dyDescent="0.45">
      <c r="A59" t="s">
        <v>180</v>
      </c>
      <c r="B59" t="s">
        <v>87</v>
      </c>
      <c r="C59" t="s">
        <v>21</v>
      </c>
      <c r="D59" t="s">
        <v>22</v>
      </c>
      <c r="E59" t="s">
        <v>95</v>
      </c>
      <c r="F59" t="s">
        <v>32</v>
      </c>
      <c r="G59" t="s">
        <v>88</v>
      </c>
      <c r="H59" t="s">
        <v>89</v>
      </c>
      <c r="I59" t="s">
        <v>92</v>
      </c>
      <c r="J59" t="s">
        <v>184</v>
      </c>
      <c r="K59" t="s">
        <v>93</v>
      </c>
      <c r="L59" t="s">
        <v>94</v>
      </c>
      <c r="M59" t="s">
        <v>136</v>
      </c>
      <c r="N59" s="10" t="s">
        <v>183</v>
      </c>
      <c r="O59" t="s">
        <v>0</v>
      </c>
      <c r="P59" t="s">
        <v>90</v>
      </c>
    </row>
    <row r="60" spans="1:16" x14ac:dyDescent="0.45">
      <c r="A60">
        <f>LEN(B60)</f>
        <v>20</v>
      </c>
      <c r="B60" t="str">
        <f>"""xxxxxxxx"&amp;CHAR(13)&amp;CHAR(10)&amp;"yyyyyyyy"""</f>
        <v>"xxxxxxxx_x000D_
yyyyyyyy"</v>
      </c>
      <c r="C60" s="42">
        <v>1</v>
      </c>
      <c r="D60">
        <v>1</v>
      </c>
      <c r="E60" t="b">
        <v>1</v>
      </c>
      <c r="F60">
        <v>4.3053200002759695E-2</v>
      </c>
      <c r="G60">
        <v>1.2667999835684896E-3</v>
      </c>
      <c r="H60">
        <v>2.769280003849417E-2</v>
      </c>
      <c r="I60">
        <v>5.3999997908249497E-4</v>
      </c>
      <c r="J60">
        <v>2.5629997253417969E-4</v>
      </c>
      <c r="K60" t="b">
        <v>1</v>
      </c>
      <c r="L60" t="b">
        <v>1</v>
      </c>
      <c r="M60" t="b">
        <v>1</v>
      </c>
      <c r="N60" s="42" t="b">
        <v>1</v>
      </c>
      <c r="O60" t="s">
        <v>205</v>
      </c>
      <c r="P60" s="44">
        <v>22</v>
      </c>
    </row>
    <row r="61" spans="1:16" x14ac:dyDescent="0.45">
      <c r="A61">
        <f t="shared" ref="A61:A80" si="4">LEN(B61)</f>
        <v>20</v>
      </c>
      <c r="B61" t="str">
        <f t="shared" ref="B61:B80" si="5">"""xxxxxxxx"&amp;CHAR(13)&amp;CHAR(10)&amp;"yyyyyyyy"""</f>
        <v>"xxxxxxxx_x000D_
yyyyyyyy"</v>
      </c>
      <c r="C61" s="42">
        <v>2</v>
      </c>
      <c r="D61">
        <v>1</v>
      </c>
      <c r="E61" t="b">
        <v>1</v>
      </c>
      <c r="F61">
        <v>1.7764899996109307E-2</v>
      </c>
      <c r="G61">
        <v>1.2907999916933477E-3</v>
      </c>
      <c r="H61">
        <v>6.1990999965928495E-3</v>
      </c>
      <c r="I61">
        <v>7.5680000009015203E-4</v>
      </c>
      <c r="J61">
        <v>2.7720001526176929E-4</v>
      </c>
      <c r="K61" t="b">
        <v>1</v>
      </c>
      <c r="L61" t="b">
        <v>1</v>
      </c>
      <c r="M61" t="b">
        <v>1</v>
      </c>
      <c r="N61" s="42" t="b">
        <v>1</v>
      </c>
      <c r="O61" t="s">
        <v>206</v>
      </c>
      <c r="P61" s="44">
        <v>44</v>
      </c>
    </row>
    <row r="62" spans="1:16" x14ac:dyDescent="0.45">
      <c r="A62">
        <f t="shared" si="4"/>
        <v>20</v>
      </c>
      <c r="B62" t="str">
        <f t="shared" si="5"/>
        <v>"xxxxxxxx_x000D_
yyyyyyyy"</v>
      </c>
      <c r="C62" s="42">
        <v>4</v>
      </c>
      <c r="D62">
        <v>1</v>
      </c>
      <c r="E62" t="b">
        <v>1</v>
      </c>
      <c r="F62">
        <v>2.228640002431348E-2</v>
      </c>
      <c r="G62">
        <v>2.2949000122025609E-3</v>
      </c>
      <c r="H62">
        <v>1.5532699995674193E-2</v>
      </c>
      <c r="I62">
        <v>5.9830001555383205E-4</v>
      </c>
      <c r="J62">
        <v>2.7170003158971667E-4</v>
      </c>
      <c r="K62" t="b">
        <v>1</v>
      </c>
      <c r="L62" t="b">
        <v>1</v>
      </c>
      <c r="M62" t="b">
        <v>1</v>
      </c>
      <c r="N62" s="42" t="b">
        <v>1</v>
      </c>
      <c r="O62" t="s">
        <v>207</v>
      </c>
      <c r="P62" s="44">
        <v>88</v>
      </c>
    </row>
    <row r="63" spans="1:16" x14ac:dyDescent="0.45">
      <c r="A63">
        <f t="shared" si="4"/>
        <v>20</v>
      </c>
      <c r="B63" t="str">
        <f t="shared" si="5"/>
        <v>"xxxxxxxx_x000D_
yyyyyyyy"</v>
      </c>
      <c r="C63" s="42">
        <v>8</v>
      </c>
      <c r="D63">
        <v>1</v>
      </c>
      <c r="E63" t="b">
        <v>1</v>
      </c>
      <c r="F63">
        <v>1.9337400037329644E-2</v>
      </c>
      <c r="G63">
        <v>2.4294999893754721E-3</v>
      </c>
      <c r="H63">
        <v>9.9958000355400145E-3</v>
      </c>
      <c r="I63">
        <v>1.2200000346638262E-3</v>
      </c>
      <c r="J63">
        <v>1.1156999971717596E-3</v>
      </c>
      <c r="K63" t="b">
        <v>1</v>
      </c>
      <c r="L63" t="b">
        <v>1</v>
      </c>
      <c r="M63" t="b">
        <v>1</v>
      </c>
      <c r="N63" s="42" t="b">
        <v>1</v>
      </c>
      <c r="O63" t="s">
        <v>208</v>
      </c>
      <c r="P63" s="44">
        <v>176</v>
      </c>
    </row>
    <row r="64" spans="1:16" x14ac:dyDescent="0.45">
      <c r="A64">
        <f t="shared" si="4"/>
        <v>20</v>
      </c>
      <c r="B64" t="str">
        <f t="shared" si="5"/>
        <v>"xxxxxxxx_x000D_
yyyyyyyy"</v>
      </c>
      <c r="C64" s="42">
        <v>16</v>
      </c>
      <c r="D64">
        <v>1</v>
      </c>
      <c r="E64" t="b">
        <v>1</v>
      </c>
      <c r="F64">
        <v>2.0543700025882572E-2</v>
      </c>
      <c r="G64">
        <v>2.6966000441461802E-3</v>
      </c>
      <c r="H64">
        <v>7.9304000246338546E-3</v>
      </c>
      <c r="I64">
        <v>9.095999994315207E-4</v>
      </c>
      <c r="J64">
        <v>4.3949997052550316E-4</v>
      </c>
      <c r="K64" t="b">
        <v>1</v>
      </c>
      <c r="L64" t="b">
        <v>1</v>
      </c>
      <c r="M64" t="b">
        <v>1</v>
      </c>
      <c r="N64" s="42" t="b">
        <v>1</v>
      </c>
      <c r="O64" t="s">
        <v>209</v>
      </c>
      <c r="P64" s="44">
        <v>352</v>
      </c>
    </row>
    <row r="65" spans="1:16" x14ac:dyDescent="0.45">
      <c r="A65">
        <f t="shared" si="4"/>
        <v>20</v>
      </c>
      <c r="B65" t="str">
        <f t="shared" si="5"/>
        <v>"xxxxxxxx_x000D_
yyyyyyyy"</v>
      </c>
      <c r="C65" s="42">
        <v>32</v>
      </c>
      <c r="D65">
        <v>1</v>
      </c>
      <c r="E65" t="b">
        <v>1</v>
      </c>
      <c r="F65">
        <v>2.35114999813959E-2</v>
      </c>
      <c r="G65">
        <v>2.0132000208832324E-3</v>
      </c>
      <c r="H65">
        <v>8.0452000256627798E-3</v>
      </c>
      <c r="I65">
        <v>1.4591999934054911E-3</v>
      </c>
      <c r="J65">
        <v>5.8799999533221126E-4</v>
      </c>
      <c r="K65" t="b">
        <v>1</v>
      </c>
      <c r="L65" t="b">
        <v>1</v>
      </c>
      <c r="M65" t="b">
        <v>1</v>
      </c>
      <c r="N65" s="42" t="b">
        <v>1</v>
      </c>
      <c r="O65" t="s">
        <v>210</v>
      </c>
      <c r="P65" s="44">
        <v>704</v>
      </c>
    </row>
    <row r="66" spans="1:16" x14ac:dyDescent="0.45">
      <c r="A66">
        <f t="shared" si="4"/>
        <v>20</v>
      </c>
      <c r="B66" t="str">
        <f t="shared" si="5"/>
        <v>"xxxxxxxx_x000D_
yyyyyyyy"</v>
      </c>
      <c r="C66" s="42">
        <v>64</v>
      </c>
      <c r="D66">
        <v>1</v>
      </c>
      <c r="E66" t="b">
        <v>1</v>
      </c>
      <c r="F66">
        <v>2.1917300007771701E-2</v>
      </c>
      <c r="G66">
        <v>2.4454999947920442E-3</v>
      </c>
      <c r="H66">
        <v>1.0330200020689517E-2</v>
      </c>
      <c r="I66">
        <v>1.8644999945536256E-3</v>
      </c>
      <c r="J66">
        <v>7.9889997141435742E-4</v>
      </c>
      <c r="K66" t="b">
        <v>1</v>
      </c>
      <c r="L66" t="b">
        <v>1</v>
      </c>
      <c r="M66" t="b">
        <v>1</v>
      </c>
      <c r="N66" s="42" t="b">
        <v>1</v>
      </c>
      <c r="O66" t="s">
        <v>211</v>
      </c>
      <c r="P66" s="44">
        <v>1408</v>
      </c>
    </row>
    <row r="67" spans="1:16" x14ac:dyDescent="0.45">
      <c r="A67">
        <f t="shared" si="4"/>
        <v>20</v>
      </c>
      <c r="B67" t="str">
        <f t="shared" si="5"/>
        <v>"xxxxxxxx_x000D_
yyyyyyyy"</v>
      </c>
      <c r="C67" s="42">
        <v>128</v>
      </c>
      <c r="D67">
        <v>1</v>
      </c>
      <c r="E67" t="b">
        <v>1</v>
      </c>
      <c r="F67">
        <v>2.0605999976396561E-2</v>
      </c>
      <c r="G67">
        <v>2.1513000247068703E-3</v>
      </c>
      <c r="H67">
        <v>1.0601599991787225E-2</v>
      </c>
      <c r="I67">
        <v>2.2728000185452402E-3</v>
      </c>
      <c r="J67">
        <v>1.3920000055804849E-3</v>
      </c>
      <c r="K67" t="b">
        <v>1</v>
      </c>
      <c r="L67" t="b">
        <v>1</v>
      </c>
      <c r="M67" t="b">
        <v>1</v>
      </c>
      <c r="N67" s="42" t="b">
        <v>1</v>
      </c>
      <c r="O67" t="s">
        <v>212</v>
      </c>
      <c r="P67" s="44">
        <v>2816</v>
      </c>
    </row>
    <row r="68" spans="1:16" x14ac:dyDescent="0.45">
      <c r="A68">
        <f t="shared" si="4"/>
        <v>20</v>
      </c>
      <c r="B68" t="str">
        <f t="shared" si="5"/>
        <v>"xxxxxxxx_x000D_
yyyyyyyy"</v>
      </c>
      <c r="C68" s="42">
        <v>256</v>
      </c>
      <c r="D68">
        <v>1</v>
      </c>
      <c r="E68" t="b">
        <v>1</v>
      </c>
      <c r="F68">
        <v>5.0478100019972771E-2</v>
      </c>
      <c r="G68">
        <v>4.0399999707005918E-3</v>
      </c>
      <c r="H68">
        <v>2.0968900003936142E-2</v>
      </c>
      <c r="I68">
        <v>3.9017000235617161E-3</v>
      </c>
      <c r="J68">
        <v>2.3947000154294074E-3</v>
      </c>
      <c r="K68" t="b">
        <v>1</v>
      </c>
      <c r="L68" t="b">
        <v>1</v>
      </c>
      <c r="M68" t="b">
        <v>1</v>
      </c>
      <c r="N68" s="42" t="b">
        <v>1</v>
      </c>
      <c r="O68" t="s">
        <v>213</v>
      </c>
      <c r="P68" s="44">
        <v>5632</v>
      </c>
    </row>
    <row r="69" spans="1:16" x14ac:dyDescent="0.45">
      <c r="A69">
        <f t="shared" si="4"/>
        <v>20</v>
      </c>
      <c r="B69" t="str">
        <f t="shared" si="5"/>
        <v>"xxxxxxxx_x000D_
yyyyyyyy"</v>
      </c>
      <c r="C69" s="42">
        <v>512</v>
      </c>
      <c r="D69">
        <v>1</v>
      </c>
      <c r="E69" t="b">
        <v>1</v>
      </c>
      <c r="F69">
        <v>2.4432500009424984E-2</v>
      </c>
      <c r="G69">
        <v>5.3050999995321035E-3</v>
      </c>
      <c r="H69">
        <v>2.8581099992152303E-2</v>
      </c>
      <c r="I69">
        <v>6.2895999872125685E-3</v>
      </c>
      <c r="J69">
        <v>3.6314999451860785E-3</v>
      </c>
      <c r="K69" t="b">
        <v>1</v>
      </c>
      <c r="L69" t="b">
        <v>1</v>
      </c>
      <c r="M69" t="b">
        <v>1</v>
      </c>
      <c r="N69" s="42" t="b">
        <v>1</v>
      </c>
      <c r="O69" t="s">
        <v>214</v>
      </c>
      <c r="P69" s="44">
        <v>11264</v>
      </c>
    </row>
    <row r="70" spans="1:16" x14ac:dyDescent="0.45">
      <c r="A70">
        <f t="shared" si="4"/>
        <v>20</v>
      </c>
      <c r="B70" t="str">
        <f t="shared" si="5"/>
        <v>"xxxxxxxx_x000D_
yyyyyyyy"</v>
      </c>
      <c r="C70" s="42">
        <v>1024</v>
      </c>
      <c r="D70">
        <v>1</v>
      </c>
      <c r="E70" t="b">
        <v>1</v>
      </c>
      <c r="F70">
        <v>2.4309900007210672E-2</v>
      </c>
      <c r="G70">
        <v>6.3566999742761254E-3</v>
      </c>
      <c r="H70">
        <v>4.552970000077039E-2</v>
      </c>
      <c r="I70">
        <v>9.8151999991387129E-3</v>
      </c>
      <c r="J70">
        <v>6.6601000144146383E-3</v>
      </c>
      <c r="K70" t="b">
        <v>1</v>
      </c>
      <c r="L70" t="b">
        <v>1</v>
      </c>
      <c r="M70" t="b">
        <v>1</v>
      </c>
      <c r="N70" s="42" t="b">
        <v>1</v>
      </c>
      <c r="O70" t="s">
        <v>215</v>
      </c>
      <c r="P70" s="44">
        <v>22528</v>
      </c>
    </row>
    <row r="71" spans="1:16" x14ac:dyDescent="0.45">
      <c r="A71">
        <f t="shared" si="4"/>
        <v>20</v>
      </c>
      <c r="B71" t="str">
        <f t="shared" si="5"/>
        <v>"xxxxxxxx_x000D_
yyyyyyyy"</v>
      </c>
      <c r="C71" s="42">
        <v>2048</v>
      </c>
      <c r="D71">
        <v>1</v>
      </c>
      <c r="E71" t="b">
        <v>1</v>
      </c>
      <c r="F71">
        <v>2.5201099982950836E-2</v>
      </c>
      <c r="G71">
        <v>8.8956000399775803E-3</v>
      </c>
      <c r="H71">
        <v>7.3910299979615957E-2</v>
      </c>
      <c r="I71">
        <v>1.6762299987021834E-2</v>
      </c>
      <c r="J71">
        <v>1.0573300009127706E-2</v>
      </c>
      <c r="K71" t="b">
        <v>1</v>
      </c>
      <c r="L71" t="b">
        <v>1</v>
      </c>
      <c r="M71" t="b">
        <v>1</v>
      </c>
      <c r="N71" s="42" t="b">
        <v>1</v>
      </c>
      <c r="O71" t="s">
        <v>216</v>
      </c>
      <c r="P71" s="44">
        <v>45056</v>
      </c>
    </row>
    <row r="72" spans="1:16" x14ac:dyDescent="0.45">
      <c r="A72">
        <f t="shared" si="4"/>
        <v>20</v>
      </c>
      <c r="B72" t="str">
        <f t="shared" si="5"/>
        <v>"xxxxxxxx_x000D_
yyyyyyyy"</v>
      </c>
      <c r="C72" s="42">
        <v>4096</v>
      </c>
      <c r="D72">
        <v>1</v>
      </c>
      <c r="E72" t="b">
        <v>1</v>
      </c>
      <c r="F72">
        <v>3.3447999972850084E-2</v>
      </c>
      <c r="G72">
        <v>1.648879999993369E-2</v>
      </c>
      <c r="H72">
        <v>0.14136650000000373</v>
      </c>
      <c r="I72">
        <v>3.1909200013615191E-2</v>
      </c>
      <c r="J72">
        <v>2.0679200009908527E-2</v>
      </c>
      <c r="K72" t="b">
        <v>1</v>
      </c>
      <c r="L72" t="b">
        <v>1</v>
      </c>
      <c r="M72" t="b">
        <v>1</v>
      </c>
      <c r="N72" s="42" t="b">
        <v>1</v>
      </c>
      <c r="O72" t="s">
        <v>217</v>
      </c>
      <c r="P72" s="44">
        <v>90112</v>
      </c>
    </row>
    <row r="73" spans="1:16" x14ac:dyDescent="0.45">
      <c r="A73">
        <f t="shared" si="4"/>
        <v>20</v>
      </c>
      <c r="B73" t="str">
        <f t="shared" si="5"/>
        <v>"xxxxxxxx_x000D_
yyyyyyyy"</v>
      </c>
      <c r="C73" s="42">
        <v>8192</v>
      </c>
      <c r="D73">
        <v>1</v>
      </c>
      <c r="E73" t="b">
        <v>1</v>
      </c>
      <c r="F73">
        <v>6.8146600038744509E-2</v>
      </c>
      <c r="G73">
        <v>2.8189899981953204E-2</v>
      </c>
      <c r="H73">
        <v>0.29284369997913018</v>
      </c>
      <c r="I73">
        <v>6.3298900029622018E-2</v>
      </c>
      <c r="J73">
        <v>4.023589997086674E-2</v>
      </c>
      <c r="K73" t="b">
        <v>1</v>
      </c>
      <c r="L73" t="b">
        <v>1</v>
      </c>
      <c r="M73" t="b">
        <v>1</v>
      </c>
      <c r="N73" s="42" t="b">
        <v>1</v>
      </c>
      <c r="O73" t="s">
        <v>218</v>
      </c>
      <c r="P73" s="44">
        <v>180224</v>
      </c>
    </row>
    <row r="74" spans="1:16" x14ac:dyDescent="0.45">
      <c r="A74">
        <f t="shared" si="4"/>
        <v>20</v>
      </c>
      <c r="B74" t="str">
        <f t="shared" si="5"/>
        <v>"xxxxxxxx_x000D_
yyyyyyyy"</v>
      </c>
      <c r="C74" s="42">
        <v>16384</v>
      </c>
      <c r="D74">
        <v>1</v>
      </c>
      <c r="E74" t="b">
        <v>1</v>
      </c>
      <c r="F74">
        <v>9.1286499984562397E-2</v>
      </c>
      <c r="G74">
        <v>7.577820000005886E-2</v>
      </c>
      <c r="H74">
        <v>0.57838949997676536</v>
      </c>
      <c r="I74">
        <v>0.12673419999191537</v>
      </c>
      <c r="J74">
        <v>8.0228200007695705E-2</v>
      </c>
      <c r="K74" t="b">
        <v>1</v>
      </c>
      <c r="L74" t="b">
        <v>1</v>
      </c>
      <c r="M74" t="b">
        <v>1</v>
      </c>
      <c r="N74" s="42" t="b">
        <v>1</v>
      </c>
      <c r="O74" t="s">
        <v>219</v>
      </c>
      <c r="P74" s="44">
        <v>360448</v>
      </c>
    </row>
    <row r="75" spans="1:16" x14ac:dyDescent="0.45">
      <c r="A75">
        <f t="shared" si="4"/>
        <v>20</v>
      </c>
      <c r="B75" t="str">
        <f t="shared" si="5"/>
        <v>"xxxxxxxx_x000D_
yyyyyyyy"</v>
      </c>
      <c r="C75" s="42">
        <v>32768</v>
      </c>
      <c r="D75">
        <v>1</v>
      </c>
      <c r="E75" t="b">
        <v>1</v>
      </c>
      <c r="F75">
        <v>0.16569309995975345</v>
      </c>
      <c r="G75">
        <v>0.11127110000234097</v>
      </c>
      <c r="H75">
        <v>1.0460054000141099</v>
      </c>
      <c r="I75">
        <v>0.25710470002377406</v>
      </c>
      <c r="J75">
        <v>0.16562390001490712</v>
      </c>
      <c r="K75" t="b">
        <v>1</v>
      </c>
      <c r="L75" t="b">
        <v>1</v>
      </c>
      <c r="M75" t="b">
        <v>1</v>
      </c>
      <c r="N75" s="42" t="b">
        <v>1</v>
      </c>
      <c r="O75" t="s">
        <v>220</v>
      </c>
      <c r="P75" s="44">
        <v>720896</v>
      </c>
    </row>
    <row r="76" spans="1:16" x14ac:dyDescent="0.45">
      <c r="A76">
        <f t="shared" si="4"/>
        <v>20</v>
      </c>
      <c r="B76" t="str">
        <f t="shared" si="5"/>
        <v>"xxxxxxxx_x000D_
yyyyyyyy"</v>
      </c>
      <c r="C76" s="42">
        <v>65536</v>
      </c>
      <c r="D76">
        <v>1</v>
      </c>
      <c r="E76" t="b">
        <v>1</v>
      </c>
      <c r="F76">
        <v>0.30001919995993376</v>
      </c>
      <c r="G76">
        <v>0.21063169999979436</v>
      </c>
      <c r="H76">
        <v>2.1127128999796696</v>
      </c>
      <c r="I76">
        <v>0.55460959998890758</v>
      </c>
      <c r="J76">
        <v>0.38096480001695454</v>
      </c>
      <c r="K76" t="b">
        <v>1</v>
      </c>
      <c r="L76" t="b">
        <v>1</v>
      </c>
      <c r="M76" t="b">
        <v>1</v>
      </c>
      <c r="N76" s="42" t="b">
        <v>1</v>
      </c>
      <c r="O76" t="s">
        <v>221</v>
      </c>
      <c r="P76" s="44">
        <v>1441792</v>
      </c>
    </row>
    <row r="77" spans="1:16" x14ac:dyDescent="0.45">
      <c r="A77">
        <f t="shared" si="4"/>
        <v>20</v>
      </c>
      <c r="B77" t="str">
        <f t="shared" si="5"/>
        <v>"xxxxxxxx_x000D_
yyyyyyyy"</v>
      </c>
      <c r="C77" s="42">
        <v>131072</v>
      </c>
      <c r="D77">
        <v>1</v>
      </c>
      <c r="E77" t="b">
        <v>1</v>
      </c>
      <c r="F77">
        <v>0.58487129997229204</v>
      </c>
      <c r="G77">
        <v>0.54865169996628538</v>
      </c>
      <c r="H77">
        <v>4.552565100020729</v>
      </c>
      <c r="I77">
        <v>1.2147248000255786</v>
      </c>
      <c r="J77">
        <v>0.71838420000858605</v>
      </c>
      <c r="K77" t="b">
        <v>1</v>
      </c>
      <c r="L77" t="b">
        <v>1</v>
      </c>
      <c r="M77" t="b">
        <v>1</v>
      </c>
      <c r="N77" s="42" t="b">
        <v>1</v>
      </c>
      <c r="O77" t="s">
        <v>222</v>
      </c>
      <c r="P77" s="44">
        <v>2883584</v>
      </c>
    </row>
    <row r="78" spans="1:16" x14ac:dyDescent="0.45">
      <c r="A78">
        <f t="shared" si="4"/>
        <v>20</v>
      </c>
      <c r="B78" t="str">
        <f t="shared" si="5"/>
        <v>"xxxxxxxx_x000D_
yyyyyyyy"</v>
      </c>
      <c r="C78" s="42">
        <v>262144</v>
      </c>
      <c r="D78">
        <v>1</v>
      </c>
      <c r="E78" t="b">
        <v>1</v>
      </c>
      <c r="F78">
        <v>1.316952399967704</v>
      </c>
      <c r="G78">
        <v>0.848440199973993</v>
      </c>
      <c r="H78">
        <v>9.8559875999926589</v>
      </c>
      <c r="I78">
        <v>2.295150600024499</v>
      </c>
      <c r="J78">
        <v>1.3641382999485359</v>
      </c>
      <c r="K78" t="b">
        <v>1</v>
      </c>
      <c r="L78" t="b">
        <v>1</v>
      </c>
      <c r="M78" t="b">
        <v>1</v>
      </c>
      <c r="N78" s="42" t="b">
        <v>1</v>
      </c>
      <c r="O78" t="s">
        <v>223</v>
      </c>
      <c r="P78" s="44">
        <v>5767168</v>
      </c>
    </row>
    <row r="79" spans="1:16" x14ac:dyDescent="0.45">
      <c r="A79">
        <f t="shared" si="4"/>
        <v>20</v>
      </c>
      <c r="B79" t="str">
        <f t="shared" si="5"/>
        <v>"xxxxxxxx_x000D_
yyyyyyyy"</v>
      </c>
      <c r="C79" s="42">
        <v>524288</v>
      </c>
      <c r="D79">
        <v>1</v>
      </c>
      <c r="E79" t="b">
        <v>1</v>
      </c>
      <c r="F79">
        <v>2.9243978000013158</v>
      </c>
      <c r="G79">
        <v>1.7199133000103757</v>
      </c>
      <c r="H79">
        <v>20.335658400028478</v>
      </c>
      <c r="I79">
        <v>4.9150539999827743</v>
      </c>
      <c r="J79">
        <v>2.876290499989409</v>
      </c>
      <c r="K79" t="b">
        <v>1</v>
      </c>
      <c r="L79" t="b">
        <v>1</v>
      </c>
      <c r="M79" t="b">
        <v>1</v>
      </c>
      <c r="N79" s="42" t="b">
        <v>1</v>
      </c>
      <c r="O79" t="s">
        <v>224</v>
      </c>
      <c r="P79" s="44">
        <v>11534336</v>
      </c>
    </row>
    <row r="80" spans="1:16" x14ac:dyDescent="0.45">
      <c r="A80">
        <f t="shared" si="4"/>
        <v>20</v>
      </c>
      <c r="B80" t="str">
        <f t="shared" si="5"/>
        <v>"xxxxxxxx_x000D_
yyyyyyyy"</v>
      </c>
      <c r="C80" s="42">
        <v>1048576</v>
      </c>
      <c r="D80">
        <v>1</v>
      </c>
      <c r="E80" t="b">
        <v>1</v>
      </c>
      <c r="F80">
        <v>7.4043524999869987</v>
      </c>
      <c r="G80">
        <v>3.5928548999945633</v>
      </c>
      <c r="H80">
        <v>41.85931209998671</v>
      </c>
      <c r="I80">
        <v>11.426568099996075</v>
      </c>
      <c r="J80">
        <v>9.4910005999845453</v>
      </c>
      <c r="K80" t="b">
        <v>1</v>
      </c>
      <c r="L80" t="b">
        <v>1</v>
      </c>
      <c r="M80" t="b">
        <v>1</v>
      </c>
      <c r="N80" s="42" t="b">
        <v>1</v>
      </c>
      <c r="O80" t="s">
        <v>225</v>
      </c>
      <c r="P80" s="44">
        <v>23068672</v>
      </c>
    </row>
    <row r="81" spans="1:16" x14ac:dyDescent="0.45">
      <c r="C81" s="42"/>
      <c r="N81" s="42"/>
    </row>
    <row r="86" spans="1:16" x14ac:dyDescent="0.45">
      <c r="A86" t="s">
        <v>180</v>
      </c>
      <c r="B86" t="s">
        <v>87</v>
      </c>
      <c r="C86" t="s">
        <v>21</v>
      </c>
      <c r="D86" t="s">
        <v>22</v>
      </c>
      <c r="E86" t="s">
        <v>95</v>
      </c>
      <c r="F86" t="s">
        <v>32</v>
      </c>
      <c r="G86" t="s">
        <v>88</v>
      </c>
      <c r="H86" t="s">
        <v>89</v>
      </c>
      <c r="I86" t="s">
        <v>92</v>
      </c>
      <c r="J86" t="s">
        <v>184</v>
      </c>
      <c r="K86" t="s">
        <v>93</v>
      </c>
      <c r="L86" t="s">
        <v>94</v>
      </c>
      <c r="M86" t="s">
        <v>136</v>
      </c>
      <c r="N86" s="10" t="s">
        <v>183</v>
      </c>
      <c r="O86" t="s">
        <v>0</v>
      </c>
      <c r="P86" t="s">
        <v>90</v>
      </c>
    </row>
    <row r="87" spans="1:16" x14ac:dyDescent="0.45">
      <c r="A87">
        <f>LEN(B87)</f>
        <v>17</v>
      </c>
      <c r="B87">
        <v>0.71905720709757637</v>
      </c>
      <c r="C87" s="40">
        <v>1</v>
      </c>
      <c r="D87" s="41">
        <v>10</v>
      </c>
      <c r="E87" t="b">
        <v>1</v>
      </c>
      <c r="F87">
        <v>1.5077500022016466E-2</v>
      </c>
      <c r="G87">
        <v>1.2296999921090901E-3</v>
      </c>
      <c r="H87">
        <v>1.0052500001620501E-2</v>
      </c>
      <c r="I87">
        <v>5.7710002874955535E-4</v>
      </c>
      <c r="J87">
        <v>2.8779997956007719E-4</v>
      </c>
      <c r="K87" t="b">
        <v>1</v>
      </c>
      <c r="L87" t="b">
        <v>1</v>
      </c>
      <c r="M87" t="b">
        <v>1</v>
      </c>
      <c r="N87" s="42" t="b">
        <v>1</v>
      </c>
      <c r="O87" t="s">
        <v>117</v>
      </c>
      <c r="P87" s="44">
        <v>181</v>
      </c>
    </row>
    <row r="88" spans="1:16" x14ac:dyDescent="0.45">
      <c r="A88">
        <f t="shared" ref="A88:A105" si="6">LEN(B88)</f>
        <v>17</v>
      </c>
      <c r="B88">
        <v>0.71905720709757637</v>
      </c>
      <c r="C88" s="40">
        <v>2</v>
      </c>
      <c r="D88" s="41">
        <v>10</v>
      </c>
      <c r="E88" t="b">
        <v>1</v>
      </c>
      <c r="F88">
        <v>1.5977900009602308E-2</v>
      </c>
      <c r="G88">
        <v>2.3155000526458025E-3</v>
      </c>
      <c r="H88">
        <v>7.305899984203279E-3</v>
      </c>
      <c r="I88">
        <v>7.5720000313594937E-4</v>
      </c>
      <c r="J88">
        <v>3.994000144302845E-4</v>
      </c>
      <c r="K88" t="b">
        <v>1</v>
      </c>
      <c r="L88" t="b">
        <v>1</v>
      </c>
      <c r="M88" t="b">
        <v>1</v>
      </c>
      <c r="N88" s="42" t="b">
        <v>1</v>
      </c>
      <c r="O88" t="s">
        <v>118</v>
      </c>
      <c r="P88" s="44">
        <v>362</v>
      </c>
    </row>
    <row r="89" spans="1:16" x14ac:dyDescent="0.45">
      <c r="A89">
        <f t="shared" si="6"/>
        <v>17</v>
      </c>
      <c r="B89">
        <v>0.71905720709757637</v>
      </c>
      <c r="C89" s="40">
        <v>4</v>
      </c>
      <c r="D89" s="41">
        <v>10</v>
      </c>
      <c r="E89" t="b">
        <v>1</v>
      </c>
      <c r="F89">
        <v>2.319589996477589E-2</v>
      </c>
      <c r="G89">
        <v>2.54539999878034E-3</v>
      </c>
      <c r="H89">
        <v>8.2629999960772693E-3</v>
      </c>
      <c r="I89">
        <v>9.1430003521963954E-4</v>
      </c>
      <c r="J89">
        <v>5.3750001825392246E-4</v>
      </c>
      <c r="K89" t="b">
        <v>1</v>
      </c>
      <c r="L89" t="b">
        <v>1</v>
      </c>
      <c r="M89" t="b">
        <v>1</v>
      </c>
      <c r="N89" s="42" t="b">
        <v>1</v>
      </c>
      <c r="O89" t="s">
        <v>119</v>
      </c>
      <c r="P89" s="44">
        <v>724</v>
      </c>
    </row>
    <row r="90" spans="1:16" x14ac:dyDescent="0.45">
      <c r="A90">
        <f t="shared" si="6"/>
        <v>17</v>
      </c>
      <c r="B90">
        <v>0.71905720709757637</v>
      </c>
      <c r="C90" s="40">
        <v>8</v>
      </c>
      <c r="D90" s="41">
        <v>10</v>
      </c>
      <c r="E90" t="b">
        <v>1</v>
      </c>
      <c r="F90">
        <v>2.1439999982248992E-2</v>
      </c>
      <c r="G90">
        <v>1.7348999972455204E-3</v>
      </c>
      <c r="H90">
        <v>9.4434000202454627E-3</v>
      </c>
      <c r="I90">
        <v>1.1607999913394451E-3</v>
      </c>
      <c r="J90">
        <v>7.7489996328949928E-4</v>
      </c>
      <c r="K90" t="b">
        <v>1</v>
      </c>
      <c r="L90" t="b">
        <v>1</v>
      </c>
      <c r="M90" t="b">
        <v>1</v>
      </c>
      <c r="N90" s="42" t="b">
        <v>1</v>
      </c>
      <c r="O90" t="s">
        <v>120</v>
      </c>
      <c r="P90" s="44">
        <v>1448</v>
      </c>
    </row>
    <row r="91" spans="1:16" x14ac:dyDescent="0.45">
      <c r="A91">
        <f t="shared" si="6"/>
        <v>17</v>
      </c>
      <c r="B91">
        <v>0.71905720709757637</v>
      </c>
      <c r="C91" s="40">
        <v>16</v>
      </c>
      <c r="D91" s="41">
        <v>10</v>
      </c>
      <c r="E91" t="b">
        <v>1</v>
      </c>
      <c r="F91">
        <v>2.3741000040899962E-2</v>
      </c>
      <c r="G91">
        <v>2.4506999761797488E-3</v>
      </c>
      <c r="H91">
        <v>9.990899998228997E-3</v>
      </c>
      <c r="I91">
        <v>1.3537999475374818E-3</v>
      </c>
      <c r="J91">
        <v>1.1577000259421766E-3</v>
      </c>
      <c r="K91" t="b">
        <v>1</v>
      </c>
      <c r="L91" t="b">
        <v>1</v>
      </c>
      <c r="M91" t="b">
        <v>1</v>
      </c>
      <c r="N91" s="42" t="b">
        <v>1</v>
      </c>
      <c r="O91" t="s">
        <v>121</v>
      </c>
      <c r="P91" s="44">
        <v>2896</v>
      </c>
    </row>
    <row r="92" spans="1:16" x14ac:dyDescent="0.45">
      <c r="A92">
        <f t="shared" si="6"/>
        <v>17</v>
      </c>
      <c r="B92">
        <v>0.71905720709757637</v>
      </c>
      <c r="C92" s="40">
        <v>32</v>
      </c>
      <c r="D92" s="41">
        <v>10</v>
      </c>
      <c r="E92" t="b">
        <v>1</v>
      </c>
      <c r="F92">
        <v>2.5429900037124753E-2</v>
      </c>
      <c r="G92">
        <v>3.1936999876052141E-3</v>
      </c>
      <c r="H92">
        <v>8.3415000117383897E-3</v>
      </c>
      <c r="I92">
        <v>1.9475999870337546E-3</v>
      </c>
      <c r="J92">
        <v>4.8537999973632395E-3</v>
      </c>
      <c r="K92" t="b">
        <v>1</v>
      </c>
      <c r="L92" t="b">
        <v>1</v>
      </c>
      <c r="M92" t="b">
        <v>1</v>
      </c>
      <c r="N92" s="42" t="b">
        <v>1</v>
      </c>
      <c r="O92" t="s">
        <v>122</v>
      </c>
      <c r="P92" s="44">
        <v>5792</v>
      </c>
    </row>
    <row r="93" spans="1:16" x14ac:dyDescent="0.45">
      <c r="A93">
        <f t="shared" si="6"/>
        <v>17</v>
      </c>
      <c r="B93">
        <v>0.71905720709757637</v>
      </c>
      <c r="C93" s="40">
        <v>64</v>
      </c>
      <c r="D93" s="41">
        <v>10</v>
      </c>
      <c r="E93" t="b">
        <v>1</v>
      </c>
      <c r="F93">
        <v>2.6990699989255518E-2</v>
      </c>
      <c r="G93">
        <v>3.7969999830238521E-3</v>
      </c>
      <c r="H93">
        <v>1.1326699983328581E-2</v>
      </c>
      <c r="I93">
        <v>2.2527999826706946E-3</v>
      </c>
      <c r="J93">
        <v>3.4712000051513314E-3</v>
      </c>
      <c r="K93" t="b">
        <v>1</v>
      </c>
      <c r="L93" t="b">
        <v>1</v>
      </c>
      <c r="M93" t="b">
        <v>1</v>
      </c>
      <c r="N93" s="42" t="b">
        <v>1</v>
      </c>
      <c r="O93" t="s">
        <v>123</v>
      </c>
      <c r="P93" s="44">
        <v>11584</v>
      </c>
    </row>
    <row r="94" spans="1:16" x14ac:dyDescent="0.45">
      <c r="A94">
        <f t="shared" si="6"/>
        <v>17</v>
      </c>
      <c r="B94">
        <v>0.71905720709757637</v>
      </c>
      <c r="C94" s="40">
        <v>128</v>
      </c>
      <c r="D94" s="41">
        <v>10</v>
      </c>
      <c r="E94" t="b">
        <v>1</v>
      </c>
      <c r="F94">
        <v>2.8836699959356338E-2</v>
      </c>
      <c r="G94">
        <v>5.1418999792076647E-3</v>
      </c>
      <c r="H94">
        <v>1.0795400012284517E-2</v>
      </c>
      <c r="I94">
        <v>3.4789000055752695E-3</v>
      </c>
      <c r="J94">
        <v>6.071200012229383E-3</v>
      </c>
      <c r="K94" t="b">
        <v>1</v>
      </c>
      <c r="L94" t="b">
        <v>1</v>
      </c>
      <c r="M94" t="b">
        <v>1</v>
      </c>
      <c r="N94" s="42" t="b">
        <v>1</v>
      </c>
      <c r="O94" t="s">
        <v>124</v>
      </c>
      <c r="P94" s="44">
        <v>23168</v>
      </c>
    </row>
    <row r="95" spans="1:16" x14ac:dyDescent="0.45">
      <c r="A95">
        <f t="shared" si="6"/>
        <v>17</v>
      </c>
      <c r="B95">
        <v>0.71905720709757637</v>
      </c>
      <c r="C95" s="40">
        <v>256</v>
      </c>
      <c r="D95" s="41">
        <v>10</v>
      </c>
      <c r="E95" t="b">
        <v>1</v>
      </c>
      <c r="F95">
        <v>3.1505600025411695E-2</v>
      </c>
      <c r="G95">
        <v>6.9452000316232443E-3</v>
      </c>
      <c r="H95">
        <v>1.4090200013015419E-2</v>
      </c>
      <c r="I95">
        <v>5.1382000092417002E-3</v>
      </c>
      <c r="J95">
        <v>1.1004499974660575E-2</v>
      </c>
      <c r="K95" t="b">
        <v>1</v>
      </c>
      <c r="L95" t="b">
        <v>1</v>
      </c>
      <c r="M95" t="b">
        <v>1</v>
      </c>
      <c r="N95" s="42" t="b">
        <v>1</v>
      </c>
      <c r="O95" t="s">
        <v>125</v>
      </c>
      <c r="P95" s="44">
        <v>46336</v>
      </c>
    </row>
    <row r="96" spans="1:16" x14ac:dyDescent="0.45">
      <c r="A96">
        <f t="shared" si="6"/>
        <v>17</v>
      </c>
      <c r="B96">
        <v>0.71905720709757637</v>
      </c>
      <c r="C96" s="40">
        <v>512</v>
      </c>
      <c r="D96" s="41">
        <v>10</v>
      </c>
      <c r="E96" t="b">
        <v>1</v>
      </c>
      <c r="F96">
        <v>3.4992500033695251E-2</v>
      </c>
      <c r="G96">
        <v>1.1693399981595576E-2</v>
      </c>
      <c r="H96">
        <v>2.0820699981413782E-2</v>
      </c>
      <c r="I96">
        <v>8.2856999943032861E-3</v>
      </c>
      <c r="J96">
        <v>1.9848699972499162E-2</v>
      </c>
      <c r="K96" t="b">
        <v>1</v>
      </c>
      <c r="L96" t="b">
        <v>1</v>
      </c>
      <c r="M96" t="b">
        <v>1</v>
      </c>
      <c r="N96" s="42" t="b">
        <v>1</v>
      </c>
      <c r="O96" t="s">
        <v>126</v>
      </c>
      <c r="P96" s="44">
        <v>92672</v>
      </c>
    </row>
    <row r="97" spans="1:16" x14ac:dyDescent="0.45">
      <c r="A97">
        <f t="shared" si="6"/>
        <v>17</v>
      </c>
      <c r="B97">
        <v>0.71905720709757637</v>
      </c>
      <c r="C97" s="40">
        <v>1024</v>
      </c>
      <c r="D97" s="41">
        <v>10</v>
      </c>
      <c r="E97" t="b">
        <v>1</v>
      </c>
      <c r="F97">
        <v>3.8944899977650493E-2</v>
      </c>
      <c r="G97">
        <v>1.9929800007957965E-2</v>
      </c>
      <c r="H97">
        <v>3.4175199980381876E-2</v>
      </c>
      <c r="I97">
        <v>2.0020500000100583E-2</v>
      </c>
      <c r="J97">
        <v>3.9377699955366552E-2</v>
      </c>
      <c r="K97" t="b">
        <v>1</v>
      </c>
      <c r="L97" t="b">
        <v>1</v>
      </c>
      <c r="M97" t="b">
        <v>1</v>
      </c>
      <c r="N97" s="42" t="b">
        <v>1</v>
      </c>
      <c r="O97" t="s">
        <v>127</v>
      </c>
      <c r="P97" s="44">
        <v>185344</v>
      </c>
    </row>
    <row r="98" spans="1:16" x14ac:dyDescent="0.45">
      <c r="A98">
        <f t="shared" si="6"/>
        <v>17</v>
      </c>
      <c r="B98">
        <v>0.71905720709757637</v>
      </c>
      <c r="C98" s="40">
        <v>2048</v>
      </c>
      <c r="D98" s="41">
        <v>10</v>
      </c>
      <c r="E98" t="b">
        <v>1</v>
      </c>
      <c r="F98">
        <v>5.7295699953101575E-2</v>
      </c>
      <c r="G98">
        <v>3.7492900039069355E-2</v>
      </c>
      <c r="H98">
        <v>6.6299199999775738E-2</v>
      </c>
      <c r="I98">
        <v>3.5950999998021871E-2</v>
      </c>
      <c r="J98">
        <v>6.6862999985460192E-2</v>
      </c>
      <c r="K98" t="b">
        <v>1</v>
      </c>
      <c r="L98" t="b">
        <v>1</v>
      </c>
      <c r="M98" t="b">
        <v>1</v>
      </c>
      <c r="N98" s="42" t="b">
        <v>1</v>
      </c>
      <c r="O98" t="s">
        <v>128</v>
      </c>
      <c r="P98" s="44">
        <v>370688</v>
      </c>
    </row>
    <row r="99" spans="1:16" x14ac:dyDescent="0.45">
      <c r="A99">
        <f t="shared" si="6"/>
        <v>17</v>
      </c>
      <c r="B99">
        <v>0.71905720709757637</v>
      </c>
      <c r="C99" s="40">
        <v>4096</v>
      </c>
      <c r="D99" s="41">
        <v>10</v>
      </c>
      <c r="E99" t="b">
        <v>1</v>
      </c>
      <c r="F99">
        <v>8.0399600032251328E-2</v>
      </c>
      <c r="G99">
        <v>7.5045000005047768E-2</v>
      </c>
      <c r="H99">
        <v>0.1201969999819994</v>
      </c>
      <c r="I99">
        <v>6.9172499992419034E-2</v>
      </c>
      <c r="J99">
        <v>0.14951119996840134</v>
      </c>
      <c r="K99" t="b">
        <v>1</v>
      </c>
      <c r="L99" t="b">
        <v>1</v>
      </c>
      <c r="M99" t="b">
        <v>1</v>
      </c>
      <c r="N99" s="42" t="b">
        <v>1</v>
      </c>
      <c r="O99" t="s">
        <v>129</v>
      </c>
      <c r="P99" s="44">
        <v>741376</v>
      </c>
    </row>
    <row r="100" spans="1:16" x14ac:dyDescent="0.45">
      <c r="A100">
        <f t="shared" si="6"/>
        <v>17</v>
      </c>
      <c r="B100">
        <v>0.71905720709757637</v>
      </c>
      <c r="C100" s="40">
        <v>8192</v>
      </c>
      <c r="D100" s="41">
        <v>10</v>
      </c>
      <c r="E100" t="b">
        <v>1</v>
      </c>
      <c r="F100">
        <v>0.15154639998218045</v>
      </c>
      <c r="G100">
        <v>0.15355970000382513</v>
      </c>
      <c r="H100">
        <v>0.25047920003999025</v>
      </c>
      <c r="I100">
        <v>0.13748880004277453</v>
      </c>
      <c r="J100">
        <v>0.28059550002217293</v>
      </c>
      <c r="K100" t="b">
        <v>1</v>
      </c>
      <c r="L100" t="b">
        <v>1</v>
      </c>
      <c r="M100" t="b">
        <v>1</v>
      </c>
      <c r="N100" s="42" t="b">
        <v>1</v>
      </c>
      <c r="O100" t="s">
        <v>130</v>
      </c>
      <c r="P100" s="44">
        <v>1482752</v>
      </c>
    </row>
    <row r="101" spans="1:16" x14ac:dyDescent="0.45">
      <c r="A101">
        <f t="shared" si="6"/>
        <v>17</v>
      </c>
      <c r="B101">
        <v>0.71905720709757637</v>
      </c>
      <c r="C101" s="40">
        <v>16384</v>
      </c>
      <c r="D101" s="41">
        <v>10</v>
      </c>
      <c r="E101" t="b">
        <v>1</v>
      </c>
      <c r="F101">
        <v>0.29876289999810979</v>
      </c>
      <c r="G101">
        <v>0.32159569999203086</v>
      </c>
      <c r="H101">
        <v>0.49019449995830655</v>
      </c>
      <c r="I101">
        <v>0.3082616999745369</v>
      </c>
      <c r="J101">
        <v>0.7590908000129275</v>
      </c>
      <c r="K101" t="b">
        <v>1</v>
      </c>
      <c r="L101" t="b">
        <v>1</v>
      </c>
      <c r="M101" t="b">
        <v>1</v>
      </c>
      <c r="N101" s="42" t="b">
        <v>1</v>
      </c>
      <c r="O101" t="s">
        <v>131</v>
      </c>
      <c r="P101" s="44">
        <v>2965504</v>
      </c>
    </row>
    <row r="102" spans="1:16" x14ac:dyDescent="0.45">
      <c r="A102">
        <f t="shared" si="6"/>
        <v>17</v>
      </c>
      <c r="B102">
        <v>0.71905720709757637</v>
      </c>
      <c r="C102" s="40">
        <v>32768</v>
      </c>
      <c r="D102" s="41">
        <v>10</v>
      </c>
      <c r="E102" t="b">
        <v>1</v>
      </c>
      <c r="F102">
        <v>0.60008219996234402</v>
      </c>
      <c r="G102">
        <v>0.6435605000006035</v>
      </c>
      <c r="H102">
        <v>0.96358300000429153</v>
      </c>
      <c r="I102">
        <v>0.60934119997546077</v>
      </c>
      <c r="J102">
        <v>1.18847289995756</v>
      </c>
      <c r="K102" t="b">
        <v>1</v>
      </c>
      <c r="L102" t="b">
        <v>1</v>
      </c>
      <c r="M102" t="b">
        <v>1</v>
      </c>
      <c r="N102" s="42" t="b">
        <v>1</v>
      </c>
      <c r="O102" t="s">
        <v>132</v>
      </c>
      <c r="P102" s="44">
        <v>5931008</v>
      </c>
    </row>
    <row r="103" spans="1:16" x14ac:dyDescent="0.45">
      <c r="A103">
        <f t="shared" si="6"/>
        <v>17</v>
      </c>
      <c r="B103">
        <v>0.71905720709757637</v>
      </c>
      <c r="C103" s="40">
        <v>65536</v>
      </c>
      <c r="D103" s="41">
        <v>10</v>
      </c>
      <c r="E103" t="b">
        <v>1</v>
      </c>
      <c r="F103">
        <v>1.2118106000125408</v>
      </c>
      <c r="G103">
        <v>1.36728890001541</v>
      </c>
      <c r="H103">
        <v>2.3191617000265978</v>
      </c>
      <c r="I103">
        <v>1.2230475999531336</v>
      </c>
      <c r="J103">
        <v>2.4911242999951355</v>
      </c>
      <c r="K103" t="b">
        <v>1</v>
      </c>
      <c r="L103" t="b">
        <v>1</v>
      </c>
      <c r="M103" t="b">
        <v>1</v>
      </c>
      <c r="N103" s="42" t="b">
        <v>1</v>
      </c>
      <c r="O103" t="s">
        <v>133</v>
      </c>
      <c r="P103" s="44">
        <v>11862016</v>
      </c>
    </row>
    <row r="104" spans="1:16" x14ac:dyDescent="0.45">
      <c r="A104">
        <f t="shared" si="6"/>
        <v>17</v>
      </c>
      <c r="B104">
        <v>0.71905720709757637</v>
      </c>
      <c r="C104" s="40">
        <v>131072</v>
      </c>
      <c r="D104" s="41">
        <v>10</v>
      </c>
      <c r="E104" t="b">
        <v>1</v>
      </c>
      <c r="F104">
        <v>2.4753716000122949</v>
      </c>
      <c r="G104">
        <v>2.7189134999644011</v>
      </c>
      <c r="H104">
        <v>4.6054800999700092</v>
      </c>
      <c r="I104">
        <v>2.5373637999873608</v>
      </c>
      <c r="J104">
        <v>4.7337224000366405</v>
      </c>
      <c r="K104" t="b">
        <v>1</v>
      </c>
      <c r="L104" t="b">
        <v>1</v>
      </c>
      <c r="M104" t="b">
        <v>1</v>
      </c>
      <c r="N104" s="42" t="b">
        <v>1</v>
      </c>
      <c r="O104" t="s">
        <v>134</v>
      </c>
      <c r="P104" s="44">
        <v>23724032</v>
      </c>
    </row>
    <row r="105" spans="1:16" x14ac:dyDescent="0.45">
      <c r="A105">
        <f t="shared" si="6"/>
        <v>17</v>
      </c>
      <c r="B105">
        <v>0.71905720709757637</v>
      </c>
      <c r="C105" s="40">
        <v>262144</v>
      </c>
      <c r="D105" s="41">
        <v>10</v>
      </c>
      <c r="E105" t="b">
        <v>1</v>
      </c>
      <c r="F105">
        <v>5.073931300023105</v>
      </c>
      <c r="G105">
        <v>5.3458472000202164</v>
      </c>
      <c r="H105">
        <v>8.6856814000057057</v>
      </c>
      <c r="I105">
        <v>5.1760619999840856</v>
      </c>
      <c r="J105">
        <v>9.5881117000244558</v>
      </c>
      <c r="K105" t="b">
        <v>1</v>
      </c>
      <c r="L105" t="b">
        <v>1</v>
      </c>
      <c r="M105" t="b">
        <v>1</v>
      </c>
      <c r="N105" s="42" t="b">
        <v>1</v>
      </c>
      <c r="O105" t="s">
        <v>135</v>
      </c>
      <c r="P105" s="44">
        <v>47448064</v>
      </c>
    </row>
    <row r="106" spans="1:16" x14ac:dyDescent="0.45">
      <c r="C106" s="42"/>
      <c r="N106" s="42"/>
      <c r="P106" s="44"/>
    </row>
    <row r="107" spans="1:16" x14ac:dyDescent="0.45">
      <c r="C107" s="42"/>
      <c r="N107" s="42"/>
      <c r="P107" s="44"/>
    </row>
    <row r="113" spans="1:16" x14ac:dyDescent="0.45">
      <c r="A113" t="s">
        <v>180</v>
      </c>
      <c r="B113" t="s">
        <v>87</v>
      </c>
      <c r="C113" t="s">
        <v>21</v>
      </c>
      <c r="D113" t="s">
        <v>22</v>
      </c>
      <c r="E113" t="s">
        <v>95</v>
      </c>
      <c r="F113" t="s">
        <v>32</v>
      </c>
      <c r="G113" t="s">
        <v>88</v>
      </c>
      <c r="H113" t="s">
        <v>89</v>
      </c>
      <c r="I113" t="s">
        <v>92</v>
      </c>
      <c r="J113" t="s">
        <v>184</v>
      </c>
      <c r="K113" t="s">
        <v>93</v>
      </c>
      <c r="L113" t="s">
        <v>94</v>
      </c>
      <c r="M113" t="s">
        <v>136</v>
      </c>
      <c r="N113" s="10" t="s">
        <v>183</v>
      </c>
      <c r="O113" t="s">
        <v>0</v>
      </c>
      <c r="P113" t="s">
        <v>90</v>
      </c>
    </row>
    <row r="114" spans="1:16" x14ac:dyDescent="0.45">
      <c r="A114">
        <f>LEN(B114)</f>
        <v>16</v>
      </c>
      <c r="B114" t="str">
        <f>REPT("x",16)</f>
        <v>xxxxxxxxxxxxxxxx</v>
      </c>
      <c r="C114" s="40">
        <v>8</v>
      </c>
      <c r="D114" s="41">
        <v>1</v>
      </c>
      <c r="E114" s="41" t="b">
        <v>1</v>
      </c>
      <c r="F114">
        <v>1.7095699964556843E-2</v>
      </c>
      <c r="G114">
        <v>1.8267999985255301E-3</v>
      </c>
      <c r="H114">
        <v>3.4949099994264543E-2</v>
      </c>
      <c r="I114">
        <v>5.3279998246580362E-4</v>
      </c>
      <c r="J114">
        <v>2.8549996204674244E-4</v>
      </c>
      <c r="K114" t="b">
        <v>1</v>
      </c>
      <c r="L114" t="b">
        <v>1</v>
      </c>
      <c r="M114" t="b">
        <v>1</v>
      </c>
      <c r="N114" s="42" t="b">
        <v>1</v>
      </c>
      <c r="O114" t="s">
        <v>166</v>
      </c>
      <c r="P114" s="44">
        <v>144</v>
      </c>
    </row>
    <row r="115" spans="1:16" x14ac:dyDescent="0.45">
      <c r="A115">
        <f t="shared" ref="A115:A127" si="7">LEN(B115)</f>
        <v>16</v>
      </c>
      <c r="B115" t="str">
        <f t="shared" ref="B115:B127" si="8">REPT("x",16)</f>
        <v>xxxxxxxxxxxxxxxx</v>
      </c>
      <c r="C115" s="40">
        <v>8</v>
      </c>
      <c r="D115" s="41">
        <v>2</v>
      </c>
      <c r="E115" s="41" t="b">
        <v>1</v>
      </c>
      <c r="F115">
        <v>1.4889800047967583E-2</v>
      </c>
      <c r="G115">
        <v>1.3684000005014241E-3</v>
      </c>
      <c r="H115">
        <v>2.8245699999388307E-2</v>
      </c>
      <c r="I115">
        <v>5.1139999413862824E-4</v>
      </c>
      <c r="J115">
        <v>3.2849999843165278E-4</v>
      </c>
      <c r="K115" t="b">
        <v>1</v>
      </c>
      <c r="L115" t="b">
        <v>1</v>
      </c>
      <c r="M115" t="b">
        <v>1</v>
      </c>
      <c r="N115" s="42" t="b">
        <v>1</v>
      </c>
      <c r="O115" t="s">
        <v>167</v>
      </c>
      <c r="P115" s="44">
        <v>280</v>
      </c>
    </row>
    <row r="116" spans="1:16" x14ac:dyDescent="0.45">
      <c r="A116">
        <f t="shared" si="7"/>
        <v>16</v>
      </c>
      <c r="B116" t="str">
        <f t="shared" si="8"/>
        <v>xxxxxxxxxxxxxxxx</v>
      </c>
      <c r="C116" s="40">
        <v>8</v>
      </c>
      <c r="D116" s="41">
        <v>4</v>
      </c>
      <c r="E116" s="41" t="b">
        <v>1</v>
      </c>
      <c r="F116">
        <v>1.4880199974868447E-2</v>
      </c>
      <c r="G116">
        <v>1.3586999848484993E-3</v>
      </c>
      <c r="H116">
        <v>2.9033400001935661E-2</v>
      </c>
      <c r="I116">
        <v>5.6580000091344118E-4</v>
      </c>
      <c r="J116">
        <v>3.7490000249817967E-4</v>
      </c>
      <c r="K116" t="b">
        <v>1</v>
      </c>
      <c r="L116" t="b">
        <v>1</v>
      </c>
      <c r="M116" t="b">
        <v>1</v>
      </c>
      <c r="N116" s="42" t="b">
        <v>1</v>
      </c>
      <c r="O116" t="s">
        <v>168</v>
      </c>
      <c r="P116" s="44">
        <v>552</v>
      </c>
    </row>
    <row r="117" spans="1:16" x14ac:dyDescent="0.45">
      <c r="A117">
        <f t="shared" si="7"/>
        <v>16</v>
      </c>
      <c r="B117" t="str">
        <f t="shared" si="8"/>
        <v>xxxxxxxxxxxxxxxx</v>
      </c>
      <c r="C117" s="40">
        <v>8</v>
      </c>
      <c r="D117" s="41">
        <v>8</v>
      </c>
      <c r="E117" s="41" t="b">
        <v>1</v>
      </c>
      <c r="F117">
        <v>4.4729200017172843E-2</v>
      </c>
      <c r="G117">
        <v>1.5966999926604331E-3</v>
      </c>
      <c r="H117">
        <v>3.2554300036281347E-2</v>
      </c>
      <c r="I117">
        <v>6.4510002266615629E-4</v>
      </c>
      <c r="J117">
        <v>5.3119997028261423E-4</v>
      </c>
      <c r="K117" t="b">
        <v>1</v>
      </c>
      <c r="L117" t="b">
        <v>1</v>
      </c>
      <c r="M117" t="b">
        <v>1</v>
      </c>
      <c r="N117" s="42" t="b">
        <v>1</v>
      </c>
      <c r="O117" t="s">
        <v>169</v>
      </c>
      <c r="P117" s="44">
        <v>1096</v>
      </c>
    </row>
    <row r="118" spans="1:16" x14ac:dyDescent="0.45">
      <c r="A118">
        <f t="shared" si="7"/>
        <v>16</v>
      </c>
      <c r="B118" t="str">
        <f t="shared" si="8"/>
        <v>xxxxxxxxxxxxxxxx</v>
      </c>
      <c r="C118" s="40">
        <v>8</v>
      </c>
      <c r="D118" s="41">
        <v>16</v>
      </c>
      <c r="E118" s="41" t="b">
        <v>1</v>
      </c>
      <c r="F118">
        <v>1.5106600010767579E-2</v>
      </c>
      <c r="G118">
        <v>1.6665000002831221E-3</v>
      </c>
      <c r="H118">
        <v>2.9183699982240796E-2</v>
      </c>
      <c r="I118">
        <v>1.0462000500410795E-3</v>
      </c>
      <c r="J118">
        <v>8.1800000043585896E-4</v>
      </c>
      <c r="K118" t="b">
        <v>1</v>
      </c>
      <c r="L118" t="b">
        <v>1</v>
      </c>
      <c r="M118" t="b">
        <v>1</v>
      </c>
      <c r="N118" s="42" t="b">
        <v>1</v>
      </c>
      <c r="O118" t="s">
        <v>170</v>
      </c>
      <c r="P118" s="44">
        <v>2184</v>
      </c>
    </row>
    <row r="119" spans="1:16" x14ac:dyDescent="0.45">
      <c r="A119">
        <f t="shared" si="7"/>
        <v>16</v>
      </c>
      <c r="B119" t="str">
        <f t="shared" si="8"/>
        <v>xxxxxxxxxxxxxxxx</v>
      </c>
      <c r="C119" s="40">
        <v>8</v>
      </c>
      <c r="D119" s="41">
        <v>32</v>
      </c>
      <c r="E119" s="41" t="b">
        <v>1</v>
      </c>
      <c r="F119">
        <v>1.8785499967634678E-2</v>
      </c>
      <c r="G119">
        <v>2.0502999541349709E-3</v>
      </c>
      <c r="H119">
        <v>2.9555400018580258E-2</v>
      </c>
      <c r="I119">
        <v>9.0140005340799689E-4</v>
      </c>
      <c r="J119">
        <v>1.2759000528603792E-3</v>
      </c>
      <c r="K119" t="b">
        <v>1</v>
      </c>
      <c r="L119" t="b">
        <v>1</v>
      </c>
      <c r="M119" t="b">
        <v>1</v>
      </c>
      <c r="N119" s="42" t="b">
        <v>1</v>
      </c>
      <c r="O119" t="s">
        <v>171</v>
      </c>
      <c r="P119" s="44">
        <v>4360</v>
      </c>
    </row>
    <row r="120" spans="1:16" x14ac:dyDescent="0.45">
      <c r="A120">
        <f t="shared" si="7"/>
        <v>16</v>
      </c>
      <c r="B120" t="str">
        <f t="shared" si="8"/>
        <v>xxxxxxxxxxxxxxxx</v>
      </c>
      <c r="C120" s="40">
        <v>8</v>
      </c>
      <c r="D120" s="41">
        <v>64</v>
      </c>
      <c r="E120" s="41" t="b">
        <v>1</v>
      </c>
      <c r="F120">
        <v>1.6189599991776049E-2</v>
      </c>
      <c r="G120">
        <v>2.3395000025629997E-3</v>
      </c>
      <c r="H120">
        <v>3.3666699950117618E-2</v>
      </c>
      <c r="I120">
        <v>1.3641000259667635E-3</v>
      </c>
      <c r="J120">
        <v>2.6582000427879393E-3</v>
      </c>
      <c r="K120" t="b">
        <v>1</v>
      </c>
      <c r="L120" t="b">
        <v>1</v>
      </c>
      <c r="M120" t="b">
        <v>1</v>
      </c>
      <c r="N120" s="42" t="b">
        <v>1</v>
      </c>
      <c r="O120" t="s">
        <v>172</v>
      </c>
      <c r="P120" s="44">
        <v>8712</v>
      </c>
    </row>
    <row r="121" spans="1:16" x14ac:dyDescent="0.45">
      <c r="A121">
        <f t="shared" si="7"/>
        <v>16</v>
      </c>
      <c r="B121" t="str">
        <f t="shared" si="8"/>
        <v>xxxxxxxxxxxxxxxx</v>
      </c>
      <c r="C121" s="40">
        <v>8</v>
      </c>
      <c r="D121" s="41">
        <v>128</v>
      </c>
      <c r="E121" s="41" t="b">
        <v>1</v>
      </c>
      <c r="F121">
        <v>1.8854300025850534E-2</v>
      </c>
      <c r="G121">
        <v>3.683699993416667E-3</v>
      </c>
      <c r="H121">
        <v>5.5838900036178529E-2</v>
      </c>
      <c r="I121">
        <v>2.357599965762347E-3</v>
      </c>
      <c r="J121">
        <v>4.94710000930354E-3</v>
      </c>
      <c r="K121" t="b">
        <v>1</v>
      </c>
      <c r="L121" t="b">
        <v>1</v>
      </c>
      <c r="M121" t="b">
        <v>1</v>
      </c>
      <c r="N121" s="42" t="b">
        <v>1</v>
      </c>
      <c r="O121" t="s">
        <v>173</v>
      </c>
      <c r="P121" s="44">
        <v>17416</v>
      </c>
    </row>
    <row r="122" spans="1:16" x14ac:dyDescent="0.45">
      <c r="A122">
        <f t="shared" si="7"/>
        <v>16</v>
      </c>
      <c r="B122" t="str">
        <f t="shared" si="8"/>
        <v>xxxxxxxxxxxxxxxx</v>
      </c>
      <c r="C122" s="40">
        <v>8</v>
      </c>
      <c r="D122" s="41">
        <v>256</v>
      </c>
      <c r="E122" s="41" t="b">
        <v>1</v>
      </c>
      <c r="F122">
        <v>2.3377300007268786E-2</v>
      </c>
      <c r="G122">
        <v>7.7852000249549747E-3</v>
      </c>
      <c r="H122">
        <v>9.1383600025437772E-2</v>
      </c>
      <c r="I122">
        <v>3.6799999652430415E-3</v>
      </c>
      <c r="J122">
        <v>8.1380000337958336E-3</v>
      </c>
      <c r="K122" t="b">
        <v>1</v>
      </c>
      <c r="L122" t="b">
        <v>1</v>
      </c>
      <c r="M122" t="b">
        <v>1</v>
      </c>
      <c r="N122" s="42" t="b">
        <v>1</v>
      </c>
      <c r="O122" t="s">
        <v>174</v>
      </c>
      <c r="P122" s="44">
        <v>34824</v>
      </c>
    </row>
    <row r="123" spans="1:16" x14ac:dyDescent="0.45">
      <c r="A123">
        <f t="shared" si="7"/>
        <v>16</v>
      </c>
      <c r="B123" t="str">
        <f t="shared" si="8"/>
        <v>xxxxxxxxxxxxxxxx</v>
      </c>
      <c r="C123" s="40">
        <v>8</v>
      </c>
      <c r="D123" s="41">
        <v>512</v>
      </c>
      <c r="E123" s="41" t="b">
        <v>1</v>
      </c>
      <c r="F123">
        <v>2.1597699960693717E-2</v>
      </c>
      <c r="G123">
        <v>9.090400009881705E-3</v>
      </c>
      <c r="H123">
        <v>0.23289340001065284</v>
      </c>
      <c r="I123">
        <v>6.1379999970085919E-3</v>
      </c>
      <c r="J123">
        <v>1.4866899990011007E-2</v>
      </c>
      <c r="K123" t="b">
        <v>1</v>
      </c>
      <c r="L123" t="b">
        <v>1</v>
      </c>
      <c r="M123" t="b">
        <v>1</v>
      </c>
      <c r="N123" s="42" t="b">
        <v>1</v>
      </c>
      <c r="O123" t="s">
        <v>175</v>
      </c>
      <c r="P123" s="44">
        <v>69640</v>
      </c>
    </row>
    <row r="124" spans="1:16" x14ac:dyDescent="0.45">
      <c r="A124">
        <f t="shared" si="7"/>
        <v>16</v>
      </c>
      <c r="B124" t="str">
        <f t="shared" si="8"/>
        <v>xxxxxxxxxxxxxxxx</v>
      </c>
      <c r="C124" s="40">
        <v>8</v>
      </c>
      <c r="D124" s="41">
        <v>1024</v>
      </c>
      <c r="E124" s="41" t="b">
        <v>1</v>
      </c>
      <c r="F124">
        <v>2.6628800027538091E-2</v>
      </c>
      <c r="G124">
        <v>1.5098900010343641E-2</v>
      </c>
      <c r="H124">
        <v>0.89304190000984818</v>
      </c>
      <c r="I124">
        <v>1.1863399995490909E-2</v>
      </c>
      <c r="J124">
        <v>2.951800002483651E-2</v>
      </c>
      <c r="K124" t="b">
        <v>1</v>
      </c>
      <c r="L124" t="b">
        <v>1</v>
      </c>
      <c r="M124" t="b">
        <v>1</v>
      </c>
      <c r="N124" s="42" t="b">
        <v>1</v>
      </c>
      <c r="O124" t="s">
        <v>176</v>
      </c>
      <c r="P124" s="44">
        <v>139272</v>
      </c>
    </row>
    <row r="125" spans="1:16" x14ac:dyDescent="0.45">
      <c r="A125">
        <f t="shared" si="7"/>
        <v>16</v>
      </c>
      <c r="B125" t="str">
        <f t="shared" si="8"/>
        <v>xxxxxxxxxxxxxxxx</v>
      </c>
      <c r="C125" s="40">
        <v>8</v>
      </c>
      <c r="D125" s="41">
        <v>2048</v>
      </c>
      <c r="E125" s="41" t="b">
        <v>1</v>
      </c>
      <c r="F125">
        <v>3.9571499975863844E-2</v>
      </c>
      <c r="G125">
        <v>2.8764499991666526E-2</v>
      </c>
      <c r="H125">
        <v>3.7259243000298738</v>
      </c>
      <c r="I125">
        <v>2.3276299994904548E-2</v>
      </c>
      <c r="J125">
        <v>7.179999997606501E-2</v>
      </c>
      <c r="K125" t="b">
        <v>1</v>
      </c>
      <c r="L125" t="b">
        <v>1</v>
      </c>
      <c r="M125" t="b">
        <v>1</v>
      </c>
      <c r="N125" s="42" t="b">
        <v>1</v>
      </c>
      <c r="O125" t="s">
        <v>177</v>
      </c>
      <c r="P125" s="44">
        <v>278536</v>
      </c>
    </row>
    <row r="126" spans="1:16" x14ac:dyDescent="0.45">
      <c r="A126">
        <f t="shared" si="7"/>
        <v>16</v>
      </c>
      <c r="B126" t="str">
        <f t="shared" si="8"/>
        <v>xxxxxxxxxxxxxxxx</v>
      </c>
      <c r="C126" s="40">
        <v>8</v>
      </c>
      <c r="D126" s="41">
        <v>4096</v>
      </c>
      <c r="E126" s="41" t="b">
        <v>1</v>
      </c>
      <c r="F126">
        <v>5.7417500007431954E-2</v>
      </c>
      <c r="G126">
        <v>5.5438899958971888E-2</v>
      </c>
      <c r="H126">
        <v>15.090628900041338</v>
      </c>
      <c r="I126">
        <v>4.6976500016171485E-2</v>
      </c>
      <c r="J126">
        <v>0.13672619999852031</v>
      </c>
      <c r="K126" t="b">
        <v>1</v>
      </c>
      <c r="L126" t="b">
        <v>1</v>
      </c>
      <c r="M126" t="b">
        <v>1</v>
      </c>
      <c r="N126" s="42" t="b">
        <v>1</v>
      </c>
      <c r="O126" t="s">
        <v>178</v>
      </c>
      <c r="P126" s="44">
        <v>557064</v>
      </c>
    </row>
    <row r="127" spans="1:16" x14ac:dyDescent="0.45">
      <c r="A127">
        <f t="shared" si="7"/>
        <v>16</v>
      </c>
      <c r="B127" t="str">
        <f t="shared" si="8"/>
        <v>xxxxxxxxxxxxxxxx</v>
      </c>
      <c r="C127" s="40">
        <v>8</v>
      </c>
      <c r="D127" s="41">
        <v>8192</v>
      </c>
      <c r="E127" s="41" t="b">
        <v>1</v>
      </c>
      <c r="F127">
        <v>0.11337929998990148</v>
      </c>
      <c r="G127">
        <v>0.11162629997124895</v>
      </c>
      <c r="H127">
        <v>61.65111189999152</v>
      </c>
      <c r="I127">
        <v>0.10658439999679103</v>
      </c>
      <c r="J127">
        <v>0.24441360001219437</v>
      </c>
      <c r="K127" t="b">
        <v>1</v>
      </c>
      <c r="L127" t="b">
        <v>1</v>
      </c>
      <c r="M127" t="b">
        <v>1</v>
      </c>
      <c r="N127" s="42" t="b">
        <v>1</v>
      </c>
      <c r="O127" t="s">
        <v>179</v>
      </c>
      <c r="P127" s="44">
        <v>1114120</v>
      </c>
    </row>
    <row r="140" spans="1:16" x14ac:dyDescent="0.45">
      <c r="A140" t="s">
        <v>180</v>
      </c>
      <c r="B140" t="s">
        <v>87</v>
      </c>
      <c r="C140" t="s">
        <v>21</v>
      </c>
      <c r="D140" t="s">
        <v>22</v>
      </c>
      <c r="E140" t="s">
        <v>95</v>
      </c>
      <c r="F140" t="s">
        <v>32</v>
      </c>
      <c r="G140" t="s">
        <v>88</v>
      </c>
      <c r="H140" t="s">
        <v>89</v>
      </c>
      <c r="I140" t="s">
        <v>92</v>
      </c>
      <c r="J140" t="s">
        <v>184</v>
      </c>
      <c r="K140" t="s">
        <v>93</v>
      </c>
      <c r="L140" t="s">
        <v>94</v>
      </c>
      <c r="M140" t="s">
        <v>136</v>
      </c>
      <c r="N140" s="10" t="s">
        <v>183</v>
      </c>
      <c r="O140" t="s">
        <v>0</v>
      </c>
      <c r="P140" t="s">
        <v>90</v>
      </c>
    </row>
    <row r="141" spans="1:16" x14ac:dyDescent="0.45">
      <c r="A141" cm="1">
        <f t="array" ref="A141:A155">LEN(B141:B155)</f>
        <v>1</v>
      </c>
      <c r="B141" t="s">
        <v>85</v>
      </c>
      <c r="C141" s="42">
        <v>1024</v>
      </c>
      <c r="D141">
        <v>8</v>
      </c>
      <c r="E141" t="b">
        <v>1</v>
      </c>
      <c r="F141">
        <v>1.0359700012486428E-2</v>
      </c>
      <c r="G141">
        <v>9.6447999821975827E-3</v>
      </c>
      <c r="H141">
        <v>0.2893548000138253</v>
      </c>
      <c r="I141">
        <v>6.8625999847427011E-3</v>
      </c>
      <c r="J141">
        <v>1.0164499981328845E-2</v>
      </c>
      <c r="K141" t="b">
        <v>1</v>
      </c>
      <c r="L141" t="b">
        <v>1</v>
      </c>
      <c r="M141" t="b">
        <v>1</v>
      </c>
      <c r="N141" t="b">
        <v>1</v>
      </c>
      <c r="O141" t="s">
        <v>151</v>
      </c>
      <c r="P141" s="44">
        <v>17408</v>
      </c>
    </row>
    <row r="142" spans="1:16" x14ac:dyDescent="0.45">
      <c r="A142">
        <v>2</v>
      </c>
      <c r="B142" t="s">
        <v>137</v>
      </c>
      <c r="C142" s="42">
        <v>1024</v>
      </c>
      <c r="D142">
        <v>8</v>
      </c>
      <c r="E142" t="b">
        <v>1</v>
      </c>
      <c r="F142">
        <v>2.7442399994470179E-2</v>
      </c>
      <c r="G142">
        <v>1.2565699988044798E-2</v>
      </c>
      <c r="H142">
        <v>3.8157600036356598E-2</v>
      </c>
      <c r="I142">
        <v>8.6545000085607171E-3</v>
      </c>
      <c r="J142">
        <v>1.5491499972995371E-2</v>
      </c>
      <c r="K142" t="b">
        <v>1</v>
      </c>
      <c r="L142" t="b">
        <v>1</v>
      </c>
      <c r="M142" t="b">
        <v>1</v>
      </c>
      <c r="N142" t="b">
        <v>1</v>
      </c>
      <c r="O142" t="s">
        <v>152</v>
      </c>
      <c r="P142" s="44">
        <v>25600</v>
      </c>
    </row>
    <row r="143" spans="1:16" x14ac:dyDescent="0.45">
      <c r="A143">
        <v>4</v>
      </c>
      <c r="B143" t="s">
        <v>138</v>
      </c>
      <c r="C143" s="42">
        <v>1024</v>
      </c>
      <c r="D143">
        <v>8</v>
      </c>
      <c r="E143" t="b">
        <v>1</v>
      </c>
      <c r="F143">
        <v>2.4761700013186783E-2</v>
      </c>
      <c r="G143">
        <v>1.1765900009777397E-2</v>
      </c>
      <c r="H143">
        <v>3.1361599976662546E-2</v>
      </c>
      <c r="I143">
        <v>9.8496999708004296E-3</v>
      </c>
      <c r="J143">
        <v>2.1030900010373443E-2</v>
      </c>
      <c r="K143" t="b">
        <v>1</v>
      </c>
      <c r="L143" t="b">
        <v>1</v>
      </c>
      <c r="M143" t="b">
        <v>1</v>
      </c>
      <c r="N143" t="b">
        <v>1</v>
      </c>
      <c r="O143" t="s">
        <v>153</v>
      </c>
      <c r="P143" s="44">
        <v>41984</v>
      </c>
    </row>
    <row r="144" spans="1:16" x14ac:dyDescent="0.45">
      <c r="A144">
        <v>8</v>
      </c>
      <c r="B144" t="s">
        <v>139</v>
      </c>
      <c r="C144" s="42">
        <v>1024</v>
      </c>
      <c r="D144">
        <v>8</v>
      </c>
      <c r="E144" t="b">
        <v>1</v>
      </c>
      <c r="F144">
        <v>3.0473500024527311E-2</v>
      </c>
      <c r="G144">
        <v>1.2809699983336031E-2</v>
      </c>
      <c r="H144">
        <v>2.6218699989840388E-2</v>
      </c>
      <c r="I144">
        <v>9.7539999987930059E-3</v>
      </c>
      <c r="J144">
        <v>2.9446500004269183E-2</v>
      </c>
      <c r="K144" t="b">
        <v>1</v>
      </c>
      <c r="L144" t="b">
        <v>1</v>
      </c>
      <c r="M144" t="b">
        <v>1</v>
      </c>
      <c r="N144" t="b">
        <v>1</v>
      </c>
      <c r="O144" t="s">
        <v>154</v>
      </c>
      <c r="P144" s="44">
        <v>74752</v>
      </c>
    </row>
    <row r="145" spans="1:16" x14ac:dyDescent="0.45">
      <c r="A145">
        <v>16</v>
      </c>
      <c r="B145" t="s">
        <v>140</v>
      </c>
      <c r="C145" s="42">
        <v>1024</v>
      </c>
      <c r="D145">
        <v>8</v>
      </c>
      <c r="E145" t="b">
        <v>1</v>
      </c>
      <c r="F145">
        <v>3.4457299974747002E-2</v>
      </c>
      <c r="G145">
        <v>1.6927599965129048E-2</v>
      </c>
      <c r="H145">
        <v>2.5732900016009808E-2</v>
      </c>
      <c r="I145">
        <v>1.4901100017596036E-2</v>
      </c>
      <c r="J145">
        <v>6.5882200025953352E-2</v>
      </c>
      <c r="K145" t="b">
        <v>1</v>
      </c>
      <c r="L145" t="b">
        <v>1</v>
      </c>
      <c r="M145" t="b">
        <v>1</v>
      </c>
      <c r="N145" t="b">
        <v>1</v>
      </c>
      <c r="O145" t="s">
        <v>155</v>
      </c>
      <c r="P145" s="44">
        <v>140288</v>
      </c>
    </row>
    <row r="146" spans="1:16" x14ac:dyDescent="0.45">
      <c r="A146">
        <v>32</v>
      </c>
      <c r="B146" t="s">
        <v>141</v>
      </c>
      <c r="C146" s="42">
        <v>1024</v>
      </c>
      <c r="D146">
        <v>8</v>
      </c>
      <c r="E146" t="b">
        <v>1</v>
      </c>
      <c r="F146">
        <v>6.0565699997823685E-2</v>
      </c>
      <c r="G146">
        <v>2.4614599999040365E-2</v>
      </c>
      <c r="H146">
        <v>2.6927499973680824E-2</v>
      </c>
      <c r="I146">
        <v>2.2197899990715086E-2</v>
      </c>
      <c r="J146">
        <v>8.8363099959678948E-2</v>
      </c>
      <c r="K146" t="b">
        <v>1</v>
      </c>
      <c r="L146" t="b">
        <v>1</v>
      </c>
      <c r="M146" t="b">
        <v>1</v>
      </c>
      <c r="N146" t="b">
        <v>1</v>
      </c>
      <c r="O146" t="s">
        <v>156</v>
      </c>
      <c r="P146" s="44">
        <v>271360</v>
      </c>
    </row>
    <row r="147" spans="1:16" x14ac:dyDescent="0.45">
      <c r="A147">
        <v>64</v>
      </c>
      <c r="B147" t="s">
        <v>142</v>
      </c>
      <c r="C147" s="42">
        <v>1024</v>
      </c>
      <c r="D147">
        <v>8</v>
      </c>
      <c r="E147" t="b">
        <v>1</v>
      </c>
      <c r="F147">
        <v>7.539589999942109E-2</v>
      </c>
      <c r="G147">
        <v>4.5138699992094189E-2</v>
      </c>
      <c r="H147">
        <v>2.9744500003289431E-2</v>
      </c>
      <c r="I147">
        <v>5.3095399984158576E-2</v>
      </c>
      <c r="J147">
        <v>0.16033189999870956</v>
      </c>
      <c r="K147" t="b">
        <v>1</v>
      </c>
      <c r="L147" t="b">
        <v>1</v>
      </c>
      <c r="M147" t="b">
        <v>1</v>
      </c>
      <c r="N147" t="b">
        <v>1</v>
      </c>
      <c r="O147" t="s">
        <v>157</v>
      </c>
      <c r="P147" s="44">
        <v>533504</v>
      </c>
    </row>
    <row r="148" spans="1:16" x14ac:dyDescent="0.45">
      <c r="A148">
        <v>128</v>
      </c>
      <c r="B148" t="s">
        <v>143</v>
      </c>
      <c r="C148" s="42">
        <v>1024</v>
      </c>
      <c r="D148">
        <v>8</v>
      </c>
      <c r="E148" t="b">
        <v>1</v>
      </c>
      <c r="F148">
        <v>0.10513810004340485</v>
      </c>
      <c r="G148">
        <v>8.5255600046366453E-2</v>
      </c>
      <c r="H148">
        <v>3.433469997253269E-2</v>
      </c>
      <c r="I148">
        <v>6.4359200012404472E-2</v>
      </c>
      <c r="J148">
        <v>0.31729000003542751</v>
      </c>
      <c r="K148" t="b">
        <v>1</v>
      </c>
      <c r="L148" t="b">
        <v>1</v>
      </c>
      <c r="M148" t="b">
        <v>1</v>
      </c>
      <c r="N148" t="b">
        <v>1</v>
      </c>
      <c r="O148" t="s">
        <v>158</v>
      </c>
      <c r="P148" s="44">
        <v>1057792</v>
      </c>
    </row>
    <row r="149" spans="1:16" x14ac:dyDescent="0.45">
      <c r="A149">
        <v>256</v>
      </c>
      <c r="B149" t="s">
        <v>144</v>
      </c>
      <c r="C149" s="42">
        <v>1024</v>
      </c>
      <c r="D149">
        <v>8</v>
      </c>
      <c r="E149" t="b">
        <v>1</v>
      </c>
      <c r="F149">
        <v>0.18172479997156188</v>
      </c>
      <c r="G149">
        <v>0.16359449998708442</v>
      </c>
      <c r="H149">
        <v>4.6974099997896701E-2</v>
      </c>
      <c r="I149">
        <v>0.12224430002970621</v>
      </c>
      <c r="J149">
        <v>0.60402939998311922</v>
      </c>
      <c r="K149" t="b">
        <v>1</v>
      </c>
      <c r="L149" t="b">
        <v>1</v>
      </c>
      <c r="M149" t="b">
        <v>1</v>
      </c>
      <c r="N149" t="b">
        <v>1</v>
      </c>
      <c r="O149" t="s">
        <v>159</v>
      </c>
      <c r="P149" s="44">
        <v>2106368</v>
      </c>
    </row>
    <row r="150" spans="1:16" x14ac:dyDescent="0.45">
      <c r="A150">
        <v>512</v>
      </c>
      <c r="B150" t="s">
        <v>145</v>
      </c>
      <c r="C150" s="42">
        <v>1024</v>
      </c>
      <c r="D150">
        <v>8</v>
      </c>
      <c r="E150" t="b">
        <v>1</v>
      </c>
      <c r="F150">
        <v>0.3448163999710232</v>
      </c>
      <c r="G150">
        <v>0.31131860002642497</v>
      </c>
      <c r="H150">
        <v>9.2531600035727024E-2</v>
      </c>
      <c r="I150">
        <v>0.24639109999407083</v>
      </c>
      <c r="J150">
        <v>1.3569625000236556</v>
      </c>
      <c r="K150" t="b">
        <v>1</v>
      </c>
      <c r="L150" t="b">
        <v>1</v>
      </c>
      <c r="M150" t="b">
        <v>1</v>
      </c>
      <c r="N150" t="b">
        <v>1</v>
      </c>
      <c r="O150" t="s">
        <v>160</v>
      </c>
      <c r="P150" s="44">
        <v>4203520</v>
      </c>
    </row>
    <row r="151" spans="1:16" x14ac:dyDescent="0.45">
      <c r="A151">
        <v>1024</v>
      </c>
      <c r="B151" t="s">
        <v>146</v>
      </c>
      <c r="C151" s="42">
        <v>1024</v>
      </c>
      <c r="D151">
        <v>8</v>
      </c>
      <c r="E151" t="b">
        <v>1</v>
      </c>
      <c r="F151">
        <v>0.68517260003136471</v>
      </c>
      <c r="G151">
        <v>0.43829540000297129</v>
      </c>
      <c r="H151">
        <v>0.20937300001969561</v>
      </c>
      <c r="I151">
        <v>0.44864110002527013</v>
      </c>
      <c r="J151">
        <v>2.3978941999957897</v>
      </c>
      <c r="K151" t="b">
        <v>1</v>
      </c>
      <c r="L151" t="b">
        <v>1</v>
      </c>
      <c r="M151" t="b">
        <v>1</v>
      </c>
      <c r="N151" t="b">
        <v>1</v>
      </c>
      <c r="O151" t="s">
        <v>161</v>
      </c>
      <c r="P151" s="44">
        <v>8397824</v>
      </c>
    </row>
    <row r="152" spans="1:16" x14ac:dyDescent="0.45">
      <c r="A152">
        <v>2048</v>
      </c>
      <c r="B152" t="s">
        <v>147</v>
      </c>
      <c r="C152" s="42">
        <v>1024</v>
      </c>
      <c r="D152">
        <v>8</v>
      </c>
      <c r="E152" t="b">
        <v>1</v>
      </c>
      <c r="F152">
        <v>1.1170607000240125</v>
      </c>
      <c r="G152">
        <v>0.91002559999469668</v>
      </c>
      <c r="H152">
        <v>0.85669579997193068</v>
      </c>
      <c r="I152">
        <v>0.9148511000094004</v>
      </c>
      <c r="J152">
        <v>5.111669100006111</v>
      </c>
      <c r="K152" t="b">
        <v>1</v>
      </c>
      <c r="L152" t="b">
        <v>1</v>
      </c>
      <c r="M152" t="b">
        <v>1</v>
      </c>
      <c r="N152" t="b">
        <v>1</v>
      </c>
      <c r="O152" t="s">
        <v>162</v>
      </c>
      <c r="P152" s="44">
        <v>16786432</v>
      </c>
    </row>
    <row r="153" spans="1:16" x14ac:dyDescent="0.45">
      <c r="A153">
        <v>4096</v>
      </c>
      <c r="B153" t="s">
        <v>148</v>
      </c>
      <c r="C153" s="42">
        <v>1024</v>
      </c>
      <c r="D153">
        <v>8</v>
      </c>
      <c r="E153" t="b">
        <v>1</v>
      </c>
      <c r="F153">
        <v>2.0432018999708816</v>
      </c>
      <c r="G153">
        <v>1.7246194999897853</v>
      </c>
      <c r="H153">
        <v>2.2134572000359185</v>
      </c>
      <c r="I153">
        <v>1.8866630000411533</v>
      </c>
      <c r="J153">
        <v>10.396468500024639</v>
      </c>
      <c r="K153" t="b">
        <v>1</v>
      </c>
      <c r="L153" t="b">
        <v>1</v>
      </c>
      <c r="M153" t="b">
        <v>1</v>
      </c>
      <c r="N153" t="b">
        <v>1</v>
      </c>
      <c r="O153" t="s">
        <v>163</v>
      </c>
      <c r="P153" s="44">
        <v>33563648</v>
      </c>
    </row>
    <row r="154" spans="1:16" x14ac:dyDescent="0.45">
      <c r="A154">
        <v>8192</v>
      </c>
      <c r="B154" t="s">
        <v>149</v>
      </c>
      <c r="C154" s="42">
        <v>1024</v>
      </c>
      <c r="D154">
        <v>8</v>
      </c>
      <c r="E154" t="b">
        <v>1</v>
      </c>
      <c r="F154">
        <v>4.5043161999783479</v>
      </c>
      <c r="G154">
        <v>3.6461847999598831</v>
      </c>
      <c r="H154">
        <v>8.4295572999981232</v>
      </c>
      <c r="I154">
        <v>3.8482305000070482</v>
      </c>
      <c r="J154">
        <v>20.243478999997023</v>
      </c>
      <c r="K154" t="b">
        <v>1</v>
      </c>
      <c r="L154" t="b">
        <v>1</v>
      </c>
      <c r="M154" t="b">
        <v>1</v>
      </c>
      <c r="N154" t="b">
        <v>1</v>
      </c>
      <c r="O154" t="s">
        <v>164</v>
      </c>
      <c r="P154" s="44">
        <v>67118080</v>
      </c>
    </row>
    <row r="155" spans="1:16" x14ac:dyDescent="0.45">
      <c r="A155">
        <v>16384</v>
      </c>
      <c r="B155" t="s">
        <v>150</v>
      </c>
      <c r="C155" s="42">
        <v>1024</v>
      </c>
      <c r="D155">
        <v>8</v>
      </c>
      <c r="E155" t="b">
        <v>1</v>
      </c>
      <c r="F155">
        <v>8.2157686999998987</v>
      </c>
      <c r="G155">
        <v>7.9263091000029817</v>
      </c>
      <c r="H155">
        <v>49.62571549997665</v>
      </c>
      <c r="I155">
        <v>8.3116042999899946</v>
      </c>
      <c r="J155">
        <v>40.080299000022933</v>
      </c>
      <c r="K155" t="b">
        <v>1</v>
      </c>
      <c r="L155" t="b">
        <v>1</v>
      </c>
      <c r="M155" t="b">
        <v>1</v>
      </c>
      <c r="N155" t="b">
        <v>1</v>
      </c>
      <c r="O155" t="s">
        <v>165</v>
      </c>
      <c r="P155" s="44">
        <v>134226944</v>
      </c>
    </row>
    <row r="156" spans="1:16" x14ac:dyDescent="0.45">
      <c r="C156" s="42"/>
      <c r="P156" s="44"/>
    </row>
    <row r="157" spans="1:16" x14ac:dyDescent="0.45">
      <c r="C157" s="42"/>
      <c r="P157" s="44"/>
    </row>
    <row r="158" spans="1:16" x14ac:dyDescent="0.45">
      <c r="C158" s="42"/>
      <c r="P158" s="44"/>
    </row>
    <row r="159" spans="1:16" x14ac:dyDescent="0.45">
      <c r="C159" s="42"/>
      <c r="P159" s="44"/>
    </row>
    <row r="160" spans="1:16" x14ac:dyDescent="0.45">
      <c r="C160" s="42"/>
      <c r="P160" s="44"/>
    </row>
    <row r="161" spans="1:16" x14ac:dyDescent="0.45">
      <c r="C161" s="42"/>
      <c r="P161" s="44"/>
    </row>
    <row r="162" spans="1:16" x14ac:dyDescent="0.45">
      <c r="C162" s="42"/>
      <c r="P162" s="44"/>
    </row>
    <row r="163" spans="1:16" x14ac:dyDescent="0.45">
      <c r="C163" s="42"/>
      <c r="P163" s="44"/>
    </row>
    <row r="167" spans="1:16" x14ac:dyDescent="0.45">
      <c r="A167" t="s">
        <v>180</v>
      </c>
      <c r="B167" t="s">
        <v>87</v>
      </c>
      <c r="C167" t="s">
        <v>21</v>
      </c>
      <c r="D167" t="s">
        <v>22</v>
      </c>
      <c r="E167" t="s">
        <v>95</v>
      </c>
      <c r="F167" t="s">
        <v>32</v>
      </c>
      <c r="G167" t="s">
        <v>88</v>
      </c>
      <c r="H167" t="s">
        <v>89</v>
      </c>
      <c r="I167" t="s">
        <v>92</v>
      </c>
      <c r="J167" t="s">
        <v>184</v>
      </c>
      <c r="K167" t="s">
        <v>93</v>
      </c>
      <c r="L167" t="s">
        <v>94</v>
      </c>
      <c r="M167" t="s">
        <v>136</v>
      </c>
      <c r="N167" s="10" t="s">
        <v>183</v>
      </c>
      <c r="O167" t="s">
        <v>0</v>
      </c>
      <c r="P167" t="s">
        <v>90</v>
      </c>
    </row>
    <row r="168" spans="1:16" x14ac:dyDescent="0.45">
      <c r="A168">
        <v>3</v>
      </c>
      <c r="B168" t="s">
        <v>241</v>
      </c>
      <c r="C168" s="42">
        <v>1024</v>
      </c>
      <c r="D168">
        <v>8</v>
      </c>
      <c r="E168" t="b">
        <v>1</v>
      </c>
      <c r="F168">
        <v>3.3281800046097487E-2</v>
      </c>
      <c r="G168">
        <v>1.625470002181828E-2</v>
      </c>
      <c r="H168">
        <v>0.32000359997618943</v>
      </c>
      <c r="I168">
        <v>2.2498100006487221E-2</v>
      </c>
      <c r="J168">
        <v>1.8530100001953542E-2</v>
      </c>
      <c r="K168" t="b">
        <v>1</v>
      </c>
      <c r="L168" t="b">
        <v>1</v>
      </c>
      <c r="M168" t="b">
        <v>1</v>
      </c>
      <c r="N168" t="b">
        <v>1</v>
      </c>
      <c r="O168" t="s">
        <v>227</v>
      </c>
      <c r="P168" s="44">
        <v>33792</v>
      </c>
    </row>
    <row r="169" spans="1:16" x14ac:dyDescent="0.45">
      <c r="A169">
        <v>4</v>
      </c>
      <c r="B169" t="s">
        <v>242</v>
      </c>
      <c r="C169" s="42">
        <v>1024</v>
      </c>
      <c r="D169">
        <v>8</v>
      </c>
      <c r="E169" t="b">
        <v>1</v>
      </c>
      <c r="F169">
        <v>3.9189099974464625E-2</v>
      </c>
      <c r="G169">
        <v>1.7045399989001453E-2</v>
      </c>
      <c r="H169">
        <v>7.0489400008227676E-2</v>
      </c>
      <c r="I169">
        <v>3.700299997581169E-2</v>
      </c>
      <c r="J169">
        <v>2.7068600000347942E-2</v>
      </c>
      <c r="K169" t="b">
        <v>1</v>
      </c>
      <c r="L169" t="b">
        <v>1</v>
      </c>
      <c r="M169" t="b">
        <v>1</v>
      </c>
      <c r="N169" t="b">
        <v>1</v>
      </c>
      <c r="O169" t="s">
        <v>153</v>
      </c>
      <c r="P169" s="44">
        <v>41984</v>
      </c>
    </row>
    <row r="170" spans="1:16" x14ac:dyDescent="0.45">
      <c r="A170">
        <v>6</v>
      </c>
      <c r="B170" t="s">
        <v>243</v>
      </c>
      <c r="C170" s="42">
        <v>1024</v>
      </c>
      <c r="D170">
        <v>8</v>
      </c>
      <c r="E170" t="b">
        <v>1</v>
      </c>
      <c r="F170">
        <v>5.5210400023497641E-2</v>
      </c>
      <c r="G170">
        <v>1.6798999975435436E-2</v>
      </c>
      <c r="H170">
        <v>3.5310100007336587E-2</v>
      </c>
      <c r="I170">
        <v>3.2968799991067499E-2</v>
      </c>
      <c r="J170">
        <v>2.3026799957733601E-2</v>
      </c>
      <c r="K170" t="b">
        <v>1</v>
      </c>
      <c r="L170" t="b">
        <v>1</v>
      </c>
      <c r="M170" t="b">
        <v>1</v>
      </c>
      <c r="N170" t="b">
        <v>1</v>
      </c>
      <c r="O170" t="s">
        <v>228</v>
      </c>
      <c r="P170" s="44">
        <v>58368</v>
      </c>
    </row>
    <row r="171" spans="1:16" x14ac:dyDescent="0.45">
      <c r="A171">
        <v>10</v>
      </c>
      <c r="B171" t="s">
        <v>244</v>
      </c>
      <c r="C171" s="42">
        <v>1024</v>
      </c>
      <c r="D171">
        <v>8</v>
      </c>
      <c r="E171" t="b">
        <v>1</v>
      </c>
      <c r="F171">
        <v>5.1408100000116974E-2</v>
      </c>
      <c r="G171">
        <v>1.905940001597628E-2</v>
      </c>
      <c r="H171">
        <v>3.3554399968124926E-2</v>
      </c>
      <c r="I171">
        <v>3.7877099995967001E-2</v>
      </c>
      <c r="J171">
        <v>2.9305200034286827E-2</v>
      </c>
      <c r="K171" t="b">
        <v>1</v>
      </c>
      <c r="L171" t="b">
        <v>1</v>
      </c>
      <c r="M171" t="b">
        <v>1</v>
      </c>
      <c r="N171" t="b">
        <v>1</v>
      </c>
      <c r="O171" t="s">
        <v>229</v>
      </c>
      <c r="P171" s="44">
        <v>91136</v>
      </c>
    </row>
    <row r="172" spans="1:16" x14ac:dyDescent="0.45">
      <c r="A172">
        <v>18</v>
      </c>
      <c r="B172" t="s">
        <v>245</v>
      </c>
      <c r="C172" s="42">
        <v>1024</v>
      </c>
      <c r="D172">
        <v>8</v>
      </c>
      <c r="E172" t="b">
        <v>1</v>
      </c>
      <c r="F172">
        <v>5.5127300031017512E-2</v>
      </c>
      <c r="G172">
        <v>2.3405299987643957E-2</v>
      </c>
      <c r="H172">
        <v>3.3390399999916553E-2</v>
      </c>
      <c r="I172">
        <v>4.9985599995125085E-2</v>
      </c>
      <c r="J172">
        <v>4.1560699988622218E-2</v>
      </c>
      <c r="K172" t="b">
        <v>1</v>
      </c>
      <c r="L172" t="b">
        <v>1</v>
      </c>
      <c r="M172" t="b">
        <v>1</v>
      </c>
      <c r="N172" t="b">
        <v>1</v>
      </c>
      <c r="O172" t="s">
        <v>230</v>
      </c>
      <c r="P172" s="44">
        <v>156672</v>
      </c>
    </row>
    <row r="173" spans="1:16" x14ac:dyDescent="0.45">
      <c r="A173">
        <v>34</v>
      </c>
      <c r="B173" t="s">
        <v>246</v>
      </c>
      <c r="C173" s="42">
        <v>1024</v>
      </c>
      <c r="D173">
        <v>8</v>
      </c>
      <c r="E173" t="b">
        <v>1</v>
      </c>
      <c r="F173">
        <v>6.5491599962115288E-2</v>
      </c>
      <c r="G173">
        <v>3.3224700018763542E-2</v>
      </c>
      <c r="H173">
        <v>3.4697099996265024E-2</v>
      </c>
      <c r="I173">
        <v>7.9607499996200204E-2</v>
      </c>
      <c r="J173">
        <v>6.4913699985481799E-2</v>
      </c>
      <c r="K173" t="b">
        <v>1</v>
      </c>
      <c r="L173" t="b">
        <v>1</v>
      </c>
      <c r="M173" t="b">
        <v>1</v>
      </c>
      <c r="N173" t="b">
        <v>1</v>
      </c>
      <c r="O173" t="s">
        <v>231</v>
      </c>
      <c r="P173" s="44">
        <v>287744</v>
      </c>
    </row>
    <row r="174" spans="1:16" x14ac:dyDescent="0.45">
      <c r="A174">
        <v>66</v>
      </c>
      <c r="B174" t="s">
        <v>247</v>
      </c>
      <c r="C174" s="42">
        <v>1024</v>
      </c>
      <c r="D174">
        <v>8</v>
      </c>
      <c r="E174" t="b">
        <v>1</v>
      </c>
      <c r="F174">
        <v>5.9393800038378686E-2</v>
      </c>
      <c r="G174">
        <v>5.7478600007016212E-2</v>
      </c>
      <c r="H174">
        <v>3.221299999859184E-2</v>
      </c>
      <c r="I174">
        <v>0.1350465000141412</v>
      </c>
      <c r="J174">
        <v>0.11769560002721846</v>
      </c>
      <c r="K174" t="b">
        <v>1</v>
      </c>
      <c r="L174" t="b">
        <v>1</v>
      </c>
      <c r="M174" t="b">
        <v>1</v>
      </c>
      <c r="N174" t="b">
        <v>1</v>
      </c>
      <c r="O174" t="s">
        <v>232</v>
      </c>
      <c r="P174" s="44">
        <v>549888</v>
      </c>
    </row>
    <row r="175" spans="1:16" x14ac:dyDescent="0.45">
      <c r="A175">
        <v>130</v>
      </c>
      <c r="B175" t="s">
        <v>248</v>
      </c>
      <c r="C175" s="42">
        <v>1024</v>
      </c>
      <c r="D175">
        <v>8</v>
      </c>
      <c r="E175" t="b">
        <v>1</v>
      </c>
      <c r="F175">
        <v>8.8449299975764006E-2</v>
      </c>
      <c r="G175">
        <v>7.6437200012151152E-2</v>
      </c>
      <c r="H175">
        <v>4.0808200021274388E-2</v>
      </c>
      <c r="I175">
        <v>0.24546130001544952</v>
      </c>
      <c r="J175">
        <v>0.22313430003123358</v>
      </c>
      <c r="K175" t="b">
        <v>1</v>
      </c>
      <c r="L175" t="b">
        <v>1</v>
      </c>
      <c r="M175" t="b">
        <v>1</v>
      </c>
      <c r="N175" t="b">
        <v>1</v>
      </c>
      <c r="O175" t="s">
        <v>233</v>
      </c>
      <c r="P175" s="44">
        <v>1074176</v>
      </c>
    </row>
    <row r="176" spans="1:16" x14ac:dyDescent="0.45">
      <c r="A176">
        <v>258</v>
      </c>
      <c r="B176" t="s">
        <v>249</v>
      </c>
      <c r="C176" s="42">
        <v>1024</v>
      </c>
      <c r="D176">
        <v>8</v>
      </c>
      <c r="E176" t="b">
        <v>1</v>
      </c>
      <c r="F176">
        <v>0.14517149998573586</v>
      </c>
      <c r="G176">
        <v>0.12183939997339621</v>
      </c>
      <c r="H176">
        <v>5.5378699966240674E-2</v>
      </c>
      <c r="I176">
        <v>0.47170619998360053</v>
      </c>
      <c r="J176">
        <v>0.42975159996422008</v>
      </c>
      <c r="K176" t="b">
        <v>1</v>
      </c>
      <c r="L176" t="b">
        <v>1</v>
      </c>
      <c r="M176" t="b">
        <v>1</v>
      </c>
      <c r="N176" t="b">
        <v>1</v>
      </c>
      <c r="O176" t="s">
        <v>234</v>
      </c>
      <c r="P176" s="44">
        <v>2122752</v>
      </c>
    </row>
    <row r="177" spans="1:16" x14ac:dyDescent="0.45">
      <c r="A177">
        <v>514</v>
      </c>
      <c r="B177" t="s">
        <v>250</v>
      </c>
      <c r="C177" s="42">
        <v>1024</v>
      </c>
      <c r="D177">
        <v>8</v>
      </c>
      <c r="E177" t="b">
        <v>1</v>
      </c>
      <c r="F177">
        <v>0.34941720002098009</v>
      </c>
      <c r="G177">
        <v>0.28949009999632835</v>
      </c>
      <c r="H177">
        <v>8.5704200027976185E-2</v>
      </c>
      <c r="I177">
        <v>0.90148010000120848</v>
      </c>
      <c r="J177">
        <v>0.90292800002498552</v>
      </c>
      <c r="K177" t="b">
        <v>1</v>
      </c>
      <c r="L177" t="b">
        <v>1</v>
      </c>
      <c r="M177" t="b">
        <v>1</v>
      </c>
      <c r="N177" t="b">
        <v>1</v>
      </c>
      <c r="O177" t="s">
        <v>235</v>
      </c>
      <c r="P177" s="44">
        <v>4219904</v>
      </c>
    </row>
    <row r="178" spans="1:16" x14ac:dyDescent="0.45">
      <c r="A178">
        <v>1026</v>
      </c>
      <c r="B178" t="s">
        <v>251</v>
      </c>
      <c r="C178" s="42">
        <v>1024</v>
      </c>
      <c r="D178">
        <v>8</v>
      </c>
      <c r="E178" t="b">
        <v>1</v>
      </c>
      <c r="F178">
        <v>0.71769090002635494</v>
      </c>
      <c r="G178">
        <v>0.65130190004128963</v>
      </c>
      <c r="H178">
        <v>0.2133816999848932</v>
      </c>
      <c r="I178">
        <v>1.7922197000007145</v>
      </c>
      <c r="J178">
        <v>1.8460826999507844</v>
      </c>
      <c r="K178" t="b">
        <v>1</v>
      </c>
      <c r="L178" t="b">
        <v>1</v>
      </c>
      <c r="M178" t="b">
        <v>1</v>
      </c>
      <c r="N178" t="b">
        <v>1</v>
      </c>
      <c r="O178" t="s">
        <v>236</v>
      </c>
      <c r="P178" s="44">
        <v>8414208</v>
      </c>
    </row>
    <row r="179" spans="1:16" x14ac:dyDescent="0.45">
      <c r="A179">
        <v>2050</v>
      </c>
      <c r="B179" t="s">
        <v>252</v>
      </c>
      <c r="C179" s="42">
        <v>1024</v>
      </c>
      <c r="D179">
        <v>8</v>
      </c>
      <c r="E179" t="b">
        <v>1</v>
      </c>
      <c r="F179">
        <v>1.4376950999721885</v>
      </c>
      <c r="G179">
        <v>0.86916699999710545</v>
      </c>
      <c r="H179">
        <v>0.81597350002266467</v>
      </c>
      <c r="I179">
        <v>3.6077716999570839</v>
      </c>
      <c r="J179">
        <v>3.6778381000040099</v>
      </c>
      <c r="K179" t="b">
        <v>1</v>
      </c>
      <c r="L179" t="b">
        <v>1</v>
      </c>
      <c r="M179" t="b">
        <v>1</v>
      </c>
      <c r="N179" t="b">
        <v>1</v>
      </c>
      <c r="O179" t="s">
        <v>237</v>
      </c>
      <c r="P179" s="44">
        <v>16802816</v>
      </c>
    </row>
    <row r="180" spans="1:16" x14ac:dyDescent="0.45">
      <c r="A180">
        <v>4098</v>
      </c>
      <c r="B180" t="s">
        <v>253</v>
      </c>
      <c r="C180" s="42">
        <v>1024</v>
      </c>
      <c r="D180">
        <v>8</v>
      </c>
      <c r="E180" t="b">
        <v>1</v>
      </c>
      <c r="F180">
        <v>2.2592681999667548</v>
      </c>
      <c r="G180">
        <v>1.7380381999537349</v>
      </c>
      <c r="H180">
        <v>2.2408271000022069</v>
      </c>
      <c r="I180">
        <v>7.3255450000287965</v>
      </c>
      <c r="J180">
        <v>7.2671172000118531</v>
      </c>
      <c r="K180" t="b">
        <v>1</v>
      </c>
      <c r="L180" t="b">
        <v>1</v>
      </c>
      <c r="M180" t="b">
        <v>1</v>
      </c>
      <c r="N180" t="b">
        <v>1</v>
      </c>
      <c r="O180" t="s">
        <v>238</v>
      </c>
      <c r="P180" s="44">
        <v>33580032</v>
      </c>
    </row>
    <row r="181" spans="1:16" x14ac:dyDescent="0.45">
      <c r="A181">
        <v>8194</v>
      </c>
      <c r="B181" t="s">
        <v>254</v>
      </c>
      <c r="C181" s="42">
        <v>1024</v>
      </c>
      <c r="D181">
        <v>8</v>
      </c>
      <c r="E181" t="b">
        <v>1</v>
      </c>
      <c r="F181">
        <v>4.2284333999850787</v>
      </c>
      <c r="G181">
        <v>3.5751564999809489</v>
      </c>
      <c r="H181">
        <v>8.3887801999808289</v>
      </c>
      <c r="I181">
        <v>14.905898600001819</v>
      </c>
      <c r="J181">
        <v>14.126898700022139</v>
      </c>
      <c r="K181" t="b">
        <v>1</v>
      </c>
      <c r="L181" t="b">
        <v>1</v>
      </c>
      <c r="M181" t="b">
        <v>1</v>
      </c>
      <c r="N181" t="b">
        <v>1</v>
      </c>
      <c r="O181" t="s">
        <v>239</v>
      </c>
      <c r="P181" s="44">
        <v>67134464</v>
      </c>
    </row>
    <row r="182" spans="1:16" x14ac:dyDescent="0.45">
      <c r="A182">
        <v>16386</v>
      </c>
      <c r="B182" t="s">
        <v>255</v>
      </c>
      <c r="C182" s="42">
        <v>1024</v>
      </c>
      <c r="D182">
        <v>8</v>
      </c>
      <c r="E182" t="b">
        <v>1</v>
      </c>
      <c r="F182">
        <v>8.695037700003013</v>
      </c>
      <c r="G182">
        <v>7.6204534999560565</v>
      </c>
      <c r="H182">
        <v>49.269899300008547</v>
      </c>
      <c r="I182">
        <v>31.082620300003327</v>
      </c>
      <c r="J182">
        <v>29.477620400022715</v>
      </c>
      <c r="K182" t="b">
        <v>1</v>
      </c>
      <c r="L182" t="b">
        <v>1</v>
      </c>
      <c r="M182" t="b">
        <v>1</v>
      </c>
      <c r="N182" t="b">
        <v>1</v>
      </c>
      <c r="O182" t="s">
        <v>240</v>
      </c>
      <c r="P182" s="44">
        <v>134243328</v>
      </c>
    </row>
  </sheetData>
  <sheetProtection sheet="1" objects="1" scenarios="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CED59-FBFC-44DE-8BF4-82BCD57B77E3}">
  <sheetPr codeName="Sheet3"/>
  <dimension ref="A1:P226"/>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1" width="4.9296875" bestFit="1" customWidth="1"/>
    <col min="12" max="12" width="5.33203125" bestFit="1" customWidth="1"/>
    <col min="13" max="14" width="4.9296875" bestFit="1" customWidth="1"/>
    <col min="15" max="15" width="91.73046875" bestFit="1" customWidth="1"/>
    <col min="16" max="16" width="10.6640625" bestFit="1" customWidth="1"/>
  </cols>
  <sheetData>
    <row r="1" spans="1:16" ht="28.5" x14ac:dyDescent="0.85">
      <c r="A1" s="1" t="s">
        <v>226</v>
      </c>
    </row>
    <row r="2" spans="1:16" x14ac:dyDescent="0.45">
      <c r="A2" s="46" t="s">
        <v>257</v>
      </c>
    </row>
    <row r="4" spans="1:16" x14ac:dyDescent="0.45">
      <c r="O4" t="s">
        <v>260</v>
      </c>
    </row>
    <row r="5" spans="1:16" x14ac:dyDescent="0.45">
      <c r="A5" t="s">
        <v>180</v>
      </c>
      <c r="B5" t="s">
        <v>87</v>
      </c>
      <c r="C5" t="s">
        <v>21</v>
      </c>
      <c r="D5" t="s">
        <v>22</v>
      </c>
      <c r="E5" t="s">
        <v>95</v>
      </c>
      <c r="F5" t="s">
        <v>32</v>
      </c>
      <c r="G5" t="s">
        <v>88</v>
      </c>
      <c r="H5" t="s">
        <v>89</v>
      </c>
      <c r="I5" t="s">
        <v>92</v>
      </c>
      <c r="J5" t="s">
        <v>184</v>
      </c>
      <c r="K5" t="s">
        <v>93</v>
      </c>
      <c r="L5" t="s">
        <v>94</v>
      </c>
      <c r="M5" t="s">
        <v>136</v>
      </c>
      <c r="N5" s="10" t="s">
        <v>183</v>
      </c>
      <c r="O5" t="s">
        <v>0</v>
      </c>
      <c r="P5" t="s">
        <v>90</v>
      </c>
    </row>
    <row r="6" spans="1:16" x14ac:dyDescent="0.45">
      <c r="A6">
        <f>LEN(B6)</f>
        <v>1</v>
      </c>
      <c r="B6" t="s">
        <v>85</v>
      </c>
      <c r="C6" s="42">
        <v>1</v>
      </c>
      <c r="D6">
        <v>1</v>
      </c>
      <c r="E6" t="b">
        <v>1</v>
      </c>
      <c r="F6">
        <v>3.8640003185719252E-4</v>
      </c>
      <c r="G6">
        <v>2.2789998911321163E-4</v>
      </c>
      <c r="H6">
        <v>1.5467199962586164E-2</v>
      </c>
      <c r="I6">
        <v>5.1220000023022294E-4</v>
      </c>
      <c r="J6">
        <v>1.6559998039156199E-4</v>
      </c>
      <c r="K6" t="b">
        <v>1</v>
      </c>
      <c r="L6" t="b">
        <v>1</v>
      </c>
      <c r="M6" t="b">
        <v>1</v>
      </c>
      <c r="N6" s="42" t="b">
        <v>1</v>
      </c>
      <c r="O6" t="s">
        <v>91</v>
      </c>
      <c r="P6" s="44">
        <v>3</v>
      </c>
    </row>
    <row r="7" spans="1:16" x14ac:dyDescent="0.45">
      <c r="A7">
        <f t="shared" ref="A7:A27" si="0">LEN(B7)</f>
        <v>1</v>
      </c>
      <c r="B7" t="s">
        <v>85</v>
      </c>
      <c r="C7" s="42">
        <v>2</v>
      </c>
      <c r="D7">
        <v>1</v>
      </c>
      <c r="E7" t="b">
        <v>1</v>
      </c>
      <c r="F7">
        <v>1.1339000193402171E-3</v>
      </c>
      <c r="G7">
        <v>2.0000000949949026E-4</v>
      </c>
      <c r="H7">
        <v>1.5504900016821921E-2</v>
      </c>
      <c r="I7">
        <v>7.1020005270838737E-4</v>
      </c>
      <c r="J7">
        <v>1.8279999494552612E-4</v>
      </c>
      <c r="K7" t="b">
        <v>1</v>
      </c>
      <c r="L7" t="b">
        <v>1</v>
      </c>
      <c r="M7" t="b">
        <v>1</v>
      </c>
      <c r="N7" s="42" t="b">
        <v>1</v>
      </c>
      <c r="O7" t="s">
        <v>96</v>
      </c>
      <c r="P7" s="44">
        <v>6</v>
      </c>
    </row>
    <row r="8" spans="1:16" x14ac:dyDescent="0.45">
      <c r="A8">
        <f t="shared" si="0"/>
        <v>1</v>
      </c>
      <c r="B8" t="s">
        <v>85</v>
      </c>
      <c r="C8" s="42">
        <v>4</v>
      </c>
      <c r="D8">
        <v>1</v>
      </c>
      <c r="E8" t="b">
        <v>1</v>
      </c>
      <c r="F8">
        <v>1.464200031477958E-3</v>
      </c>
      <c r="G8">
        <v>2.5839998852461576E-4</v>
      </c>
      <c r="H8">
        <v>1.9404400023631752E-2</v>
      </c>
      <c r="I8">
        <v>5.2589998813346028E-4</v>
      </c>
      <c r="J8">
        <v>1.8659996567294002E-4</v>
      </c>
      <c r="K8" t="b">
        <v>1</v>
      </c>
      <c r="L8" t="b">
        <v>1</v>
      </c>
      <c r="M8" t="b">
        <v>1</v>
      </c>
      <c r="N8" s="42" t="b">
        <v>1</v>
      </c>
      <c r="O8" t="s">
        <v>97</v>
      </c>
      <c r="P8" s="44">
        <v>12</v>
      </c>
    </row>
    <row r="9" spans="1:16" x14ac:dyDescent="0.45">
      <c r="A9">
        <f t="shared" si="0"/>
        <v>1</v>
      </c>
      <c r="B9" t="s">
        <v>85</v>
      </c>
      <c r="C9" s="42">
        <v>8</v>
      </c>
      <c r="D9">
        <v>1</v>
      </c>
      <c r="E9" t="b">
        <v>1</v>
      </c>
      <c r="F9">
        <v>1.6084000235423446E-3</v>
      </c>
      <c r="G9">
        <v>2.5430001551285386E-4</v>
      </c>
      <c r="H9">
        <v>1.1901799996849149E-2</v>
      </c>
      <c r="I9">
        <v>7.5070001184940338E-4</v>
      </c>
      <c r="J9">
        <v>2.411000314168632E-4</v>
      </c>
      <c r="K9" t="b">
        <v>1</v>
      </c>
      <c r="L9" t="b">
        <v>1</v>
      </c>
      <c r="M9" t="b">
        <v>1</v>
      </c>
      <c r="N9" s="42" t="b">
        <v>1</v>
      </c>
      <c r="O9" t="s">
        <v>98</v>
      </c>
      <c r="P9" s="44">
        <v>24</v>
      </c>
    </row>
    <row r="10" spans="1:16" x14ac:dyDescent="0.45">
      <c r="A10">
        <f t="shared" si="0"/>
        <v>1</v>
      </c>
      <c r="B10" t="s">
        <v>85</v>
      </c>
      <c r="C10" s="42">
        <v>16</v>
      </c>
      <c r="D10">
        <v>1</v>
      </c>
      <c r="E10" t="b">
        <v>1</v>
      </c>
      <c r="F10">
        <v>1.1842999956570566E-3</v>
      </c>
      <c r="G10">
        <v>2.4060002760961652E-4</v>
      </c>
      <c r="H10">
        <v>1.5425099991261959E-2</v>
      </c>
      <c r="I10">
        <v>5.8730004820972681E-4</v>
      </c>
      <c r="J10">
        <v>2.0000000949949026E-4</v>
      </c>
      <c r="K10" t="b">
        <v>1</v>
      </c>
      <c r="L10" t="b">
        <v>1</v>
      </c>
      <c r="M10" t="b">
        <v>1</v>
      </c>
      <c r="N10" s="42" t="b">
        <v>1</v>
      </c>
      <c r="O10" t="s">
        <v>99</v>
      </c>
      <c r="P10" s="44">
        <v>48</v>
      </c>
    </row>
    <row r="11" spans="1:16" x14ac:dyDescent="0.45">
      <c r="A11">
        <f t="shared" si="0"/>
        <v>1</v>
      </c>
      <c r="B11" t="s">
        <v>85</v>
      </c>
      <c r="C11" s="42">
        <v>32</v>
      </c>
      <c r="D11">
        <v>1</v>
      </c>
      <c r="E11" t="b">
        <v>1</v>
      </c>
      <c r="F11">
        <v>1.2464000028558075E-3</v>
      </c>
      <c r="G11">
        <v>2.6940001407638192E-4</v>
      </c>
      <c r="H11">
        <v>1.3613700051791966E-2</v>
      </c>
      <c r="I11">
        <v>5.9479998890310526E-4</v>
      </c>
      <c r="J11">
        <v>2.0760000916197896E-4</v>
      </c>
      <c r="K11" t="b">
        <v>1</v>
      </c>
      <c r="L11" t="b">
        <v>1</v>
      </c>
      <c r="M11" t="b">
        <v>1</v>
      </c>
      <c r="N11" s="42" t="b">
        <v>1</v>
      </c>
      <c r="O11" t="s">
        <v>100</v>
      </c>
      <c r="P11" s="44">
        <v>96</v>
      </c>
    </row>
    <row r="12" spans="1:16" x14ac:dyDescent="0.45">
      <c r="A12">
        <f t="shared" si="0"/>
        <v>1</v>
      </c>
      <c r="B12" t="s">
        <v>85</v>
      </c>
      <c r="C12" s="42">
        <v>64</v>
      </c>
      <c r="D12">
        <v>1</v>
      </c>
      <c r="E12" t="b">
        <v>1</v>
      </c>
      <c r="F12">
        <v>1.3457000022754073E-3</v>
      </c>
      <c r="G12">
        <v>3.7729996256530285E-4</v>
      </c>
      <c r="H12">
        <v>1.5996400034055114E-2</v>
      </c>
      <c r="I12">
        <v>8.8589999359101057E-4</v>
      </c>
      <c r="J12">
        <v>9.7730004927143455E-4</v>
      </c>
      <c r="K12" t="b">
        <v>1</v>
      </c>
      <c r="L12" t="b">
        <v>1</v>
      </c>
      <c r="M12" t="b">
        <v>1</v>
      </c>
      <c r="N12" s="42" t="b">
        <v>1</v>
      </c>
      <c r="O12" t="s">
        <v>101</v>
      </c>
      <c r="P12" s="44">
        <v>192</v>
      </c>
    </row>
    <row r="13" spans="1:16" x14ac:dyDescent="0.45">
      <c r="A13">
        <f t="shared" si="0"/>
        <v>1</v>
      </c>
      <c r="B13" t="s">
        <v>85</v>
      </c>
      <c r="C13" s="42">
        <v>128</v>
      </c>
      <c r="D13">
        <v>1</v>
      </c>
      <c r="E13" t="b">
        <v>1</v>
      </c>
      <c r="F13">
        <v>1.422200002707541E-3</v>
      </c>
      <c r="G13">
        <v>4.070000140927732E-4</v>
      </c>
      <c r="H13">
        <v>1.4476599986664951E-2</v>
      </c>
      <c r="I13">
        <v>9.1519998386502266E-4</v>
      </c>
      <c r="J13">
        <v>3.1099998159334064E-4</v>
      </c>
      <c r="K13" t="b">
        <v>1</v>
      </c>
      <c r="L13" t="b">
        <v>1</v>
      </c>
      <c r="M13" t="b">
        <v>1</v>
      </c>
      <c r="N13" s="42" t="b">
        <v>1</v>
      </c>
      <c r="O13" t="s">
        <v>102</v>
      </c>
      <c r="P13" s="44">
        <v>384</v>
      </c>
    </row>
    <row r="14" spans="1:16" x14ac:dyDescent="0.45">
      <c r="A14">
        <f t="shared" si="0"/>
        <v>1</v>
      </c>
      <c r="B14" t="s">
        <v>85</v>
      </c>
      <c r="C14" s="42">
        <v>256</v>
      </c>
      <c r="D14">
        <v>1</v>
      </c>
      <c r="E14" t="b">
        <v>1</v>
      </c>
      <c r="F14">
        <v>2.7791000320576131E-3</v>
      </c>
      <c r="G14">
        <v>8.5730000864714384E-4</v>
      </c>
      <c r="H14">
        <v>2.2525899985339493E-2</v>
      </c>
      <c r="I14">
        <v>3.247199987526983E-3</v>
      </c>
      <c r="J14">
        <v>1.4730000402778387E-3</v>
      </c>
      <c r="K14" t="b">
        <v>1</v>
      </c>
      <c r="L14" t="b">
        <v>1</v>
      </c>
      <c r="M14" t="b">
        <v>1</v>
      </c>
      <c r="N14" s="42" t="b">
        <v>1</v>
      </c>
      <c r="O14" t="s">
        <v>103</v>
      </c>
      <c r="P14" s="44">
        <v>768</v>
      </c>
    </row>
    <row r="15" spans="1:16" x14ac:dyDescent="0.45">
      <c r="A15">
        <f t="shared" si="0"/>
        <v>1</v>
      </c>
      <c r="B15" t="s">
        <v>85</v>
      </c>
      <c r="C15" s="42">
        <v>512</v>
      </c>
      <c r="D15">
        <v>1</v>
      </c>
      <c r="E15" t="b">
        <v>1</v>
      </c>
      <c r="F15">
        <v>2.8764999588020146E-3</v>
      </c>
      <c r="G15">
        <v>1.1091000051237643E-3</v>
      </c>
      <c r="H15">
        <v>1.8075799976941198E-2</v>
      </c>
      <c r="I15">
        <v>1.830599969252944E-3</v>
      </c>
      <c r="J15">
        <v>7.3929998325183988E-4</v>
      </c>
      <c r="K15" t="b">
        <v>1</v>
      </c>
      <c r="L15" t="b">
        <v>1</v>
      </c>
      <c r="M15" t="b">
        <v>1</v>
      </c>
      <c r="N15" s="42" t="b">
        <v>1</v>
      </c>
      <c r="O15" t="s">
        <v>104</v>
      </c>
      <c r="P15" s="44">
        <v>1536</v>
      </c>
    </row>
    <row r="16" spans="1:16" x14ac:dyDescent="0.45">
      <c r="A16">
        <f t="shared" si="0"/>
        <v>1</v>
      </c>
      <c r="B16" t="s">
        <v>85</v>
      </c>
      <c r="C16" s="42">
        <v>1024</v>
      </c>
      <c r="D16">
        <v>1</v>
      </c>
      <c r="E16" t="b">
        <v>1</v>
      </c>
      <c r="F16">
        <v>6.1654999735765159E-3</v>
      </c>
      <c r="G16">
        <v>1.8094999832101166E-3</v>
      </c>
      <c r="H16">
        <v>2.2945899982005358E-2</v>
      </c>
      <c r="I16">
        <v>4.8138000420294702E-3</v>
      </c>
      <c r="J16">
        <v>1.1484999558888376E-3</v>
      </c>
      <c r="K16" t="b">
        <v>1</v>
      </c>
      <c r="L16" t="b">
        <v>1</v>
      </c>
      <c r="M16" t="b">
        <v>1</v>
      </c>
      <c r="N16" s="42" t="b">
        <v>1</v>
      </c>
      <c r="O16" t="s">
        <v>105</v>
      </c>
      <c r="P16" s="44">
        <v>3072</v>
      </c>
    </row>
    <row r="17" spans="1:16" x14ac:dyDescent="0.45">
      <c r="A17">
        <f t="shared" si="0"/>
        <v>1</v>
      </c>
      <c r="B17" t="s">
        <v>85</v>
      </c>
      <c r="C17" s="42">
        <v>2048</v>
      </c>
      <c r="D17">
        <v>1</v>
      </c>
      <c r="E17" t="b">
        <v>1</v>
      </c>
      <c r="F17">
        <v>6.1779000097885728E-3</v>
      </c>
      <c r="G17">
        <v>2.832000027410686E-3</v>
      </c>
      <c r="H17">
        <v>2.6496500009670854E-2</v>
      </c>
      <c r="I17">
        <v>4.8818999784998596E-3</v>
      </c>
      <c r="J17">
        <v>1.9479999900795519E-3</v>
      </c>
      <c r="K17" t="b">
        <v>1</v>
      </c>
      <c r="L17" t="b">
        <v>1</v>
      </c>
      <c r="M17" t="b">
        <v>1</v>
      </c>
      <c r="N17" s="42" t="b">
        <v>1</v>
      </c>
      <c r="O17" t="s">
        <v>106</v>
      </c>
      <c r="P17" s="44">
        <v>6144</v>
      </c>
    </row>
    <row r="18" spans="1:16" x14ac:dyDescent="0.45">
      <c r="A18">
        <f t="shared" si="0"/>
        <v>1</v>
      </c>
      <c r="B18" t="s">
        <v>85</v>
      </c>
      <c r="C18" s="42">
        <v>4096</v>
      </c>
      <c r="D18">
        <v>1</v>
      </c>
      <c r="E18" t="b">
        <v>1</v>
      </c>
      <c r="F18">
        <v>1.6365699993912131E-2</v>
      </c>
      <c r="G18">
        <v>7.0168999955058098E-3</v>
      </c>
      <c r="H18">
        <v>2.9168200038839132E-2</v>
      </c>
      <c r="I18">
        <v>1.0306300013326108E-2</v>
      </c>
      <c r="J18">
        <v>3.7115999730303884E-3</v>
      </c>
      <c r="K18" t="b">
        <v>1</v>
      </c>
      <c r="L18" t="b">
        <v>1</v>
      </c>
      <c r="M18" t="b">
        <v>1</v>
      </c>
      <c r="N18" s="42" t="b">
        <v>1</v>
      </c>
      <c r="O18" t="s">
        <v>107</v>
      </c>
      <c r="P18" s="44">
        <v>12288</v>
      </c>
    </row>
    <row r="19" spans="1:16" x14ac:dyDescent="0.45">
      <c r="A19">
        <f t="shared" si="0"/>
        <v>1</v>
      </c>
      <c r="B19" t="s">
        <v>85</v>
      </c>
      <c r="C19" s="42">
        <v>8192</v>
      </c>
      <c r="D19">
        <v>1</v>
      </c>
      <c r="E19" t="b">
        <v>1</v>
      </c>
      <c r="F19">
        <v>1.9259399967268109E-2</v>
      </c>
      <c r="G19">
        <v>1.1104899982456118E-2</v>
      </c>
      <c r="H19">
        <v>5.9730500041041523E-2</v>
      </c>
      <c r="I19">
        <v>3.0745399999432266E-2</v>
      </c>
      <c r="J19">
        <v>7.7648999867960811E-3</v>
      </c>
      <c r="K19" t="b">
        <v>1</v>
      </c>
      <c r="L19" t="b">
        <v>1</v>
      </c>
      <c r="M19" t="b">
        <v>1</v>
      </c>
      <c r="N19" s="42" t="b">
        <v>1</v>
      </c>
      <c r="O19" t="s">
        <v>108</v>
      </c>
      <c r="P19" s="44">
        <v>24576</v>
      </c>
    </row>
    <row r="20" spans="1:16" x14ac:dyDescent="0.45">
      <c r="A20">
        <f t="shared" si="0"/>
        <v>1</v>
      </c>
      <c r="B20" t="s">
        <v>85</v>
      </c>
      <c r="C20" s="42">
        <v>16384</v>
      </c>
      <c r="D20">
        <v>1</v>
      </c>
      <c r="E20" t="b">
        <v>1</v>
      </c>
      <c r="F20">
        <v>3.1504300015512854E-2</v>
      </c>
      <c r="G20">
        <v>1.8788399989716709E-2</v>
      </c>
      <c r="H20">
        <v>8.4959400002844632E-2</v>
      </c>
      <c r="I20">
        <v>3.4649199980776757E-2</v>
      </c>
      <c r="J20">
        <v>1.4951899996958673E-2</v>
      </c>
      <c r="K20" t="b">
        <v>1</v>
      </c>
      <c r="L20" t="b">
        <v>1</v>
      </c>
      <c r="M20" t="b">
        <v>1</v>
      </c>
      <c r="N20" s="42" t="b">
        <v>1</v>
      </c>
      <c r="O20" t="s">
        <v>109</v>
      </c>
      <c r="P20" s="44">
        <v>49152</v>
      </c>
    </row>
    <row r="21" spans="1:16" x14ac:dyDescent="0.45">
      <c r="A21">
        <f t="shared" si="0"/>
        <v>1</v>
      </c>
      <c r="B21" t="s">
        <v>85</v>
      </c>
      <c r="C21" s="42">
        <v>32768</v>
      </c>
      <c r="D21">
        <v>1</v>
      </c>
      <c r="E21" t="b">
        <v>1</v>
      </c>
      <c r="F21">
        <v>6.5324400027748197E-2</v>
      </c>
      <c r="G21">
        <v>3.735119994962588E-2</v>
      </c>
      <c r="H21">
        <v>0.16928520001238212</v>
      </c>
      <c r="I21">
        <v>6.9853399996645749E-2</v>
      </c>
      <c r="J21">
        <v>2.9054099984932691E-2</v>
      </c>
      <c r="K21" t="b">
        <v>1</v>
      </c>
      <c r="L21" t="b">
        <v>1</v>
      </c>
      <c r="M21" t="b">
        <v>1</v>
      </c>
      <c r="N21" s="42" t="b">
        <v>1</v>
      </c>
      <c r="O21" t="s">
        <v>110</v>
      </c>
      <c r="P21" s="44">
        <v>98304</v>
      </c>
    </row>
    <row r="22" spans="1:16" x14ac:dyDescent="0.45">
      <c r="A22">
        <f t="shared" si="0"/>
        <v>1</v>
      </c>
      <c r="B22" t="s">
        <v>85</v>
      </c>
      <c r="C22" s="42">
        <v>65536</v>
      </c>
      <c r="D22">
        <v>1</v>
      </c>
      <c r="E22" t="b">
        <v>1</v>
      </c>
      <c r="F22">
        <v>0.18557510001119226</v>
      </c>
      <c r="G22">
        <v>0.12440269999206066</v>
      </c>
      <c r="H22">
        <v>0.31520369998179376</v>
      </c>
      <c r="I22">
        <v>0.14402539998991415</v>
      </c>
      <c r="J22">
        <v>5.9420200006570667E-2</v>
      </c>
      <c r="K22" t="b">
        <v>1</v>
      </c>
      <c r="L22" t="b">
        <v>1</v>
      </c>
      <c r="M22" t="b">
        <v>1</v>
      </c>
      <c r="N22" s="42" t="b">
        <v>1</v>
      </c>
      <c r="O22" t="s">
        <v>111</v>
      </c>
      <c r="P22" s="44">
        <v>196608</v>
      </c>
    </row>
    <row r="23" spans="1:16" x14ac:dyDescent="0.45">
      <c r="A23">
        <f t="shared" si="0"/>
        <v>1</v>
      </c>
      <c r="B23" t="s">
        <v>85</v>
      </c>
      <c r="C23" s="42">
        <v>131072</v>
      </c>
      <c r="D23">
        <v>1</v>
      </c>
      <c r="E23" t="b">
        <v>1</v>
      </c>
      <c r="F23">
        <v>0.26909000001614913</v>
      </c>
      <c r="G23">
        <v>0.15236929996171966</v>
      </c>
      <c r="H23">
        <v>0.62440859997877851</v>
      </c>
      <c r="I23">
        <v>0.32937630004016683</v>
      </c>
      <c r="J23">
        <v>0.11699680000310764</v>
      </c>
      <c r="K23" t="b">
        <v>1</v>
      </c>
      <c r="L23" t="b">
        <v>1</v>
      </c>
      <c r="M23" t="b">
        <v>1</v>
      </c>
      <c r="N23" s="42" t="b">
        <v>1</v>
      </c>
      <c r="O23" t="s">
        <v>112</v>
      </c>
      <c r="P23" s="44">
        <v>393216</v>
      </c>
    </row>
    <row r="24" spans="1:16" x14ac:dyDescent="0.45">
      <c r="A24">
        <f t="shared" si="0"/>
        <v>1</v>
      </c>
      <c r="B24" t="s">
        <v>85</v>
      </c>
      <c r="C24" s="42">
        <v>262144</v>
      </c>
      <c r="D24">
        <v>1</v>
      </c>
      <c r="E24" t="b">
        <v>1</v>
      </c>
      <c r="F24">
        <v>0.67688779998570681</v>
      </c>
      <c r="G24">
        <v>0.36111060000257567</v>
      </c>
      <c r="H24">
        <v>1.110718599986285</v>
      </c>
      <c r="I24">
        <v>0.74757930001942441</v>
      </c>
      <c r="J24">
        <v>0.29572399996686727</v>
      </c>
      <c r="K24" t="b">
        <v>1</v>
      </c>
      <c r="L24" t="b">
        <v>1</v>
      </c>
      <c r="M24" t="b">
        <v>1</v>
      </c>
      <c r="N24" s="42" t="b">
        <v>1</v>
      </c>
      <c r="O24" t="s">
        <v>113</v>
      </c>
      <c r="P24" s="44">
        <v>786432</v>
      </c>
    </row>
    <row r="25" spans="1:16" x14ac:dyDescent="0.45">
      <c r="A25">
        <f t="shared" si="0"/>
        <v>1</v>
      </c>
      <c r="B25" t="s">
        <v>85</v>
      </c>
      <c r="C25" s="42">
        <v>524288</v>
      </c>
      <c r="D25">
        <v>1</v>
      </c>
      <c r="E25" t="b">
        <v>1</v>
      </c>
      <c r="F25">
        <v>1.7352230999968015</v>
      </c>
      <c r="G25">
        <v>0.65050849999533966</v>
      </c>
      <c r="H25">
        <v>2.1529021000023931</v>
      </c>
      <c r="I25">
        <v>2.1457842000527307</v>
      </c>
      <c r="J25">
        <v>0.48953130003064871</v>
      </c>
      <c r="K25" t="b">
        <v>1</v>
      </c>
      <c r="L25" t="b">
        <v>1</v>
      </c>
      <c r="M25" t="b">
        <v>1</v>
      </c>
      <c r="N25" s="42" t="b">
        <v>1</v>
      </c>
      <c r="O25" t="s">
        <v>114</v>
      </c>
      <c r="P25" s="44">
        <v>1572864</v>
      </c>
    </row>
    <row r="26" spans="1:16" x14ac:dyDescent="0.45">
      <c r="A26">
        <f t="shared" si="0"/>
        <v>1</v>
      </c>
      <c r="B26" t="s">
        <v>85</v>
      </c>
      <c r="C26" s="42">
        <v>1048576</v>
      </c>
      <c r="D26">
        <v>1</v>
      </c>
      <c r="E26" t="b">
        <v>1</v>
      </c>
      <c r="F26">
        <v>6.2788360999547876</v>
      </c>
      <c r="G26">
        <v>1.4784270999953151</v>
      </c>
      <c r="H26">
        <v>5.1295437999651767</v>
      </c>
      <c r="I26">
        <v>6.4192103000241332</v>
      </c>
      <c r="J26">
        <v>1.2330025999690406</v>
      </c>
      <c r="K26" t="b">
        <v>1</v>
      </c>
      <c r="L26" t="b">
        <v>1</v>
      </c>
      <c r="M26" t="b">
        <v>1</v>
      </c>
      <c r="N26" s="42" t="b">
        <v>1</v>
      </c>
      <c r="O26" t="s">
        <v>115</v>
      </c>
      <c r="P26" s="44">
        <v>3145728</v>
      </c>
    </row>
    <row r="27" spans="1:16" x14ac:dyDescent="0.45">
      <c r="A27">
        <f t="shared" si="0"/>
        <v>1</v>
      </c>
      <c r="B27" t="s">
        <v>85</v>
      </c>
      <c r="C27" s="42">
        <v>2097152</v>
      </c>
      <c r="D27">
        <v>1</v>
      </c>
      <c r="E27" t="b">
        <v>1</v>
      </c>
      <c r="F27">
        <v>19.627202000003308</v>
      </c>
      <c r="G27">
        <v>3.2361052000196651</v>
      </c>
      <c r="H27">
        <v>10.335117299982812</v>
      </c>
      <c r="I27">
        <v>20.015034099982586</v>
      </c>
      <c r="J27">
        <v>2.2005713000544347</v>
      </c>
      <c r="K27" t="b">
        <v>1</v>
      </c>
      <c r="L27" t="b">
        <v>1</v>
      </c>
      <c r="M27" t="b">
        <v>1</v>
      </c>
      <c r="N27" s="42" t="b">
        <v>1</v>
      </c>
      <c r="O27" t="s">
        <v>116</v>
      </c>
      <c r="P27" s="44">
        <v>6291456</v>
      </c>
    </row>
    <row r="31" spans="1:16" x14ac:dyDescent="0.45">
      <c r="O31" s="10" t="s">
        <v>261</v>
      </c>
    </row>
    <row r="32" spans="1:16" x14ac:dyDescent="0.45">
      <c r="A32" t="s">
        <v>180</v>
      </c>
      <c r="B32" t="s">
        <v>87</v>
      </c>
      <c r="C32" t="s">
        <v>21</v>
      </c>
      <c r="D32" t="s">
        <v>22</v>
      </c>
      <c r="E32" t="s">
        <v>95</v>
      </c>
      <c r="F32" t="s">
        <v>32</v>
      </c>
      <c r="G32" t="s">
        <v>88</v>
      </c>
      <c r="H32" t="s">
        <v>89</v>
      </c>
      <c r="I32" t="s">
        <v>92</v>
      </c>
      <c r="J32" t="s">
        <v>184</v>
      </c>
      <c r="K32" t="s">
        <v>93</v>
      </c>
      <c r="L32" t="s">
        <v>94</v>
      </c>
      <c r="M32" t="s">
        <v>136</v>
      </c>
      <c r="N32" s="10" t="s">
        <v>183</v>
      </c>
      <c r="O32" t="s">
        <v>0</v>
      </c>
      <c r="P32" t="s">
        <v>90</v>
      </c>
    </row>
    <row r="33" spans="1:16" x14ac:dyDescent="0.45">
      <c r="A33">
        <f>LEN(B33)</f>
        <v>32</v>
      </c>
      <c r="B33" t="str">
        <f>REPT("x",32)</f>
        <v>xxxxxxxxxxxxxxxxxxxxxxxxxxxxxxxx</v>
      </c>
      <c r="C33" s="42">
        <v>1</v>
      </c>
      <c r="D33">
        <v>1</v>
      </c>
      <c r="E33" t="b">
        <v>1</v>
      </c>
      <c r="F33">
        <v>1.7053699993994087E-2</v>
      </c>
      <c r="G33">
        <v>1.5552999684587121E-3</v>
      </c>
      <c r="H33">
        <v>1.5600399987306446E-2</v>
      </c>
      <c r="I33">
        <v>6.2450004043057561E-4</v>
      </c>
      <c r="J33">
        <v>2.2079999325796962E-4</v>
      </c>
      <c r="K33" t="b">
        <v>1</v>
      </c>
      <c r="L33" t="b">
        <v>1</v>
      </c>
      <c r="M33" t="b">
        <v>1</v>
      </c>
      <c r="N33" s="42" t="b">
        <v>1</v>
      </c>
      <c r="O33" t="s">
        <v>258</v>
      </c>
      <c r="P33" s="44">
        <v>34</v>
      </c>
    </row>
    <row r="34" spans="1:16" x14ac:dyDescent="0.45">
      <c r="A34">
        <f t="shared" ref="A34:A53" si="1">LEN(B34)</f>
        <v>32</v>
      </c>
      <c r="B34" t="str">
        <f t="shared" ref="B34:B53" si="2">REPT("x",32)</f>
        <v>xxxxxxxxxxxxxxxxxxxxxxxxxxxxxxxx</v>
      </c>
      <c r="C34" s="42">
        <v>2</v>
      </c>
      <c r="D34">
        <v>1</v>
      </c>
      <c r="E34" t="b">
        <v>1</v>
      </c>
      <c r="F34">
        <v>1.8475299992132932E-2</v>
      </c>
      <c r="G34">
        <v>2.4599999887868762E-3</v>
      </c>
      <c r="H34">
        <v>5.1606000051833689E-3</v>
      </c>
      <c r="I34">
        <v>6.4230000134557486E-4</v>
      </c>
      <c r="J34">
        <v>2.0339997718110681E-4</v>
      </c>
      <c r="K34" t="b">
        <v>1</v>
      </c>
      <c r="L34" t="b">
        <v>1</v>
      </c>
      <c r="M34" t="b">
        <v>1</v>
      </c>
      <c r="N34" s="42" t="b">
        <v>1</v>
      </c>
      <c r="O34" t="s">
        <v>185</v>
      </c>
      <c r="P34" s="44">
        <v>68</v>
      </c>
    </row>
    <row r="35" spans="1:16" x14ac:dyDescent="0.45">
      <c r="A35">
        <f t="shared" si="1"/>
        <v>32</v>
      </c>
      <c r="B35" t="str">
        <f t="shared" si="2"/>
        <v>xxxxxxxxxxxxxxxxxxxxxxxxxxxxxxxx</v>
      </c>
      <c r="C35" s="42">
        <v>4</v>
      </c>
      <c r="D35">
        <v>1</v>
      </c>
      <c r="E35" t="b">
        <v>1</v>
      </c>
      <c r="F35">
        <v>2.0431499986443669E-2</v>
      </c>
      <c r="G35">
        <v>2.2382999886758626E-3</v>
      </c>
      <c r="H35">
        <v>8.8065000018104911E-3</v>
      </c>
      <c r="I35">
        <v>1.0303999879397452E-3</v>
      </c>
      <c r="J35">
        <v>2.5330000789836049E-4</v>
      </c>
      <c r="K35" t="b">
        <v>1</v>
      </c>
      <c r="L35" t="b">
        <v>1</v>
      </c>
      <c r="M35" t="b">
        <v>1</v>
      </c>
      <c r="N35" s="42" t="b">
        <v>1</v>
      </c>
      <c r="O35" t="s">
        <v>186</v>
      </c>
      <c r="P35" s="44">
        <v>136</v>
      </c>
    </row>
    <row r="36" spans="1:16" x14ac:dyDescent="0.45">
      <c r="A36">
        <f t="shared" si="1"/>
        <v>32</v>
      </c>
      <c r="B36" t="str">
        <f t="shared" si="2"/>
        <v>xxxxxxxxxxxxxxxxxxxxxxxxxxxxxxxx</v>
      </c>
      <c r="C36" s="42">
        <v>8</v>
      </c>
      <c r="D36">
        <v>1</v>
      </c>
      <c r="E36" t="b">
        <v>1</v>
      </c>
      <c r="F36">
        <v>2.7275100001133978E-2</v>
      </c>
      <c r="G36">
        <v>2.3541999980807304E-3</v>
      </c>
      <c r="H36">
        <v>1.1588499997742474E-2</v>
      </c>
      <c r="I36">
        <v>7.6329999137669802E-4</v>
      </c>
      <c r="J36">
        <v>2.48999975156039E-4</v>
      </c>
      <c r="K36" t="b">
        <v>1</v>
      </c>
      <c r="L36" t="b">
        <v>1</v>
      </c>
      <c r="M36" t="b">
        <v>1</v>
      </c>
      <c r="N36" s="42" t="b">
        <v>1</v>
      </c>
      <c r="O36" t="s">
        <v>187</v>
      </c>
      <c r="P36" s="44">
        <v>272</v>
      </c>
    </row>
    <row r="37" spans="1:16" x14ac:dyDescent="0.45">
      <c r="A37">
        <f t="shared" si="1"/>
        <v>32</v>
      </c>
      <c r="B37" t="str">
        <f t="shared" si="2"/>
        <v>xxxxxxxxxxxxxxxxxxxxxxxxxxxxxxxx</v>
      </c>
      <c r="C37" s="42">
        <v>16</v>
      </c>
      <c r="D37">
        <v>1</v>
      </c>
      <c r="E37" t="b">
        <v>1</v>
      </c>
      <c r="F37">
        <v>2.2360100003425032E-2</v>
      </c>
      <c r="G37">
        <v>1.0125800035893917E-2</v>
      </c>
      <c r="H37">
        <v>8.6022999603301287E-3</v>
      </c>
      <c r="I37">
        <v>7.3579995660111308E-4</v>
      </c>
      <c r="J37">
        <v>3.0239997431635857E-4</v>
      </c>
      <c r="K37" t="b">
        <v>1</v>
      </c>
      <c r="L37" t="b">
        <v>1</v>
      </c>
      <c r="M37" t="b">
        <v>1</v>
      </c>
      <c r="N37" s="42" t="b">
        <v>1</v>
      </c>
      <c r="O37" t="s">
        <v>188</v>
      </c>
      <c r="P37" s="44">
        <v>544</v>
      </c>
    </row>
    <row r="38" spans="1:16" x14ac:dyDescent="0.45">
      <c r="A38">
        <f t="shared" si="1"/>
        <v>32</v>
      </c>
      <c r="B38" t="str">
        <f t="shared" si="2"/>
        <v>xxxxxxxxxxxxxxxxxxxxxxxxxxxxxxxx</v>
      </c>
      <c r="C38" s="42">
        <v>32</v>
      </c>
      <c r="D38">
        <v>1</v>
      </c>
      <c r="E38" t="b">
        <v>1</v>
      </c>
      <c r="F38">
        <v>2.28789999964647E-2</v>
      </c>
      <c r="G38">
        <v>2.6411999715492129E-3</v>
      </c>
      <c r="H38">
        <v>1.4432700001634657E-2</v>
      </c>
      <c r="I38">
        <v>8.5070001659914851E-4</v>
      </c>
      <c r="J38">
        <v>3.5829999251291156E-4</v>
      </c>
      <c r="K38" t="b">
        <v>1</v>
      </c>
      <c r="L38" t="b">
        <v>1</v>
      </c>
      <c r="M38" t="b">
        <v>1</v>
      </c>
      <c r="N38" s="42" t="b">
        <v>1</v>
      </c>
      <c r="O38" t="s">
        <v>189</v>
      </c>
      <c r="P38" s="44">
        <v>1088</v>
      </c>
    </row>
    <row r="39" spans="1:16" x14ac:dyDescent="0.45">
      <c r="A39">
        <f t="shared" si="1"/>
        <v>32</v>
      </c>
      <c r="B39" t="str">
        <f t="shared" si="2"/>
        <v>xxxxxxxxxxxxxxxxxxxxxxxxxxxxxxxx</v>
      </c>
      <c r="C39" s="42">
        <v>64</v>
      </c>
      <c r="D39">
        <v>1</v>
      </c>
      <c r="E39" t="b">
        <v>1</v>
      </c>
      <c r="F39">
        <v>2.3728600004687905E-2</v>
      </c>
      <c r="G39">
        <v>2.4580000317655504E-3</v>
      </c>
      <c r="H39">
        <v>6.0449999873526394E-3</v>
      </c>
      <c r="I39">
        <v>9.4746999675408006E-3</v>
      </c>
      <c r="J39">
        <v>5.2770000183954835E-4</v>
      </c>
      <c r="K39" t="b">
        <v>1</v>
      </c>
      <c r="L39" t="b">
        <v>1</v>
      </c>
      <c r="M39" t="b">
        <v>1</v>
      </c>
      <c r="N39" s="42" t="b">
        <v>1</v>
      </c>
      <c r="O39" t="s">
        <v>190</v>
      </c>
      <c r="P39" s="44">
        <v>2176</v>
      </c>
    </row>
    <row r="40" spans="1:16" x14ac:dyDescent="0.45">
      <c r="A40">
        <f t="shared" si="1"/>
        <v>32</v>
      </c>
      <c r="B40" t="str">
        <f t="shared" si="2"/>
        <v>xxxxxxxxxxxxxxxxxxxxxxxxxxxxxxxx</v>
      </c>
      <c r="C40" s="42">
        <v>128</v>
      </c>
      <c r="D40">
        <v>1</v>
      </c>
      <c r="E40" t="b">
        <v>1</v>
      </c>
      <c r="F40">
        <v>2.4001499987207353E-2</v>
      </c>
      <c r="G40">
        <v>2.5140000507235527E-3</v>
      </c>
      <c r="H40">
        <v>6.6574999946169555E-3</v>
      </c>
      <c r="I40">
        <v>1.4960999833419919E-3</v>
      </c>
      <c r="J40">
        <v>7.3930004145950079E-4</v>
      </c>
      <c r="K40" t="b">
        <v>1</v>
      </c>
      <c r="L40" t="b">
        <v>1</v>
      </c>
      <c r="M40" t="b">
        <v>1</v>
      </c>
      <c r="N40" s="42" t="b">
        <v>1</v>
      </c>
      <c r="O40" t="s">
        <v>191</v>
      </c>
      <c r="P40" s="44">
        <v>4352</v>
      </c>
    </row>
    <row r="41" spans="1:16" x14ac:dyDescent="0.45">
      <c r="A41">
        <f t="shared" si="1"/>
        <v>32</v>
      </c>
      <c r="B41" t="str">
        <f t="shared" si="2"/>
        <v>xxxxxxxxxxxxxxxxxxxxxxxxxxxxxxxx</v>
      </c>
      <c r="C41" s="42">
        <v>256</v>
      </c>
      <c r="D41">
        <v>1</v>
      </c>
      <c r="E41" t="b">
        <v>1</v>
      </c>
      <c r="F41">
        <v>2.7108500013127923E-2</v>
      </c>
      <c r="G41">
        <v>3.3470000489614904E-3</v>
      </c>
      <c r="H41">
        <v>1.7203899973537773E-2</v>
      </c>
      <c r="I41">
        <v>2.6865999680012465E-3</v>
      </c>
      <c r="J41">
        <v>1.1851000017486513E-3</v>
      </c>
      <c r="K41" t="b">
        <v>1</v>
      </c>
      <c r="L41" t="b">
        <v>1</v>
      </c>
      <c r="M41" t="b">
        <v>1</v>
      </c>
      <c r="N41" s="42" t="b">
        <v>1</v>
      </c>
      <c r="O41" t="s">
        <v>192</v>
      </c>
      <c r="P41" s="44">
        <v>8704</v>
      </c>
    </row>
    <row r="42" spans="1:16" x14ac:dyDescent="0.45">
      <c r="A42">
        <f t="shared" si="1"/>
        <v>32</v>
      </c>
      <c r="B42" t="str">
        <f t="shared" si="2"/>
        <v>xxxxxxxxxxxxxxxxxxxxxxxxxxxxxxxx</v>
      </c>
      <c r="C42" s="42">
        <v>512</v>
      </c>
      <c r="D42">
        <v>1</v>
      </c>
      <c r="E42" t="b">
        <v>1</v>
      </c>
      <c r="F42">
        <v>4.0373499970883131E-2</v>
      </c>
      <c r="G42">
        <v>3.8573999772779644E-3</v>
      </c>
      <c r="H42">
        <v>9.0664000017568469E-3</v>
      </c>
      <c r="I42">
        <v>3.7444999907165766E-3</v>
      </c>
      <c r="J42">
        <v>2.3767999955452979E-3</v>
      </c>
      <c r="K42" t="b">
        <v>1</v>
      </c>
      <c r="L42" t="b">
        <v>1</v>
      </c>
      <c r="M42" t="b">
        <v>1</v>
      </c>
      <c r="N42" s="42" t="b">
        <v>1</v>
      </c>
      <c r="O42" t="s">
        <v>193</v>
      </c>
      <c r="P42" s="44">
        <v>17408</v>
      </c>
    </row>
    <row r="43" spans="1:16" x14ac:dyDescent="0.45">
      <c r="A43">
        <f t="shared" si="1"/>
        <v>32</v>
      </c>
      <c r="B43" t="str">
        <f t="shared" si="2"/>
        <v>xxxxxxxxxxxxxxxxxxxxxxxxxxxxxxxx</v>
      </c>
      <c r="C43" s="42">
        <v>1024</v>
      </c>
      <c r="D43">
        <v>1</v>
      </c>
      <c r="E43" t="b">
        <v>1</v>
      </c>
      <c r="F43">
        <v>4.8795100010465831E-2</v>
      </c>
      <c r="G43">
        <v>6.2313000089488924E-3</v>
      </c>
      <c r="H43">
        <v>1.0722799983341247E-2</v>
      </c>
      <c r="I43">
        <v>1.2132000003475696E-2</v>
      </c>
      <c r="J43">
        <v>3.6498000263236463E-3</v>
      </c>
      <c r="K43" t="b">
        <v>1</v>
      </c>
      <c r="L43" t="b">
        <v>1</v>
      </c>
      <c r="M43" t="b">
        <v>1</v>
      </c>
      <c r="N43" s="42" t="b">
        <v>1</v>
      </c>
      <c r="O43" t="s">
        <v>194</v>
      </c>
      <c r="P43" s="44">
        <v>34816</v>
      </c>
    </row>
    <row r="44" spans="1:16" x14ac:dyDescent="0.45">
      <c r="A44">
        <f t="shared" si="1"/>
        <v>32</v>
      </c>
      <c r="B44" t="str">
        <f t="shared" si="2"/>
        <v>xxxxxxxxxxxxxxxxxxxxxxxxxxxxxxxx</v>
      </c>
      <c r="C44" s="42">
        <v>2048</v>
      </c>
      <c r="D44">
        <v>1</v>
      </c>
      <c r="E44" t="b">
        <v>1</v>
      </c>
      <c r="F44">
        <v>3.8264599977992475E-2</v>
      </c>
      <c r="G44">
        <v>8.1675999681465328E-3</v>
      </c>
      <c r="H44">
        <v>1.4091300021391362E-2</v>
      </c>
      <c r="I44">
        <v>1.426189998164773E-2</v>
      </c>
      <c r="J44">
        <v>5.4703999776393175E-3</v>
      </c>
      <c r="K44" t="b">
        <v>1</v>
      </c>
      <c r="L44" t="b">
        <v>1</v>
      </c>
      <c r="M44" t="b">
        <v>1</v>
      </c>
      <c r="N44" s="42" t="b">
        <v>1</v>
      </c>
      <c r="O44" t="s">
        <v>195</v>
      </c>
      <c r="P44" s="44">
        <v>69632</v>
      </c>
    </row>
    <row r="45" spans="1:16" x14ac:dyDescent="0.45">
      <c r="A45">
        <f t="shared" si="1"/>
        <v>32</v>
      </c>
      <c r="B45" t="str">
        <f t="shared" si="2"/>
        <v>xxxxxxxxxxxxxxxxxxxxxxxxxxxxxxxx</v>
      </c>
      <c r="C45" s="42">
        <v>4096</v>
      </c>
      <c r="D45">
        <v>1</v>
      </c>
      <c r="E45" t="b">
        <v>1</v>
      </c>
      <c r="F45">
        <v>4.3154300015885383E-2</v>
      </c>
      <c r="G45">
        <v>1.3384699996095151E-2</v>
      </c>
      <c r="H45">
        <v>2.9688599985092878E-2</v>
      </c>
      <c r="I45">
        <v>1.874969998607412E-2</v>
      </c>
      <c r="J45">
        <v>1.3814799953252077E-2</v>
      </c>
      <c r="K45" t="b">
        <v>1</v>
      </c>
      <c r="L45" t="b">
        <v>1</v>
      </c>
      <c r="M45" t="b">
        <v>1</v>
      </c>
      <c r="N45" s="42" t="b">
        <v>1</v>
      </c>
      <c r="O45" t="s">
        <v>196</v>
      </c>
      <c r="P45" s="44">
        <v>139264</v>
      </c>
    </row>
    <row r="46" spans="1:16" x14ac:dyDescent="0.45">
      <c r="A46">
        <f t="shared" si="1"/>
        <v>32</v>
      </c>
      <c r="B46" t="str">
        <f t="shared" si="2"/>
        <v>xxxxxxxxxxxxxxxxxxxxxxxxxxxxxxxx</v>
      </c>
      <c r="C46" s="42">
        <v>8192</v>
      </c>
      <c r="D46">
        <v>1</v>
      </c>
      <c r="E46" t="b">
        <v>1</v>
      </c>
      <c r="F46">
        <v>5.3139400028157979E-2</v>
      </c>
      <c r="G46">
        <v>2.3792399966623634E-2</v>
      </c>
      <c r="H46">
        <v>5.291560001205653E-2</v>
      </c>
      <c r="I46">
        <v>3.5985600028652698E-2</v>
      </c>
      <c r="J46">
        <v>2.0587300008628517E-2</v>
      </c>
      <c r="K46" t="b">
        <v>1</v>
      </c>
      <c r="L46" t="b">
        <v>1</v>
      </c>
      <c r="M46" t="b">
        <v>1</v>
      </c>
      <c r="N46" s="42" t="b">
        <v>1</v>
      </c>
      <c r="O46" t="s">
        <v>197</v>
      </c>
      <c r="P46" s="44">
        <v>278528</v>
      </c>
    </row>
    <row r="47" spans="1:16" x14ac:dyDescent="0.45">
      <c r="A47">
        <f t="shared" si="1"/>
        <v>32</v>
      </c>
      <c r="B47" t="str">
        <f t="shared" si="2"/>
        <v>xxxxxxxxxxxxxxxxxxxxxxxxxxxxxxxx</v>
      </c>
      <c r="C47" s="42">
        <v>16384</v>
      </c>
      <c r="D47">
        <v>1</v>
      </c>
      <c r="E47" t="b">
        <v>1</v>
      </c>
      <c r="F47">
        <v>8.3431200007908046E-2</v>
      </c>
      <c r="G47">
        <v>4.7021799953654408E-2</v>
      </c>
      <c r="H47">
        <v>0.10899590002372861</v>
      </c>
      <c r="I47">
        <v>7.5546299980487674E-2</v>
      </c>
      <c r="J47">
        <v>4.3398400011938065E-2</v>
      </c>
      <c r="K47" t="b">
        <v>1</v>
      </c>
      <c r="L47" t="b">
        <v>1</v>
      </c>
      <c r="M47" t="b">
        <v>1</v>
      </c>
      <c r="N47" s="42" t="b">
        <v>1</v>
      </c>
      <c r="O47" t="s">
        <v>198</v>
      </c>
      <c r="P47" s="44">
        <v>557056</v>
      </c>
    </row>
    <row r="48" spans="1:16" x14ac:dyDescent="0.45">
      <c r="A48">
        <f t="shared" si="1"/>
        <v>32</v>
      </c>
      <c r="B48" t="str">
        <f t="shared" si="2"/>
        <v>xxxxxxxxxxxxxxxxxxxxxxxxxxxxxxxx</v>
      </c>
      <c r="C48" s="42">
        <v>32768</v>
      </c>
      <c r="D48">
        <v>1</v>
      </c>
      <c r="E48" t="b">
        <v>1</v>
      </c>
      <c r="F48">
        <v>0.12872089998563752</v>
      </c>
      <c r="G48">
        <v>9.2623299977276474E-2</v>
      </c>
      <c r="H48">
        <v>0.15006790001643822</v>
      </c>
      <c r="I48">
        <v>0.13028479996137321</v>
      </c>
      <c r="J48">
        <v>9.9518499977421016E-2</v>
      </c>
      <c r="K48" t="b">
        <v>1</v>
      </c>
      <c r="L48" t="b">
        <v>1</v>
      </c>
      <c r="M48" t="b">
        <v>1</v>
      </c>
      <c r="N48" s="42" t="b">
        <v>1</v>
      </c>
      <c r="O48" t="s">
        <v>199</v>
      </c>
      <c r="P48" s="44">
        <v>1114112</v>
      </c>
    </row>
    <row r="49" spans="1:16" x14ac:dyDescent="0.45">
      <c r="A49">
        <f t="shared" si="1"/>
        <v>32</v>
      </c>
      <c r="B49" t="str">
        <f t="shared" si="2"/>
        <v>xxxxxxxxxxxxxxxxxxxxxxxxxxxxxxxx</v>
      </c>
      <c r="C49" s="42">
        <v>65536</v>
      </c>
      <c r="D49">
        <v>1</v>
      </c>
      <c r="E49" t="b">
        <v>1</v>
      </c>
      <c r="F49">
        <v>0.25268279999727383</v>
      </c>
      <c r="G49">
        <v>0.19783399999141693</v>
      </c>
      <c r="H49">
        <v>0.37815609999233857</v>
      </c>
      <c r="I49">
        <v>0.28655649995198473</v>
      </c>
      <c r="J49">
        <v>0.21128749998752028</v>
      </c>
      <c r="K49" t="b">
        <v>1</v>
      </c>
      <c r="L49" t="b">
        <v>1</v>
      </c>
      <c r="M49" t="b">
        <v>1</v>
      </c>
      <c r="N49" s="42" t="b">
        <v>1</v>
      </c>
      <c r="O49" t="s">
        <v>200</v>
      </c>
      <c r="P49" s="44">
        <v>2228224</v>
      </c>
    </row>
    <row r="50" spans="1:16" x14ac:dyDescent="0.45">
      <c r="A50">
        <f t="shared" si="1"/>
        <v>32</v>
      </c>
      <c r="B50" t="str">
        <f t="shared" si="2"/>
        <v>xxxxxxxxxxxxxxxxxxxxxxxxxxxxxxxx</v>
      </c>
      <c r="C50" s="42">
        <v>131072</v>
      </c>
      <c r="D50">
        <v>1</v>
      </c>
      <c r="E50" t="b">
        <v>1</v>
      </c>
      <c r="F50">
        <v>0.58814939996227622</v>
      </c>
      <c r="G50">
        <v>0.39596509997500107</v>
      </c>
      <c r="H50">
        <v>0.59534060000441968</v>
      </c>
      <c r="I50">
        <v>0.5480797000345774</v>
      </c>
      <c r="J50">
        <v>0.43728010001359507</v>
      </c>
      <c r="K50" t="b">
        <v>1</v>
      </c>
      <c r="L50" t="b">
        <v>1</v>
      </c>
      <c r="M50" t="b">
        <v>1</v>
      </c>
      <c r="N50" s="42" t="b">
        <v>1</v>
      </c>
      <c r="O50" t="s">
        <v>201</v>
      </c>
      <c r="P50" s="44">
        <v>4456448</v>
      </c>
    </row>
    <row r="51" spans="1:16" x14ac:dyDescent="0.45">
      <c r="A51">
        <f t="shared" si="1"/>
        <v>32</v>
      </c>
      <c r="B51" t="str">
        <f t="shared" si="2"/>
        <v>xxxxxxxxxxxxxxxxxxxxxxxxxxxxxxxx</v>
      </c>
      <c r="C51" s="42">
        <v>262144</v>
      </c>
      <c r="D51">
        <v>1</v>
      </c>
      <c r="E51" t="b">
        <v>1</v>
      </c>
      <c r="F51">
        <v>1.4008571000304073</v>
      </c>
      <c r="G51">
        <v>0.98150510003324598</v>
      </c>
      <c r="H51">
        <v>1.7505844000261277</v>
      </c>
      <c r="I51">
        <v>1.2598947000224143</v>
      </c>
      <c r="J51">
        <v>0.69688600004883483</v>
      </c>
      <c r="K51" t="b">
        <v>1</v>
      </c>
      <c r="L51" t="b">
        <v>1</v>
      </c>
      <c r="M51" t="b">
        <v>1</v>
      </c>
      <c r="N51" s="42" t="b">
        <v>1</v>
      </c>
      <c r="O51" t="s">
        <v>202</v>
      </c>
      <c r="P51" s="44">
        <v>8912896</v>
      </c>
    </row>
    <row r="52" spans="1:16" x14ac:dyDescent="0.45">
      <c r="A52">
        <f t="shared" si="1"/>
        <v>32</v>
      </c>
      <c r="B52" t="str">
        <f t="shared" si="2"/>
        <v>xxxxxxxxxxxxxxxxxxxxxxxxxxxxxxxx</v>
      </c>
      <c r="C52" s="42">
        <v>524288</v>
      </c>
      <c r="D52">
        <v>1</v>
      </c>
      <c r="E52" t="b">
        <v>1</v>
      </c>
      <c r="F52">
        <v>2.7287517000222579</v>
      </c>
      <c r="G52">
        <v>1.826311299984809</v>
      </c>
      <c r="H52">
        <v>2.7499195999698713</v>
      </c>
      <c r="I52">
        <v>2.7539830000023358</v>
      </c>
      <c r="J52">
        <v>1.4180215999949723</v>
      </c>
      <c r="K52" t="b">
        <v>1</v>
      </c>
      <c r="L52" t="b">
        <v>1</v>
      </c>
      <c r="M52" t="b">
        <v>1</v>
      </c>
      <c r="N52" s="42" t="b">
        <v>1</v>
      </c>
      <c r="O52" t="s">
        <v>203</v>
      </c>
      <c r="P52" s="44">
        <v>17825792</v>
      </c>
    </row>
    <row r="53" spans="1:16" x14ac:dyDescent="0.45">
      <c r="A53">
        <f t="shared" si="1"/>
        <v>32</v>
      </c>
      <c r="B53" t="str">
        <f t="shared" si="2"/>
        <v>xxxxxxxxxxxxxxxxxxxxxxxxxxxxxxxx</v>
      </c>
      <c r="C53" s="42">
        <v>1048576</v>
      </c>
      <c r="D53">
        <v>1</v>
      </c>
      <c r="E53" t="b">
        <v>1</v>
      </c>
      <c r="F53">
        <v>6.9250081999925897</v>
      </c>
      <c r="G53">
        <v>3.118951799988281</v>
      </c>
      <c r="H53">
        <v>5.4111464999732561</v>
      </c>
      <c r="I53">
        <v>7.1372284999815747</v>
      </c>
      <c r="J53">
        <v>3.0963703000452369</v>
      </c>
      <c r="K53" t="b">
        <v>1</v>
      </c>
      <c r="L53" t="b">
        <v>1</v>
      </c>
      <c r="M53" t="b">
        <v>1</v>
      </c>
      <c r="N53" s="42" t="b">
        <v>1</v>
      </c>
      <c r="O53" t="s">
        <v>204</v>
      </c>
      <c r="P53" s="44">
        <v>35651584</v>
      </c>
    </row>
    <row r="54" spans="1:16" x14ac:dyDescent="0.45">
      <c r="C54" s="42"/>
      <c r="N54" s="42"/>
    </row>
    <row r="58" spans="1:16" x14ac:dyDescent="0.45">
      <c r="O58" s="10" t="s">
        <v>262</v>
      </c>
    </row>
    <row r="59" spans="1:16" x14ac:dyDescent="0.45">
      <c r="A59" t="s">
        <v>180</v>
      </c>
      <c r="B59" t="s">
        <v>87</v>
      </c>
      <c r="C59" t="s">
        <v>21</v>
      </c>
      <c r="D59" t="s">
        <v>22</v>
      </c>
      <c r="E59" t="s">
        <v>95</v>
      </c>
      <c r="F59" t="s">
        <v>32</v>
      </c>
      <c r="G59" t="s">
        <v>88</v>
      </c>
      <c r="H59" t="s">
        <v>89</v>
      </c>
      <c r="I59" t="s">
        <v>92</v>
      </c>
      <c r="J59" t="s">
        <v>184</v>
      </c>
      <c r="K59" t="s">
        <v>93</v>
      </c>
      <c r="L59" t="s">
        <v>94</v>
      </c>
      <c r="M59" t="s">
        <v>136</v>
      </c>
      <c r="N59" s="10" t="s">
        <v>183</v>
      </c>
      <c r="O59" t="s">
        <v>0</v>
      </c>
      <c r="P59" t="s">
        <v>90</v>
      </c>
    </row>
    <row r="60" spans="1:16" x14ac:dyDescent="0.45">
      <c r="A60">
        <f>LEN(B60)</f>
        <v>20</v>
      </c>
      <c r="B60" t="str">
        <f>"""xxxxxxxx"&amp;CHAR(13)&amp;CHAR(10)&amp;"yyyyyyyy"""</f>
        <v>"xxxxxxxx_x000D_
yyyyyyyy"</v>
      </c>
      <c r="C60" s="42">
        <v>1</v>
      </c>
      <c r="D60">
        <v>1</v>
      </c>
      <c r="E60" t="b">
        <v>1</v>
      </c>
      <c r="F60">
        <v>1.6792400041595101E-2</v>
      </c>
      <c r="G60">
        <v>1.6966999974101782E-3</v>
      </c>
      <c r="H60">
        <v>1.0163800034206361E-2</v>
      </c>
      <c r="I60">
        <v>5.5810000048950315E-4</v>
      </c>
      <c r="J60">
        <v>1.9009999232366681E-4</v>
      </c>
      <c r="K60" t="b">
        <v>1</v>
      </c>
      <c r="L60" t="b">
        <v>1</v>
      </c>
      <c r="M60" t="b">
        <v>1</v>
      </c>
      <c r="N60" s="42" t="b">
        <v>1</v>
      </c>
      <c r="O60" t="s">
        <v>205</v>
      </c>
      <c r="P60" s="44">
        <v>22</v>
      </c>
    </row>
    <row r="61" spans="1:16" x14ac:dyDescent="0.45">
      <c r="A61">
        <f t="shared" ref="A61:A80" si="3">LEN(B61)</f>
        <v>20</v>
      </c>
      <c r="B61" t="str">
        <f t="shared" ref="B61:B80" si="4">"""xxxxxxxx"&amp;CHAR(13)&amp;CHAR(10)&amp;"yyyyyyyy"""</f>
        <v>"xxxxxxxx_x000D_
yyyyyyyy"</v>
      </c>
      <c r="C61" s="42">
        <v>2</v>
      </c>
      <c r="D61">
        <v>1</v>
      </c>
      <c r="E61" t="b">
        <v>1</v>
      </c>
      <c r="F61">
        <v>1.7361900012474507E-2</v>
      </c>
      <c r="G61">
        <v>1.6551000298932195E-3</v>
      </c>
      <c r="H61">
        <v>5.3633999777957797E-3</v>
      </c>
      <c r="I61">
        <v>6.6510000033304095E-4</v>
      </c>
      <c r="J61">
        <v>1.9349996000528336E-4</v>
      </c>
      <c r="K61" t="b">
        <v>1</v>
      </c>
      <c r="L61" t="b">
        <v>1</v>
      </c>
      <c r="M61" t="b">
        <v>1</v>
      </c>
      <c r="N61" s="42" t="b">
        <v>1</v>
      </c>
      <c r="O61" t="s">
        <v>206</v>
      </c>
      <c r="P61" s="44">
        <v>44</v>
      </c>
    </row>
    <row r="62" spans="1:16" x14ac:dyDescent="0.45">
      <c r="A62">
        <f t="shared" si="3"/>
        <v>20</v>
      </c>
      <c r="B62" t="str">
        <f t="shared" si="4"/>
        <v>"xxxxxxxx_x000D_
yyyyyyyy"</v>
      </c>
      <c r="C62" s="42">
        <v>4</v>
      </c>
      <c r="D62">
        <v>1</v>
      </c>
      <c r="E62" t="b">
        <v>1</v>
      </c>
      <c r="F62">
        <v>1.9216499989852309E-2</v>
      </c>
      <c r="G62">
        <v>2.552499994635582E-3</v>
      </c>
      <c r="H62">
        <v>6.5749999484978616E-3</v>
      </c>
      <c r="I62">
        <v>9.076999849639833E-4</v>
      </c>
      <c r="J62">
        <v>2.5749998167157173E-4</v>
      </c>
      <c r="K62" t="b">
        <v>1</v>
      </c>
      <c r="L62" t="b">
        <v>1</v>
      </c>
      <c r="M62" t="b">
        <v>1</v>
      </c>
      <c r="N62" s="42" t="b">
        <v>1</v>
      </c>
      <c r="O62" t="s">
        <v>207</v>
      </c>
      <c r="P62" s="44">
        <v>88</v>
      </c>
    </row>
    <row r="63" spans="1:16" x14ac:dyDescent="0.45">
      <c r="A63">
        <f t="shared" si="3"/>
        <v>20</v>
      </c>
      <c r="B63" t="str">
        <f t="shared" si="4"/>
        <v>"xxxxxxxx_x000D_
yyyyyyyy"</v>
      </c>
      <c r="C63" s="42">
        <v>8</v>
      </c>
      <c r="D63">
        <v>1</v>
      </c>
      <c r="E63" t="b">
        <v>1</v>
      </c>
      <c r="F63">
        <v>2.0189300004858524E-2</v>
      </c>
      <c r="G63">
        <v>2.2089999984018505E-3</v>
      </c>
      <c r="H63">
        <v>8.9921000180765986E-3</v>
      </c>
      <c r="I63">
        <v>7.3460000567138195E-4</v>
      </c>
      <c r="J63">
        <v>2.5370001094415784E-4</v>
      </c>
      <c r="K63" t="b">
        <v>1</v>
      </c>
      <c r="L63" t="b">
        <v>1</v>
      </c>
      <c r="M63" t="b">
        <v>1</v>
      </c>
      <c r="N63" s="42" t="b">
        <v>1</v>
      </c>
      <c r="O63" t="s">
        <v>208</v>
      </c>
      <c r="P63" s="44">
        <v>176</v>
      </c>
    </row>
    <row r="64" spans="1:16" x14ac:dyDescent="0.45">
      <c r="A64">
        <f t="shared" si="3"/>
        <v>20</v>
      </c>
      <c r="B64" t="str">
        <f t="shared" si="4"/>
        <v>"xxxxxxxx_x000D_
yyyyyyyy"</v>
      </c>
      <c r="C64" s="42">
        <v>16</v>
      </c>
      <c r="D64">
        <v>1</v>
      </c>
      <c r="E64" t="b">
        <v>1</v>
      </c>
      <c r="F64">
        <v>1.5972799970768392E-2</v>
      </c>
      <c r="G64">
        <v>1.3198999804444611E-3</v>
      </c>
      <c r="H64">
        <v>3.0638999887742102E-3</v>
      </c>
      <c r="I64">
        <v>6.5820000600069761E-4</v>
      </c>
      <c r="J64">
        <v>2.4359999224543571E-4</v>
      </c>
      <c r="K64" t="b">
        <v>1</v>
      </c>
      <c r="L64" t="b">
        <v>1</v>
      </c>
      <c r="M64" t="b">
        <v>1</v>
      </c>
      <c r="N64" s="42" t="b">
        <v>1</v>
      </c>
      <c r="O64" t="s">
        <v>209</v>
      </c>
      <c r="P64" s="44">
        <v>352</v>
      </c>
    </row>
    <row r="65" spans="1:16" x14ac:dyDescent="0.45">
      <c r="A65">
        <f t="shared" si="3"/>
        <v>20</v>
      </c>
      <c r="B65" t="str">
        <f t="shared" si="4"/>
        <v>"xxxxxxxx_x000D_
yyyyyyyy"</v>
      </c>
      <c r="C65" s="42">
        <v>32</v>
      </c>
      <c r="D65">
        <v>1</v>
      </c>
      <c r="E65" t="b">
        <v>1</v>
      </c>
      <c r="F65">
        <v>1.4420600025914609E-2</v>
      </c>
      <c r="G65">
        <v>1.3757999986410141E-3</v>
      </c>
      <c r="H65">
        <v>3.7543999496847391E-3</v>
      </c>
      <c r="I65">
        <v>8.8300002971664071E-4</v>
      </c>
      <c r="J65">
        <v>2.8630002634599805E-4</v>
      </c>
      <c r="K65" t="b">
        <v>1</v>
      </c>
      <c r="L65" t="b">
        <v>1</v>
      </c>
      <c r="M65" t="b">
        <v>1</v>
      </c>
      <c r="N65" s="42" t="b">
        <v>1</v>
      </c>
      <c r="O65" t="s">
        <v>210</v>
      </c>
      <c r="P65" s="44">
        <v>704</v>
      </c>
    </row>
    <row r="66" spans="1:16" x14ac:dyDescent="0.45">
      <c r="A66">
        <f t="shared" si="3"/>
        <v>20</v>
      </c>
      <c r="B66" t="str">
        <f t="shared" si="4"/>
        <v>"xxxxxxxx_x000D_
yyyyyyyy"</v>
      </c>
      <c r="C66" s="42">
        <v>64</v>
      </c>
      <c r="D66">
        <v>1</v>
      </c>
      <c r="E66" t="b">
        <v>1</v>
      </c>
      <c r="F66">
        <v>1.4777200005482882E-2</v>
      </c>
      <c r="G66">
        <v>1.6347999917343259E-3</v>
      </c>
      <c r="H66">
        <v>5.0533000030554831E-3</v>
      </c>
      <c r="I66">
        <v>1.1435000342316926E-3</v>
      </c>
      <c r="J66">
        <v>3.9980001747608185E-4</v>
      </c>
      <c r="K66" t="b">
        <v>1</v>
      </c>
      <c r="L66" t="b">
        <v>1</v>
      </c>
      <c r="M66" t="b">
        <v>1</v>
      </c>
      <c r="N66" s="42" t="b">
        <v>1</v>
      </c>
      <c r="O66" t="s">
        <v>211</v>
      </c>
      <c r="P66" s="44">
        <v>1408</v>
      </c>
    </row>
    <row r="67" spans="1:16" x14ac:dyDescent="0.45">
      <c r="A67">
        <f t="shared" si="3"/>
        <v>20</v>
      </c>
      <c r="B67" t="str">
        <f t="shared" si="4"/>
        <v>"xxxxxxxx_x000D_
yyyyyyyy"</v>
      </c>
      <c r="C67" s="42">
        <v>128</v>
      </c>
      <c r="D67">
        <v>1</v>
      </c>
      <c r="E67" t="b">
        <v>1</v>
      </c>
      <c r="F67">
        <v>1.4974899997469038E-2</v>
      </c>
      <c r="G67">
        <v>1.8085999763570726E-3</v>
      </c>
      <c r="H67">
        <v>7.8090000315569341E-3</v>
      </c>
      <c r="I67">
        <v>1.8420999986119568E-3</v>
      </c>
      <c r="J67">
        <v>5.7730003027245402E-4</v>
      </c>
      <c r="K67" t="b">
        <v>1</v>
      </c>
      <c r="L67" t="b">
        <v>1</v>
      </c>
      <c r="M67" t="b">
        <v>1</v>
      </c>
      <c r="N67" s="42" t="b">
        <v>1</v>
      </c>
      <c r="O67" t="s">
        <v>212</v>
      </c>
      <c r="P67" s="44">
        <v>2816</v>
      </c>
    </row>
    <row r="68" spans="1:16" x14ac:dyDescent="0.45">
      <c r="A68">
        <f t="shared" si="3"/>
        <v>20</v>
      </c>
      <c r="B68" t="str">
        <f t="shared" si="4"/>
        <v>"xxxxxxxx_x000D_
yyyyyyyy"</v>
      </c>
      <c r="C68" s="42">
        <v>256</v>
      </c>
      <c r="D68">
        <v>1</v>
      </c>
      <c r="E68" t="b">
        <v>1</v>
      </c>
      <c r="F68">
        <v>1.4708699949551374E-2</v>
      </c>
      <c r="G68">
        <v>2.2669000318273902E-3</v>
      </c>
      <c r="H68">
        <v>1.2013799976557493E-2</v>
      </c>
      <c r="I68">
        <v>2.5894999853335321E-3</v>
      </c>
      <c r="J68">
        <v>8.3309999899938703E-4</v>
      </c>
      <c r="K68" t="b">
        <v>1</v>
      </c>
      <c r="L68" t="b">
        <v>1</v>
      </c>
      <c r="M68" t="b">
        <v>1</v>
      </c>
      <c r="N68" s="42" t="b">
        <v>1</v>
      </c>
      <c r="O68" t="s">
        <v>213</v>
      </c>
      <c r="P68" s="44">
        <v>5632</v>
      </c>
    </row>
    <row r="69" spans="1:16" x14ac:dyDescent="0.45">
      <c r="A69">
        <f t="shared" si="3"/>
        <v>20</v>
      </c>
      <c r="B69" t="str">
        <f t="shared" si="4"/>
        <v>"xxxxxxxx_x000D_
yyyyyyyy"</v>
      </c>
      <c r="C69" s="42">
        <v>512</v>
      </c>
      <c r="D69">
        <v>1</v>
      </c>
      <c r="E69" t="b">
        <v>1</v>
      </c>
      <c r="F69">
        <v>1.4207899977918714E-2</v>
      </c>
      <c r="G69">
        <v>3.4982999786734581E-3</v>
      </c>
      <c r="H69">
        <v>1.942690002033487E-2</v>
      </c>
      <c r="I69">
        <v>4.281400004401803E-3</v>
      </c>
      <c r="J69">
        <v>1.3415999710559845E-3</v>
      </c>
      <c r="K69" t="b">
        <v>1</v>
      </c>
      <c r="L69" t="b">
        <v>1</v>
      </c>
      <c r="M69" t="b">
        <v>1</v>
      </c>
      <c r="N69" s="42" t="b">
        <v>1</v>
      </c>
      <c r="O69" t="s">
        <v>214</v>
      </c>
      <c r="P69" s="44">
        <v>11264</v>
      </c>
    </row>
    <row r="70" spans="1:16" x14ac:dyDescent="0.45">
      <c r="A70">
        <f t="shared" si="3"/>
        <v>20</v>
      </c>
      <c r="B70" t="str">
        <f t="shared" si="4"/>
        <v>"xxxxxxxx_x000D_
yyyyyyyy"</v>
      </c>
      <c r="C70" s="42">
        <v>1024</v>
      </c>
      <c r="D70">
        <v>1</v>
      </c>
      <c r="E70" t="b">
        <v>1</v>
      </c>
      <c r="F70">
        <v>1.5603700012434274E-2</v>
      </c>
      <c r="G70">
        <v>4.6447000349871814E-3</v>
      </c>
      <c r="H70">
        <v>3.6239899985957891E-2</v>
      </c>
      <c r="I70">
        <v>1.1225600028410554E-2</v>
      </c>
      <c r="J70">
        <v>3.6220999900251627E-3</v>
      </c>
      <c r="K70" t="b">
        <v>1</v>
      </c>
      <c r="L70" t="b">
        <v>1</v>
      </c>
      <c r="M70" t="b">
        <v>1</v>
      </c>
      <c r="N70" s="42" t="b">
        <v>1</v>
      </c>
      <c r="O70" t="s">
        <v>215</v>
      </c>
      <c r="P70" s="44">
        <v>22528</v>
      </c>
    </row>
    <row r="71" spans="1:16" x14ac:dyDescent="0.45">
      <c r="A71">
        <f t="shared" si="3"/>
        <v>20</v>
      </c>
      <c r="B71" t="str">
        <f t="shared" si="4"/>
        <v>"xxxxxxxx_x000D_
yyyyyyyy"</v>
      </c>
      <c r="C71" s="42">
        <v>2048</v>
      </c>
      <c r="D71">
        <v>1</v>
      </c>
      <c r="E71" t="b">
        <v>1</v>
      </c>
      <c r="F71">
        <v>2.0902299962472171E-2</v>
      </c>
      <c r="G71">
        <v>8.6026000208221376E-3</v>
      </c>
      <c r="H71">
        <v>6.7473399976734072E-2</v>
      </c>
      <c r="I71">
        <v>1.6043599986005574E-2</v>
      </c>
      <c r="J71">
        <v>4.8442999832332134E-3</v>
      </c>
      <c r="K71" t="b">
        <v>1</v>
      </c>
      <c r="L71" t="b">
        <v>1</v>
      </c>
      <c r="M71" t="b">
        <v>1</v>
      </c>
      <c r="N71" s="42" t="b">
        <v>1</v>
      </c>
      <c r="O71" t="s">
        <v>216</v>
      </c>
      <c r="P71" s="44">
        <v>45056</v>
      </c>
    </row>
    <row r="72" spans="1:16" x14ac:dyDescent="0.45">
      <c r="A72">
        <f t="shared" si="3"/>
        <v>20</v>
      </c>
      <c r="B72" t="str">
        <f t="shared" si="4"/>
        <v>"xxxxxxxx_x000D_
yyyyyyyy"</v>
      </c>
      <c r="C72" s="42">
        <v>4096</v>
      </c>
      <c r="D72">
        <v>1</v>
      </c>
      <c r="E72" t="b">
        <v>1</v>
      </c>
      <c r="F72">
        <v>3.483399999095127E-2</v>
      </c>
      <c r="G72">
        <v>1.4704600034747273E-2</v>
      </c>
      <c r="H72">
        <v>0.13685319997603074</v>
      </c>
      <c r="I72">
        <v>3.1986900023184717E-2</v>
      </c>
      <c r="J72">
        <v>9.8071999964304268E-3</v>
      </c>
      <c r="K72" t="b">
        <v>1</v>
      </c>
      <c r="L72" t="b">
        <v>1</v>
      </c>
      <c r="M72" t="b">
        <v>1</v>
      </c>
      <c r="N72" s="42" t="b">
        <v>1</v>
      </c>
      <c r="O72" t="s">
        <v>217</v>
      </c>
      <c r="P72" s="44">
        <v>90112</v>
      </c>
    </row>
    <row r="73" spans="1:16" x14ac:dyDescent="0.45">
      <c r="A73">
        <f t="shared" si="3"/>
        <v>20</v>
      </c>
      <c r="B73" t="str">
        <f t="shared" si="4"/>
        <v>"xxxxxxxx_x000D_
yyyyyyyy"</v>
      </c>
      <c r="C73" s="42">
        <v>8192</v>
      </c>
      <c r="D73">
        <v>1</v>
      </c>
      <c r="E73" t="b">
        <v>1</v>
      </c>
      <c r="F73">
        <v>4.6983999956864864E-2</v>
      </c>
      <c r="G73">
        <v>2.7720500016584992E-2</v>
      </c>
      <c r="H73">
        <v>0.2686585999908857</v>
      </c>
      <c r="I73">
        <v>6.5182899998035282E-2</v>
      </c>
      <c r="J73">
        <v>2.0289300009608269E-2</v>
      </c>
      <c r="K73" t="b">
        <v>1</v>
      </c>
      <c r="L73" t="b">
        <v>1</v>
      </c>
      <c r="M73" t="b">
        <v>1</v>
      </c>
      <c r="N73" s="42" t="b">
        <v>1</v>
      </c>
      <c r="O73" t="s">
        <v>218</v>
      </c>
      <c r="P73" s="44">
        <v>180224</v>
      </c>
    </row>
    <row r="74" spans="1:16" x14ac:dyDescent="0.45">
      <c r="A74">
        <f t="shared" si="3"/>
        <v>20</v>
      </c>
      <c r="B74" t="str">
        <f t="shared" si="4"/>
        <v>"xxxxxxxx_x000D_
yyyyyyyy"</v>
      </c>
      <c r="C74" s="42">
        <v>16384</v>
      </c>
      <c r="D74">
        <v>1</v>
      </c>
      <c r="E74" t="b">
        <v>1</v>
      </c>
      <c r="F74">
        <v>8.2939599989913404E-2</v>
      </c>
      <c r="G74">
        <v>5.5854199978057295E-2</v>
      </c>
      <c r="H74">
        <v>0.58213130000513047</v>
      </c>
      <c r="I74">
        <v>0.12864989996887743</v>
      </c>
      <c r="J74">
        <v>4.2705300031229854E-2</v>
      </c>
      <c r="K74" t="b">
        <v>1</v>
      </c>
      <c r="L74" t="b">
        <v>1</v>
      </c>
      <c r="M74" t="b">
        <v>1</v>
      </c>
      <c r="N74" s="42" t="b">
        <v>1</v>
      </c>
      <c r="O74" t="s">
        <v>219</v>
      </c>
      <c r="P74" s="44">
        <v>360448</v>
      </c>
    </row>
    <row r="75" spans="1:16" x14ac:dyDescent="0.45">
      <c r="A75">
        <f t="shared" si="3"/>
        <v>20</v>
      </c>
      <c r="B75" t="str">
        <f t="shared" si="4"/>
        <v>"xxxxxxxx_x000D_
yyyyyyyy"</v>
      </c>
      <c r="C75" s="42">
        <v>32768</v>
      </c>
      <c r="D75">
        <v>1</v>
      </c>
      <c r="E75" t="b">
        <v>1</v>
      </c>
      <c r="F75">
        <v>0.14122789999237284</v>
      </c>
      <c r="G75">
        <v>0.10576249996665865</v>
      </c>
      <c r="H75">
        <v>1.2084183000260964</v>
      </c>
      <c r="I75">
        <v>0.27847550000296906</v>
      </c>
      <c r="J75">
        <v>9.6827200031839311E-2</v>
      </c>
      <c r="K75" t="b">
        <v>1</v>
      </c>
      <c r="L75" t="b">
        <v>1</v>
      </c>
      <c r="M75" t="b">
        <v>1</v>
      </c>
      <c r="N75" s="42" t="b">
        <v>1</v>
      </c>
      <c r="O75" t="s">
        <v>220</v>
      </c>
      <c r="P75" s="44">
        <v>720896</v>
      </c>
    </row>
    <row r="76" spans="1:16" x14ac:dyDescent="0.45">
      <c r="A76">
        <f t="shared" si="3"/>
        <v>20</v>
      </c>
      <c r="B76" t="str">
        <f t="shared" si="4"/>
        <v>"xxxxxxxx_x000D_
yyyyyyyy"</v>
      </c>
      <c r="C76" s="42">
        <v>65536</v>
      </c>
      <c r="D76">
        <v>1</v>
      </c>
      <c r="E76" t="b">
        <v>1</v>
      </c>
      <c r="F76">
        <v>0.27820739999879152</v>
      </c>
      <c r="G76">
        <v>0.21860389999346808</v>
      </c>
      <c r="H76">
        <v>2.2651555999764241</v>
      </c>
      <c r="I76">
        <v>0.51526209997246042</v>
      </c>
      <c r="J76">
        <v>0.1590862000011839</v>
      </c>
      <c r="K76" t="b">
        <v>1</v>
      </c>
      <c r="L76" t="b">
        <v>1</v>
      </c>
      <c r="M76" t="b">
        <v>1</v>
      </c>
      <c r="N76" s="42" t="b">
        <v>1</v>
      </c>
      <c r="O76" t="s">
        <v>221</v>
      </c>
      <c r="P76" s="44">
        <v>1441792</v>
      </c>
    </row>
    <row r="77" spans="1:16" x14ac:dyDescent="0.45">
      <c r="A77">
        <f t="shared" si="3"/>
        <v>20</v>
      </c>
      <c r="B77" t="str">
        <f t="shared" si="4"/>
        <v>"xxxxxxxx_x000D_
yyyyyyyy"</v>
      </c>
      <c r="C77" s="42">
        <v>131072</v>
      </c>
      <c r="D77">
        <v>1</v>
      </c>
      <c r="E77" t="b">
        <v>1</v>
      </c>
      <c r="F77">
        <v>0.55212150001898408</v>
      </c>
      <c r="G77">
        <v>0.44634359999326989</v>
      </c>
      <c r="H77">
        <v>4.4848750999663025</v>
      </c>
      <c r="I77">
        <v>2.5971964999916963</v>
      </c>
      <c r="J77">
        <v>0.47442579997004941</v>
      </c>
      <c r="K77" t="b">
        <v>1</v>
      </c>
      <c r="L77" t="b">
        <v>1</v>
      </c>
      <c r="M77" t="b">
        <v>1</v>
      </c>
      <c r="N77" s="42" t="b">
        <v>1</v>
      </c>
      <c r="O77" t="s">
        <v>222</v>
      </c>
      <c r="P77" s="44">
        <v>2883584</v>
      </c>
    </row>
    <row r="78" spans="1:16" x14ac:dyDescent="0.45">
      <c r="A78">
        <f t="shared" si="3"/>
        <v>20</v>
      </c>
      <c r="B78" t="str">
        <f t="shared" si="4"/>
        <v>"xxxxxxxx_x000D_
yyyyyyyy"</v>
      </c>
      <c r="C78" s="42">
        <v>262144</v>
      </c>
      <c r="D78">
        <v>1</v>
      </c>
      <c r="E78" t="b">
        <v>1</v>
      </c>
      <c r="F78">
        <v>1.3379114000126719</v>
      </c>
      <c r="G78">
        <v>0.91846340004121885</v>
      </c>
      <c r="H78">
        <v>9.6381975000258535</v>
      </c>
      <c r="I78">
        <v>2.5495491999899969</v>
      </c>
      <c r="J78">
        <v>0.69732749997638166</v>
      </c>
      <c r="K78" t="b">
        <v>1</v>
      </c>
      <c r="L78" t="b">
        <v>1</v>
      </c>
      <c r="M78" t="b">
        <v>1</v>
      </c>
      <c r="N78" s="42" t="b">
        <v>1</v>
      </c>
      <c r="O78" t="s">
        <v>223</v>
      </c>
      <c r="P78" s="44">
        <v>5767168</v>
      </c>
    </row>
    <row r="79" spans="1:16" x14ac:dyDescent="0.45">
      <c r="A79">
        <f t="shared" si="3"/>
        <v>20</v>
      </c>
      <c r="B79" t="str">
        <f t="shared" si="4"/>
        <v>"xxxxxxxx_x000D_
yyyyyyyy"</v>
      </c>
      <c r="C79" s="42">
        <v>524288</v>
      </c>
      <c r="D79">
        <v>1</v>
      </c>
      <c r="E79" t="b">
        <v>1</v>
      </c>
      <c r="F79">
        <v>3.0529567000339739</v>
      </c>
      <c r="G79">
        <v>1.9816720000235364</v>
      </c>
      <c r="H79">
        <v>19.494493700040039</v>
      </c>
      <c r="I79">
        <v>5.6156824000063352</v>
      </c>
      <c r="J79">
        <v>1.4906988000147976</v>
      </c>
      <c r="K79" t="b">
        <v>1</v>
      </c>
      <c r="L79" t="b">
        <v>1</v>
      </c>
      <c r="M79" t="b">
        <v>1</v>
      </c>
      <c r="N79" s="42" t="b">
        <v>1</v>
      </c>
      <c r="O79" t="s">
        <v>224</v>
      </c>
      <c r="P79" s="44">
        <v>11534336</v>
      </c>
    </row>
    <row r="80" spans="1:16" x14ac:dyDescent="0.45">
      <c r="A80">
        <f t="shared" si="3"/>
        <v>20</v>
      </c>
      <c r="B80" t="str">
        <f t="shared" si="4"/>
        <v>"xxxxxxxx_x000D_
yyyyyyyy"</v>
      </c>
      <c r="C80" s="42">
        <v>1048576</v>
      </c>
      <c r="D80">
        <v>1</v>
      </c>
      <c r="E80" t="b">
        <v>1</v>
      </c>
      <c r="F80">
        <v>8.1846114000072703</v>
      </c>
      <c r="G80">
        <v>3.600106300029438</v>
      </c>
      <c r="H80">
        <v>37.055853500030935</v>
      </c>
      <c r="I80">
        <v>11.39609080000082</v>
      </c>
      <c r="J80">
        <v>2.8772398000000976</v>
      </c>
      <c r="K80" t="b">
        <v>1</v>
      </c>
      <c r="L80" t="b">
        <v>1</v>
      </c>
      <c r="M80" t="b">
        <v>1</v>
      </c>
      <c r="N80" s="42" t="b">
        <v>1</v>
      </c>
      <c r="O80" t="s">
        <v>225</v>
      </c>
      <c r="P80" s="44">
        <v>23068672</v>
      </c>
    </row>
    <row r="81" spans="1:16" x14ac:dyDescent="0.45">
      <c r="C81" s="42"/>
      <c r="N81" s="42"/>
    </row>
    <row r="85" spans="1:16" x14ac:dyDescent="0.45">
      <c r="O85" s="10" t="s">
        <v>263</v>
      </c>
    </row>
    <row r="86" spans="1:16" x14ac:dyDescent="0.45">
      <c r="A86" t="s">
        <v>180</v>
      </c>
      <c r="B86" t="s">
        <v>87</v>
      </c>
      <c r="C86" t="s">
        <v>21</v>
      </c>
      <c r="D86" t="s">
        <v>22</v>
      </c>
      <c r="E86" t="s">
        <v>95</v>
      </c>
      <c r="F86" t="s">
        <v>32</v>
      </c>
      <c r="G86" t="s">
        <v>88</v>
      </c>
      <c r="H86" t="s">
        <v>89</v>
      </c>
      <c r="I86" t="s">
        <v>92</v>
      </c>
      <c r="J86" t="s">
        <v>184</v>
      </c>
      <c r="K86" t="s">
        <v>93</v>
      </c>
      <c r="L86" t="s">
        <v>94</v>
      </c>
      <c r="M86" t="s">
        <v>136</v>
      </c>
      <c r="N86" s="10" t="s">
        <v>183</v>
      </c>
      <c r="O86" t="s">
        <v>0</v>
      </c>
      <c r="P86" t="s">
        <v>90</v>
      </c>
    </row>
    <row r="87" spans="1:16" x14ac:dyDescent="0.45">
      <c r="A87">
        <f>LEN(B87)</f>
        <v>17</v>
      </c>
      <c r="B87">
        <v>0.71905720709757637</v>
      </c>
      <c r="C87" s="40">
        <v>1</v>
      </c>
      <c r="D87" s="41">
        <v>10</v>
      </c>
      <c r="E87" t="b">
        <v>1</v>
      </c>
      <c r="F87">
        <v>2.1853999933227897E-3</v>
      </c>
      <c r="G87">
        <v>7.4480002513155341E-4</v>
      </c>
      <c r="H87">
        <v>0.63813099998515099</v>
      </c>
      <c r="I87">
        <v>5.9689994668588042E-4</v>
      </c>
      <c r="J87">
        <v>2.0080001559108496E-4</v>
      </c>
      <c r="K87" t="b">
        <v>1</v>
      </c>
      <c r="L87" t="b">
        <v>1</v>
      </c>
      <c r="M87" t="b">
        <v>1</v>
      </c>
      <c r="N87" s="42" t="b">
        <v>1</v>
      </c>
      <c r="O87" t="s">
        <v>117</v>
      </c>
      <c r="P87" s="44">
        <v>181</v>
      </c>
    </row>
    <row r="88" spans="1:16" x14ac:dyDescent="0.45">
      <c r="A88">
        <f t="shared" ref="A88:A105" si="5">LEN(B88)</f>
        <v>17</v>
      </c>
      <c r="B88">
        <v>0.71905720709757637</v>
      </c>
      <c r="C88" s="40">
        <v>2</v>
      </c>
      <c r="D88" s="41">
        <v>10</v>
      </c>
      <c r="E88" t="b">
        <v>1</v>
      </c>
      <c r="F88">
        <v>1.333200023509562E-3</v>
      </c>
      <c r="G88">
        <v>2.6739999884739518E-4</v>
      </c>
      <c r="H88">
        <v>2.4592000409029424E-3</v>
      </c>
      <c r="I88">
        <v>5.9910002164542675E-4</v>
      </c>
      <c r="J88">
        <v>3.3000000985339284E-4</v>
      </c>
      <c r="K88" t="b">
        <v>1</v>
      </c>
      <c r="L88" t="b">
        <v>1</v>
      </c>
      <c r="M88" t="b">
        <v>1</v>
      </c>
      <c r="N88" s="42" t="b">
        <v>1</v>
      </c>
      <c r="O88" t="s">
        <v>118</v>
      </c>
      <c r="P88" s="44">
        <v>362</v>
      </c>
    </row>
    <row r="89" spans="1:16" x14ac:dyDescent="0.45">
      <c r="A89">
        <f t="shared" si="5"/>
        <v>17</v>
      </c>
      <c r="B89">
        <v>0.71905720709757637</v>
      </c>
      <c r="C89" s="40">
        <v>4</v>
      </c>
      <c r="D89" s="41">
        <v>10</v>
      </c>
      <c r="E89" t="b">
        <v>1</v>
      </c>
      <c r="F89">
        <v>1.5745800046715885E-2</v>
      </c>
      <c r="G89">
        <v>4.6569999540224671E-4</v>
      </c>
      <c r="H89">
        <v>9.2662000097334385E-3</v>
      </c>
      <c r="I89">
        <v>1.4075000071898103E-3</v>
      </c>
      <c r="J89">
        <v>3.8140005199238658E-4</v>
      </c>
      <c r="K89" t="b">
        <v>1</v>
      </c>
      <c r="L89" t="b">
        <v>1</v>
      </c>
      <c r="M89" t="b">
        <v>1</v>
      </c>
      <c r="N89" s="42" t="b">
        <v>1</v>
      </c>
      <c r="O89" t="s">
        <v>119</v>
      </c>
      <c r="P89" s="44">
        <v>724</v>
      </c>
    </row>
    <row r="90" spans="1:16" x14ac:dyDescent="0.45">
      <c r="A90">
        <f t="shared" si="5"/>
        <v>17</v>
      </c>
      <c r="B90">
        <v>0.71905720709757637</v>
      </c>
      <c r="C90" s="40">
        <v>8</v>
      </c>
      <c r="D90" s="41">
        <v>10</v>
      </c>
      <c r="E90" t="b">
        <v>1</v>
      </c>
      <c r="F90">
        <v>1.9530999707058072E-3</v>
      </c>
      <c r="G90">
        <v>4.6449998626485467E-4</v>
      </c>
      <c r="H90">
        <v>4.3080999748781323E-3</v>
      </c>
      <c r="I90">
        <v>7.9029996413737535E-4</v>
      </c>
      <c r="J90">
        <v>3.8300000596791506E-4</v>
      </c>
      <c r="K90" t="b">
        <v>1</v>
      </c>
      <c r="L90" t="b">
        <v>1</v>
      </c>
      <c r="M90" t="b">
        <v>1</v>
      </c>
      <c r="N90" s="42" t="b">
        <v>1</v>
      </c>
      <c r="O90" t="s">
        <v>120</v>
      </c>
      <c r="P90" s="44">
        <v>1448</v>
      </c>
    </row>
    <row r="91" spans="1:16" x14ac:dyDescent="0.45">
      <c r="A91">
        <f t="shared" si="5"/>
        <v>17</v>
      </c>
      <c r="B91">
        <v>0.71905720709757637</v>
      </c>
      <c r="C91" s="40">
        <v>16</v>
      </c>
      <c r="D91" s="41">
        <v>10</v>
      </c>
      <c r="E91" t="b">
        <v>1</v>
      </c>
      <c r="F91">
        <v>3.6376999923959374E-3</v>
      </c>
      <c r="G91">
        <v>1.0866000084206462E-3</v>
      </c>
      <c r="H91">
        <v>6.8231000332161784E-3</v>
      </c>
      <c r="I91">
        <v>1.5077000134624541E-3</v>
      </c>
      <c r="J91">
        <v>7.4869999662041664E-4</v>
      </c>
      <c r="K91" t="b">
        <v>1</v>
      </c>
      <c r="L91" t="b">
        <v>1</v>
      </c>
      <c r="M91" t="b">
        <v>1</v>
      </c>
      <c r="N91" s="42" t="b">
        <v>1</v>
      </c>
      <c r="O91" t="s">
        <v>121</v>
      </c>
      <c r="P91" s="44">
        <v>2896</v>
      </c>
    </row>
    <row r="92" spans="1:16" x14ac:dyDescent="0.45">
      <c r="A92">
        <f t="shared" si="5"/>
        <v>17</v>
      </c>
      <c r="B92">
        <v>0.71905720709757637</v>
      </c>
      <c r="C92" s="40">
        <v>32</v>
      </c>
      <c r="D92" s="41">
        <v>10</v>
      </c>
      <c r="E92" t="b">
        <v>1</v>
      </c>
      <c r="F92">
        <v>2.089400019031018E-3</v>
      </c>
      <c r="G92">
        <v>1.0742999729700387E-3</v>
      </c>
      <c r="H92">
        <v>3.9859999669715762E-3</v>
      </c>
      <c r="I92">
        <v>1.2304999982006848E-3</v>
      </c>
      <c r="J92">
        <v>8.9219998335465789E-4</v>
      </c>
      <c r="K92" t="b">
        <v>1</v>
      </c>
      <c r="L92" t="b">
        <v>1</v>
      </c>
      <c r="M92" t="b">
        <v>1</v>
      </c>
      <c r="N92" s="42" t="b">
        <v>1</v>
      </c>
      <c r="O92" t="s">
        <v>122</v>
      </c>
      <c r="P92" s="44">
        <v>5792</v>
      </c>
    </row>
    <row r="93" spans="1:16" x14ac:dyDescent="0.45">
      <c r="A93">
        <f t="shared" si="5"/>
        <v>17</v>
      </c>
      <c r="B93">
        <v>0.71905720709757637</v>
      </c>
      <c r="C93" s="40">
        <v>64</v>
      </c>
      <c r="D93" s="41">
        <v>10</v>
      </c>
      <c r="E93" t="b">
        <v>1</v>
      </c>
      <c r="F93">
        <v>2.5575999752618372E-3</v>
      </c>
      <c r="G93">
        <v>1.7060000100173056E-3</v>
      </c>
      <c r="H93">
        <v>4.9953999696299434E-3</v>
      </c>
      <c r="I93">
        <v>1.8285000114701688E-3</v>
      </c>
      <c r="J93">
        <v>1.4904999989084899E-3</v>
      </c>
      <c r="K93" t="b">
        <v>1</v>
      </c>
      <c r="L93" t="b">
        <v>1</v>
      </c>
      <c r="M93" t="b">
        <v>1</v>
      </c>
      <c r="N93" s="42" t="b">
        <v>1</v>
      </c>
      <c r="O93" t="s">
        <v>123</v>
      </c>
      <c r="P93" s="44">
        <v>11584</v>
      </c>
    </row>
    <row r="94" spans="1:16" x14ac:dyDescent="0.45">
      <c r="A94">
        <f t="shared" si="5"/>
        <v>17</v>
      </c>
      <c r="B94">
        <v>0.71905720709757637</v>
      </c>
      <c r="C94" s="40">
        <v>128</v>
      </c>
      <c r="D94" s="41">
        <v>10</v>
      </c>
      <c r="E94" t="b">
        <v>1</v>
      </c>
      <c r="F94">
        <v>3.5397000028751791E-3</v>
      </c>
      <c r="G94">
        <v>2.8013999690301716E-3</v>
      </c>
      <c r="H94">
        <v>7.6558000291697681E-3</v>
      </c>
      <c r="I94">
        <v>2.7012999635189772E-3</v>
      </c>
      <c r="J94">
        <v>2.4836999946273863E-3</v>
      </c>
      <c r="K94" t="b">
        <v>1</v>
      </c>
      <c r="L94" t="b">
        <v>1</v>
      </c>
      <c r="M94" t="b">
        <v>1</v>
      </c>
      <c r="N94" s="42" t="b">
        <v>1</v>
      </c>
      <c r="O94" t="s">
        <v>124</v>
      </c>
      <c r="P94" s="44">
        <v>23168</v>
      </c>
    </row>
    <row r="95" spans="1:16" x14ac:dyDescent="0.45">
      <c r="A95">
        <f t="shared" si="5"/>
        <v>17</v>
      </c>
      <c r="B95">
        <v>0.71905720709757637</v>
      </c>
      <c r="C95" s="40">
        <v>256</v>
      </c>
      <c r="D95" s="41">
        <v>10</v>
      </c>
      <c r="E95" t="b">
        <v>1</v>
      </c>
      <c r="F95">
        <v>5.24490000680089E-3</v>
      </c>
      <c r="G95">
        <v>4.6042000176385045E-3</v>
      </c>
      <c r="H95">
        <v>1.0719200014136732E-2</v>
      </c>
      <c r="I95">
        <v>4.4541999814100564E-3</v>
      </c>
      <c r="J95">
        <v>3.9504000451415777E-3</v>
      </c>
      <c r="K95" t="b">
        <v>1</v>
      </c>
      <c r="L95" t="b">
        <v>1</v>
      </c>
      <c r="M95" t="b">
        <v>1</v>
      </c>
      <c r="N95" s="42" t="b">
        <v>1</v>
      </c>
      <c r="O95" t="s">
        <v>125</v>
      </c>
      <c r="P95" s="44">
        <v>46336</v>
      </c>
    </row>
    <row r="96" spans="1:16" x14ac:dyDescent="0.45">
      <c r="A96">
        <f t="shared" si="5"/>
        <v>17</v>
      </c>
      <c r="B96">
        <v>0.71905720709757637</v>
      </c>
      <c r="C96" s="40">
        <v>512</v>
      </c>
      <c r="D96" s="41">
        <v>10</v>
      </c>
      <c r="E96" t="b">
        <v>1</v>
      </c>
      <c r="F96">
        <v>9.0844000224024057E-3</v>
      </c>
      <c r="G96">
        <v>1.6002200020011514E-2</v>
      </c>
      <c r="H96">
        <v>2.0393099985085428E-2</v>
      </c>
      <c r="I96">
        <v>8.1552999909035861E-3</v>
      </c>
      <c r="J96">
        <v>9.8686999990604818E-3</v>
      </c>
      <c r="K96" t="b">
        <v>1</v>
      </c>
      <c r="L96" t="b">
        <v>1</v>
      </c>
      <c r="M96" t="b">
        <v>1</v>
      </c>
      <c r="N96" s="42" t="b">
        <v>1</v>
      </c>
      <c r="O96" t="s">
        <v>126</v>
      </c>
      <c r="P96" s="44">
        <v>92672</v>
      </c>
    </row>
    <row r="97" spans="1:16" x14ac:dyDescent="0.45">
      <c r="A97">
        <f t="shared" si="5"/>
        <v>17</v>
      </c>
      <c r="B97">
        <v>0.71905720709757637</v>
      </c>
      <c r="C97" s="40">
        <v>1024</v>
      </c>
      <c r="D97" s="41">
        <v>10</v>
      </c>
      <c r="E97" t="b">
        <v>1</v>
      </c>
      <c r="F97">
        <v>1.7180699971504509E-2</v>
      </c>
      <c r="G97">
        <v>1.8125200003851205E-2</v>
      </c>
      <c r="H97">
        <v>3.3751900016795844E-2</v>
      </c>
      <c r="I97">
        <v>1.6627400007564574E-2</v>
      </c>
      <c r="J97">
        <v>1.6794700000900775E-2</v>
      </c>
      <c r="K97" t="b">
        <v>1</v>
      </c>
      <c r="L97" t="b">
        <v>1</v>
      </c>
      <c r="M97" t="b">
        <v>1</v>
      </c>
      <c r="N97" s="42" t="b">
        <v>1</v>
      </c>
      <c r="O97" t="s">
        <v>127</v>
      </c>
      <c r="P97" s="44">
        <v>185344</v>
      </c>
    </row>
    <row r="98" spans="1:16" x14ac:dyDescent="0.45">
      <c r="A98">
        <f t="shared" si="5"/>
        <v>17</v>
      </c>
      <c r="B98">
        <v>0.71905720709757637</v>
      </c>
      <c r="C98" s="40">
        <v>2048</v>
      </c>
      <c r="D98" s="41">
        <v>10</v>
      </c>
      <c r="E98" t="b">
        <v>1</v>
      </c>
      <c r="F98">
        <v>3.3370199962519109E-2</v>
      </c>
      <c r="G98">
        <v>3.8505600008647889E-2</v>
      </c>
      <c r="H98">
        <v>5.7477499998640269E-2</v>
      </c>
      <c r="I98">
        <v>3.2777699991129339E-2</v>
      </c>
      <c r="J98">
        <v>3.2917800010181963E-2</v>
      </c>
      <c r="K98" t="b">
        <v>1</v>
      </c>
      <c r="L98" t="b">
        <v>1</v>
      </c>
      <c r="M98" t="b">
        <v>1</v>
      </c>
      <c r="N98" s="42" t="b">
        <v>1</v>
      </c>
      <c r="O98" t="s">
        <v>128</v>
      </c>
      <c r="P98" s="44">
        <v>370688</v>
      </c>
    </row>
    <row r="99" spans="1:16" x14ac:dyDescent="0.45">
      <c r="A99">
        <f t="shared" si="5"/>
        <v>17</v>
      </c>
      <c r="B99">
        <v>0.71905720709757637</v>
      </c>
      <c r="C99" s="40">
        <v>4096</v>
      </c>
      <c r="D99" s="41">
        <v>10</v>
      </c>
      <c r="E99" t="b">
        <v>1</v>
      </c>
      <c r="F99">
        <v>7.9585600004065782E-2</v>
      </c>
      <c r="G99">
        <v>7.2970599983818829E-2</v>
      </c>
      <c r="H99">
        <v>0.11035329999867827</v>
      </c>
      <c r="I99">
        <v>7.3827499989420176E-2</v>
      </c>
      <c r="J99">
        <v>6.9678100000601262E-2</v>
      </c>
      <c r="K99" t="b">
        <v>1</v>
      </c>
      <c r="L99" t="b">
        <v>1</v>
      </c>
      <c r="M99" t="b">
        <v>1</v>
      </c>
      <c r="N99" s="42" t="b">
        <v>1</v>
      </c>
      <c r="O99" t="s">
        <v>129</v>
      </c>
      <c r="P99" s="44">
        <v>741376</v>
      </c>
    </row>
    <row r="100" spans="1:16" x14ac:dyDescent="0.45">
      <c r="A100">
        <f t="shared" si="5"/>
        <v>17</v>
      </c>
      <c r="B100">
        <v>0.71905720709757637</v>
      </c>
      <c r="C100" s="40">
        <v>8192</v>
      </c>
      <c r="D100" s="41">
        <v>10</v>
      </c>
      <c r="E100" t="b">
        <v>1</v>
      </c>
      <c r="F100">
        <v>0.13874649995705113</v>
      </c>
      <c r="G100">
        <v>0.16396829998120666</v>
      </c>
      <c r="H100">
        <v>0.28423250000923872</v>
      </c>
      <c r="I100">
        <v>0.14074989996151999</v>
      </c>
      <c r="J100">
        <v>0.13674340001307428</v>
      </c>
      <c r="K100" t="b">
        <v>1</v>
      </c>
      <c r="L100" t="b">
        <v>1</v>
      </c>
      <c r="M100" t="b">
        <v>1</v>
      </c>
      <c r="N100" s="42" t="b">
        <v>1</v>
      </c>
      <c r="O100" t="s">
        <v>130</v>
      </c>
      <c r="P100" s="44">
        <v>1482752</v>
      </c>
    </row>
    <row r="101" spans="1:16" x14ac:dyDescent="0.45">
      <c r="A101">
        <f t="shared" si="5"/>
        <v>17</v>
      </c>
      <c r="B101">
        <v>0.71905720709757637</v>
      </c>
      <c r="C101" s="40">
        <v>16384</v>
      </c>
      <c r="D101" s="41">
        <v>10</v>
      </c>
      <c r="E101" t="b">
        <v>1</v>
      </c>
      <c r="F101">
        <v>0.2893482000217773</v>
      </c>
      <c r="G101">
        <v>0.31731820001732558</v>
      </c>
      <c r="H101">
        <v>0.6426107999868691</v>
      </c>
      <c r="I101">
        <v>0.30527230002917349</v>
      </c>
      <c r="J101">
        <v>0.31478370004333556</v>
      </c>
      <c r="K101" t="b">
        <v>1</v>
      </c>
      <c r="L101" t="b">
        <v>1</v>
      </c>
      <c r="M101" t="b">
        <v>1</v>
      </c>
      <c r="N101" s="42" t="b">
        <v>1</v>
      </c>
      <c r="O101" t="s">
        <v>131</v>
      </c>
      <c r="P101" s="44">
        <v>2965504</v>
      </c>
    </row>
    <row r="102" spans="1:16" x14ac:dyDescent="0.45">
      <c r="A102">
        <f t="shared" si="5"/>
        <v>17</v>
      </c>
      <c r="B102">
        <v>0.71905720709757637</v>
      </c>
      <c r="C102" s="40">
        <v>32768</v>
      </c>
      <c r="D102" s="41">
        <v>10</v>
      </c>
      <c r="E102" t="b">
        <v>1</v>
      </c>
      <c r="F102">
        <v>0.61006279999855906</v>
      </c>
      <c r="G102">
        <v>0.65075000002980232</v>
      </c>
      <c r="H102">
        <v>1.0488981999806128</v>
      </c>
      <c r="I102">
        <v>0.62527459999546409</v>
      </c>
      <c r="J102">
        <v>0.61417859996436164</v>
      </c>
      <c r="K102" t="b">
        <v>1</v>
      </c>
      <c r="L102" t="b">
        <v>1</v>
      </c>
      <c r="M102" t="b">
        <v>1</v>
      </c>
      <c r="N102" s="42" t="b">
        <v>1</v>
      </c>
      <c r="O102" t="s">
        <v>132</v>
      </c>
      <c r="P102" s="44">
        <v>5931008</v>
      </c>
    </row>
    <row r="103" spans="1:16" x14ac:dyDescent="0.45">
      <c r="A103">
        <f t="shared" si="5"/>
        <v>17</v>
      </c>
      <c r="B103">
        <v>0.71905720709757637</v>
      </c>
      <c r="C103" s="40">
        <v>65536</v>
      </c>
      <c r="D103" s="41">
        <v>10</v>
      </c>
      <c r="E103" t="b">
        <v>1</v>
      </c>
      <c r="F103">
        <v>1.266010700026527</v>
      </c>
      <c r="G103">
        <v>1.3248103999649175</v>
      </c>
      <c r="H103">
        <v>2.7256815999862738</v>
      </c>
      <c r="I103">
        <v>1.3377772999810986</v>
      </c>
      <c r="J103">
        <v>1.2325813000206836</v>
      </c>
      <c r="K103" t="b">
        <v>1</v>
      </c>
      <c r="L103" t="b">
        <v>1</v>
      </c>
      <c r="M103" t="b">
        <v>1</v>
      </c>
      <c r="N103" s="42" t="b">
        <v>1</v>
      </c>
      <c r="O103" t="s">
        <v>133</v>
      </c>
      <c r="P103" s="44">
        <v>11862016</v>
      </c>
    </row>
    <row r="104" spans="1:16" x14ac:dyDescent="0.45">
      <c r="A104">
        <f t="shared" si="5"/>
        <v>17</v>
      </c>
      <c r="B104">
        <v>0.71905720709757637</v>
      </c>
      <c r="C104" s="40">
        <v>131072</v>
      </c>
      <c r="D104" s="41">
        <v>10</v>
      </c>
      <c r="E104" t="b">
        <v>1</v>
      </c>
      <c r="F104">
        <v>2.7537714000209235</v>
      </c>
      <c r="G104">
        <v>2.741540500021074</v>
      </c>
      <c r="H104">
        <v>4.7710705000208691</v>
      </c>
      <c r="I104">
        <v>2.6687209999654442</v>
      </c>
      <c r="J104">
        <v>2.6471457000006922</v>
      </c>
      <c r="K104" t="b">
        <v>1</v>
      </c>
      <c r="L104" t="b">
        <v>1</v>
      </c>
      <c r="M104" t="b">
        <v>1</v>
      </c>
      <c r="N104" s="42" t="b">
        <v>1</v>
      </c>
      <c r="O104" t="s">
        <v>134</v>
      </c>
      <c r="P104" s="44">
        <v>23724032</v>
      </c>
    </row>
    <row r="105" spans="1:16" x14ac:dyDescent="0.45">
      <c r="A105">
        <f t="shared" si="5"/>
        <v>17</v>
      </c>
      <c r="B105">
        <v>0.71905720709757637</v>
      </c>
      <c r="C105" s="40">
        <v>262144</v>
      </c>
      <c r="D105" s="41">
        <v>10</v>
      </c>
      <c r="E105" t="b">
        <v>1</v>
      </c>
      <c r="F105">
        <v>5.4117666000383906</v>
      </c>
      <c r="G105">
        <v>5.4170814999961294</v>
      </c>
      <c r="H105">
        <v>8.7916612999979407</v>
      </c>
      <c r="I105">
        <v>5.3054268999840133</v>
      </c>
      <c r="J105">
        <v>4.788134100032039</v>
      </c>
      <c r="K105" t="b">
        <v>1</v>
      </c>
      <c r="L105" t="b">
        <v>1</v>
      </c>
      <c r="M105" t="b">
        <v>1</v>
      </c>
      <c r="N105" s="42" t="b">
        <v>1</v>
      </c>
      <c r="O105" t="s">
        <v>135</v>
      </c>
      <c r="P105" s="44">
        <v>47448064</v>
      </c>
    </row>
    <row r="106" spans="1:16" x14ac:dyDescent="0.45">
      <c r="C106" s="42"/>
      <c r="N106" s="42"/>
      <c r="P106" s="44"/>
    </row>
    <row r="107" spans="1:16" x14ac:dyDescent="0.45">
      <c r="C107" s="42"/>
      <c r="N107" s="42"/>
      <c r="P107" s="44"/>
    </row>
    <row r="109" spans="1:16" x14ac:dyDescent="0.45">
      <c r="C109" s="40"/>
      <c r="D109" s="41"/>
      <c r="N109" s="42"/>
      <c r="P109" s="44"/>
    </row>
    <row r="112" spans="1:16" x14ac:dyDescent="0.45">
      <c r="O112" s="10" t="s">
        <v>264</v>
      </c>
    </row>
    <row r="113" spans="1:16" x14ac:dyDescent="0.45">
      <c r="A113" t="s">
        <v>180</v>
      </c>
      <c r="B113" t="s">
        <v>87</v>
      </c>
      <c r="C113" t="s">
        <v>21</v>
      </c>
      <c r="D113" t="s">
        <v>22</v>
      </c>
      <c r="E113" t="s">
        <v>95</v>
      </c>
      <c r="F113" t="s">
        <v>32</v>
      </c>
      <c r="G113" t="s">
        <v>88</v>
      </c>
      <c r="H113" t="s">
        <v>89</v>
      </c>
      <c r="I113" t="s">
        <v>92</v>
      </c>
      <c r="J113" t="s">
        <v>184</v>
      </c>
      <c r="K113" t="s">
        <v>93</v>
      </c>
      <c r="L113" t="s">
        <v>94</v>
      </c>
      <c r="M113" t="s">
        <v>136</v>
      </c>
      <c r="N113" s="10" t="s">
        <v>183</v>
      </c>
      <c r="O113" t="s">
        <v>0</v>
      </c>
      <c r="P113" t="s">
        <v>90</v>
      </c>
    </row>
    <row r="114" spans="1:16" x14ac:dyDescent="0.45">
      <c r="A114">
        <f>LEN(B114)</f>
        <v>16</v>
      </c>
      <c r="B114" t="str">
        <f>REPT("x",16)</f>
        <v>xxxxxxxxxxxxxxxx</v>
      </c>
      <c r="C114" s="40">
        <v>8</v>
      </c>
      <c r="D114" s="47">
        <v>1</v>
      </c>
      <c r="E114" s="41" t="b">
        <v>1</v>
      </c>
      <c r="F114">
        <v>2.626429998781532E-2</v>
      </c>
      <c r="G114">
        <v>1.2954000267200172E-3</v>
      </c>
      <c r="H114">
        <v>0.44338449998758733</v>
      </c>
      <c r="I114">
        <v>5.7329999981448054E-4</v>
      </c>
      <c r="J114">
        <v>1.870999694801867E-4</v>
      </c>
      <c r="K114" t="b">
        <v>1</v>
      </c>
      <c r="L114" t="b">
        <v>1</v>
      </c>
      <c r="M114" t="b">
        <v>1</v>
      </c>
      <c r="N114" t="b">
        <v>1</v>
      </c>
      <c r="O114" t="s">
        <v>166</v>
      </c>
      <c r="P114" s="44">
        <v>144</v>
      </c>
    </row>
    <row r="115" spans="1:16" x14ac:dyDescent="0.45">
      <c r="A115">
        <f t="shared" ref="A115:A127" si="6">LEN(B115)</f>
        <v>16</v>
      </c>
      <c r="B115" t="str">
        <f t="shared" ref="B115:B127" si="7">REPT("x",16)</f>
        <v>xxxxxxxxxxxxxxxx</v>
      </c>
      <c r="C115" s="40">
        <v>8</v>
      </c>
      <c r="D115" s="47">
        <v>2</v>
      </c>
      <c r="E115" s="41" t="b">
        <v>1</v>
      </c>
      <c r="F115">
        <v>2.9394600016530603E-2</v>
      </c>
      <c r="G115">
        <v>3.6035000230185688E-3</v>
      </c>
      <c r="H115">
        <v>3.0280999490059912E-3</v>
      </c>
      <c r="I115">
        <v>7.4510002741590142E-4</v>
      </c>
      <c r="J115">
        <v>3.2599997939541936E-4</v>
      </c>
      <c r="K115" t="b">
        <v>1</v>
      </c>
      <c r="L115" t="b">
        <v>1</v>
      </c>
      <c r="M115" t="b">
        <v>1</v>
      </c>
      <c r="N115" t="b">
        <v>1</v>
      </c>
      <c r="O115" t="s">
        <v>167</v>
      </c>
      <c r="P115" s="44">
        <v>280</v>
      </c>
    </row>
    <row r="116" spans="1:16" x14ac:dyDescent="0.45">
      <c r="A116">
        <f t="shared" si="6"/>
        <v>16</v>
      </c>
      <c r="B116" t="str">
        <f t="shared" si="7"/>
        <v>xxxxxxxxxxxxxxxx</v>
      </c>
      <c r="C116" s="40">
        <v>8</v>
      </c>
      <c r="D116" s="47">
        <v>4</v>
      </c>
      <c r="E116" s="41" t="b">
        <v>1</v>
      </c>
      <c r="F116">
        <v>2.6841300015803427E-2</v>
      </c>
      <c r="G116">
        <v>2.0804000087082386E-3</v>
      </c>
      <c r="H116">
        <v>5.8098000008612871E-3</v>
      </c>
      <c r="I116">
        <v>1.3070999993942678E-3</v>
      </c>
      <c r="J116">
        <v>4.4719997094944119E-4</v>
      </c>
      <c r="K116" t="b">
        <v>1</v>
      </c>
      <c r="L116" t="b">
        <v>1</v>
      </c>
      <c r="M116" t="b">
        <v>1</v>
      </c>
      <c r="N116" t="b">
        <v>1</v>
      </c>
      <c r="O116" t="s">
        <v>168</v>
      </c>
      <c r="P116" s="44">
        <v>552</v>
      </c>
    </row>
    <row r="117" spans="1:16" x14ac:dyDescent="0.45">
      <c r="A117">
        <f t="shared" si="6"/>
        <v>16</v>
      </c>
      <c r="B117" t="str">
        <f t="shared" si="7"/>
        <v>xxxxxxxxxxxxxxxx</v>
      </c>
      <c r="C117" s="40">
        <v>8</v>
      </c>
      <c r="D117" s="47">
        <v>8</v>
      </c>
      <c r="E117" s="41" t="b">
        <v>1</v>
      </c>
      <c r="F117">
        <v>1.64560999837704E-2</v>
      </c>
      <c r="G117">
        <v>1.5714999753981829E-3</v>
      </c>
      <c r="H117">
        <v>2.7236000169068575E-3</v>
      </c>
      <c r="I117">
        <v>6.5130001166835427E-4</v>
      </c>
      <c r="J117">
        <v>3.2930000452324748E-4</v>
      </c>
      <c r="K117" t="b">
        <v>1</v>
      </c>
      <c r="L117" t="b">
        <v>1</v>
      </c>
      <c r="M117" t="b">
        <v>1</v>
      </c>
      <c r="N117" t="b">
        <v>1</v>
      </c>
      <c r="O117" t="s">
        <v>169</v>
      </c>
      <c r="P117" s="44">
        <v>1096</v>
      </c>
    </row>
    <row r="118" spans="1:16" x14ac:dyDescent="0.45">
      <c r="A118">
        <f t="shared" si="6"/>
        <v>16</v>
      </c>
      <c r="B118" t="str">
        <f t="shared" si="7"/>
        <v>xxxxxxxxxxxxxxxx</v>
      </c>
      <c r="C118" s="40">
        <v>8</v>
      </c>
      <c r="D118" s="47">
        <v>16</v>
      </c>
      <c r="E118" s="41" t="b">
        <v>1</v>
      </c>
      <c r="F118">
        <v>1.4130000025033951E-2</v>
      </c>
      <c r="G118">
        <v>1.7678000149317086E-3</v>
      </c>
      <c r="H118">
        <v>3.003499994520098E-3</v>
      </c>
      <c r="I118">
        <v>7.5289997039362788E-4</v>
      </c>
      <c r="J118">
        <v>4.366000066511333E-4</v>
      </c>
      <c r="K118" t="b">
        <v>1</v>
      </c>
      <c r="L118" t="b">
        <v>1</v>
      </c>
      <c r="M118" t="b">
        <v>1</v>
      </c>
      <c r="N118" t="b">
        <v>1</v>
      </c>
      <c r="O118" t="s">
        <v>170</v>
      </c>
      <c r="P118" s="44">
        <v>2184</v>
      </c>
    </row>
    <row r="119" spans="1:16" x14ac:dyDescent="0.45">
      <c r="A119">
        <f t="shared" si="6"/>
        <v>16</v>
      </c>
      <c r="B119" t="str">
        <f t="shared" si="7"/>
        <v>xxxxxxxxxxxxxxxx</v>
      </c>
      <c r="C119" s="40">
        <v>8</v>
      </c>
      <c r="D119" s="47">
        <v>32</v>
      </c>
      <c r="E119" s="41" t="b">
        <v>1</v>
      </c>
      <c r="F119">
        <v>1.495969999814406E-2</v>
      </c>
      <c r="G119">
        <v>1.8306999700143933E-3</v>
      </c>
      <c r="H119">
        <v>4.156299983151257E-3</v>
      </c>
      <c r="I119">
        <v>9.64700011536479E-4</v>
      </c>
      <c r="J119">
        <v>7.246999884955585E-4</v>
      </c>
      <c r="K119" t="b">
        <v>1</v>
      </c>
      <c r="L119" t="b">
        <v>1</v>
      </c>
      <c r="M119" t="b">
        <v>1</v>
      </c>
      <c r="N119" t="b">
        <v>1</v>
      </c>
      <c r="O119" t="s">
        <v>171</v>
      </c>
      <c r="P119" s="44">
        <v>4360</v>
      </c>
    </row>
    <row r="120" spans="1:16" x14ac:dyDescent="0.45">
      <c r="A120">
        <f t="shared" si="6"/>
        <v>16</v>
      </c>
      <c r="B120" t="str">
        <f t="shared" si="7"/>
        <v>xxxxxxxxxxxxxxxx</v>
      </c>
      <c r="C120" s="40">
        <v>8</v>
      </c>
      <c r="D120" s="47">
        <v>64</v>
      </c>
      <c r="E120" s="41" t="b">
        <v>1</v>
      </c>
      <c r="F120">
        <v>1.5774299972690642E-2</v>
      </c>
      <c r="G120">
        <v>2.5952999712899327E-3</v>
      </c>
      <c r="H120">
        <v>8.2698999904096127E-3</v>
      </c>
      <c r="I120">
        <v>1.409500022418797E-3</v>
      </c>
      <c r="J120">
        <v>1.1071000481024384E-3</v>
      </c>
      <c r="K120" t="b">
        <v>1</v>
      </c>
      <c r="L120" t="b">
        <v>1</v>
      </c>
      <c r="M120" t="b">
        <v>1</v>
      </c>
      <c r="N120" t="b">
        <v>1</v>
      </c>
      <c r="O120" t="s">
        <v>172</v>
      </c>
      <c r="P120" s="44">
        <v>8712</v>
      </c>
    </row>
    <row r="121" spans="1:16" x14ac:dyDescent="0.45">
      <c r="A121">
        <f t="shared" si="6"/>
        <v>16</v>
      </c>
      <c r="B121" t="str">
        <f t="shared" si="7"/>
        <v>xxxxxxxxxxxxxxxx</v>
      </c>
      <c r="C121" s="40">
        <v>8</v>
      </c>
      <c r="D121" s="47">
        <v>128</v>
      </c>
      <c r="E121" s="41" t="b">
        <v>1</v>
      </c>
      <c r="F121">
        <v>1.4780000026803464E-2</v>
      </c>
      <c r="G121">
        <v>3.1088999821804464E-3</v>
      </c>
      <c r="H121">
        <v>1.8069799989461899E-2</v>
      </c>
      <c r="I121">
        <v>1.8199000041931868E-3</v>
      </c>
      <c r="J121">
        <v>1.562100020237267E-3</v>
      </c>
      <c r="K121" t="b">
        <v>1</v>
      </c>
      <c r="L121" t="b">
        <v>1</v>
      </c>
      <c r="M121" t="b">
        <v>1</v>
      </c>
      <c r="N121" t="b">
        <v>1</v>
      </c>
      <c r="O121" t="s">
        <v>173</v>
      </c>
      <c r="P121" s="44">
        <v>17416</v>
      </c>
    </row>
    <row r="122" spans="1:16" x14ac:dyDescent="0.45">
      <c r="A122">
        <f t="shared" si="6"/>
        <v>16</v>
      </c>
      <c r="B122" t="str">
        <f t="shared" si="7"/>
        <v>xxxxxxxxxxxxxxxx</v>
      </c>
      <c r="C122" s="40">
        <v>8</v>
      </c>
      <c r="D122" s="47">
        <v>256</v>
      </c>
      <c r="E122" s="41" t="b">
        <v>1</v>
      </c>
      <c r="F122">
        <v>6.1742399993818253E-2</v>
      </c>
      <c r="G122">
        <v>5.1672999979928136E-3</v>
      </c>
      <c r="H122">
        <v>6.2681399984285235E-2</v>
      </c>
      <c r="I122">
        <v>3.2184000010602176E-3</v>
      </c>
      <c r="J122">
        <v>3.4574000164866447E-3</v>
      </c>
      <c r="K122" t="b">
        <v>1</v>
      </c>
      <c r="L122" t="b">
        <v>1</v>
      </c>
      <c r="M122" t="b">
        <v>1</v>
      </c>
      <c r="N122" t="b">
        <v>1</v>
      </c>
      <c r="O122" t="s">
        <v>174</v>
      </c>
      <c r="P122" s="44">
        <v>34824</v>
      </c>
    </row>
    <row r="123" spans="1:16" x14ac:dyDescent="0.45">
      <c r="A123">
        <f t="shared" si="6"/>
        <v>16</v>
      </c>
      <c r="B123" t="str">
        <f t="shared" si="7"/>
        <v>xxxxxxxxxxxxxxxx</v>
      </c>
      <c r="C123" s="40">
        <v>8</v>
      </c>
      <c r="D123" s="47">
        <v>512</v>
      </c>
      <c r="E123" s="41" t="b">
        <v>1</v>
      </c>
      <c r="F123">
        <v>1.9438299990724772E-2</v>
      </c>
      <c r="G123">
        <v>8.249000005889684E-3</v>
      </c>
      <c r="H123">
        <v>0.22342619998380542</v>
      </c>
      <c r="I123">
        <v>5.891700042411685E-3</v>
      </c>
      <c r="J123">
        <v>5.8300999808125198E-3</v>
      </c>
      <c r="K123" t="b">
        <v>1</v>
      </c>
      <c r="L123" t="b">
        <v>1</v>
      </c>
      <c r="M123" t="b">
        <v>1</v>
      </c>
      <c r="N123" t="b">
        <v>1</v>
      </c>
      <c r="O123" t="s">
        <v>175</v>
      </c>
      <c r="P123" s="44">
        <v>69640</v>
      </c>
    </row>
    <row r="124" spans="1:16" x14ac:dyDescent="0.45">
      <c r="A124">
        <f t="shared" si="6"/>
        <v>16</v>
      </c>
      <c r="B124" t="str">
        <f t="shared" si="7"/>
        <v>xxxxxxxxxxxxxxxx</v>
      </c>
      <c r="C124" s="40">
        <v>8</v>
      </c>
      <c r="D124" s="47">
        <v>1024</v>
      </c>
      <c r="E124" s="41" t="b">
        <v>1</v>
      </c>
      <c r="F124">
        <v>2.5571100006345659E-2</v>
      </c>
      <c r="G124">
        <v>1.5223999973386526E-2</v>
      </c>
      <c r="H124">
        <v>0.87007479998283088</v>
      </c>
      <c r="I124">
        <v>1.1724900046829134E-2</v>
      </c>
      <c r="J124">
        <v>1.1977099988143891E-2</v>
      </c>
      <c r="K124" t="b">
        <v>1</v>
      </c>
      <c r="L124" t="b">
        <v>1</v>
      </c>
      <c r="M124" t="b">
        <v>1</v>
      </c>
      <c r="N124" t="b">
        <v>1</v>
      </c>
      <c r="O124" t="s">
        <v>176</v>
      </c>
      <c r="P124" s="44">
        <v>139272</v>
      </c>
    </row>
    <row r="125" spans="1:16" x14ac:dyDescent="0.45">
      <c r="A125">
        <f t="shared" si="6"/>
        <v>16</v>
      </c>
      <c r="B125" t="str">
        <f t="shared" si="7"/>
        <v>xxxxxxxxxxxxxxxx</v>
      </c>
      <c r="C125" s="40">
        <v>8</v>
      </c>
      <c r="D125" s="47">
        <v>2048</v>
      </c>
      <c r="E125" s="41" t="b">
        <v>1</v>
      </c>
      <c r="F125">
        <v>3.7786000000778586E-2</v>
      </c>
      <c r="G125">
        <v>2.9053299978841096E-2</v>
      </c>
      <c r="H125">
        <v>3.7981016000267118</v>
      </c>
      <c r="I125">
        <v>2.394409995758906E-2</v>
      </c>
      <c r="J125">
        <v>2.499910001643002E-2</v>
      </c>
      <c r="K125" t="b">
        <v>1</v>
      </c>
      <c r="L125" t="b">
        <v>1</v>
      </c>
      <c r="M125" t="b">
        <v>1</v>
      </c>
      <c r="N125" t="b">
        <v>1</v>
      </c>
      <c r="O125" t="s">
        <v>177</v>
      </c>
      <c r="P125" s="44">
        <v>278536</v>
      </c>
    </row>
    <row r="126" spans="1:16" x14ac:dyDescent="0.45">
      <c r="A126">
        <f t="shared" si="6"/>
        <v>16</v>
      </c>
      <c r="B126" t="str">
        <f t="shared" si="7"/>
        <v>xxxxxxxxxxxxxxxx</v>
      </c>
      <c r="C126" s="40">
        <v>8</v>
      </c>
      <c r="D126" s="47">
        <v>4096</v>
      </c>
      <c r="E126" s="41" t="b">
        <v>1</v>
      </c>
      <c r="F126">
        <v>5.6682599999476224E-2</v>
      </c>
      <c r="G126">
        <v>7.1584099961910397E-2</v>
      </c>
      <c r="H126">
        <v>14.812297600030433</v>
      </c>
      <c r="I126">
        <v>8.4099599975161254E-2</v>
      </c>
      <c r="J126">
        <v>4.8628300020936877E-2</v>
      </c>
      <c r="K126" t="b">
        <v>1</v>
      </c>
      <c r="L126" t="b">
        <v>1</v>
      </c>
      <c r="M126" t="b">
        <v>1</v>
      </c>
      <c r="N126" t="b">
        <v>1</v>
      </c>
      <c r="O126" t="s">
        <v>178</v>
      </c>
      <c r="P126" s="44">
        <v>557064</v>
      </c>
    </row>
    <row r="127" spans="1:16" x14ac:dyDescent="0.45">
      <c r="A127">
        <f t="shared" si="6"/>
        <v>16</v>
      </c>
      <c r="B127" t="str">
        <f t="shared" si="7"/>
        <v>xxxxxxxxxxxxxxxx</v>
      </c>
      <c r="C127" s="40">
        <v>8</v>
      </c>
      <c r="D127" s="47">
        <v>8192</v>
      </c>
      <c r="E127" s="41" t="b">
        <v>1</v>
      </c>
      <c r="F127">
        <v>0.10845729999709874</v>
      </c>
      <c r="G127">
        <v>0.11377180000999942</v>
      </c>
      <c r="H127">
        <v>57.741974800010212</v>
      </c>
      <c r="I127">
        <v>9.7981800034176558E-2</v>
      </c>
      <c r="J127">
        <v>0.105867899954319</v>
      </c>
      <c r="K127" t="b">
        <v>1</v>
      </c>
      <c r="L127" t="b">
        <v>1</v>
      </c>
      <c r="M127" t="b">
        <v>1</v>
      </c>
      <c r="N127" t="b">
        <v>1</v>
      </c>
      <c r="O127" t="s">
        <v>179</v>
      </c>
      <c r="P127" s="44">
        <v>1114120</v>
      </c>
    </row>
    <row r="140" spans="1:16" x14ac:dyDescent="0.45">
      <c r="A140" t="s">
        <v>180</v>
      </c>
      <c r="B140" t="s">
        <v>87</v>
      </c>
      <c r="C140" t="s">
        <v>21</v>
      </c>
      <c r="D140" t="s">
        <v>22</v>
      </c>
      <c r="E140" t="s">
        <v>95</v>
      </c>
      <c r="F140" t="s">
        <v>32</v>
      </c>
      <c r="G140" t="s">
        <v>88</v>
      </c>
      <c r="H140" t="s">
        <v>89</v>
      </c>
      <c r="I140" t="s">
        <v>92</v>
      </c>
      <c r="J140" t="s">
        <v>184</v>
      </c>
      <c r="K140" t="s">
        <v>93</v>
      </c>
      <c r="L140" t="s">
        <v>94</v>
      </c>
      <c r="M140" t="s">
        <v>136</v>
      </c>
      <c r="N140" s="10" t="s">
        <v>183</v>
      </c>
      <c r="O140" t="s">
        <v>0</v>
      </c>
      <c r="P140" t="s">
        <v>90</v>
      </c>
    </row>
    <row r="141" spans="1:16" x14ac:dyDescent="0.45">
      <c r="A141" cm="1">
        <f t="array" ref="A141:A155">LEN(B141:B155)</f>
        <v>1</v>
      </c>
      <c r="B141" t="s">
        <v>85</v>
      </c>
      <c r="C141" s="42">
        <v>1024</v>
      </c>
      <c r="D141">
        <v>8</v>
      </c>
      <c r="E141" t="b">
        <v>1</v>
      </c>
      <c r="F141">
        <v>2.6823799998965114E-2</v>
      </c>
      <c r="G141">
        <v>9.3001000350341201E-3</v>
      </c>
      <c r="H141">
        <v>0.52409039996564388</v>
      </c>
      <c r="I141">
        <v>8.5908999899402261E-3</v>
      </c>
      <c r="J141">
        <v>1.1060799995902926E-2</v>
      </c>
      <c r="K141" t="b">
        <v>1</v>
      </c>
      <c r="L141" t="b">
        <v>1</v>
      </c>
      <c r="M141" t="b">
        <v>1</v>
      </c>
      <c r="N141" t="b">
        <v>1</v>
      </c>
      <c r="O141" t="s">
        <v>151</v>
      </c>
      <c r="P141" s="44">
        <v>17408</v>
      </c>
    </row>
    <row r="142" spans="1:16" x14ac:dyDescent="0.45">
      <c r="A142">
        <v>2</v>
      </c>
      <c r="B142" t="s">
        <v>137</v>
      </c>
      <c r="C142" s="42">
        <v>1024</v>
      </c>
      <c r="D142">
        <v>8</v>
      </c>
      <c r="E142" t="b">
        <v>1</v>
      </c>
      <c r="F142">
        <v>8.3218100015074015E-2</v>
      </c>
      <c r="G142">
        <v>1.395970000885427E-2</v>
      </c>
      <c r="H142">
        <v>3.3424900029785931E-2</v>
      </c>
      <c r="I142">
        <v>8.5043999715708196E-3</v>
      </c>
      <c r="J142">
        <v>9.3922999803908169E-3</v>
      </c>
      <c r="K142" t="b">
        <v>1</v>
      </c>
      <c r="L142" t="b">
        <v>1</v>
      </c>
      <c r="M142" t="b">
        <v>1</v>
      </c>
      <c r="N142" t="b">
        <v>1</v>
      </c>
      <c r="O142" t="s">
        <v>152</v>
      </c>
      <c r="P142" s="44">
        <v>25600</v>
      </c>
    </row>
    <row r="143" spans="1:16" x14ac:dyDescent="0.45">
      <c r="A143">
        <v>4</v>
      </c>
      <c r="B143" t="s">
        <v>138</v>
      </c>
      <c r="C143" s="42">
        <v>1024</v>
      </c>
      <c r="D143">
        <v>8</v>
      </c>
      <c r="E143" t="b">
        <v>1</v>
      </c>
      <c r="F143">
        <v>2.4946200021076947E-2</v>
      </c>
      <c r="G143">
        <v>1.2385600013658404E-2</v>
      </c>
      <c r="H143">
        <v>3.4393900015857071E-2</v>
      </c>
      <c r="I143">
        <v>1.0650399955920875E-2</v>
      </c>
      <c r="J143">
        <v>1.027349999640137E-2</v>
      </c>
      <c r="K143" t="b">
        <v>1</v>
      </c>
      <c r="L143" t="b">
        <v>1</v>
      </c>
      <c r="M143" t="b">
        <v>1</v>
      </c>
      <c r="N143" t="b">
        <v>1</v>
      </c>
      <c r="O143" t="s">
        <v>153</v>
      </c>
      <c r="P143" s="44">
        <v>41984</v>
      </c>
    </row>
    <row r="144" spans="1:16" x14ac:dyDescent="0.45">
      <c r="A144">
        <v>8</v>
      </c>
      <c r="B144" t="s">
        <v>139</v>
      </c>
      <c r="C144" s="42">
        <v>1024</v>
      </c>
      <c r="D144">
        <v>8</v>
      </c>
      <c r="E144" t="b">
        <v>1</v>
      </c>
      <c r="F144">
        <v>2.9203000012785196E-2</v>
      </c>
      <c r="G144">
        <v>1.4473300019744784E-2</v>
      </c>
      <c r="H144">
        <v>3.5623800009489059E-2</v>
      </c>
      <c r="I144">
        <v>1.4166800014209002E-2</v>
      </c>
      <c r="J144">
        <v>1.2093600002117455E-2</v>
      </c>
      <c r="K144" t="b">
        <v>1</v>
      </c>
      <c r="L144" t="b">
        <v>1</v>
      </c>
      <c r="M144" t="b">
        <v>1</v>
      </c>
      <c r="N144" t="b">
        <v>1</v>
      </c>
      <c r="O144" t="s">
        <v>154</v>
      </c>
      <c r="P144" s="44">
        <v>74752</v>
      </c>
    </row>
    <row r="145" spans="1:16" x14ac:dyDescent="0.45">
      <c r="A145">
        <v>16</v>
      </c>
      <c r="B145" t="s">
        <v>140</v>
      </c>
      <c r="C145" s="42">
        <v>1024</v>
      </c>
      <c r="D145">
        <v>8</v>
      </c>
      <c r="E145" t="b">
        <v>1</v>
      </c>
      <c r="F145">
        <v>3.0552799988072366E-2</v>
      </c>
      <c r="G145">
        <v>1.8664000032003969E-2</v>
      </c>
      <c r="H145">
        <v>3.8487500045448542E-2</v>
      </c>
      <c r="I145">
        <v>1.8683900008909404E-2</v>
      </c>
      <c r="J145">
        <v>1.5358999953605235E-2</v>
      </c>
      <c r="K145" t="b">
        <v>1</v>
      </c>
      <c r="L145" t="b">
        <v>1</v>
      </c>
      <c r="M145" t="b">
        <v>1</v>
      </c>
      <c r="N145" t="b">
        <v>1</v>
      </c>
      <c r="O145" t="s">
        <v>155</v>
      </c>
      <c r="P145" s="44">
        <v>140288</v>
      </c>
    </row>
    <row r="146" spans="1:16" x14ac:dyDescent="0.45">
      <c r="A146">
        <v>32</v>
      </c>
      <c r="B146" t="s">
        <v>141</v>
      </c>
      <c r="C146" s="42">
        <v>1024</v>
      </c>
      <c r="D146">
        <v>8</v>
      </c>
      <c r="E146" t="b">
        <v>1</v>
      </c>
      <c r="F146">
        <v>3.9154099998995662E-2</v>
      </c>
      <c r="G146">
        <v>2.7447699976619333E-2</v>
      </c>
      <c r="H146">
        <v>4.0163700003176928E-2</v>
      </c>
      <c r="I146">
        <v>2.6886000006925315E-2</v>
      </c>
      <c r="J146">
        <v>2.347739995457232E-2</v>
      </c>
      <c r="K146" t="b">
        <v>1</v>
      </c>
      <c r="L146" t="b">
        <v>1</v>
      </c>
      <c r="M146" t="b">
        <v>1</v>
      </c>
      <c r="N146" t="b">
        <v>1</v>
      </c>
      <c r="O146" t="s">
        <v>156</v>
      </c>
      <c r="P146" s="44">
        <v>271360</v>
      </c>
    </row>
    <row r="147" spans="1:16" x14ac:dyDescent="0.45">
      <c r="A147">
        <v>64</v>
      </c>
      <c r="B147" t="s">
        <v>142</v>
      </c>
      <c r="C147" s="42">
        <v>1024</v>
      </c>
      <c r="D147">
        <v>8</v>
      </c>
      <c r="E147" t="b">
        <v>1</v>
      </c>
      <c r="F147">
        <v>5.3211899998132139E-2</v>
      </c>
      <c r="G147">
        <v>4.2932100011967123E-2</v>
      </c>
      <c r="H147">
        <v>4.2574199964292347E-2</v>
      </c>
      <c r="I147">
        <v>4.2865799972787499E-2</v>
      </c>
      <c r="J147">
        <v>4.2166800005361438E-2</v>
      </c>
      <c r="K147" t="b">
        <v>1</v>
      </c>
      <c r="L147" t="b">
        <v>1</v>
      </c>
      <c r="M147" t="b">
        <v>1</v>
      </c>
      <c r="N147" t="b">
        <v>1</v>
      </c>
      <c r="O147" t="s">
        <v>157</v>
      </c>
      <c r="P147" s="44">
        <v>533504</v>
      </c>
    </row>
    <row r="148" spans="1:16" x14ac:dyDescent="0.45">
      <c r="A148">
        <v>128</v>
      </c>
      <c r="B148" t="s">
        <v>143</v>
      </c>
      <c r="C148" s="42">
        <v>1024</v>
      </c>
      <c r="D148">
        <v>8</v>
      </c>
      <c r="E148" t="b">
        <v>1</v>
      </c>
      <c r="F148">
        <v>8.5601700004190207E-2</v>
      </c>
      <c r="G148">
        <v>7.5077200017403811E-2</v>
      </c>
      <c r="H148">
        <v>5.83603999693878E-2</v>
      </c>
      <c r="I148">
        <v>7.7966499957256019E-2</v>
      </c>
      <c r="J148">
        <v>7.150080002611503E-2</v>
      </c>
      <c r="K148" t="b">
        <v>1</v>
      </c>
      <c r="L148" t="b">
        <v>1</v>
      </c>
      <c r="M148" t="b">
        <v>1</v>
      </c>
      <c r="N148" t="b">
        <v>1</v>
      </c>
      <c r="O148" t="s">
        <v>158</v>
      </c>
      <c r="P148" s="44">
        <v>1057792</v>
      </c>
    </row>
    <row r="149" spans="1:16" x14ac:dyDescent="0.45">
      <c r="A149">
        <v>256</v>
      </c>
      <c r="B149" t="s">
        <v>144</v>
      </c>
      <c r="C149" s="42">
        <v>1024</v>
      </c>
      <c r="D149">
        <v>8</v>
      </c>
      <c r="E149" t="b">
        <v>1</v>
      </c>
      <c r="F149">
        <v>0.15022130002034828</v>
      </c>
      <c r="G149">
        <v>0.13840779999736696</v>
      </c>
      <c r="H149">
        <v>7.7477900020312518E-2</v>
      </c>
      <c r="I149">
        <v>0.13946489995578304</v>
      </c>
      <c r="J149">
        <v>0.14376070001162589</v>
      </c>
      <c r="K149" t="b">
        <v>1</v>
      </c>
      <c r="L149" t="b">
        <v>1</v>
      </c>
      <c r="M149" t="b">
        <v>1</v>
      </c>
      <c r="N149" t="b">
        <v>1</v>
      </c>
      <c r="O149" t="s">
        <v>159</v>
      </c>
      <c r="P149" s="44">
        <v>2106368</v>
      </c>
    </row>
    <row r="150" spans="1:16" x14ac:dyDescent="0.45">
      <c r="A150">
        <v>512</v>
      </c>
      <c r="B150" t="s">
        <v>145</v>
      </c>
      <c r="C150" s="42">
        <v>1024</v>
      </c>
      <c r="D150">
        <v>8</v>
      </c>
      <c r="E150" t="b">
        <v>1</v>
      </c>
      <c r="F150">
        <v>0.27958360000047833</v>
      </c>
      <c r="G150">
        <v>0.25504319998435676</v>
      </c>
      <c r="H150">
        <v>9.6820599981583655E-2</v>
      </c>
      <c r="I150">
        <v>0.26628950005397201</v>
      </c>
      <c r="J150">
        <v>0.24247100000502542</v>
      </c>
      <c r="K150" t="b">
        <v>1</v>
      </c>
      <c r="L150" t="b">
        <v>1</v>
      </c>
      <c r="M150" t="b">
        <v>1</v>
      </c>
      <c r="N150" t="b">
        <v>1</v>
      </c>
      <c r="O150" t="s">
        <v>160</v>
      </c>
      <c r="P150" s="44">
        <v>4203520</v>
      </c>
    </row>
    <row r="151" spans="1:16" x14ac:dyDescent="0.45">
      <c r="A151">
        <v>1024</v>
      </c>
      <c r="B151" t="s">
        <v>146</v>
      </c>
      <c r="C151" s="42">
        <v>1024</v>
      </c>
      <c r="D151">
        <v>8</v>
      </c>
      <c r="E151" t="b">
        <v>1</v>
      </c>
      <c r="F151">
        <v>0.54683310003019869</v>
      </c>
      <c r="G151">
        <v>0.48333339998498559</v>
      </c>
      <c r="H151">
        <v>0.1994206000235863</v>
      </c>
      <c r="I151">
        <v>0.48940760002005845</v>
      </c>
      <c r="J151">
        <v>0.53925969998817891</v>
      </c>
      <c r="K151" t="b">
        <v>1</v>
      </c>
      <c r="L151" t="b">
        <v>1</v>
      </c>
      <c r="M151" t="b">
        <v>1</v>
      </c>
      <c r="N151" t="b">
        <v>1</v>
      </c>
      <c r="O151" t="s">
        <v>161</v>
      </c>
      <c r="P151" s="44">
        <v>8397824</v>
      </c>
    </row>
    <row r="152" spans="1:16" x14ac:dyDescent="0.45">
      <c r="A152">
        <v>2048</v>
      </c>
      <c r="B152" t="s">
        <v>147</v>
      </c>
      <c r="C152" s="42">
        <v>1024</v>
      </c>
      <c r="D152">
        <v>8</v>
      </c>
      <c r="E152" t="b">
        <v>1</v>
      </c>
      <c r="F152">
        <v>1.0780455999774858</v>
      </c>
      <c r="G152">
        <v>0.94380230002570897</v>
      </c>
      <c r="H152">
        <v>0.61746360000688583</v>
      </c>
      <c r="I152">
        <v>1.0109449000447057</v>
      </c>
      <c r="J152">
        <v>1.0050991000025533</v>
      </c>
      <c r="K152" t="b">
        <v>1</v>
      </c>
      <c r="L152" t="b">
        <v>1</v>
      </c>
      <c r="M152" t="b">
        <v>1</v>
      </c>
      <c r="N152" t="b">
        <v>1</v>
      </c>
      <c r="O152" t="s">
        <v>162</v>
      </c>
      <c r="P152" s="44">
        <v>16786432</v>
      </c>
    </row>
    <row r="153" spans="1:16" x14ac:dyDescent="0.45">
      <c r="A153">
        <v>4096</v>
      </c>
      <c r="B153" t="s">
        <v>148</v>
      </c>
      <c r="C153" s="42">
        <v>1024</v>
      </c>
      <c r="D153">
        <v>8</v>
      </c>
      <c r="E153" t="b">
        <v>1</v>
      </c>
      <c r="F153">
        <v>2.0973028999869712</v>
      </c>
      <c r="G153">
        <v>2.001174799981527</v>
      </c>
      <c r="H153">
        <v>2.7207112000323832</v>
      </c>
      <c r="I153">
        <v>2.0569526000181213</v>
      </c>
      <c r="J153">
        <v>2.0129922000342049</v>
      </c>
      <c r="K153" t="b">
        <v>1</v>
      </c>
      <c r="L153" t="b">
        <v>1</v>
      </c>
      <c r="M153" t="b">
        <v>1</v>
      </c>
      <c r="N153" t="b">
        <v>1</v>
      </c>
      <c r="O153" t="s">
        <v>163</v>
      </c>
      <c r="P153" s="44">
        <v>33563648</v>
      </c>
    </row>
    <row r="154" spans="1:16" x14ac:dyDescent="0.45">
      <c r="A154">
        <v>8192</v>
      </c>
      <c r="B154" t="s">
        <v>149</v>
      </c>
      <c r="C154" s="42">
        <v>1024</v>
      </c>
      <c r="D154">
        <v>8</v>
      </c>
      <c r="E154" t="b">
        <v>1</v>
      </c>
      <c r="F154">
        <v>4.5203319999855012</v>
      </c>
      <c r="G154">
        <v>4.00323600001866</v>
      </c>
      <c r="H154">
        <v>9.7837547999806702</v>
      </c>
      <c r="I154">
        <v>4.1575770999770612</v>
      </c>
      <c r="J154">
        <v>3.9809158000280149</v>
      </c>
      <c r="K154" t="b">
        <v>1</v>
      </c>
      <c r="L154" t="b">
        <v>1</v>
      </c>
      <c r="M154" t="b">
        <v>1</v>
      </c>
      <c r="N154" t="b">
        <v>1</v>
      </c>
      <c r="O154" t="s">
        <v>164</v>
      </c>
      <c r="P154" s="44">
        <v>67118080</v>
      </c>
    </row>
    <row r="155" spans="1:16" x14ac:dyDescent="0.45">
      <c r="A155">
        <v>16384</v>
      </c>
      <c r="B155" t="s">
        <v>150</v>
      </c>
      <c r="C155" s="42">
        <v>1024</v>
      </c>
      <c r="D155">
        <v>8</v>
      </c>
      <c r="E155" t="b">
        <v>1</v>
      </c>
      <c r="F155">
        <v>9.0891992999822833</v>
      </c>
      <c r="G155">
        <v>7.9397517999750562</v>
      </c>
      <c r="H155">
        <v>51.549360700009856</v>
      </c>
      <c r="I155">
        <v>8.4672628000262193</v>
      </c>
      <c r="J155">
        <v>7.7866390999988653</v>
      </c>
      <c r="K155" t="b">
        <v>1</v>
      </c>
      <c r="L155" t="b">
        <v>1</v>
      </c>
      <c r="M155" t="b">
        <v>1</v>
      </c>
      <c r="N155" t="b">
        <v>1</v>
      </c>
      <c r="O155" t="s">
        <v>165</v>
      </c>
      <c r="P155" s="44">
        <v>134226944</v>
      </c>
    </row>
    <row r="167" spans="1:16" x14ac:dyDescent="0.45">
      <c r="A167" t="s">
        <v>180</v>
      </c>
      <c r="B167" t="s">
        <v>87</v>
      </c>
      <c r="C167" t="s">
        <v>21</v>
      </c>
      <c r="D167" t="s">
        <v>22</v>
      </c>
      <c r="E167" t="s">
        <v>95</v>
      </c>
      <c r="F167" t="s">
        <v>32</v>
      </c>
      <c r="G167" t="s">
        <v>88</v>
      </c>
      <c r="H167" t="s">
        <v>89</v>
      </c>
      <c r="I167" t="s">
        <v>92</v>
      </c>
      <c r="J167" t="s">
        <v>184</v>
      </c>
      <c r="K167" t="s">
        <v>93</v>
      </c>
      <c r="L167" t="s">
        <v>94</v>
      </c>
      <c r="M167" t="s">
        <v>136</v>
      </c>
      <c r="N167" s="10" t="s">
        <v>183</v>
      </c>
      <c r="O167" t="s">
        <v>0</v>
      </c>
      <c r="P167" t="s">
        <v>90</v>
      </c>
    </row>
    <row r="168" spans="1:16" x14ac:dyDescent="0.45">
      <c r="A168">
        <v>3</v>
      </c>
      <c r="B168" t="s">
        <v>241</v>
      </c>
      <c r="C168" s="42">
        <v>1024</v>
      </c>
      <c r="D168">
        <v>8</v>
      </c>
      <c r="E168" t="b">
        <v>1</v>
      </c>
      <c r="F168">
        <v>3.0923200014512986E-2</v>
      </c>
      <c r="G168">
        <v>1.5717100002802908E-2</v>
      </c>
      <c r="H168">
        <v>0.52945329999784008</v>
      </c>
      <c r="I168">
        <v>4.5851400005631149E-2</v>
      </c>
      <c r="J168">
        <v>2.0397800020873547E-2</v>
      </c>
      <c r="K168" t="b">
        <v>1</v>
      </c>
      <c r="L168" t="b">
        <v>1</v>
      </c>
      <c r="M168" t="b">
        <v>1</v>
      </c>
      <c r="N168" t="b">
        <v>1</v>
      </c>
      <c r="O168" t="s">
        <v>227</v>
      </c>
      <c r="P168" s="44">
        <v>33792</v>
      </c>
    </row>
    <row r="169" spans="1:16" x14ac:dyDescent="0.45">
      <c r="A169">
        <v>4</v>
      </c>
      <c r="B169" t="s">
        <v>242</v>
      </c>
      <c r="C169" s="42">
        <v>1024</v>
      </c>
      <c r="D169">
        <v>8</v>
      </c>
      <c r="E169" t="b">
        <v>1</v>
      </c>
      <c r="F169">
        <v>3.8819800014607608E-2</v>
      </c>
      <c r="G169">
        <v>1.7838599975220859E-2</v>
      </c>
      <c r="H169">
        <v>3.6708700004965067E-2</v>
      </c>
      <c r="I169">
        <v>2.435899997362867E-2</v>
      </c>
      <c r="J169">
        <v>1.4411700016353279E-2</v>
      </c>
      <c r="K169" t="b">
        <v>1</v>
      </c>
      <c r="L169" t="b">
        <v>1</v>
      </c>
      <c r="M169" t="b">
        <v>1</v>
      </c>
      <c r="N169" t="b">
        <v>1</v>
      </c>
      <c r="O169" t="s">
        <v>153</v>
      </c>
      <c r="P169" s="44">
        <v>41984</v>
      </c>
    </row>
    <row r="170" spans="1:16" x14ac:dyDescent="0.45">
      <c r="A170">
        <v>6</v>
      </c>
      <c r="B170" t="s">
        <v>243</v>
      </c>
      <c r="C170" s="42">
        <v>1024</v>
      </c>
      <c r="D170">
        <v>8</v>
      </c>
      <c r="E170" t="b">
        <v>1</v>
      </c>
      <c r="F170">
        <v>4.2408199980854988E-2</v>
      </c>
      <c r="G170">
        <v>1.6750100010540336E-2</v>
      </c>
      <c r="H170">
        <v>3.6830099998041987E-2</v>
      </c>
      <c r="I170">
        <v>3.1141700048465282E-2</v>
      </c>
      <c r="J170">
        <v>1.3163199997507036E-2</v>
      </c>
      <c r="K170" t="b">
        <v>1</v>
      </c>
      <c r="L170" t="b">
        <v>1</v>
      </c>
      <c r="M170" t="b">
        <v>1</v>
      </c>
      <c r="N170" t="b">
        <v>1</v>
      </c>
      <c r="O170" t="s">
        <v>228</v>
      </c>
      <c r="P170" s="44">
        <v>58368</v>
      </c>
    </row>
    <row r="171" spans="1:16" x14ac:dyDescent="0.45">
      <c r="A171">
        <v>10</v>
      </c>
      <c r="B171" t="s">
        <v>244</v>
      </c>
      <c r="C171" s="42">
        <v>1024</v>
      </c>
      <c r="D171">
        <v>8</v>
      </c>
      <c r="E171" t="b">
        <v>1</v>
      </c>
      <c r="F171">
        <v>4.3458600004669279E-2</v>
      </c>
      <c r="G171">
        <v>1.8848900042939931E-2</v>
      </c>
      <c r="H171">
        <v>3.6037899961229414E-2</v>
      </c>
      <c r="I171">
        <v>3.8472499989438802E-2</v>
      </c>
      <c r="J171">
        <v>1.5787200012709945E-2</v>
      </c>
      <c r="K171" t="b">
        <v>1</v>
      </c>
      <c r="L171" t="b">
        <v>1</v>
      </c>
      <c r="M171" t="b">
        <v>1</v>
      </c>
      <c r="N171" t="b">
        <v>1</v>
      </c>
      <c r="O171" t="s">
        <v>229</v>
      </c>
      <c r="P171" s="44">
        <v>91136</v>
      </c>
    </row>
    <row r="172" spans="1:16" x14ac:dyDescent="0.45">
      <c r="A172">
        <v>18</v>
      </c>
      <c r="B172" t="s">
        <v>245</v>
      </c>
      <c r="C172" s="42">
        <v>1024</v>
      </c>
      <c r="D172">
        <v>8</v>
      </c>
      <c r="E172" t="b">
        <v>1</v>
      </c>
      <c r="F172">
        <v>4.9194499966688454E-2</v>
      </c>
      <c r="G172">
        <v>2.22716000280343E-2</v>
      </c>
      <c r="H172">
        <v>4.3054499954450876E-2</v>
      </c>
      <c r="I172">
        <v>5.0586899975314736E-2</v>
      </c>
      <c r="J172">
        <v>1.7787400051020086E-2</v>
      </c>
      <c r="K172" t="b">
        <v>1</v>
      </c>
      <c r="L172" t="b">
        <v>1</v>
      </c>
      <c r="M172" t="b">
        <v>1</v>
      </c>
      <c r="N172" t="b">
        <v>1</v>
      </c>
      <c r="O172" t="s">
        <v>230</v>
      </c>
      <c r="P172" s="44">
        <v>156672</v>
      </c>
    </row>
    <row r="173" spans="1:16" x14ac:dyDescent="0.45">
      <c r="A173">
        <v>34</v>
      </c>
      <c r="B173" t="s">
        <v>246</v>
      </c>
      <c r="C173" s="42">
        <v>1024</v>
      </c>
      <c r="D173">
        <v>8</v>
      </c>
      <c r="E173" t="b">
        <v>1</v>
      </c>
      <c r="F173">
        <v>0.11192890000529587</v>
      </c>
      <c r="G173">
        <v>2.917870000237599E-2</v>
      </c>
      <c r="H173">
        <v>4.164039995521307E-2</v>
      </c>
      <c r="I173">
        <v>8.056520001264289E-2</v>
      </c>
      <c r="J173">
        <v>2.470730000641197E-2</v>
      </c>
      <c r="K173" t="b">
        <v>1</v>
      </c>
      <c r="L173" t="b">
        <v>1</v>
      </c>
      <c r="M173" t="b">
        <v>1</v>
      </c>
      <c r="N173" t="b">
        <v>1</v>
      </c>
      <c r="O173" t="s">
        <v>231</v>
      </c>
      <c r="P173" s="44">
        <v>287744</v>
      </c>
    </row>
    <row r="174" spans="1:16" x14ac:dyDescent="0.45">
      <c r="A174">
        <v>66</v>
      </c>
      <c r="B174" t="s">
        <v>247</v>
      </c>
      <c r="C174" s="42">
        <v>1024</v>
      </c>
      <c r="D174">
        <v>8</v>
      </c>
      <c r="E174" t="b">
        <v>1</v>
      </c>
      <c r="F174">
        <v>5.508889997145161E-2</v>
      </c>
      <c r="G174">
        <v>4.2620200023520738E-2</v>
      </c>
      <c r="H174">
        <v>4.4014299986883998E-2</v>
      </c>
      <c r="I174">
        <v>0.13701509998645633</v>
      </c>
      <c r="J174">
        <v>3.8932700001168996E-2</v>
      </c>
      <c r="K174" t="b">
        <v>1</v>
      </c>
      <c r="L174" t="b">
        <v>1</v>
      </c>
      <c r="M174" t="b">
        <v>1</v>
      </c>
      <c r="N174" t="b">
        <v>1</v>
      </c>
      <c r="O174" t="s">
        <v>232</v>
      </c>
      <c r="P174" s="44">
        <v>549888</v>
      </c>
    </row>
    <row r="175" spans="1:16" x14ac:dyDescent="0.45">
      <c r="A175">
        <v>130</v>
      </c>
      <c r="B175" t="s">
        <v>248</v>
      </c>
      <c r="C175" s="42">
        <v>1024</v>
      </c>
      <c r="D175">
        <v>8</v>
      </c>
      <c r="E175" t="b">
        <v>1</v>
      </c>
      <c r="F175">
        <v>9.0794500021729618E-2</v>
      </c>
      <c r="G175">
        <v>7.0718100003432482E-2</v>
      </c>
      <c r="H175">
        <v>5.5174200038891286E-2</v>
      </c>
      <c r="I175">
        <v>0.2572105000144802</v>
      </c>
      <c r="J175">
        <v>6.6121599986217916E-2</v>
      </c>
      <c r="K175" t="b">
        <v>1</v>
      </c>
      <c r="L175" t="b">
        <v>1</v>
      </c>
      <c r="M175" t="b">
        <v>1</v>
      </c>
      <c r="N175" t="b">
        <v>1</v>
      </c>
      <c r="O175" t="s">
        <v>233</v>
      </c>
      <c r="P175" s="44">
        <v>1074176</v>
      </c>
    </row>
    <row r="176" spans="1:16" x14ac:dyDescent="0.45">
      <c r="A176">
        <v>258</v>
      </c>
      <c r="B176" t="s">
        <v>249</v>
      </c>
      <c r="C176" s="42">
        <v>1024</v>
      </c>
      <c r="D176">
        <v>8</v>
      </c>
      <c r="E176" t="b">
        <v>1</v>
      </c>
      <c r="F176">
        <v>0.1437772000208497</v>
      </c>
      <c r="G176">
        <v>0.12588459998369217</v>
      </c>
      <c r="H176">
        <v>6.5075699996668845E-2</v>
      </c>
      <c r="I176">
        <v>0.49046200001612306</v>
      </c>
      <c r="J176">
        <v>0.12059589999262244</v>
      </c>
      <c r="K176" t="b">
        <v>1</v>
      </c>
      <c r="L176" t="b">
        <v>1</v>
      </c>
      <c r="M176" t="b">
        <v>1</v>
      </c>
      <c r="N176" t="b">
        <v>1</v>
      </c>
      <c r="O176" t="s">
        <v>234</v>
      </c>
      <c r="P176" s="44">
        <v>2122752</v>
      </c>
    </row>
    <row r="177" spans="1:16" x14ac:dyDescent="0.45">
      <c r="A177">
        <v>514</v>
      </c>
      <c r="B177" t="s">
        <v>250</v>
      </c>
      <c r="C177" s="42">
        <v>1024</v>
      </c>
      <c r="D177">
        <v>8</v>
      </c>
      <c r="E177" t="b">
        <v>1</v>
      </c>
      <c r="F177">
        <v>0.26697539997985587</v>
      </c>
      <c r="G177">
        <v>0.24898679996840656</v>
      </c>
      <c r="H177">
        <v>9.9457999982405454E-2</v>
      </c>
      <c r="I177">
        <v>1.0112365999957547</v>
      </c>
      <c r="J177">
        <v>0.25082349998410791</v>
      </c>
      <c r="K177" t="b">
        <v>1</v>
      </c>
      <c r="L177" t="b">
        <v>1</v>
      </c>
      <c r="M177" t="b">
        <v>1</v>
      </c>
      <c r="N177" t="b">
        <v>1</v>
      </c>
      <c r="O177" t="s">
        <v>235</v>
      </c>
      <c r="P177" s="44">
        <v>4219904</v>
      </c>
    </row>
    <row r="178" spans="1:16" x14ac:dyDescent="0.45">
      <c r="A178">
        <v>1026</v>
      </c>
      <c r="B178" t="s">
        <v>251</v>
      </c>
      <c r="C178" s="42">
        <v>1024</v>
      </c>
      <c r="D178">
        <v>8</v>
      </c>
      <c r="E178" t="b">
        <v>1</v>
      </c>
      <c r="F178">
        <v>0.52728340000612661</v>
      </c>
      <c r="G178">
        <v>0.50145879999035969</v>
      </c>
      <c r="H178">
        <v>0.21844419999979436</v>
      </c>
      <c r="I178">
        <v>1.8591258999658749</v>
      </c>
      <c r="J178">
        <v>0.45754600001964718</v>
      </c>
      <c r="K178" t="b">
        <v>1</v>
      </c>
      <c r="L178" t="b">
        <v>1</v>
      </c>
      <c r="M178" t="b">
        <v>1</v>
      </c>
      <c r="N178" t="b">
        <v>1</v>
      </c>
      <c r="O178" t="s">
        <v>236</v>
      </c>
      <c r="P178" s="44">
        <v>8414208</v>
      </c>
    </row>
    <row r="179" spans="1:16" x14ac:dyDescent="0.45">
      <c r="A179">
        <v>2050</v>
      </c>
      <c r="B179" t="s">
        <v>252</v>
      </c>
      <c r="C179" s="42">
        <v>1024</v>
      </c>
      <c r="D179">
        <v>8</v>
      </c>
      <c r="E179" t="b">
        <v>1</v>
      </c>
      <c r="F179">
        <v>1.0498941999976523</v>
      </c>
      <c r="G179">
        <v>0.88798930001212284</v>
      </c>
      <c r="H179">
        <v>0.58580619998974726</v>
      </c>
      <c r="I179">
        <v>3.7234349999926053</v>
      </c>
      <c r="J179">
        <v>0.95281849999446422</v>
      </c>
      <c r="K179" t="b">
        <v>1</v>
      </c>
      <c r="L179" t="b">
        <v>1</v>
      </c>
      <c r="M179" t="b">
        <v>1</v>
      </c>
      <c r="N179" t="b">
        <v>1</v>
      </c>
      <c r="O179" t="s">
        <v>237</v>
      </c>
      <c r="P179" s="44">
        <v>16802816</v>
      </c>
    </row>
    <row r="180" spans="1:16" x14ac:dyDescent="0.45">
      <c r="A180">
        <v>4098</v>
      </c>
      <c r="B180" t="s">
        <v>253</v>
      </c>
      <c r="C180" s="42">
        <v>1024</v>
      </c>
      <c r="D180">
        <v>8</v>
      </c>
      <c r="E180" t="b">
        <v>1</v>
      </c>
      <c r="F180">
        <v>2.0204454999766313</v>
      </c>
      <c r="G180">
        <v>1.7630615999805741</v>
      </c>
      <c r="H180">
        <v>2.6432426000246778</v>
      </c>
      <c r="I180">
        <v>7.5617846000241116</v>
      </c>
      <c r="J180">
        <v>1.9243134999996983</v>
      </c>
      <c r="K180" t="b">
        <v>1</v>
      </c>
      <c r="L180" t="b">
        <v>1</v>
      </c>
      <c r="M180" t="b">
        <v>1</v>
      </c>
      <c r="N180" t="b">
        <v>1</v>
      </c>
      <c r="O180" t="s">
        <v>238</v>
      </c>
      <c r="P180" s="44">
        <v>33580032</v>
      </c>
    </row>
    <row r="181" spans="1:16" x14ac:dyDescent="0.45">
      <c r="A181">
        <v>8194</v>
      </c>
      <c r="B181" t="s">
        <v>254</v>
      </c>
      <c r="C181" s="42">
        <v>1024</v>
      </c>
      <c r="D181">
        <v>8</v>
      </c>
      <c r="E181" t="b">
        <v>1</v>
      </c>
      <c r="F181">
        <v>4.4352110000327229</v>
      </c>
      <c r="G181">
        <v>3.6931761000305414</v>
      </c>
      <c r="H181">
        <v>9.8440398999955505</v>
      </c>
      <c r="I181">
        <v>15.772818800003733</v>
      </c>
      <c r="J181">
        <v>3.6949727999744937</v>
      </c>
      <c r="K181" t="b">
        <v>1</v>
      </c>
      <c r="L181" t="b">
        <v>1</v>
      </c>
      <c r="M181" t="b">
        <v>1</v>
      </c>
      <c r="N181" t="b">
        <v>1</v>
      </c>
      <c r="O181" t="s">
        <v>239</v>
      </c>
      <c r="P181" s="44">
        <v>67134464</v>
      </c>
    </row>
    <row r="182" spans="1:16" x14ac:dyDescent="0.45">
      <c r="A182">
        <v>16386</v>
      </c>
      <c r="B182" t="s">
        <v>255</v>
      </c>
      <c r="C182" s="42">
        <v>1024</v>
      </c>
      <c r="D182">
        <v>8</v>
      </c>
      <c r="E182" t="b">
        <v>1</v>
      </c>
      <c r="F182">
        <v>9.4424290000461042</v>
      </c>
      <c r="G182">
        <v>8.0634535000426695</v>
      </c>
      <c r="H182">
        <v>52.655040800047573</v>
      </c>
      <c r="I182">
        <v>31.528255500015803</v>
      </c>
      <c r="J182">
        <v>8.153816599980928</v>
      </c>
      <c r="K182" t="b">
        <v>1</v>
      </c>
      <c r="L182" t="b">
        <v>1</v>
      </c>
      <c r="M182" t="b">
        <v>1</v>
      </c>
      <c r="N182" t="b">
        <v>1</v>
      </c>
      <c r="O182" t="s">
        <v>240</v>
      </c>
      <c r="P182" s="44">
        <v>134243328</v>
      </c>
    </row>
    <row r="203" spans="1:16" x14ac:dyDescent="0.45">
      <c r="A203" t="s">
        <v>259</v>
      </c>
    </row>
    <row r="205" spans="1:16" x14ac:dyDescent="0.45">
      <c r="A205" t="s">
        <v>180</v>
      </c>
      <c r="B205" t="s">
        <v>87</v>
      </c>
      <c r="C205" t="s">
        <v>21</v>
      </c>
      <c r="D205" t="s">
        <v>22</v>
      </c>
      <c r="E205" t="s">
        <v>95</v>
      </c>
      <c r="F205" t="s">
        <v>32</v>
      </c>
      <c r="G205" t="s">
        <v>88</v>
      </c>
      <c r="H205" t="s">
        <v>89</v>
      </c>
      <c r="I205" t="s">
        <v>92</v>
      </c>
      <c r="J205" t="s">
        <v>184</v>
      </c>
      <c r="K205" t="s">
        <v>93</v>
      </c>
      <c r="L205" t="s">
        <v>94</v>
      </c>
      <c r="M205" t="s">
        <v>136</v>
      </c>
      <c r="N205" s="10" t="s">
        <v>183</v>
      </c>
      <c r="O205" t="s">
        <v>0</v>
      </c>
      <c r="P205" t="s">
        <v>90</v>
      </c>
    </row>
    <row r="206" spans="1:16" x14ac:dyDescent="0.45">
      <c r="A206">
        <f>LEN(B206)</f>
        <v>32</v>
      </c>
      <c r="B206" t="str">
        <f>REPT("x",32)</f>
        <v>xxxxxxxxxxxxxxxxxxxxxxxxxxxxxxxx</v>
      </c>
      <c r="C206" s="42">
        <v>1</v>
      </c>
      <c r="D206">
        <v>1</v>
      </c>
      <c r="E206" t="b">
        <v>1</v>
      </c>
      <c r="F206">
        <v>1.3073000009171665E-3</v>
      </c>
      <c r="G206">
        <v>2.7300004148855805E-4</v>
      </c>
      <c r="H206">
        <v>0.59166030003689229</v>
      </c>
      <c r="I206">
        <v>1.3407000224106014E-3</v>
      </c>
      <c r="J206">
        <v>6.9349998375400901E-4</v>
      </c>
      <c r="K206" t="b">
        <v>1</v>
      </c>
      <c r="L206" t="b">
        <v>1</v>
      </c>
      <c r="M206" t="b">
        <v>1</v>
      </c>
      <c r="N206" s="42" t="b">
        <v>1</v>
      </c>
      <c r="O206" t="s">
        <v>258</v>
      </c>
      <c r="P206" s="44">
        <v>34</v>
      </c>
    </row>
    <row r="207" spans="1:16" x14ac:dyDescent="0.45">
      <c r="A207">
        <f t="shared" ref="A207:A226" si="8">LEN(B207)</f>
        <v>32</v>
      </c>
      <c r="B207" t="str">
        <f t="shared" ref="B207:B226" si="9">REPT("x",32)</f>
        <v>xxxxxxxxxxxxxxxxxxxxxxxxxxxxxxxx</v>
      </c>
      <c r="C207" s="42">
        <v>2</v>
      </c>
      <c r="D207">
        <v>1</v>
      </c>
      <c r="E207" t="b">
        <v>1</v>
      </c>
      <c r="F207">
        <v>2.061900042463094E-3</v>
      </c>
      <c r="G207">
        <v>2.1169998217374086E-4</v>
      </c>
      <c r="H207">
        <v>4.3785999878309667E-3</v>
      </c>
      <c r="I207">
        <v>5.3249998018145561E-4</v>
      </c>
      <c r="J207">
        <v>2.4030002532526851E-4</v>
      </c>
      <c r="K207" t="b">
        <v>1</v>
      </c>
      <c r="L207" t="b">
        <v>1</v>
      </c>
      <c r="M207" t="b">
        <v>1</v>
      </c>
      <c r="N207" s="42" t="b">
        <v>1</v>
      </c>
      <c r="O207" t="s">
        <v>185</v>
      </c>
      <c r="P207" s="44">
        <v>68</v>
      </c>
    </row>
    <row r="208" spans="1:16" x14ac:dyDescent="0.45">
      <c r="A208">
        <f t="shared" si="8"/>
        <v>32</v>
      </c>
      <c r="B208" t="str">
        <f t="shared" si="9"/>
        <v>xxxxxxxxxxxxxxxxxxxxxxxxxxxxxxxx</v>
      </c>
      <c r="C208" s="42">
        <v>4</v>
      </c>
      <c r="D208">
        <v>1</v>
      </c>
      <c r="E208" t="b">
        <v>1</v>
      </c>
      <c r="F208">
        <v>1.3386000064201653E-3</v>
      </c>
      <c r="G208">
        <v>2.0619999850168824E-4</v>
      </c>
      <c r="H208">
        <v>5.1314000156708062E-3</v>
      </c>
      <c r="I208">
        <v>5.7220004964619875E-4</v>
      </c>
      <c r="J208">
        <v>1.7550005577504635E-4</v>
      </c>
      <c r="K208" t="b">
        <v>1</v>
      </c>
      <c r="L208" t="b">
        <v>1</v>
      </c>
      <c r="M208" t="b">
        <v>1</v>
      </c>
      <c r="N208" s="42" t="b">
        <v>1</v>
      </c>
      <c r="O208" t="s">
        <v>186</v>
      </c>
      <c r="P208" s="44">
        <v>136</v>
      </c>
    </row>
    <row r="209" spans="1:16" x14ac:dyDescent="0.45">
      <c r="A209">
        <f t="shared" si="8"/>
        <v>32</v>
      </c>
      <c r="B209" t="str">
        <f t="shared" si="9"/>
        <v>xxxxxxxxxxxxxxxxxxxxxxxxxxxxxxxx</v>
      </c>
      <c r="C209" s="42">
        <v>8</v>
      </c>
      <c r="D209">
        <v>1</v>
      </c>
      <c r="E209" t="b">
        <v>1</v>
      </c>
      <c r="F209">
        <v>1.4727000379934907E-3</v>
      </c>
      <c r="G209">
        <v>2.6980001712217927E-4</v>
      </c>
      <c r="H209">
        <v>2.3260899994056672E-2</v>
      </c>
      <c r="I209">
        <v>1.6977000050246716E-3</v>
      </c>
      <c r="J209">
        <v>4.9529998796060681E-4</v>
      </c>
      <c r="K209" t="b">
        <v>1</v>
      </c>
      <c r="L209" t="b">
        <v>1</v>
      </c>
      <c r="M209" t="b">
        <v>1</v>
      </c>
      <c r="N209" s="42" t="b">
        <v>1</v>
      </c>
      <c r="O209" t="s">
        <v>187</v>
      </c>
      <c r="P209" s="44">
        <v>272</v>
      </c>
    </row>
    <row r="210" spans="1:16" x14ac:dyDescent="0.45">
      <c r="A210">
        <f t="shared" si="8"/>
        <v>32</v>
      </c>
      <c r="B210" t="str">
        <f t="shared" si="9"/>
        <v>xxxxxxxxxxxxxxxxxxxxxxxxxxxxxxxx</v>
      </c>
      <c r="C210" s="42">
        <v>16</v>
      </c>
      <c r="D210">
        <v>1</v>
      </c>
      <c r="E210" t="b">
        <v>1</v>
      </c>
      <c r="F210">
        <v>1.9765999750234187E-3</v>
      </c>
      <c r="G210">
        <v>3.1430000672116876E-4</v>
      </c>
      <c r="H210">
        <v>6.0073000495322049E-3</v>
      </c>
      <c r="I210">
        <v>7.4069999391213059E-4</v>
      </c>
      <c r="J210">
        <v>3.3760000951588154E-4</v>
      </c>
      <c r="K210" t="b">
        <v>1</v>
      </c>
      <c r="L210" t="b">
        <v>1</v>
      </c>
      <c r="M210" t="b">
        <v>1</v>
      </c>
      <c r="N210" s="42" t="b">
        <v>1</v>
      </c>
      <c r="O210" t="s">
        <v>188</v>
      </c>
      <c r="P210" s="44">
        <v>544</v>
      </c>
    </row>
    <row r="211" spans="1:16" x14ac:dyDescent="0.45">
      <c r="A211">
        <f t="shared" si="8"/>
        <v>32</v>
      </c>
      <c r="B211" t="str">
        <f t="shared" si="9"/>
        <v>xxxxxxxxxxxxxxxxxxxxxxxxxxxxxxxx</v>
      </c>
      <c r="C211" s="42">
        <v>32</v>
      </c>
      <c r="D211">
        <v>1</v>
      </c>
      <c r="E211" t="b">
        <v>1</v>
      </c>
      <c r="F211">
        <v>2.1080000442452729E-3</v>
      </c>
      <c r="G211">
        <v>6.8130000727251172E-4</v>
      </c>
      <c r="H211">
        <v>5.8074000407941639E-3</v>
      </c>
      <c r="I211">
        <v>8.9640001533553004E-4</v>
      </c>
      <c r="J211">
        <v>3.4830003278329968E-4</v>
      </c>
      <c r="K211" t="b">
        <v>1</v>
      </c>
      <c r="L211" t="b">
        <v>1</v>
      </c>
      <c r="M211" t="b">
        <v>1</v>
      </c>
      <c r="N211" s="42" t="b">
        <v>1</v>
      </c>
      <c r="O211" t="s">
        <v>189</v>
      </c>
      <c r="P211" s="44">
        <v>1088</v>
      </c>
    </row>
    <row r="212" spans="1:16" x14ac:dyDescent="0.45">
      <c r="A212">
        <f t="shared" si="8"/>
        <v>32</v>
      </c>
      <c r="B212" t="str">
        <f t="shared" si="9"/>
        <v>xxxxxxxxxxxxxxxxxxxxxxxxxxxxxxxx</v>
      </c>
      <c r="C212" s="42">
        <v>64</v>
      </c>
      <c r="D212">
        <v>1</v>
      </c>
      <c r="E212" t="b">
        <v>1</v>
      </c>
      <c r="F212">
        <v>2.0155000383965671E-3</v>
      </c>
      <c r="G212">
        <v>5.0470000132918358E-4</v>
      </c>
      <c r="H212">
        <v>1.0167900007218122E-2</v>
      </c>
      <c r="I212">
        <v>1.1789999553002417E-3</v>
      </c>
      <c r="J212">
        <v>5.2360002882778645E-4</v>
      </c>
      <c r="K212" t="b">
        <v>1</v>
      </c>
      <c r="L212" t="b">
        <v>1</v>
      </c>
      <c r="M212" t="b">
        <v>1</v>
      </c>
      <c r="N212" s="42" t="b">
        <v>1</v>
      </c>
      <c r="O212" t="s">
        <v>190</v>
      </c>
      <c r="P212" s="44">
        <v>2176</v>
      </c>
    </row>
    <row r="213" spans="1:16" x14ac:dyDescent="0.45">
      <c r="A213">
        <f t="shared" si="8"/>
        <v>32</v>
      </c>
      <c r="B213" t="str">
        <f t="shared" si="9"/>
        <v>xxxxxxxxxxxxxxxxxxxxxxxxxxxxxxxx</v>
      </c>
      <c r="C213" s="42">
        <v>128</v>
      </c>
      <c r="D213">
        <v>1</v>
      </c>
      <c r="E213" t="b">
        <v>1</v>
      </c>
      <c r="F213">
        <v>2.1762999822385609E-3</v>
      </c>
      <c r="G213">
        <v>7.9169997479766607E-4</v>
      </c>
      <c r="H213">
        <v>9.1182999894954264E-3</v>
      </c>
      <c r="I213">
        <v>1.5090000233612955E-3</v>
      </c>
      <c r="J213">
        <v>7.0080003933981061E-4</v>
      </c>
      <c r="K213" t="b">
        <v>1</v>
      </c>
      <c r="L213" t="b">
        <v>1</v>
      </c>
      <c r="M213" t="b">
        <v>1</v>
      </c>
      <c r="N213" s="42" t="b">
        <v>1</v>
      </c>
      <c r="O213" t="s">
        <v>191</v>
      </c>
      <c r="P213" s="44">
        <v>4352</v>
      </c>
    </row>
    <row r="214" spans="1:16" x14ac:dyDescent="0.45">
      <c r="A214">
        <f t="shared" si="8"/>
        <v>32</v>
      </c>
      <c r="B214" t="str">
        <f t="shared" si="9"/>
        <v>xxxxxxxxxxxxxxxxxxxxxxxxxxxxxxxx</v>
      </c>
      <c r="C214" s="42">
        <v>256</v>
      </c>
      <c r="D214">
        <v>1</v>
      </c>
      <c r="E214" t="b">
        <v>1</v>
      </c>
      <c r="F214">
        <v>3.3313999883830547E-3</v>
      </c>
      <c r="G214">
        <v>1.3622000114992261E-3</v>
      </c>
      <c r="H214">
        <v>2.9115400044247508E-2</v>
      </c>
      <c r="I214">
        <v>2.3622000007890165E-3</v>
      </c>
      <c r="J214">
        <v>1.2504999758675694E-3</v>
      </c>
      <c r="K214" t="b">
        <v>1</v>
      </c>
      <c r="L214" t="b">
        <v>1</v>
      </c>
      <c r="M214" t="b">
        <v>1</v>
      </c>
      <c r="N214" s="42" t="b">
        <v>1</v>
      </c>
      <c r="O214" t="s">
        <v>192</v>
      </c>
      <c r="P214" s="44">
        <v>8704</v>
      </c>
    </row>
    <row r="215" spans="1:16" x14ac:dyDescent="0.45">
      <c r="A215">
        <f t="shared" si="8"/>
        <v>32</v>
      </c>
      <c r="B215" t="str">
        <f t="shared" si="9"/>
        <v>xxxxxxxxxxxxxxxxxxxxxxxxxxxxxxxx</v>
      </c>
      <c r="C215" s="42">
        <v>512</v>
      </c>
      <c r="D215">
        <v>1</v>
      </c>
      <c r="E215" t="b">
        <v>1</v>
      </c>
      <c r="F215">
        <v>4.9324999563395977E-3</v>
      </c>
      <c r="G215">
        <v>2.5596999912522733E-3</v>
      </c>
      <c r="H215">
        <v>1.0453900031279773E-2</v>
      </c>
      <c r="I215">
        <v>6.7961000022478402E-3</v>
      </c>
      <c r="J215">
        <v>7.7243000268936157E-3</v>
      </c>
      <c r="K215" t="b">
        <v>1</v>
      </c>
      <c r="L215" t="b">
        <v>1</v>
      </c>
      <c r="M215" t="b">
        <v>1</v>
      </c>
      <c r="N215" s="42" t="b">
        <v>1</v>
      </c>
      <c r="O215" t="s">
        <v>193</v>
      </c>
      <c r="P215" s="44">
        <v>17408</v>
      </c>
    </row>
    <row r="216" spans="1:16" x14ac:dyDescent="0.45">
      <c r="A216">
        <f t="shared" si="8"/>
        <v>32</v>
      </c>
      <c r="B216" t="str">
        <f t="shared" si="9"/>
        <v>xxxxxxxxxxxxxxxxxxxxxxxxxxxxxxxx</v>
      </c>
      <c r="C216" s="42">
        <v>1024</v>
      </c>
      <c r="D216">
        <v>1</v>
      </c>
      <c r="E216" t="b">
        <v>1</v>
      </c>
      <c r="F216">
        <v>7.4868000228889287E-3</v>
      </c>
      <c r="G216">
        <v>4.7271999646909535E-3</v>
      </c>
      <c r="H216">
        <v>4.4966200017370284E-2</v>
      </c>
      <c r="I216">
        <v>1.9614299992099404E-2</v>
      </c>
      <c r="J216">
        <v>7.0226999814622104E-3</v>
      </c>
      <c r="K216" t="b">
        <v>1</v>
      </c>
      <c r="L216" t="b">
        <v>1</v>
      </c>
      <c r="M216" t="b">
        <v>1</v>
      </c>
      <c r="N216" s="42" t="b">
        <v>1</v>
      </c>
      <c r="O216" t="s">
        <v>194</v>
      </c>
      <c r="P216" s="44">
        <v>34816</v>
      </c>
    </row>
    <row r="217" spans="1:16" x14ac:dyDescent="0.45">
      <c r="A217">
        <f t="shared" si="8"/>
        <v>32</v>
      </c>
      <c r="B217" t="str">
        <f t="shared" si="9"/>
        <v>xxxxxxxxxxxxxxxxxxxxxxxxxxxxxxxx</v>
      </c>
      <c r="C217" s="42">
        <v>2048</v>
      </c>
      <c r="D217">
        <v>1</v>
      </c>
      <c r="E217" t="b">
        <v>1</v>
      </c>
      <c r="F217">
        <v>1.28127999487333E-2</v>
      </c>
      <c r="G217">
        <v>8.1530999741517007E-3</v>
      </c>
      <c r="H217">
        <v>1.8675400002393872E-2</v>
      </c>
      <c r="I217">
        <v>1.0344800015445799E-2</v>
      </c>
      <c r="J217">
        <v>7.0794999483041465E-3</v>
      </c>
      <c r="K217" t="b">
        <v>1</v>
      </c>
      <c r="L217" t="b">
        <v>1</v>
      </c>
      <c r="M217" t="b">
        <v>1</v>
      </c>
      <c r="N217" s="42" t="b">
        <v>1</v>
      </c>
      <c r="O217" t="s">
        <v>195</v>
      </c>
      <c r="P217" s="44">
        <v>69632</v>
      </c>
    </row>
    <row r="218" spans="1:16" x14ac:dyDescent="0.45">
      <c r="A218">
        <f t="shared" si="8"/>
        <v>32</v>
      </c>
      <c r="B218" t="str">
        <f t="shared" si="9"/>
        <v>xxxxxxxxxxxxxxxxxxxxxxxxxxxxxxxx</v>
      </c>
      <c r="C218" s="42">
        <v>4096</v>
      </c>
      <c r="D218">
        <v>1</v>
      </c>
      <c r="E218" t="b">
        <v>1</v>
      </c>
      <c r="F218">
        <v>1.5847600006964058E-2</v>
      </c>
      <c r="G218">
        <v>1.1315899959299713E-2</v>
      </c>
      <c r="H218">
        <v>2.5105200009420514E-2</v>
      </c>
      <c r="I218">
        <v>2.0479600003454834E-2</v>
      </c>
      <c r="J218">
        <v>1.5126600046642125E-2</v>
      </c>
      <c r="K218" t="b">
        <v>1</v>
      </c>
      <c r="L218" t="b">
        <v>1</v>
      </c>
      <c r="M218" t="b">
        <v>1</v>
      </c>
      <c r="N218" s="42" t="b">
        <v>1</v>
      </c>
      <c r="O218" t="s">
        <v>196</v>
      </c>
      <c r="P218" s="44">
        <v>139264</v>
      </c>
    </row>
    <row r="219" spans="1:16" x14ac:dyDescent="0.45">
      <c r="A219">
        <f t="shared" si="8"/>
        <v>32</v>
      </c>
      <c r="B219" t="str">
        <f t="shared" si="9"/>
        <v>xxxxxxxxxxxxxxxxxxxxxxxxxxxxxxxx</v>
      </c>
      <c r="C219" s="42">
        <v>8192</v>
      </c>
      <c r="D219">
        <v>1</v>
      </c>
      <c r="E219" t="b">
        <v>1</v>
      </c>
      <c r="F219">
        <v>3.0181100009940565E-2</v>
      </c>
      <c r="G219">
        <v>2.3188099963590503E-2</v>
      </c>
      <c r="H219">
        <v>4.6739000012166798E-2</v>
      </c>
      <c r="I219">
        <v>3.6414999980479479E-2</v>
      </c>
      <c r="J219">
        <v>2.1198000002186745E-2</v>
      </c>
      <c r="K219" t="b">
        <v>1</v>
      </c>
      <c r="L219" t="b">
        <v>1</v>
      </c>
      <c r="M219" t="b">
        <v>1</v>
      </c>
      <c r="N219" s="42" t="b">
        <v>1</v>
      </c>
      <c r="O219" t="s">
        <v>197</v>
      </c>
      <c r="P219" s="44">
        <v>278528</v>
      </c>
    </row>
    <row r="220" spans="1:16" x14ac:dyDescent="0.45">
      <c r="A220">
        <f t="shared" si="8"/>
        <v>32</v>
      </c>
      <c r="B220" t="str">
        <f t="shared" si="9"/>
        <v>xxxxxxxxxxxxxxxxxxxxxxxxxxxxxxxx</v>
      </c>
      <c r="C220" s="42">
        <v>16384</v>
      </c>
      <c r="D220">
        <v>1</v>
      </c>
      <c r="E220" t="b">
        <v>1</v>
      </c>
      <c r="F220">
        <v>6.0336700000334531E-2</v>
      </c>
      <c r="G220">
        <v>4.9274199991486967E-2</v>
      </c>
      <c r="H220">
        <v>0.10835699999006465</v>
      </c>
      <c r="I220">
        <v>6.4623199985362589E-2</v>
      </c>
      <c r="J220">
        <v>4.2275200015865266E-2</v>
      </c>
      <c r="K220" t="b">
        <v>1</v>
      </c>
      <c r="L220" t="b">
        <v>1</v>
      </c>
      <c r="M220" t="b">
        <v>1</v>
      </c>
      <c r="N220" s="42" t="b">
        <v>1</v>
      </c>
      <c r="O220" t="s">
        <v>198</v>
      </c>
      <c r="P220" s="44">
        <v>557056</v>
      </c>
    </row>
    <row r="221" spans="1:16" x14ac:dyDescent="0.45">
      <c r="A221">
        <f t="shared" si="8"/>
        <v>32</v>
      </c>
      <c r="B221" t="str">
        <f t="shared" si="9"/>
        <v>xxxxxxxxxxxxxxxxxxxxxxxxxxxxxxxx</v>
      </c>
      <c r="C221" s="42">
        <v>32768</v>
      </c>
      <c r="D221">
        <v>1</v>
      </c>
      <c r="E221" t="b">
        <v>1</v>
      </c>
      <c r="F221">
        <v>0.12664470000891015</v>
      </c>
      <c r="G221">
        <v>9.3931599985808134E-2</v>
      </c>
      <c r="H221">
        <v>0.13951100001577288</v>
      </c>
      <c r="I221">
        <v>0.13151289999950677</v>
      </c>
      <c r="J221">
        <v>0.11697889998322353</v>
      </c>
      <c r="K221" t="b">
        <v>1</v>
      </c>
      <c r="L221" t="b">
        <v>1</v>
      </c>
      <c r="M221" t="b">
        <v>1</v>
      </c>
      <c r="N221" s="42" t="b">
        <v>1</v>
      </c>
      <c r="O221" t="s">
        <v>199</v>
      </c>
      <c r="P221" s="44">
        <v>1114112</v>
      </c>
    </row>
    <row r="222" spans="1:16" x14ac:dyDescent="0.45">
      <c r="A222">
        <f t="shared" si="8"/>
        <v>32</v>
      </c>
      <c r="B222" t="str">
        <f t="shared" si="9"/>
        <v>xxxxxxxxxxxxxxxxxxxxxxxxxxxxxxxx</v>
      </c>
      <c r="C222" s="42">
        <v>65536</v>
      </c>
      <c r="D222">
        <v>1</v>
      </c>
      <c r="E222" t="b">
        <v>1</v>
      </c>
      <c r="F222">
        <v>0.25743719999445602</v>
      </c>
      <c r="G222">
        <v>0.269713599991519</v>
      </c>
      <c r="H222">
        <v>0.34298660000786185</v>
      </c>
      <c r="I222">
        <v>0.3180232000304386</v>
      </c>
      <c r="J222">
        <v>0.20148680004058406</v>
      </c>
      <c r="K222" t="b">
        <v>1</v>
      </c>
      <c r="L222" t="b">
        <v>1</v>
      </c>
      <c r="M222" t="b">
        <v>1</v>
      </c>
      <c r="N222" s="42" t="b">
        <v>1</v>
      </c>
      <c r="O222" t="s">
        <v>200</v>
      </c>
      <c r="P222" s="44">
        <v>2228224</v>
      </c>
    </row>
    <row r="223" spans="1:16" x14ac:dyDescent="0.45">
      <c r="A223">
        <f t="shared" si="8"/>
        <v>32</v>
      </c>
      <c r="B223" t="str">
        <f t="shared" si="9"/>
        <v>xxxxxxxxxxxxxxxxxxxxxxxxxxxxxxxx</v>
      </c>
      <c r="C223" s="42">
        <v>131072</v>
      </c>
      <c r="D223">
        <v>1</v>
      </c>
      <c r="E223" t="b">
        <v>1</v>
      </c>
      <c r="F223">
        <v>0.57537249999586493</v>
      </c>
      <c r="G223">
        <v>0.39961419999599457</v>
      </c>
      <c r="H223">
        <v>0.61890320002567023</v>
      </c>
      <c r="I223">
        <v>0.63035380002111197</v>
      </c>
      <c r="J223">
        <v>0.38635739998426288</v>
      </c>
      <c r="K223" t="b">
        <v>1</v>
      </c>
      <c r="L223" t="b">
        <v>1</v>
      </c>
      <c r="M223" t="b">
        <v>1</v>
      </c>
      <c r="N223" s="42" t="b">
        <v>1</v>
      </c>
      <c r="O223" t="s">
        <v>201</v>
      </c>
      <c r="P223" s="44">
        <v>4456448</v>
      </c>
    </row>
    <row r="224" spans="1:16" x14ac:dyDescent="0.45">
      <c r="A224">
        <f t="shared" si="8"/>
        <v>32</v>
      </c>
      <c r="B224" t="str">
        <f t="shared" si="9"/>
        <v>xxxxxxxxxxxxxxxxxxxxxxxxxxxxxxxx</v>
      </c>
      <c r="C224" s="42">
        <v>262144</v>
      </c>
      <c r="D224">
        <v>1</v>
      </c>
      <c r="E224" t="b">
        <v>1</v>
      </c>
      <c r="F224">
        <v>1.3082041000016034</v>
      </c>
      <c r="G224">
        <v>0.85779840004397556</v>
      </c>
      <c r="H224">
        <v>1.7037074000108987</v>
      </c>
      <c r="I224">
        <v>1.2784864999703132</v>
      </c>
      <c r="J224">
        <v>0.70758270000806078</v>
      </c>
      <c r="K224" t="b">
        <v>1</v>
      </c>
      <c r="L224" t="b">
        <v>1</v>
      </c>
      <c r="M224" t="b">
        <v>1</v>
      </c>
      <c r="N224" s="42" t="b">
        <v>1</v>
      </c>
      <c r="O224" t="s">
        <v>202</v>
      </c>
      <c r="P224" s="44">
        <v>8912896</v>
      </c>
    </row>
    <row r="225" spans="1:16" x14ac:dyDescent="0.45">
      <c r="A225">
        <f t="shared" si="8"/>
        <v>32</v>
      </c>
      <c r="B225" t="str">
        <f t="shared" si="9"/>
        <v>xxxxxxxxxxxxxxxxxxxxxxxxxxxxxxxx</v>
      </c>
      <c r="C225" s="42">
        <v>524288</v>
      </c>
      <c r="D225">
        <v>1</v>
      </c>
      <c r="E225" t="b">
        <v>1</v>
      </c>
      <c r="F225">
        <v>3.2645319000002928</v>
      </c>
      <c r="G225">
        <v>1.6737998000462539</v>
      </c>
      <c r="H225">
        <v>2.9046065000002272</v>
      </c>
      <c r="I225">
        <v>3.3708526000264101</v>
      </c>
      <c r="J225">
        <v>1.5094577000127174</v>
      </c>
      <c r="K225" t="b">
        <v>1</v>
      </c>
      <c r="L225" t="b">
        <v>1</v>
      </c>
      <c r="M225" t="b">
        <v>1</v>
      </c>
      <c r="N225" s="42" t="b">
        <v>1</v>
      </c>
      <c r="O225" t="s">
        <v>203</v>
      </c>
      <c r="P225" s="44">
        <v>17825792</v>
      </c>
    </row>
    <row r="226" spans="1:16" x14ac:dyDescent="0.45">
      <c r="A226">
        <f t="shared" si="8"/>
        <v>32</v>
      </c>
      <c r="B226" t="str">
        <f t="shared" si="9"/>
        <v>xxxxxxxxxxxxxxxxxxxxxxxxxxxxxxxx</v>
      </c>
      <c r="C226" s="42">
        <v>1048576</v>
      </c>
      <c r="D226">
        <v>1</v>
      </c>
      <c r="E226" t="b">
        <v>1</v>
      </c>
      <c r="F226">
        <v>7.3716585999936797</v>
      </c>
      <c r="G226">
        <v>3.1422552999574691</v>
      </c>
      <c r="H226">
        <v>5.2746361999888904</v>
      </c>
      <c r="I226">
        <v>7.2869120000395924</v>
      </c>
      <c r="J226">
        <v>2.7813290000194684</v>
      </c>
      <c r="K226" t="b">
        <v>1</v>
      </c>
      <c r="L226" t="b">
        <v>1</v>
      </c>
      <c r="M226" t="b">
        <v>1</v>
      </c>
      <c r="N226" s="42" t="b">
        <v>1</v>
      </c>
      <c r="O226" t="s">
        <v>204</v>
      </c>
      <c r="P226" s="44">
        <v>35651584</v>
      </c>
    </row>
  </sheetData>
  <sheetProtection sheet="1" objects="1" scenarios="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20"/>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46</v>
      </c>
      <c r="U3" s="18" t="s">
        <v>74</v>
      </c>
    </row>
    <row r="4" spans="2:21" x14ac:dyDescent="0.45">
      <c r="I4" s="38" t="s">
        <v>47</v>
      </c>
      <c r="U4" s="31" t="s">
        <v>75</v>
      </c>
    </row>
    <row r="5" spans="2:21" x14ac:dyDescent="0.45">
      <c r="B5" s="2" t="s">
        <v>3</v>
      </c>
      <c r="C5" s="6" t="s">
        <v>4</v>
      </c>
      <c r="D5" s="51" t="s">
        <v>5</v>
      </c>
      <c r="E5" s="3" t="s">
        <v>6</v>
      </c>
      <c r="F5" s="8" t="s">
        <v>7</v>
      </c>
      <c r="I5" t="s">
        <v>48</v>
      </c>
      <c r="U5" s="31" t="s">
        <v>76</v>
      </c>
    </row>
    <row r="6" spans="2:21" x14ac:dyDescent="0.45">
      <c r="B6" s="50">
        <v>8</v>
      </c>
      <c r="C6" s="11">
        <v>44416</v>
      </c>
      <c r="D6" s="52">
        <v>0.54939814814861165</v>
      </c>
      <c r="E6" s="12" t="s">
        <v>8</v>
      </c>
      <c r="F6" s="13" t="s">
        <v>278</v>
      </c>
      <c r="I6" t="s">
        <v>49</v>
      </c>
    </row>
    <row r="7" spans="2:21" x14ac:dyDescent="0.45">
      <c r="B7" s="48">
        <v>7</v>
      </c>
      <c r="C7" s="11">
        <v>44415</v>
      </c>
      <c r="D7" s="52">
        <v>0.96137731481576338</v>
      </c>
      <c r="E7" s="12" t="s">
        <v>8</v>
      </c>
      <c r="F7" s="13" t="s">
        <v>266</v>
      </c>
      <c r="I7" t="s">
        <v>55</v>
      </c>
    </row>
    <row r="8" spans="2:21" x14ac:dyDescent="0.45">
      <c r="B8" s="48">
        <v>6</v>
      </c>
      <c r="C8" s="11">
        <v>44414</v>
      </c>
      <c r="D8" s="52">
        <v>0.66607638888672227</v>
      </c>
      <c r="E8" s="12" t="s">
        <v>8</v>
      </c>
      <c r="F8" s="14" t="s">
        <v>182</v>
      </c>
      <c r="I8" s="38" t="s">
        <v>56</v>
      </c>
    </row>
    <row r="9" spans="2:21" x14ac:dyDescent="0.45">
      <c r="B9" s="48">
        <v>5</v>
      </c>
      <c r="C9" s="11">
        <v>44412</v>
      </c>
      <c r="D9" s="52">
        <v>0.34912037036701804</v>
      </c>
      <c r="E9" s="12" t="s">
        <v>8</v>
      </c>
      <c r="F9" s="14" t="s">
        <v>84</v>
      </c>
      <c r="I9" t="s">
        <v>57</v>
      </c>
    </row>
    <row r="10" spans="2:21" x14ac:dyDescent="0.45">
      <c r="B10" s="48">
        <v>4</v>
      </c>
      <c r="C10" s="11">
        <v>44411</v>
      </c>
      <c r="D10" s="52">
        <v>0.37682870370190358</v>
      </c>
      <c r="E10" s="12" t="s">
        <v>8</v>
      </c>
      <c r="F10" s="13" t="s">
        <v>72</v>
      </c>
      <c r="I10" s="38" t="s">
        <v>71</v>
      </c>
    </row>
    <row r="11" spans="2:21" x14ac:dyDescent="0.45">
      <c r="B11" s="48">
        <v>3</v>
      </c>
      <c r="C11" s="11">
        <v>44406</v>
      </c>
      <c r="D11" s="52">
        <v>0.59842592592758592</v>
      </c>
      <c r="E11" s="12" t="s">
        <v>8</v>
      </c>
      <c r="F11" s="13" t="s">
        <v>11</v>
      </c>
      <c r="I11" s="10" t="s">
        <v>80</v>
      </c>
    </row>
    <row r="12" spans="2:21" x14ac:dyDescent="0.45">
      <c r="B12" s="48">
        <v>2</v>
      </c>
      <c r="C12" s="11">
        <v>44406</v>
      </c>
      <c r="D12" s="52">
        <v>0.57677083333692281</v>
      </c>
      <c r="E12" s="12" t="s">
        <v>8</v>
      </c>
      <c r="F12" s="14" t="s">
        <v>10</v>
      </c>
      <c r="I12" s="10" t="s">
        <v>77</v>
      </c>
    </row>
    <row r="13" spans="2:21" x14ac:dyDescent="0.45">
      <c r="B13" s="4">
        <v>1</v>
      </c>
      <c r="C13" s="7">
        <v>44400</v>
      </c>
      <c r="D13" s="53">
        <v>0.58872685184906004</v>
      </c>
      <c r="E13" s="5" t="s">
        <v>8</v>
      </c>
      <c r="F13" s="9" t="s">
        <v>9</v>
      </c>
      <c r="I13" t="s">
        <v>78</v>
      </c>
    </row>
    <row r="14" spans="2:21" x14ac:dyDescent="0.45">
      <c r="I14" t="s">
        <v>79</v>
      </c>
    </row>
    <row r="15" spans="2:21" x14ac:dyDescent="0.45">
      <c r="I15" s="10" t="s">
        <v>81</v>
      </c>
    </row>
    <row r="16" spans="2:21" x14ac:dyDescent="0.45">
      <c r="I16" s="10" t="s">
        <v>83</v>
      </c>
    </row>
    <row r="17" spans="9:9" x14ac:dyDescent="0.45">
      <c r="I17" s="10" t="s">
        <v>86</v>
      </c>
    </row>
    <row r="20" spans="9:9" x14ac:dyDescent="0.45">
      <c r="I20" s="18" t="s">
        <v>73</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Demo</vt:lpstr>
      <vt:lpstr>Help</vt:lpstr>
      <vt:lpstr>TimingResults</vt:lpstr>
      <vt:lpstr>TimingResults (2)</vt:lpstr>
      <vt:lpstr>Audit</vt:lpstr>
      <vt:lpstr>DateFormat</vt:lpstr>
      <vt:lpstr>DateTimeFormat</vt:lpstr>
      <vt:lpstr>EOL</vt:lpstr>
      <vt:lpstr>FileName</vt:lpstr>
      <vt:lpstr>Audit!Headers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2021-08-08T11:25:15Z</dcterms:modified>
</cp:coreProperties>
</file>