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541300F0-2697-4A7E-862B-9E23FF8A88B9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Performance" sheetId="2" r:id="rId2"/>
    <sheet name="ConvertTypes" sheetId="5" r:id="rId3"/>
    <sheet name="Test" sheetId="4" r:id="rId4"/>
    <sheet name="Audit" sheetId="3" r:id="rId5"/>
  </sheets>
  <functionGroups builtInGroupCount="19"/>
  <definedNames>
    <definedName name="CallToCSVRead" localSheetId="3">Test!$X$8</definedName>
    <definedName name="Data" localSheetId="2">ConvertTypes!$B$4:$C$13</definedName>
    <definedName name="Data" localSheetId="0">Demo!$B$13:$C$52</definedName>
    <definedName name="DateFormat" localSheetId="0">Demo!$C$5</definedName>
    <definedName name="DateTimeFormat" localSheetId="0">Demo!$C$6</definedName>
    <definedName name="EOL" localSheetId="0">Demo!$C$8</definedName>
    <definedName name="FileName" localSheetId="2">ConvertTypes!$C$16</definedName>
    <definedName name="FileName" localSheetId="0">Demo!$E$13</definedName>
    <definedName name="FileName" localSheetId="3">Test!$D$4</definedName>
    <definedName name="FileName">Demo!$E$13</definedName>
    <definedName name="FileTable" localSheetId="3">Test!$B$8:$P$145</definedName>
    <definedName name="Folder" localSheetId="3">Test!$D$3</definedName>
    <definedName name="Headers" localSheetId="4">Audit!$B$5:$F$5</definedName>
    <definedName name="NumFailed" localSheetId="3">Test!$M$4</definedName>
    <definedName name="NumPassed" localSheetId="3">Test!$M$3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RowNo" localSheetId="3">Test!$D$5</definedName>
    <definedName name="Test_Failures" localSheetId="3">Test!$R$8</definedName>
    <definedName name="Unicode" localSheetId="0">Demo!$C$7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8" i="4" l="1" a="1"/>
  <c r="X8" i="4"/>
  <c r="V8" i="4" a="1"/>
  <c r="V8" i="4"/>
  <c r="T11" i="4" a="1"/>
  <c r="T11" i="4"/>
  <c r="A8" i="4" a="1"/>
  <c r="A8" i="4" s="1"/>
  <c r="U8" i="4" l="1" a="1"/>
  <c r="U53" i="4" s="1"/>
  <c r="S8" i="4" a="1"/>
  <c r="S8" i="4" s="1"/>
  <c r="T7" i="4"/>
  <c r="T10" i="4" a="1"/>
  <c r="T10" i="4" s="1"/>
  <c r="T9" i="4" a="1"/>
  <c r="T9" i="4" s="1"/>
  <c r="T8" i="4"/>
  <c r="D4" i="4" a="1"/>
  <c r="D4" i="4" s="1"/>
  <c r="B20" i="4" a="1"/>
  <c r="B126" i="4" a="1"/>
  <c r="B42" i="4" a="1"/>
  <c r="B35" i="4" a="1"/>
  <c r="B72" i="4" a="1"/>
  <c r="B14" i="4" a="1"/>
  <c r="B43" i="4" a="1"/>
  <c r="B76" i="4" a="1"/>
  <c r="B117" i="4" a="1"/>
  <c r="B89" i="4" a="1"/>
  <c r="B108" i="4" a="1"/>
  <c r="B52" i="4" a="1"/>
  <c r="B85" i="4" a="1"/>
  <c r="B105" i="4" a="1"/>
  <c r="B33" i="4" a="1"/>
  <c r="B122" i="4" a="1"/>
  <c r="B99" i="4" a="1"/>
  <c r="B25" i="4" a="1"/>
  <c r="B75" i="4" a="1"/>
  <c r="B49" i="4" a="1"/>
  <c r="B115" i="4" a="1"/>
  <c r="B80" i="4" a="1"/>
  <c r="B18" i="4" a="1"/>
  <c r="B116" i="4" a="1"/>
  <c r="B84" i="4" a="1"/>
  <c r="B54" i="4" a="1"/>
  <c r="B144" i="4" a="1"/>
  <c r="B22" i="4" a="1"/>
  <c r="B57" i="4" a="1"/>
  <c r="B93" i="4" a="1"/>
  <c r="B12" i="4" a="1"/>
  <c r="B37" i="4" a="1"/>
  <c r="B61" i="4" a="1"/>
  <c r="B74" i="4" a="1"/>
  <c r="B90" i="4" a="1"/>
  <c r="B58" i="4" a="1"/>
  <c r="B86" i="4" a="1"/>
  <c r="B130" i="4" a="1"/>
  <c r="B113" i="4" a="1"/>
  <c r="B19" i="4" a="1"/>
  <c r="B69" i="4" a="1"/>
  <c r="B112" i="4" a="1"/>
  <c r="B100" i="4" a="1"/>
  <c r="B23" i="4" a="1"/>
  <c r="B26" i="4" a="1"/>
  <c r="B135" i="4" a="1"/>
  <c r="B114" i="4" a="1"/>
  <c r="B34" i="4" a="1"/>
  <c r="B142" i="4" a="1"/>
  <c r="B77" i="4" a="1"/>
  <c r="B30" i="4" a="1"/>
  <c r="B101" i="4" a="1"/>
  <c r="B120" i="4" a="1"/>
  <c r="B51" i="4" a="1"/>
  <c r="B88" i="4" a="1"/>
  <c r="B21" i="4" a="1"/>
  <c r="B53" i="4" a="1"/>
  <c r="B92" i="4" a="1"/>
  <c r="B60" i="4" a="1"/>
  <c r="B82" i="4" a="1"/>
  <c r="B111" i="4" a="1"/>
  <c r="B123" i="4" a="1"/>
  <c r="B78" i="4" a="1"/>
  <c r="B16" i="4" a="1"/>
  <c r="B41" i="4" a="1"/>
  <c r="B64" i="4" a="1"/>
  <c r="B106" i="4" a="1"/>
  <c r="B59" i="4" a="1"/>
  <c r="B145" i="4" a="1"/>
  <c r="B94" i="4" a="1"/>
  <c r="B134" i="4" a="1"/>
  <c r="B32" i="4" a="1"/>
  <c r="B48" i="4" a="1"/>
  <c r="B95" i="4" a="1"/>
  <c r="B107" i="4" a="1"/>
  <c r="B119" i="4" a="1"/>
  <c r="B139" i="4" a="1"/>
  <c r="B81" i="4" a="1"/>
  <c r="B29" i="4" a="1"/>
  <c r="B38" i="4" a="1"/>
  <c r="B121" i="4" a="1"/>
  <c r="B110" i="4" a="1"/>
  <c r="B124" i="4" a="1"/>
  <c r="B68" i="4" a="1"/>
  <c r="B45" i="4" a="1"/>
  <c r="B138" i="4" a="1"/>
  <c r="B66" i="4" a="1"/>
  <c r="B132" i="4" a="1"/>
  <c r="B141" i="4" a="1"/>
  <c r="B83" i="4" a="1"/>
  <c r="B8" i="4" a="1"/>
  <c r="B73" i="4" a="1"/>
  <c r="B98" i="4" a="1"/>
  <c r="B65" i="4" a="1"/>
  <c r="B39" i="4" a="1"/>
  <c r="B47" i="4" a="1"/>
  <c r="B96" i="4" a="1"/>
  <c r="B46" i="4" a="1"/>
  <c r="B17" i="4" a="1"/>
  <c r="B62" i="4" a="1"/>
  <c r="B63" i="4" a="1"/>
  <c r="B87" i="4" a="1"/>
  <c r="B128" i="4" a="1"/>
  <c r="B125" i="4" a="1"/>
  <c r="B31" i="4" a="1"/>
  <c r="B44" i="4" a="1"/>
  <c r="B133" i="4" a="1"/>
  <c r="B11" i="4" a="1"/>
  <c r="B15" i="4" a="1"/>
  <c r="B137" i="4" a="1"/>
  <c r="B97" i="4" a="1"/>
  <c r="B50" i="4" a="1"/>
  <c r="B109" i="4" a="1"/>
  <c r="B70" i="4" a="1"/>
  <c r="B71" i="4" a="1"/>
  <c r="B91" i="4" a="1"/>
  <c r="B27" i="4" a="1"/>
  <c r="B127" i="4" a="1"/>
  <c r="B102" i="4" a="1"/>
  <c r="B140" i="4" a="1"/>
  <c r="B104" i="4" a="1"/>
  <c r="B36" i="4" a="1"/>
  <c r="B136" i="4" a="1"/>
  <c r="B79" i="4" a="1"/>
  <c r="B24" i="4" a="1"/>
  <c r="B118" i="4" a="1"/>
  <c r="B129" i="4" a="1"/>
  <c r="B9" i="4" a="1"/>
  <c r="B56" i="4" a="1"/>
  <c r="B131" i="4" a="1"/>
  <c r="B28" i="4" a="1"/>
  <c r="B143" i="4" a="1"/>
  <c r="B10" i="4" a="1"/>
  <c r="B40" i="4" a="1"/>
  <c r="B55" i="4" a="1"/>
  <c r="B13" i="4" a="1"/>
  <c r="B103" i="4" a="1"/>
  <c r="S23" i="4" l="1"/>
  <c r="S30" i="4"/>
  <c r="S22" i="4"/>
  <c r="S47" i="4"/>
  <c r="S15" i="4"/>
  <c r="S46" i="4"/>
  <c r="S14" i="4"/>
  <c r="S39" i="4"/>
  <c r="S38" i="4"/>
  <c r="S31" i="4"/>
  <c r="U14" i="4"/>
  <c r="U22" i="4"/>
  <c r="U30" i="4"/>
  <c r="U38" i="4"/>
  <c r="U46" i="4"/>
  <c r="U47" i="4"/>
  <c r="U15" i="4"/>
  <c r="U23" i="4"/>
  <c r="U31" i="4"/>
  <c r="U39" i="4"/>
  <c r="S53" i="4"/>
  <c r="S45" i="4"/>
  <c r="S37" i="4"/>
  <c r="S29" i="4"/>
  <c r="S21" i="4"/>
  <c r="S13" i="4"/>
  <c r="U8" i="4"/>
  <c r="U16" i="4"/>
  <c r="U24" i="4"/>
  <c r="U32" i="4"/>
  <c r="U40" i="4"/>
  <c r="U48" i="4"/>
  <c r="S52" i="4"/>
  <c r="S44" i="4"/>
  <c r="S36" i="4"/>
  <c r="S28" i="4"/>
  <c r="S20" i="4"/>
  <c r="S12" i="4"/>
  <c r="U9" i="4"/>
  <c r="U17" i="4"/>
  <c r="U25" i="4"/>
  <c r="U33" i="4"/>
  <c r="U41" i="4"/>
  <c r="U49" i="4"/>
  <c r="S51" i="4"/>
  <c r="S43" i="4"/>
  <c r="S35" i="4"/>
  <c r="S27" i="4"/>
  <c r="S19" i="4"/>
  <c r="S11" i="4"/>
  <c r="U10" i="4"/>
  <c r="U18" i="4"/>
  <c r="U26" i="4"/>
  <c r="U34" i="4"/>
  <c r="U42" i="4"/>
  <c r="U50" i="4"/>
  <c r="S50" i="4"/>
  <c r="S42" i="4"/>
  <c r="S34" i="4"/>
  <c r="S26" i="4"/>
  <c r="S18" i="4"/>
  <c r="S10" i="4"/>
  <c r="U11" i="4"/>
  <c r="U19" i="4"/>
  <c r="U27" i="4"/>
  <c r="U35" i="4"/>
  <c r="U43" i="4"/>
  <c r="U51" i="4"/>
  <c r="S49" i="4"/>
  <c r="S41" i="4"/>
  <c r="S33" i="4"/>
  <c r="S25" i="4"/>
  <c r="S17" i="4"/>
  <c r="S9" i="4"/>
  <c r="U12" i="4"/>
  <c r="U20" i="4"/>
  <c r="U28" i="4"/>
  <c r="U36" i="4"/>
  <c r="U44" i="4"/>
  <c r="U52" i="4"/>
  <c r="S48" i="4"/>
  <c r="S40" i="4"/>
  <c r="S32" i="4"/>
  <c r="S24" i="4"/>
  <c r="S16" i="4"/>
  <c r="U13" i="4"/>
  <c r="U21" i="4"/>
  <c r="U29" i="4"/>
  <c r="U37" i="4"/>
  <c r="U45" i="4"/>
  <c r="B97" i="4"/>
  <c r="B96" i="4"/>
  <c r="B83" i="4"/>
  <c r="B138" i="4"/>
  <c r="B90" i="4"/>
  <c r="B74" i="4"/>
  <c r="B99" i="4"/>
  <c r="B137" i="4"/>
  <c r="B133" i="4"/>
  <c r="B129" i="4"/>
  <c r="B125" i="4"/>
  <c r="B69" i="4"/>
  <c r="B64" i="4"/>
  <c r="B61" i="4"/>
  <c r="B122" i="4"/>
  <c r="B55" i="4"/>
  <c r="B119" i="4"/>
  <c r="B118" i="4"/>
  <c r="B48" i="4"/>
  <c r="B45" i="4"/>
  <c r="B41" i="4"/>
  <c r="B37" i="4"/>
  <c r="B33" i="4"/>
  <c r="B29" i="4"/>
  <c r="B114" i="4"/>
  <c r="B24" i="4"/>
  <c r="B23" i="4"/>
  <c r="B19" i="4"/>
  <c r="B16" i="4"/>
  <c r="B12" i="4"/>
  <c r="B105" i="4"/>
  <c r="B103" i="4"/>
  <c r="B98" i="4"/>
  <c r="B79" i="4"/>
  <c r="B141" i="4"/>
  <c r="B94" i="4"/>
  <c r="B78" i="4"/>
  <c r="B93" i="4"/>
  <c r="B85" i="4"/>
  <c r="B77" i="4"/>
  <c r="B143" i="4"/>
  <c r="B136" i="4"/>
  <c r="B128" i="4"/>
  <c r="B68" i="4"/>
  <c r="B123" i="4"/>
  <c r="B57" i="4"/>
  <c r="B52" i="4"/>
  <c r="B47" i="4"/>
  <c r="B44" i="4"/>
  <c r="B36" i="4"/>
  <c r="B32" i="4"/>
  <c r="B113" i="4"/>
  <c r="B111" i="4"/>
  <c r="B22" i="4"/>
  <c r="B108" i="4"/>
  <c r="B15" i="4"/>
  <c r="B107" i="4"/>
  <c r="B104" i="4"/>
  <c r="B100" i="4"/>
  <c r="B145" i="4"/>
  <c r="B82" i="4"/>
  <c r="B144" i="4"/>
  <c r="B89" i="4"/>
  <c r="B81" i="4"/>
  <c r="B73" i="4"/>
  <c r="B140" i="4"/>
  <c r="B132" i="4"/>
  <c r="B124" i="4"/>
  <c r="B60" i="4"/>
  <c r="B54" i="4"/>
  <c r="B117" i="4"/>
  <c r="B40" i="4"/>
  <c r="B28" i="4"/>
  <c r="B102" i="4"/>
  <c r="B87" i="4"/>
  <c r="B130" i="4"/>
  <c r="B92" i="4"/>
  <c r="B84" i="4"/>
  <c r="B76" i="4"/>
  <c r="B142" i="4"/>
  <c r="B135" i="4"/>
  <c r="B127" i="4"/>
  <c r="B66" i="4"/>
  <c r="B59" i="4"/>
  <c r="B53" i="4"/>
  <c r="B116" i="4"/>
  <c r="B43" i="4"/>
  <c r="B39" i="4"/>
  <c r="B31" i="4"/>
  <c r="B27" i="4"/>
  <c r="B112" i="4"/>
  <c r="B110" i="4"/>
  <c r="B21" i="4"/>
  <c r="B18" i="4"/>
  <c r="B14" i="4"/>
  <c r="B11" i="4"/>
  <c r="B8" i="4"/>
  <c r="B91" i="4"/>
  <c r="B134" i="4"/>
  <c r="B86" i="4"/>
  <c r="B88" i="4"/>
  <c r="B80" i="4"/>
  <c r="B72" i="4"/>
  <c r="B139" i="4"/>
  <c r="B131" i="4"/>
  <c r="B71" i="4"/>
  <c r="B63" i="4"/>
  <c r="B121" i="4"/>
  <c r="B51" i="4"/>
  <c r="B115" i="4"/>
  <c r="B35" i="4"/>
  <c r="B10" i="4"/>
  <c r="B95" i="4"/>
  <c r="B70" i="4"/>
  <c r="B62" i="4"/>
  <c r="B58" i="4"/>
  <c r="B120" i="4"/>
  <c r="B49" i="4"/>
  <c r="B42" i="4"/>
  <c r="B34" i="4"/>
  <c r="B26" i="4"/>
  <c r="B109" i="4"/>
  <c r="B17" i="4"/>
  <c r="B106" i="4"/>
  <c r="B101" i="4"/>
  <c r="B75" i="4"/>
  <c r="B126" i="4"/>
  <c r="B65" i="4"/>
  <c r="B56" i="4"/>
  <c r="B50" i="4"/>
  <c r="B46" i="4"/>
  <c r="B38" i="4"/>
  <c r="B30" i="4"/>
  <c r="B25" i="4"/>
  <c r="B20" i="4"/>
  <c r="B13" i="4"/>
  <c r="B9" i="4"/>
  <c r="G21" i="5" l="1" a="1"/>
  <c r="G21" i="5"/>
  <c r="I21" i="5" a="1"/>
  <c r="I21" i="5"/>
  <c r="K21" i="5" a="1"/>
  <c r="K21" i="5"/>
  <c r="M21" i="5" a="1"/>
  <c r="M21" i="5"/>
  <c r="O21" i="5" a="1"/>
  <c r="O21" i="5"/>
  <c r="Q21" i="5" a="1"/>
  <c r="Q21" i="5"/>
  <c r="S21" i="5" a="1"/>
  <c r="S21" i="5"/>
  <c r="U21" i="5" a="1"/>
  <c r="U21" i="5"/>
  <c r="W21" i="5" a="1"/>
  <c r="W21" i="5"/>
  <c r="Y21" i="5" a="1"/>
  <c r="Y21" i="5"/>
  <c r="AA21" i="5" a="1"/>
  <c r="AA21" i="5"/>
  <c r="AC21" i="5" a="1"/>
  <c r="AC21" i="5"/>
  <c r="AE21" i="5" a="1"/>
  <c r="AE21" i="5"/>
  <c r="AG21" i="5" a="1"/>
  <c r="AG21" i="5"/>
  <c r="AI21" i="5" a="1"/>
  <c r="AI21" i="5"/>
  <c r="AK21" i="5" a="1"/>
  <c r="AK21" i="5"/>
  <c r="E21" i="5" a="1"/>
  <c r="E21" i="5"/>
  <c r="F69" i="4"/>
  <c r="F60" i="4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5" i="5"/>
  <c r="C7" i="5"/>
  <c r="B7" i="5" l="1" a="1"/>
  <c r="B7" i="5" s="1"/>
  <c r="A141" i="2" a="1"/>
  <c r="A141" i="2" s="1"/>
  <c r="B127" i="2"/>
  <c r="A127" i="2" s="1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 s="1"/>
  <c r="B73" i="2"/>
  <c r="A73" i="2"/>
  <c r="B72" i="2"/>
  <c r="A72" i="2" s="1"/>
  <c r="B71" i="2"/>
  <c r="A71" i="2" s="1"/>
  <c r="B70" i="2"/>
  <c r="A70" i="2"/>
  <c r="B69" i="2"/>
  <c r="A69" i="2" s="1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 s="1"/>
  <c r="B51" i="2"/>
  <c r="A51" i="2" s="1"/>
  <c r="B50" i="2"/>
  <c r="A50" i="2" s="1"/>
  <c r="B49" i="2"/>
  <c r="A49" i="2" s="1"/>
  <c r="B48" i="2"/>
  <c r="A48" i="2" s="1"/>
  <c r="B47" i="2"/>
  <c r="A47" i="2" s="1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 s="1"/>
  <c r="B35" i="2"/>
  <c r="A35" i="2" s="1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C16" i="5" a="1"/>
  <c r="B13" i="1" a="1"/>
  <c r="C16" i="5" l="1"/>
  <c r="B13" i="1"/>
  <c r="B21" i="5" a="1"/>
  <c r="E13" i="1" a="1"/>
  <c r="B21" i="5" l="1"/>
  <c r="E13" i="1"/>
  <c r="G13" i="1" a="1"/>
  <c r="L13" i="1" a="1"/>
  <c r="I13" i="1" a="1"/>
  <c r="G13" i="1" l="1"/>
  <c r="L13" i="1"/>
  <c r="I13" i="1"/>
  <c r="O13" i="1" a="1"/>
  <c r="O13" i="1" l="1"/>
  <c r="O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F1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25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33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63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F66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<sst xmlns="http://schemas.openxmlformats.org/spreadsheetml/2006/main" count="1269" uniqueCount="489">
  <si>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</si>
  <si>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</si>
  <si>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</si>
  <si>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</si>
  <si>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</si>
  <si>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</si>
  <si>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</si>
  <si>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</si>
  <si>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</si>
  <si>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</si>
  <si>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</si>
  <si>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</si>
  <si>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</si>
  <si>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</si>
  <si>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</si>
  <si>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</si>
  <si>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</si>
  <si>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</si>
  <si>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</si>
  <si>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</si>
  <si>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B) ConvertTypes = FALSE. All fields returned as strings</t>
  </si>
  <si>
    <t>B) ConvertTypes = TRUE. Fields revert to their original types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</si>
  <si>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</si>
  <si>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</si>
  <si>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</si>
  <si>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</si>
  <si>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</si>
  <si>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</si>
  <si>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</si>
  <si>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</si>
  <si>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</si>
  <si>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</si>
  <si>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</si>
  <si>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</si>
  <si>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</si>
  <si>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</si>
  <si>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</si>
  <si>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</si>
  <si>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</si>
  <si>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</si>
  <si>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</si>
  <si>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</si>
  <si>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</si>
  <si>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</si>
  <si>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</si>
  <si>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</si>
  <si>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</si>
  <si>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</si>
  <si>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</si>
  <si>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</si>
  <si>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</si>
  <si>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</si>
  <si>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</si>
  <si>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</si>
  <si>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</si>
  <si>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</si>
  <si>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</si>
  <si>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</si>
  <si>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</si>
  <si>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</si>
  <si>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</si>
  <si>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</si>
  <si>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</si>
  <si>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</si>
  <si>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</si>
  <si>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</si>
  <si>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</si>
  <si>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</si>
  <si>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</si>
  <si>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</si>
  <si>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</si>
  <si>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</si>
  <si>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</si>
  <si>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</si>
  <si>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</si>
  <si>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</si>
  <si>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</si>
  <si>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</si>
  <si>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</si>
  <si>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</si>
  <si>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</si>
  <si>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</si>
  <si>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</si>
  <si>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</si>
  <si>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</si>
  <si>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</si>
  <si>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</si>
  <si>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</si>
  <si>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</si>
  <si>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</si>
  <si>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</si>
  <si>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</si>
  <si>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</si>
  <si>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</si>
  <si>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</si>
  <si>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</si>
  <si>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</si>
  <si>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</si>
  <si>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</si>
  <si>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</si>
  <si>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</si>
  <si>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</si>
  <si>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</si>
  <si>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</si>
  <si>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</si>
  <si>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</si>
  <si>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</si>
  <si>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</si>
  <si>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</si>
  <si>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</si>
  <si>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</si>
  <si>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</si>
  <si>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</si>
  <si>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</si>
  <si>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</si>
  <si>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</si>
  <si>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</si>
  <si>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</si>
  <si>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</si>
  <si>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</si>
  <si>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</si>
  <si>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</si>
  <si>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</si>
  <si>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</si>
  <si>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</si>
  <si>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</si>
  <si>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</si>
  <si>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</si>
  <si>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</si>
  <si>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</si>
  <si>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</si>
  <si>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</si>
  <si>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</si>
  <si>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</si>
  <si>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</si>
  <si>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</si>
  <si>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</si>
  <si>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</si>
  <si>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</si>
  <si>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</si>
  <si>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</si>
  <si>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</si>
  <si>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</si>
  <si>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</si>
  <si>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</si>
  <si>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</si>
  <si>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</si>
  <si>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</si>
  <si>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</si>
  <si>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</si>
  <si>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</si>
  <si>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</si>
  <si>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</si>
  <si>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</si>
  <si>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</si>
  <si>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</si>
  <si>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</si>
  <si>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</si>
  <si>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</si>
  <si>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</si>
  <si>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</si>
  <si>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</si>
  <si>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</si>
  <si>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</si>
  <si>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</si>
  <si>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</si>
  <si>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</si>
  <si>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</si>
  <si>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</si>
  <si>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</si>
  <si>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</si>
  <si>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</si>
  <si>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</si>
  <si>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</si>
  <si>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</si>
  <si>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</si>
  <si>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</si>
  <si>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</si>
  <si>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</si>
  <si>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</si>
  <si>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</si>
  <si>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</si>
  <si>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</si>
  <si>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</si>
  <si>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</si>
  <si>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</si>
  <si>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</si>
  <si>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</si>
  <si>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</si>
  <si>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</si>
  <si>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</si>
  <si>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</si>
  <si>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</si>
  <si>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</si>
  <si>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</si>
  <si>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</si>
  <si>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</si>
  <si>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</si>
  <si>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</si>
  <si>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</si>
  <si>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</si>
  <si>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</si>
  <si>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</si>
  <si>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</si>
  <si>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</si>
  <si>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</si>
  <si>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</si>
  <si>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</si>
  <si>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</si>
  <si>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</si>
  <si>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</si>
  <si>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</si>
  <si>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</si>
  <si>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</si>
  <si>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</si>
  <si>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</si>
  <si>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</si>
  <si>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</si>
  <si>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</si>
  <si>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</si>
  <si>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</si>
  <si>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</si>
  <si>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</si>
  <si>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</si>
  <si>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</si>
  <si>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</si>
  <si>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</si>
  <si>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</si>
  <si>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</si>
  <si>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</si>
  <si>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</si>
  <si>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</si>
  <si>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</si>
  <si>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</si>
  <si>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</si>
  <si>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</si>
  <si>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</si>
  <si>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</si>
  <si>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</si>
  <si>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</si>
  <si>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</si>
  <si>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</si>
  <si>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</si>
  <si>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</si>
  <si>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</si>
  <si>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</si>
  <si>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</si>
  <si>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DecimalSeparator</t>
  </si>
  <si>
    <t>Notes</t>
  </si>
  <si>
    <t/>
  </si>
  <si>
    <t>.</t>
  </si>
  <si>
    <t>CSVRead Delimiter = FALSE</t>
  </si>
  <si>
    <t>,</t>
  </si>
  <si>
    <t xml:space="preserve"> </t>
  </si>
  <si>
    <t>OK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</si>
  <si>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</si>
  <si>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</si>
  <si>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</si>
  <si>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</si>
  <si>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</si>
  <si>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</si>
  <si>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I don't have a "TrueStrings" argument but hard-wire...</t>
  </si>
  <si>
    <t>This file does not have windows line endings!</t>
  </si>
  <si>
    <t>Mmm should I allow sentinel values?</t>
  </si>
  <si>
    <t>Colnames have no special meaning in my world</t>
  </si>
  <si>
    <t>Mmmm. Should I add a MissingString argument?</t>
  </si>
  <si>
    <t>I don't support mixed date formats</t>
  </si>
  <si>
    <t>I don't support missingstring arg - this shows julia supports multiple such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</si>
  <si>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</si>
  <si>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</si>
  <si>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</si>
  <si>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</si>
  <si>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</si>
  <si>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</si>
  <si>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</si>
  <si>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</si>
  <si>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</si>
  <si>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</si>
  <si>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</si>
  <si>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But should I support arbitrary sentinel values?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</si>
  <si>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</si>
  <si>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</si>
  <si>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</si>
  <si>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</si>
  <si>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</si>
  <si>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</si>
  <si>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</si>
  <si>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</si>
  <si>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</si>
  <si>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</si>
  <si>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A)  Delimiter = FALSE. Shows file not delimited.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</si>
  <si>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</si>
  <si>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</si>
  <si>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</si>
  <si>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randoms.csv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</si>
  <si>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</si>
  <si>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</si>
  <si>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</si>
  <si>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</si>
  <si>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</si>
  <si>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</si>
  <si>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</si>
  <si>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</si>
  <si>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</si>
  <si>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</si>
  <si>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</si>
  <si>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</si>
  <si>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</si>
  <si>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</si>
  <si>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</si>
  <si>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</si>
  <si>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</si>
  <si>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</si>
  <si>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</si>
  <si>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</si>
  <si>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</si>
  <si>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</si>
  <si>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</si>
  <si>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</si>
  <si>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</si>
  <si>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</si>
  <si>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</si>
  <si>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</si>
  <si>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</si>
  <si>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</si>
  <si>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</si>
  <si>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</si>
  <si>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</si>
  <si>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</si>
  <si>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</si>
  <si>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</si>
  <si>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</si>
  <si>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</si>
  <si>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</si>
  <si>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</si>
  <si>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</si>
  <si>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</si>
  <si>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</si>
  <si>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</si>
  <si>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</si>
  <si>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</si>
  <si>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</si>
  <si>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</si>
  <si>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</si>
  <si>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</si>
  <si>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</si>
  <si>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</si>
  <si>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</si>
  <si>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</si>
  <si>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</si>
  <si>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</si>
  <si>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</si>
  <si>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</si>
  <si>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</si>
  <si>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</si>
  <si>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</si>
  <si>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</si>
  <si>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</si>
  <si>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</si>
  <si>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</si>
  <si>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</si>
  <si>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</si>
  <si>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</si>
  <si>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</si>
  <si>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</si>
  <si>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</si>
  <si>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</si>
  <si>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</si>
  <si>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</si>
  <si>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</si>
  <si>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</si>
  <si>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</si>
  <si>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</si>
  <si>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</si>
  <si>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</si>
  <si>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</si>
  <si>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</si>
  <si>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</si>
  <si>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</si>
  <si>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</si>
  <si>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</si>
  <si>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</si>
  <si>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</si>
  <si>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</si>
  <si>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</si>
  <si>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</si>
  <si>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</si>
  <si>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</si>
  <si>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</si>
  <si>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</si>
  <si>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</si>
  <si>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</si>
  <si>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</si>
  <si>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</si>
  <si>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</si>
  <si>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</si>
  <si>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</si>
  <si>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</si>
  <si>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</si>
  <si>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</si>
  <si>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</si>
  <si>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</si>
  <si>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</si>
  <si>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</si>
  <si>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</si>
  <si>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</si>
  <si>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</si>
  <si>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OK, but not really a sensible test for CSVRead as I don't try to determine a type per column, so type promotion doesn't apply</t>
  </si>
  <si>
    <t>OK, but has a DateTime column which I don't convert.</t>
  </si>
  <si>
    <t>I don't handle zipped files</t>
  </si>
  <si>
    <t>N</t>
  </si>
  <si>
    <t>OK, 100,000 rows x 49 cols</t>
  </si>
  <si>
    <t>This file does not have footer rows! Instead it has 3 empty rows at the start, which Excel seems to ignore as if SkipToRow = 4</t>
  </si>
  <si>
    <t>CSVRead can't cope with UTF8 with BOM because TextStream does not cope. But Excel copes ok</t>
  </si>
  <si>
    <t>option to convert quoted strings to numbers etc.</t>
  </si>
  <si>
    <t>1</t>
  </si>
  <si>
    <t>TRUE</t>
  </si>
  <si>
    <t>abc</t>
  </si>
  <si>
    <t>#DIV/0!</t>
  </si>
  <si>
    <t>16-Aug-2021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</si>
  <si>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</si>
  <si>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</si>
  <si>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</si>
  <si>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</si>
  <si>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</si>
  <si>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</si>
  <si>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</si>
  <si>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</si>
  <si>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</si>
  <si>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</si>
  <si>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</si>
  <si>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</si>
  <si>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</si>
  <si>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</si>
  <si>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</si>
  <si>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Call CSVWrite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</si>
  <si>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</si>
  <si>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</si>
  <si>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</si>
  <si>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</si>
  <si>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</si>
  <si>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</si>
  <si>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</si>
  <si>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</si>
  <si>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Matches with the Q option!</t>
  </si>
  <si>
    <t>I don't support MissingString, could do though. Also file is UTF8 and accented characters are different from Notepad++'s rendering.</t>
  </si>
  <si>
    <t>Add Comment as argument</t>
  </si>
  <si>
    <t>Cleaner way of testing...</t>
  </si>
  <si>
    <t>cope with delimiters as last characters of line when ignorerepeated is true.</t>
  </si>
  <si>
    <t>New argument "Comment" to CSVRead.</t>
  </si>
  <si>
    <t>#</t>
  </si>
  <si>
    <t>//</t>
  </si>
  <si>
    <t>OK, handle correctly</t>
  </si>
  <si>
    <t>We do not support transpose</t>
  </si>
  <si>
    <t>test_converttypes_arg.csv</t>
  </si>
  <si>
    <t>C:\Projects\VBA-CSV\testfiles\</t>
  </si>
  <si>
    <t>test_skip_args.csv</t>
  </si>
  <si>
    <t>test_skip_args_with_comments.csv</t>
  </si>
  <si>
    <t>New module modCSVTest</t>
  </si>
  <si>
    <t>Removed modCVSTestAgainstExcel.</t>
  </si>
  <si>
    <t>Tests:</t>
  </si>
  <si>
    <t>Test to test the tests</t>
  </si>
  <si>
    <t>"Triangular" test</t>
  </si>
  <si>
    <t>test strange delimiter</t>
  </si>
  <si>
    <t>test ignore repeated delimiter with delimiter length &gt; 1</t>
  </si>
  <si>
    <t>simplify round trip testing, no longer need to test ragged and make use of sArraysIdentical.</t>
  </si>
  <si>
    <t>test_triangular.csv</t>
  </si>
  <si>
    <t>OK test not really relevant as we don't try to have all elements of a column having the same type.</t>
  </si>
  <si>
    <t>OK but maybe some of the accented characters not coming through correctly?</t>
  </si>
  <si>
    <t>Test Files</t>
  </si>
  <si>
    <t>{"}</t>
  </si>
  <si>
    <t>test_strange_delimiter.csv</t>
  </si>
  <si>
    <t>test_ignoring_repeated_multicharacter_delimiter.csv</t>
  </si>
  <si>
    <t>Delim</t>
  </si>
  <si>
    <t>RowNo</t>
  </si>
  <si>
    <t>CaseNo</t>
  </si>
  <si>
    <t>#Not found!</t>
  </si>
  <si>
    <t>Doubleclick cell to examine test!</t>
  </si>
  <si>
    <t>More work on tests</t>
  </si>
  <si>
    <t>NumPassed</t>
  </si>
  <si>
    <t>NumFailed</t>
  </si>
  <si>
    <t>File Size</t>
  </si>
  <si>
    <t>Test Failures</t>
  </si>
  <si>
    <t>Case 38 test utf8 with BOM FAILED, observed and expected differed: 1 of 12 elements differ, first difference at 1,1: String 'ï»¿col1' vs String 'col1'</t>
  </si>
  <si>
    <t>T option to trim</t>
  </si>
  <si>
    <t>column-by-column type conversion.</t>
  </si>
  <si>
    <t>NT</t>
  </si>
  <si>
    <t>T</t>
  </si>
  <si>
    <t>Now support "T" as a ConvertTypes option.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</si>
</sst>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yyyy\-mm\-dd"/>
    <numFmt numFmtId="166" formatCode="#,##0;[Red]\-#,##0"/>
    <numFmt numFmtId="167" formatCode="hh:mm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66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8" fillId="0" borderId="0" xfId="0" applyFont="1"/>
    <xf numFmtId="0" fontId="7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9" fillId="7" borderId="6" xfId="0" applyNumberFormat="1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left" vertical="center" wrapText="1"/>
    </xf>
    <xf numFmtId="0" fontId="9" fillId="7" borderId="7" xfId="0" quotePrefix="1" applyFont="1" applyFill="1" applyBorder="1" applyAlignment="1">
      <alignment horizontal="left" vertical="center" wrapText="1"/>
    </xf>
    <xf numFmtId="38" fontId="9" fillId="7" borderId="8" xfId="0" applyNumberFormat="1" applyFont="1" applyFill="1" applyBorder="1" applyAlignment="1">
      <alignment horizontal="center" vertical="center"/>
    </xf>
    <xf numFmtId="164" fontId="9" fillId="7" borderId="9" xfId="0" applyNumberFormat="1" applyFont="1" applyFill="1" applyBorder="1" applyAlignment="1">
      <alignment horizontal="left" vertical="center"/>
    </xf>
    <xf numFmtId="0" fontId="9" fillId="7" borderId="9" xfId="0" applyFont="1" applyFill="1" applyBorder="1" applyAlignment="1">
      <alignment horizontal="left" vertical="center"/>
    </xf>
    <xf numFmtId="0" fontId="9" fillId="7" borderId="10" xfId="0" quotePrefix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right"/>
    </xf>
    <xf numFmtId="0" fontId="0" fillId="0" borderId="0" xfId="0" applyAlignment="1">
      <alignment horizontal="right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3" xfId="0" quotePrefix="1" applyBorder="1" applyAlignment="1">
      <alignment horizontal="left" vertical="center"/>
    </xf>
    <xf numFmtId="38" fontId="0" fillId="0" borderId="1" xfId="0" applyNumberFormat="1" applyBorder="1" applyAlignment="1">
      <alignment horizontal="center" vertical="center"/>
    </xf>
    <xf numFmtId="38" fontId="0" fillId="0" borderId="1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Font="1"/>
    <xf numFmtId="0" fontId="12" fillId="8" borderId="14" xfId="0" applyFont="1" applyFill="1" applyBorder="1" applyAlignment="1">
      <alignment horizontal="center" vertical="center" textRotation="90"/>
    </xf>
    <xf numFmtId="0" fontId="12" fillId="8" borderId="14" xfId="0" applyFont="1" applyFill="1" applyBorder="1" applyAlignment="1">
      <alignment horizontal="left" vertical="center" textRotation="90"/>
    </xf>
    <xf numFmtId="0" fontId="12" fillId="8" borderId="15" xfId="0" applyFont="1" applyFill="1" applyBorder="1" applyAlignment="1">
      <alignment horizontal="center" vertical="center" textRotation="90"/>
    </xf>
    <xf numFmtId="0" fontId="0" fillId="0" borderId="0" xfId="0" applyNumberFormat="1"/>
    <xf numFmtId="0" fontId="0" fillId="0" borderId="12" xfId="0" quotePrefix="1" applyBorder="1" applyAlignment="1">
      <alignment horizontal="left" vertical="center"/>
    </xf>
    <xf numFmtId="38" fontId="9" fillId="7" borderId="5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left"/>
    </xf>
    <xf numFmtId="166" fontId="9" fillId="7" borderId="5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left" vertical="center"/>
    </xf>
    <xf numFmtId="167" fontId="9" fillId="7" borderId="6" xfId="0" applyNumberFormat="1" applyFont="1" applyFill="1" applyBorder="1" applyAlignment="1">
      <alignment horizontal="left" vertical="center"/>
    </xf>
    <xf numFmtId="167" fontId="9" fillId="7" borderId="9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38">
    <dxf>
      <fill>
        <patternFill>
          <bgColor theme="8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6" formatCode="#,##0;[Red]\-#,##0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numFmt numFmtId="6" formatCode="#,##0;[Red]\-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</dxf>
    <dxf>
      <font>
        <b/>
        <color rgb="FFFFFFFF"/>
      </font>
      <fill>
        <patternFill patternType="solid">
          <fgColor indexed="64"/>
          <bgColor rgb="FF0066CC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0</xdr:row>
          <xdr:rowOff>114300</xdr:rowOff>
        </xdr:from>
        <xdr:to>
          <xdr:col>11</xdr:col>
          <xdr:colOff>404813</xdr:colOff>
          <xdr:row>2</xdr:row>
          <xdr:rowOff>9525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Tests!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7B04EB-66A0-4341-9771-1FD43653C50C}" name="Tests" displayName="Tests" ref="B7:P145" totalsRowShown="0" headerRowDxfId="137" dataDxfId="136" tableBorderDxfId="135">
  <autoFilter ref="B7:P145" xr:uid="{AA7B04EB-66A0-4341-9771-1FD43653C50C}"/>
  <sortState xmlns:xlrd2="http://schemas.microsoft.com/office/spreadsheetml/2017/richdata2" ref="B8:P145">
    <sortCondition ref="C7:C145"/>
  </sortState>
  <tableColumns count="15">
    <tableColumn id="2" xr3:uid="{7BD45304-7DCD-4FE1-87D6-ED5FE38F64B3}" name="File Size" dataDxfId="134"/>
    <tableColumn id="17" xr3:uid="{0274EA37-179C-4B3B-A1C9-4FF870F07628}" name="CaseNo" dataDxfId="133"/>
    <tableColumn id="3" xr3:uid="{861F0434-521B-4486-96EB-11210D28A649}" name="FileName" dataDxfId="132"/>
    <tableColumn id="4" xr3:uid="{73BAD586-F792-467D-93BE-365E171D2905}" name="ConvertTypes" dataDxfId="131"/>
    <tableColumn id="5" xr3:uid="{AFE18E19-BAA4-408C-B594-F6F5CE6072E2}" name="Delimiter" dataDxfId="130"/>
    <tableColumn id="6" xr3:uid="{1D60ED3A-6C85-4E51-AFC6-E8B21A54B83F}" name="IgnoreRepeated" dataDxfId="129"/>
    <tableColumn id="7" xr3:uid="{0EB858F2-EB3F-4E38-A22D-35AD966720B1}" name="DateFormat" dataDxfId="128"/>
    <tableColumn id="8" xr3:uid="{3F295DC4-6496-4579-BD3D-4E7BB02C40AE}" name="Comment" dataDxfId="127"/>
    <tableColumn id="9" xr3:uid="{788FDAFC-A8CF-46C4-90AE-BE337028930D}" name="SkipToRow" dataDxfId="126"/>
    <tableColumn id="10" xr3:uid="{F00D66D5-FB9F-4412-9552-E7F6E3F184F7}" name="SkipToCol" dataDxfId="125"/>
    <tableColumn id="11" xr3:uid="{2FACE1D6-3CA2-489F-B1D2-75E539FBB36E}" name="NumRows" dataDxfId="124"/>
    <tableColumn id="12" xr3:uid="{4FD86CBE-1D42-4E7F-B6D5-08CDA9500663}" name="NumCols" dataDxfId="123"/>
    <tableColumn id="14" xr3:uid="{33117371-AD91-493D-9A19-4EBB17C61C95}" name="Unicode" dataDxfId="122"/>
    <tableColumn id="15" xr3:uid="{AF39713F-4C5B-43A8-90C7-95E589307608}" name="DecimalSeparator" dataDxfId="121"/>
    <tableColumn id="16" xr3:uid="{37CD4E9B-8BB2-4722-90D7-0FB31FC8E545}" name="Notes" dataDxfId="1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440</v>
      </c>
    </row>
    <row r="10" spans="1:16" x14ac:dyDescent="0.45">
      <c r="C10" s="5"/>
      <c r="O10" s="3" t="s">
        <v>16</v>
      </c>
    </row>
    <row r="11" spans="1:16" x14ac:dyDescent="0.45">
      <c r="C11" s="5"/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B12" s="2" t="s">
        <v>18</v>
      </c>
      <c r="E12" s="3" t="s">
        <v>19</v>
      </c>
      <c r="F12" s="3"/>
      <c r="G12" s="2" t="s">
        <v>290</v>
      </c>
      <c r="I12" s="2" t="s">
        <v>20</v>
      </c>
      <c r="L12" s="2" t="s">
        <v>21</v>
      </c>
      <c r="O12" t="s">
        <v>22</v>
      </c>
    </row>
    <row r="13" spans="1:16" x14ac:dyDescent="0.45">
      <c r="B13" s="11" t="str" cm="1">
        <f t="array" aca="1" ref="B13:C52" ca="1">RandomVariants(40,2,TRUE,Unicode,EOL)</f>
        <v>-1.38284497110512E-07</v>
      </c>
      <c r="C13" s="11" t="str">
        <f ca="1"/>
        <v>FALSE</v>
      </c>
      <c r="E13" t="str" cm="1">
        <f t="array" aca="1" ref="E13" ca="1">CSVWrite(TempFolder()&amp;"\VBA-CSVTest.csv",Data,QuoteAllStrings,DateFormat,DateTimeFormat,,Unicode,EOL)</f>
        <v>C:\Users\phili\AppData\Local\Temp\VBA-CSVTest.csv</v>
      </c>
      <c r="G13" s="11" t="str" cm="1">
        <f t="array" aca="1" ref="G13:G57" ca="1">CSVRead(FileName,,FALSE)</f>
        <v>"-1.38284497110512E-07","FALSE"</v>
      </c>
      <c r="I13" s="11" t="str" cm="1">
        <f t="array" aca="1" ref="I13:J52" ca="1">CSVRead(FileName,FALSE)</f>
        <v>-1.38284497110512E-07</v>
      </c>
      <c r="J13" s="11" t="str">
        <f ca="1"/>
        <v>FALSE</v>
      </c>
      <c r="L13" s="11" t="str" cm="1">
        <f t="array" aca="1" ref="L13:M52" ca="1">CSVRead(FileName,TRUE,,,DateFormat)</f>
        <v>-1.38284497110512E-07</v>
      </c>
      <c r="M13" s="11" t="str">
        <f ca="1"/>
        <v>FALSE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>
        <f ca="1"/>
        <v>58555</v>
      </c>
      <c r="C14" s="11" t="str">
        <f ca="1"/>
        <v>TRUE</v>
      </c>
      <c r="G14" s="11" t="str">
        <f ca="1"/>
        <v>58555,"TRUE"</v>
      </c>
      <c r="I14" s="11" t="str">
        <f ca="1"/>
        <v>58555</v>
      </c>
      <c r="J14" s="11" t="str">
        <f ca="1"/>
        <v>TRUE</v>
      </c>
      <c r="L14" s="11">
        <f ca="1"/>
        <v>58555</v>
      </c>
      <c r="M14" s="11" t="str">
        <f ca="1"/>
        <v>TRUE</v>
      </c>
      <c r="O14" s="13" t="b">
        <f ca="1"/>
        <v>1</v>
      </c>
      <c r="P14" s="13" t="b">
        <f ca="1"/>
        <v>1</v>
      </c>
    </row>
    <row r="15" spans="1:16" x14ac:dyDescent="0.45">
      <c r="B15" s="11" t="str">
        <f ca="1"/>
        <v>-17648.9685761915</v>
      </c>
      <c r="C15" s="11">
        <f ca="1"/>
        <v>40251</v>
      </c>
      <c r="G15" s="11" t="str">
        <f ca="1"/>
        <v>"-17648.9685761915",40251</v>
      </c>
      <c r="I15" s="11" t="str">
        <f ca="1"/>
        <v>-17648.9685761915</v>
      </c>
      <c r="J15" s="11" t="str">
        <f ca="1"/>
        <v>40251</v>
      </c>
      <c r="L15" s="11" t="str">
        <f ca="1"/>
        <v>-17648.9685761915</v>
      </c>
      <c r="M15" s="11">
        <f ca="1"/>
        <v>40251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i_Gc:AHu-[A+2)HvRNx5C</v>
      </c>
      <c r="C16" s="11" t="str">
        <f ca="1"/>
        <v>.PwSr\I_(e`</v>
      </c>
      <c r="G16" s="11" t="str">
        <f ca="1"/>
        <v>"i_Gc:AHu-[A+2)HvRNx5C",".PwSr\I_(e`"</v>
      </c>
      <c r="I16" s="11" t="str">
        <f ca="1"/>
        <v>i_Gc:AHu-[A+2)HvRNx5C</v>
      </c>
      <c r="J16" s="11" t="str">
        <f ca="1"/>
        <v>.PwSr\I_(e`</v>
      </c>
      <c r="L16" s="11" t="str">
        <f ca="1"/>
        <v>i_Gc:AHu-[A+2)HvRNx5C</v>
      </c>
      <c r="M16" s="11" t="str">
        <f ca="1"/>
        <v>.PwSr\I_(e`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-552525</v>
      </c>
      <c r="C17" s="11" t="str">
        <f ca="1"/>
        <v>&amp;Peh?xi_x000D_
oG-vh_E#</v>
      </c>
      <c r="G17" s="11" t="str">
        <f ca="1"/>
        <v>-552525,"&amp;Peh?xi</v>
      </c>
      <c r="I17" s="11" t="str">
        <f ca="1"/>
        <v>-552525</v>
      </c>
      <c r="J17" s="11" t="str">
        <f ca="1"/>
        <v>&amp;Peh?xi_x000D_
oG-vh_E#</v>
      </c>
      <c r="L17" s="11">
        <f ca="1"/>
        <v>-552525</v>
      </c>
      <c r="M17" s="11" t="str">
        <f ca="1"/>
        <v>&amp;Peh?xi_x000D_
oG-vh_E#</v>
      </c>
      <c r="O17" s="13" t="b">
        <f ca="1"/>
        <v>1</v>
      </c>
      <c r="P17" s="13" t="b">
        <f ca="1"/>
        <v>1</v>
      </c>
    </row>
    <row r="18" spans="2:16" x14ac:dyDescent="0.45">
      <c r="B18" s="11">
        <f ca="1"/>
        <v>19440</v>
      </c>
      <c r="C18" s="11">
        <f ca="1"/>
        <v>29446</v>
      </c>
      <c r="G18" s="11" t="str">
        <f ca="1"/>
        <v>oG-vh_E#"</v>
      </c>
      <c r="I18" s="11" t="str">
        <f ca="1"/>
        <v>19440</v>
      </c>
      <c r="J18" s="11" t="str">
        <f ca="1"/>
        <v>29446</v>
      </c>
      <c r="L18" s="11">
        <f ca="1"/>
        <v>19440</v>
      </c>
      <c r="M18" s="11">
        <f ca="1"/>
        <v>29446</v>
      </c>
      <c r="O18" s="13" t="b">
        <f ca="1"/>
        <v>1</v>
      </c>
      <c r="P18" s="13" t="b">
        <f ca="1"/>
        <v>1</v>
      </c>
    </row>
    <row r="19" spans="2:16" x14ac:dyDescent="0.45">
      <c r="B19" s="11" t="str">
        <f ca="1"/>
        <v>mN3qC&gt;f5I7oXCD</v>
      </c>
      <c r="C19" s="11" t="str">
        <f ca="1"/>
        <v>14708079.2666333</v>
      </c>
      <c r="G19" s="11" t="str">
        <f ca="1"/>
        <v>19440,29446</v>
      </c>
      <c r="I19" s="11" t="str">
        <f ca="1"/>
        <v>mN3qC&gt;f5I7oXCD</v>
      </c>
      <c r="J19" s="11" t="str">
        <f ca="1"/>
        <v>14708079.2666333</v>
      </c>
      <c r="L19" s="11" t="str">
        <f ca="1"/>
        <v>mN3qC&gt;f5I7oXCD</v>
      </c>
      <c r="M19" s="11" t="str">
        <f ca="1"/>
        <v>14708079.2666333</v>
      </c>
      <c r="O19" s="13" t="b">
        <f ca="1"/>
        <v>1</v>
      </c>
      <c r="P19" s="13" t="b">
        <f ca="1"/>
        <v>1</v>
      </c>
    </row>
    <row r="20" spans="2:16" x14ac:dyDescent="0.45">
      <c r="B20" s="11" t="str">
        <f ca="1"/>
        <v>992A"cl;`FicI)F@a=</v>
      </c>
      <c r="C20" s="11">
        <f ca="1"/>
        <v>185982</v>
      </c>
      <c r="G20" s="11" t="str">
        <f ca="1"/>
        <v>"mN3qC&gt;f5I7oXCD","14708079.2666333"</v>
      </c>
      <c r="I20" s="11" t="str">
        <f ca="1"/>
        <v>992A"cl;`FicI)F@a=</v>
      </c>
      <c r="J20" s="11" t="str">
        <f ca="1"/>
        <v>185982</v>
      </c>
      <c r="L20" s="11" t="str">
        <f ca="1"/>
        <v>992A"cl;`FicI)F@a=</v>
      </c>
      <c r="M20" s="11">
        <f ca="1"/>
        <v>185982</v>
      </c>
      <c r="O20" s="13" t="b">
        <f ca="1"/>
        <v>1</v>
      </c>
      <c r="P20" s="13" t="b">
        <f ca="1"/>
        <v>1</v>
      </c>
    </row>
    <row r="21" spans="2:16" x14ac:dyDescent="0.45">
      <c r="B21" s="11" t="e">
        <f ca="1"/>
        <v>#DIV/0!</v>
      </c>
      <c r="C21" s="11" t="str">
        <f ca="1"/>
        <v/>
      </c>
      <c r="G21" s="11" t="str">
        <f ca="1"/>
        <v>"992A""cl;`FicI)F@a=",185982</v>
      </c>
      <c r="I21" s="11" t="str">
        <f ca="1"/>
        <v>#DIV/0!</v>
      </c>
      <c r="J21" s="11" t="str">
        <f ca="1"/>
        <v>#CALC!</v>
      </c>
      <c r="L21" s="11" t="e">
        <f ca="1"/>
        <v>#DIV/0!</v>
      </c>
      <c r="M21" s="11" t="str">
        <f ca="1"/>
        <v/>
      </c>
      <c r="O21" s="13" t="b">
        <f ca="1"/>
        <v>1</v>
      </c>
      <c r="P21" s="13" t="b">
        <f ca="1"/>
        <v>1</v>
      </c>
    </row>
    <row r="22" spans="2:16" x14ac:dyDescent="0.45">
      <c r="B22" s="11" t="e">
        <f ca="1"/>
        <v>#NULL!</v>
      </c>
      <c r="C22" s="11" t="str">
        <f ca="1"/>
        <v>16853938.9139216</v>
      </c>
      <c r="G22" s="11" t="str">
        <f ca="1"/>
        <v>#DIV/0!,#CALC!</v>
      </c>
      <c r="I22" s="11" t="str">
        <f ca="1"/>
        <v>#NULL!</v>
      </c>
      <c r="J22" s="11" t="str">
        <f ca="1"/>
        <v>16853938.9139216</v>
      </c>
      <c r="L22" s="11" t="e">
        <f ca="1"/>
        <v>#NULL!</v>
      </c>
      <c r="M22" s="11" t="str">
        <f ca="1"/>
        <v>16853938.9139216</v>
      </c>
      <c r="O22" s="13" t="b">
        <f ca="1"/>
        <v>1</v>
      </c>
      <c r="P22" s="13" t="b">
        <f ca="1"/>
        <v>1</v>
      </c>
    </row>
    <row r="23" spans="2:16" x14ac:dyDescent="0.45">
      <c r="B23" s="11">
        <f ca="1"/>
        <v>-13574330.241664</v>
      </c>
      <c r="C23" s="11">
        <f ca="1"/>
        <v>53327</v>
      </c>
      <c r="G23" s="11" t="str">
        <f ca="1"/>
        <v>#NULL!,"16853938.9139216"</v>
      </c>
      <c r="I23" s="11" t="str">
        <f ca="1"/>
        <v>-13574330.241664</v>
      </c>
      <c r="J23" s="11" t="str">
        <f ca="1"/>
        <v>53327</v>
      </c>
      <c r="L23" s="11">
        <f ca="1"/>
        <v>-13574330.241664</v>
      </c>
      <c r="M23" s="11">
        <f ca="1"/>
        <v>53327</v>
      </c>
      <c r="O23" s="13" t="b">
        <f ca="1"/>
        <v>1</v>
      </c>
      <c r="P23" s="13" t="b">
        <f ca="1"/>
        <v>1</v>
      </c>
    </row>
    <row r="24" spans="2:16" x14ac:dyDescent="0.45">
      <c r="B24" s="11">
        <f ca="1"/>
        <v>-7.6729620893633795E-4</v>
      </c>
      <c r="C24" s="11" t="str">
        <f ca="1"/>
        <v/>
      </c>
      <c r="G24" s="11" t="str">
        <f ca="1"/>
        <v>-13574330.241664,53327</v>
      </c>
      <c r="I24" s="11" t="str">
        <f ca="1"/>
        <v>-7.67296208936338E-04</v>
      </c>
      <c r="J24" s="11" t="str">
        <f ca="1"/>
        <v/>
      </c>
      <c r="L24" s="11">
        <f ca="1"/>
        <v>-7.6729620893633795E-4</v>
      </c>
      <c r="M24" s="11" t="str">
        <f ca="1"/>
        <v/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-24.400940642943201</v>
      </c>
      <c r="C25" s="11" t="b">
        <f ca="1"/>
        <v>0</v>
      </c>
      <c r="G25" s="11" t="str">
        <f ca="1"/>
        <v>-7.67296208936338E-04,""</v>
      </c>
      <c r="I25" s="11" t="str">
        <f ca="1"/>
        <v>-24.4009406429432</v>
      </c>
      <c r="J25" s="11" t="str">
        <f ca="1"/>
        <v>False</v>
      </c>
      <c r="L25" s="11">
        <f ca="1"/>
        <v>-24.400940642943201</v>
      </c>
      <c r="M25" s="11" t="b">
        <f ca="1"/>
        <v>0</v>
      </c>
      <c r="O25" s="13" t="b">
        <f ca="1"/>
        <v>1</v>
      </c>
      <c r="P25" s="13" t="b">
        <f ca="1"/>
        <v>1</v>
      </c>
    </row>
    <row r="26" spans="2:16" x14ac:dyDescent="0.45">
      <c r="B26" s="11">
        <f ca="1"/>
        <v>304753</v>
      </c>
      <c r="C26" s="11">
        <f ca="1"/>
        <v>0</v>
      </c>
      <c r="G26" s="11" t="str">
        <f ca="1"/>
        <v>-24.4009406429432,False</v>
      </c>
      <c r="I26" s="11" t="str">
        <f ca="1"/>
        <v>304753</v>
      </c>
      <c r="J26" s="11" t="str">
        <f ca="1"/>
        <v>0</v>
      </c>
      <c r="L26" s="11">
        <f ca="1"/>
        <v>304753</v>
      </c>
      <c r="M26" s="11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11">
        <f ca="1"/>
        <v>689368703.41807103</v>
      </c>
      <c r="C27" s="11">
        <f ca="1"/>
        <v>43540</v>
      </c>
      <c r="G27" s="11" t="str">
        <f ca="1"/>
        <v>304753,0</v>
      </c>
      <c r="I27" s="11" t="str">
        <f ca="1"/>
        <v>689368703.418071</v>
      </c>
      <c r="J27" s="11" t="str">
        <f ca="1"/>
        <v>43540</v>
      </c>
      <c r="L27" s="11">
        <f ca="1"/>
        <v>689368703.41807103</v>
      </c>
      <c r="M27" s="11">
        <f ca="1"/>
        <v>43540</v>
      </c>
      <c r="O27" s="13" t="b">
        <f ca="1"/>
        <v>1</v>
      </c>
      <c r="P27" s="13" t="b">
        <f ca="1"/>
        <v>1</v>
      </c>
    </row>
    <row r="28" spans="2:16" x14ac:dyDescent="0.45">
      <c r="B28" s="11" t="str">
        <f ca="1"/>
        <v>FALSE</v>
      </c>
      <c r="C28" s="11">
        <f ca="1"/>
        <v>32711</v>
      </c>
      <c r="G28" s="11" t="str">
        <f ca="1"/>
        <v>689368703.418071,43540</v>
      </c>
      <c r="I28" s="11" t="str">
        <f ca="1"/>
        <v>FALSE</v>
      </c>
      <c r="J28" s="11" t="str">
        <f ca="1"/>
        <v>32711</v>
      </c>
      <c r="L28" s="11" t="str">
        <f ca="1"/>
        <v>FALSE</v>
      </c>
      <c r="M28" s="11">
        <f ca="1"/>
        <v>32711</v>
      </c>
      <c r="O28" s="13" t="b">
        <f ca="1"/>
        <v>1</v>
      </c>
      <c r="P28" s="13" t="b">
        <f ca="1"/>
        <v>1</v>
      </c>
    </row>
    <row r="29" spans="2:16" x14ac:dyDescent="0.45">
      <c r="B29" s="11" t="str">
        <f ca="1"/>
        <v>/Y+_x000D_
N2yK</v>
      </c>
      <c r="C29" s="11">
        <f ca="1"/>
        <v>36114</v>
      </c>
      <c r="G29" s="11" t="str">
        <f ca="1"/>
        <v>"FALSE",32711</v>
      </c>
      <c r="I29" s="11" t="str">
        <f ca="1"/>
        <v>/Y+_x000D_
N2yK</v>
      </c>
      <c r="J29" s="11" t="str">
        <f ca="1"/>
        <v>36114</v>
      </c>
      <c r="L29" s="11" t="str">
        <f ca="1"/>
        <v>/Y+_x000D_
N2yK</v>
      </c>
      <c r="M29" s="11">
        <f ca="1"/>
        <v>36114</v>
      </c>
      <c r="O29" s="13" t="b">
        <f ca="1"/>
        <v>1</v>
      </c>
      <c r="P29" s="13" t="b">
        <f ca="1"/>
        <v>1</v>
      </c>
    </row>
    <row r="30" spans="2:16" x14ac:dyDescent="0.45">
      <c r="B30" s="11" t="str">
        <f ca="1"/>
        <v>FALSE</v>
      </c>
      <c r="C30" s="11">
        <f ca="1"/>
        <v>0</v>
      </c>
      <c r="G30" s="11" t="str">
        <f ca="1"/>
        <v>"/Y+</v>
      </c>
      <c r="I30" s="11" t="str">
        <f ca="1"/>
        <v>FALSE</v>
      </c>
      <c r="J30" s="11" t="str">
        <f ca="1"/>
        <v>0</v>
      </c>
      <c r="L30" s="11" t="str">
        <f ca="1"/>
        <v>FALSE</v>
      </c>
      <c r="M30" s="11">
        <f ca="1"/>
        <v>0</v>
      </c>
      <c r="O30" s="13" t="b">
        <f ca="1"/>
        <v>1</v>
      </c>
      <c r="P30" s="13" t="b">
        <f ca="1"/>
        <v>1</v>
      </c>
    </row>
    <row r="31" spans="2:16" x14ac:dyDescent="0.45">
      <c r="B31" s="11">
        <f ca="1"/>
        <v>-782428</v>
      </c>
      <c r="C31" s="11" t="b">
        <f ca="1"/>
        <v>1</v>
      </c>
      <c r="G31" s="11" t="str">
        <f ca="1"/>
        <v>N2yK",36114</v>
      </c>
      <c r="I31" s="11" t="str">
        <f ca="1"/>
        <v>-782428</v>
      </c>
      <c r="J31" s="11" t="str">
        <f ca="1"/>
        <v>True</v>
      </c>
      <c r="L31" s="11">
        <f ca="1"/>
        <v>-782428</v>
      </c>
      <c r="M31" s="11" t="b">
        <f ca="1"/>
        <v>1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32441</v>
      </c>
      <c r="C32" s="11" t="str">
        <f ca="1"/>
        <v/>
      </c>
      <c r="G32" s="11" t="str">
        <f ca="1"/>
        <v>"FALSE",0</v>
      </c>
      <c r="I32" s="11" t="str">
        <f ca="1"/>
        <v>32441</v>
      </c>
      <c r="J32" s="11" t="str">
        <f ca="1"/>
        <v>#UNKNOWN!</v>
      </c>
      <c r="L32" s="11">
        <f ca="1"/>
        <v>32441</v>
      </c>
      <c r="M32" s="11" t="str">
        <f ca="1"/>
        <v/>
      </c>
      <c r="O32" s="13" t="b">
        <f ca="1"/>
        <v>1</v>
      </c>
      <c r="P32" s="13" t="b">
        <f ca="1"/>
        <v>1</v>
      </c>
    </row>
    <row r="33" spans="2:16" x14ac:dyDescent="0.45">
      <c r="B33" s="11" t="str">
        <f ca="1"/>
        <v>-27509.050268035</v>
      </c>
      <c r="C33" s="11">
        <f ca="1"/>
        <v>2.4082903415615198E-10</v>
      </c>
      <c r="G33" s="11" t="str">
        <f ca="1"/>
        <v>-782428,True</v>
      </c>
      <c r="I33" s="11" t="str">
        <f ca="1"/>
        <v>-27509.050268035</v>
      </c>
      <c r="J33" s="11" t="str">
        <f ca="1"/>
        <v>2.40829034156152E-10</v>
      </c>
      <c r="L33" s="11" t="str">
        <f ca="1"/>
        <v>-27509.050268035</v>
      </c>
      <c r="M33" s="11">
        <f ca="1"/>
        <v>2.4082903415615198E-10</v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FALSE</v>
      </c>
      <c r="C34" s="11" t="str">
        <f ca="1"/>
        <v>SiT44BT@PG</v>
      </c>
      <c r="G34" s="11" t="str">
        <f ca="1"/>
        <v>32441,#UNKNOWN!</v>
      </c>
      <c r="I34" s="11" t="str">
        <f ca="1"/>
        <v>FALSE</v>
      </c>
      <c r="J34" s="11" t="str">
        <f ca="1"/>
        <v>SiT44BT@PG</v>
      </c>
      <c r="L34" s="11" t="str">
        <f ca="1"/>
        <v>FALSE</v>
      </c>
      <c r="M34" s="11" t="str">
        <f ca="1"/>
        <v>SiT44BT@PG</v>
      </c>
      <c r="O34" s="13" t="b">
        <f ca="1"/>
        <v>1</v>
      </c>
      <c r="P34" s="13" t="b">
        <f ca="1"/>
        <v>1</v>
      </c>
    </row>
    <row r="35" spans="2:16" x14ac:dyDescent="0.45">
      <c r="B35" s="11" t="b">
        <f ca="1"/>
        <v>0</v>
      </c>
      <c r="C35" s="11">
        <f ca="1"/>
        <v>1552871143.32658</v>
      </c>
      <c r="G35" s="11" t="str">
        <f ca="1"/>
        <v>"-27509.050268035",2.40829034156152E-10</v>
      </c>
      <c r="I35" s="11" t="str">
        <f ca="1"/>
        <v>False</v>
      </c>
      <c r="J35" s="11" t="str">
        <f ca="1"/>
        <v>1552871143.32658</v>
      </c>
      <c r="L35" s="11" t="b">
        <f ca="1"/>
        <v>0</v>
      </c>
      <c r="M35" s="11">
        <f ca="1"/>
        <v>1552871143.32658</v>
      </c>
      <c r="O35" s="13" t="b">
        <f ca="1"/>
        <v>1</v>
      </c>
      <c r="P35" s="13" t="b">
        <f ca="1"/>
        <v>1</v>
      </c>
    </row>
    <row r="36" spans="2:16" x14ac:dyDescent="0.45">
      <c r="B36" s="11" t="str">
        <f ca="1"/>
        <v/>
      </c>
      <c r="C36" s="11">
        <f ca="1"/>
        <v>54982</v>
      </c>
      <c r="G36" s="11" t="str">
        <f ca="1"/>
        <v>"FALSE","SiT44BT@PG"</v>
      </c>
      <c r="I36" s="11" t="str">
        <f ca="1"/>
        <v>#SPILL!</v>
      </c>
      <c r="J36" s="11" t="str">
        <f ca="1"/>
        <v>54982</v>
      </c>
      <c r="L36" s="11" t="str">
        <f ca="1"/>
        <v/>
      </c>
      <c r="M36" s="11">
        <f ca="1"/>
        <v>54982</v>
      </c>
      <c r="O36" s="13" t="b">
        <f ca="1"/>
        <v>1</v>
      </c>
      <c r="P36" s="13" t="b">
        <f ca="1"/>
        <v>1</v>
      </c>
    </row>
    <row r="37" spans="2:16" x14ac:dyDescent="0.45">
      <c r="B37" s="11" t="e">
        <f ca="1"/>
        <v>#DIV/0!</v>
      </c>
      <c r="C37" s="11">
        <f ca="1"/>
        <v>389215</v>
      </c>
      <c r="G37" s="11" t="str">
        <f ca="1"/>
        <v>False,1552871143.32658</v>
      </c>
      <c r="I37" s="11" t="str">
        <f ca="1"/>
        <v>#DIV/0!</v>
      </c>
      <c r="J37" s="11" t="str">
        <f ca="1"/>
        <v>389215</v>
      </c>
      <c r="L37" s="11" t="e">
        <f ca="1"/>
        <v>#DIV/0!</v>
      </c>
      <c r="M37" s="11">
        <f ca="1"/>
        <v>389215</v>
      </c>
      <c r="O37" s="13" t="b">
        <f ca="1"/>
        <v>1</v>
      </c>
      <c r="P37" s="13" t="b">
        <f ca="1"/>
        <v>1</v>
      </c>
    </row>
    <row r="38" spans="2:16" x14ac:dyDescent="0.45">
      <c r="B38" s="11" t="b">
        <f ca="1"/>
        <v>1</v>
      </c>
      <c r="C38" s="11" t="str">
        <f ca="1"/>
        <v>1981-Jan-15</v>
      </c>
      <c r="G38" s="11" t="str">
        <f ca="1"/>
        <v>#SPILL!,54982</v>
      </c>
      <c r="I38" s="11" t="str">
        <f ca="1"/>
        <v>True</v>
      </c>
      <c r="J38" s="11" t="str">
        <f ca="1"/>
        <v>1981-Jan-15</v>
      </c>
      <c r="L38" s="11" t="b">
        <f ca="1"/>
        <v>1</v>
      </c>
      <c r="M38" s="11" t="str">
        <f ca="1"/>
        <v>1981-Jan-15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-418845</v>
      </c>
      <c r="C39" s="11">
        <f ca="1"/>
        <v>45987</v>
      </c>
      <c r="G39" s="11" t="str">
        <f ca="1"/>
        <v>#DIV/0!,389215</v>
      </c>
      <c r="I39" s="11" t="str">
        <f ca="1"/>
        <v>-418845</v>
      </c>
      <c r="J39" s="11" t="str">
        <f ca="1"/>
        <v>45987</v>
      </c>
      <c r="L39" s="11">
        <f ca="1"/>
        <v>-418845</v>
      </c>
      <c r="M39" s="11">
        <f ca="1"/>
        <v>45987</v>
      </c>
      <c r="O39" s="13" t="b">
        <f ca="1"/>
        <v>1</v>
      </c>
      <c r="P39" s="13" t="b">
        <f ca="1"/>
        <v>1</v>
      </c>
    </row>
    <row r="40" spans="2:16" x14ac:dyDescent="0.45">
      <c r="B40" s="11" t="str">
        <f ca="1"/>
        <v>i=CElFb</v>
      </c>
      <c r="C40" s="11">
        <f ca="1"/>
        <v>60280</v>
      </c>
      <c r="G40" s="11" t="str">
        <f ca="1"/>
        <v>True,"1981-Jan-15"</v>
      </c>
      <c r="I40" s="11" t="str">
        <f ca="1"/>
        <v>i=CElFb</v>
      </c>
      <c r="J40" s="11" t="str">
        <f ca="1"/>
        <v>60280</v>
      </c>
      <c r="L40" s="11" t="str">
        <f ca="1"/>
        <v>i=CElFb</v>
      </c>
      <c r="M40" s="11">
        <f ca="1"/>
        <v>60280</v>
      </c>
      <c r="O40" s="13" t="b">
        <f ca="1"/>
        <v>1</v>
      </c>
      <c r="P40" s="13" t="b">
        <f ca="1"/>
        <v>1</v>
      </c>
    </row>
    <row r="41" spans="2:16" x14ac:dyDescent="0.45">
      <c r="B41" s="11" t="str">
        <f ca="1"/>
        <v>2021-Aug-11</v>
      </c>
      <c r="C41" s="11">
        <f ca="1"/>
        <v>22.468667648853099</v>
      </c>
      <c r="G41" s="11" t="str">
        <f ca="1"/>
        <v>-418845,45987</v>
      </c>
      <c r="I41" s="11" t="str">
        <f ca="1"/>
        <v>2021-Aug-11</v>
      </c>
      <c r="J41" s="11" t="str">
        <f ca="1"/>
        <v>22.4686676488531</v>
      </c>
      <c r="L41" s="11" t="str">
        <f ca="1"/>
        <v>2021-Aug-11</v>
      </c>
      <c r="M41" s="11">
        <f ca="1"/>
        <v>22.468667648853099</v>
      </c>
      <c r="O41" s="13" t="b">
        <f ca="1"/>
        <v>1</v>
      </c>
      <c r="P41" s="13" t="b">
        <f ca="1"/>
        <v>1</v>
      </c>
    </row>
    <row r="42" spans="2:16" x14ac:dyDescent="0.45">
      <c r="B42" s="11" t="str">
        <f ca="1"/>
        <v/>
      </c>
      <c r="C42" s="11">
        <f ca="1"/>
        <v>0</v>
      </c>
      <c r="G42" s="11" t="str">
        <f ca="1"/>
        <v>"i=CElFb",60280</v>
      </c>
      <c r="I42" s="11" t="str">
        <f ca="1"/>
        <v/>
      </c>
      <c r="J42" s="11" t="str">
        <f ca="1"/>
        <v>0</v>
      </c>
      <c r="L42" s="11" t="str">
        <f ca="1"/>
        <v/>
      </c>
      <c r="M42" s="11">
        <f ca="1"/>
        <v>0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>p;B#&lt;yeUW:Ohm*</v>
      </c>
      <c r="C43" s="11">
        <f ca="1"/>
        <v>28249</v>
      </c>
      <c r="G43" s="11" t="str">
        <f ca="1"/>
        <v>"2021-Aug-11",22.4686676488531</v>
      </c>
      <c r="I43" s="11" t="str">
        <f ca="1"/>
        <v>p;B#&lt;yeUW:Ohm*</v>
      </c>
      <c r="J43" s="11" t="str">
        <f ca="1"/>
        <v>28249</v>
      </c>
      <c r="L43" s="11" t="str">
        <f ca="1"/>
        <v>p;B#&lt;yeUW:Ohm*</v>
      </c>
      <c r="M43" s="11">
        <f ca="1"/>
        <v>28249</v>
      </c>
      <c r="O43" s="13" t="b">
        <f ca="1"/>
        <v>1</v>
      </c>
      <c r="P43" s="13" t="b">
        <f ca="1"/>
        <v>1</v>
      </c>
    </row>
    <row r="44" spans="2:16" x14ac:dyDescent="0.45">
      <c r="B44" s="11">
        <f ca="1"/>
        <v>51096</v>
      </c>
      <c r="C44" s="11" t="str">
        <f ca="1"/>
        <v/>
      </c>
      <c r="G44" s="11" t="str">
        <f ca="1"/>
        <v>"",0</v>
      </c>
      <c r="I44" s="11" t="str">
        <f ca="1"/>
        <v>51096</v>
      </c>
      <c r="J44" s="11" t="str">
        <f ca="1"/>
        <v/>
      </c>
      <c r="L44" s="11">
        <f ca="1"/>
        <v>51096</v>
      </c>
      <c r="M44" s="11" t="str">
        <f ca="1"/>
        <v/>
      </c>
      <c r="O44" s="13" t="b">
        <f ca="1"/>
        <v>1</v>
      </c>
      <c r="P44" s="13" t="b">
        <f ca="1"/>
        <v>1</v>
      </c>
    </row>
    <row r="45" spans="2:16" x14ac:dyDescent="0.45">
      <c r="B45" s="11">
        <f ca="1"/>
        <v>60088</v>
      </c>
      <c r="C45" s="11" t="e">
        <f ca="1"/>
        <v>#NULL!</v>
      </c>
      <c r="G45" s="11" t="str">
        <f ca="1"/>
        <v>"p;B#&lt;yeUW:Ohm*",28249</v>
      </c>
      <c r="I45" s="11" t="str">
        <f ca="1"/>
        <v>60088</v>
      </c>
      <c r="J45" s="11" t="str">
        <f ca="1"/>
        <v>#NULL!</v>
      </c>
      <c r="L45" s="11">
        <f ca="1"/>
        <v>60088</v>
      </c>
      <c r="M45" s="11" t="e">
        <f ca="1"/>
        <v>#NULL!</v>
      </c>
      <c r="O45" s="13" t="b">
        <f ca="1"/>
        <v>1</v>
      </c>
      <c r="P45" s="13" t="b">
        <f ca="1"/>
        <v>1</v>
      </c>
    </row>
    <row r="46" spans="2:16" x14ac:dyDescent="0.45">
      <c r="B46" s="11" t="str">
        <f ca="1"/>
        <v/>
      </c>
      <c r="C46" s="11" t="str">
        <f ca="1"/>
        <v>-3.83004081341457E-09</v>
      </c>
      <c r="G46" s="11" t="str">
        <f ca="1"/>
        <v>51096,""</v>
      </c>
      <c r="I46" s="11" t="str">
        <f ca="1"/>
        <v/>
      </c>
      <c r="J46" s="11" t="str">
        <f ca="1"/>
        <v>-3.83004081341457E-09</v>
      </c>
      <c r="L46" s="11" t="str">
        <f ca="1"/>
        <v/>
      </c>
      <c r="M46" s="11" t="str">
        <f ca="1"/>
        <v>-3.83004081341457E-09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/</v>
      </c>
      <c r="C47" s="11">
        <f ca="1"/>
        <v>45600</v>
      </c>
      <c r="G47" s="11" t="str">
        <f ca="1"/>
        <v>60088,#NULL!</v>
      </c>
      <c r="I47" s="11" t="str">
        <f ca="1"/>
        <v>/</v>
      </c>
      <c r="J47" s="11" t="str">
        <f ca="1"/>
        <v>45600</v>
      </c>
      <c r="L47" s="11" t="str">
        <f ca="1"/>
        <v>/</v>
      </c>
      <c r="M47" s="11">
        <f ca="1"/>
        <v>45600</v>
      </c>
      <c r="O47" s="13" t="b">
        <f ca="1"/>
        <v>1</v>
      </c>
      <c r="P47" s="13" t="b">
        <f ca="1"/>
        <v>1</v>
      </c>
    </row>
    <row r="48" spans="2:16" x14ac:dyDescent="0.45">
      <c r="B48" s="11" t="str">
        <f ca="1"/>
        <v>-381177.605851047</v>
      </c>
      <c r="C48" s="11">
        <f ca="1"/>
        <v>27724</v>
      </c>
      <c r="G48" s="11" t="str">
        <f ca="1"/>
        <v>"","-3.83004081341457E-09"</v>
      </c>
      <c r="I48" s="11" t="str">
        <f ca="1"/>
        <v>-381177.605851047</v>
      </c>
      <c r="J48" s="11" t="str">
        <f ca="1"/>
        <v>27724</v>
      </c>
      <c r="L48" s="11" t="str">
        <f ca="1"/>
        <v>-381177.605851047</v>
      </c>
      <c r="M48" s="11">
        <f ca="1"/>
        <v>27724</v>
      </c>
      <c r="O48" s="13" t="b">
        <f ca="1"/>
        <v>1</v>
      </c>
      <c r="P48" s="13" t="b">
        <f ca="1"/>
        <v>1</v>
      </c>
    </row>
    <row r="49" spans="2:16" x14ac:dyDescent="0.45">
      <c r="B49" s="11" t="str">
        <f ca="1"/>
        <v>PV?rfUHb0'7ev</v>
      </c>
      <c r="C49" s="11" t="str">
        <f ca="1"/>
        <v>2049-Feb-23</v>
      </c>
      <c r="G49" s="11" t="str">
        <f ca="1"/>
        <v>"/",45600</v>
      </c>
      <c r="I49" s="11" t="str">
        <f ca="1"/>
        <v>PV?rfUHb0'7ev</v>
      </c>
      <c r="J49" s="11" t="str">
        <f ca="1"/>
        <v>2049-Feb-23</v>
      </c>
      <c r="L49" s="11" t="str">
        <f ca="1"/>
        <v>PV?rfUHb0'7ev</v>
      </c>
      <c r="M49" s="11" t="str">
        <f ca="1"/>
        <v>2049-Feb-23</v>
      </c>
      <c r="O49" s="13" t="b">
        <f ca="1"/>
        <v>1</v>
      </c>
      <c r="P49" s="13" t="b">
        <f ca="1"/>
        <v>1</v>
      </c>
    </row>
    <row r="50" spans="2:16" x14ac:dyDescent="0.45">
      <c r="B50" s="11" t="b">
        <f ca="1"/>
        <v>0</v>
      </c>
      <c r="C50" s="11" t="str">
        <f ca="1"/>
        <v/>
      </c>
      <c r="G50" s="11" t="str">
        <f ca="1"/>
        <v>"-381177.605851047",27724</v>
      </c>
      <c r="I50" s="11" t="str">
        <f ca="1"/>
        <v>False</v>
      </c>
      <c r="J50" s="11" t="str">
        <f ca="1"/>
        <v/>
      </c>
      <c r="L50" s="11" t="b">
        <f ca="1"/>
        <v>0</v>
      </c>
      <c r="M50" s="11" t="str">
        <f ca="1"/>
        <v/>
      </c>
      <c r="O50" s="13" t="b">
        <f ca="1"/>
        <v>1</v>
      </c>
      <c r="P50" s="13" t="b">
        <f ca="1"/>
        <v>1</v>
      </c>
    </row>
    <row r="51" spans="2:16" x14ac:dyDescent="0.45">
      <c r="B51" s="11" t="str">
        <f ca="1"/>
        <v xml:space="preserve">Here's a carriage return (ascii 13):_x000D_and here's a line feed (ascii 10):
and here's both together:_x000D_
</v>
      </c>
      <c r="C51" s="11" t="e">
        <f ca="1"/>
        <v>#NUM!</v>
      </c>
      <c r="G51" s="11" t="str">
        <f ca="1"/>
        <v>"PV?rfUHb0'7ev","2049-Feb-23"</v>
      </c>
      <c r="I51" s="11" t="str">
        <f ca="1"/>
        <v xml:space="preserve">Here's a carriage return (ascii 13):_x000D_and here's a line feed (ascii 10):
and here's both together:_x000D_
</v>
      </c>
      <c r="J51" s="11" t="str">
        <f ca="1"/>
        <v>#NUM!</v>
      </c>
      <c r="L51" s="11" t="str">
        <f ca="1"/>
        <v xml:space="preserve">Here's a carriage return (ascii 13):_x000D_and here's a line feed (ascii 10):
and here's both together:_x000D_
</v>
      </c>
      <c r="M51" s="11" t="e">
        <f ca="1"/>
        <v>#NUM!</v>
      </c>
      <c r="O51" s="13" t="b">
        <f ca="1"/>
        <v>1</v>
      </c>
      <c r="P51" s="13" t="b">
        <f ca="1"/>
        <v>1</v>
      </c>
    </row>
    <row r="52" spans="2:16" x14ac:dyDescent="0.45">
      <c r="B52" s="11" t="b">
        <f ca="1"/>
        <v>0</v>
      </c>
      <c r="C52" s="11" t="str">
        <f ca="1"/>
        <v/>
      </c>
      <c r="G52" s="11" t="str">
        <f ca="1"/>
        <v>False,""</v>
      </c>
      <c r="I52" s="11" t="str">
        <f ca="1"/>
        <v>False</v>
      </c>
      <c r="J52" s="11" t="str">
        <f ca="1"/>
        <v>#BLOCKED!</v>
      </c>
      <c r="L52" s="11" t="b">
        <f ca="1"/>
        <v>0</v>
      </c>
      <c r="M52" s="11" t="str">
        <f ca="1"/>
        <v/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"Here's a carriage return (ascii 13):</v>
      </c>
    </row>
    <row r="54" spans="2:16" x14ac:dyDescent="0.45">
      <c r="G54" s="11" t="str">
        <f ca="1"/>
        <v>and here's a line feed (ascii 10):</v>
      </c>
    </row>
    <row r="55" spans="2:16" x14ac:dyDescent="0.45">
      <c r="G55" s="11" t="str">
        <f ca="1"/>
        <v>and here's both together:</v>
      </c>
    </row>
    <row r="56" spans="2:16" x14ac:dyDescent="0.45">
      <c r="G56" s="11" t="str">
        <f ca="1"/>
        <v>",#NUM!</v>
      </c>
    </row>
    <row r="57" spans="2:16" x14ac:dyDescent="0.45">
      <c r="G57" s="11" t="str">
        <f ca="1"/>
        <v>False,#BLOCKED!</v>
      </c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119" priority="20">
      <formula>ISLOGICAL(B13)</formula>
    </cfRule>
    <cfRule type="expression" dxfId="118" priority="21">
      <formula>ISNUMBER(B13)</formula>
    </cfRule>
    <cfRule type="expression" dxfId="117" priority="22">
      <formula>OR(ISNUMBER(SEARCH(CHAR(10),B13)),ISNUMBER(SEARCH(CHAR(13),B13)))</formula>
    </cfRule>
    <cfRule type="expression" dxfId="116" priority="23">
      <formula>ISTEXT(B13)</formula>
    </cfRule>
    <cfRule type="expression" dxfId="115" priority="24">
      <formula>ISERROR(B13)</formula>
    </cfRule>
  </conditionalFormatting>
  <conditionalFormatting sqref="I13:J52">
    <cfRule type="expression" dxfId="114" priority="15">
      <formula>ISLOGICAL(I13)</formula>
    </cfRule>
    <cfRule type="expression" dxfId="113" priority="16">
      <formula>ISNUMBER(I13)</formula>
    </cfRule>
    <cfRule type="expression" dxfId="112" priority="17">
      <formula>OR(ISNUMBER(SEARCH(CHAR(10),I13)),ISNUMBER(SEARCH(CHAR(13),I13)))</formula>
    </cfRule>
    <cfRule type="expression" dxfId="111" priority="18">
      <formula>ISTEXT(I13)</formula>
    </cfRule>
    <cfRule type="expression" dxfId="110" priority="19">
      <formula>ISERROR(I13)</formula>
    </cfRule>
  </conditionalFormatting>
  <conditionalFormatting sqref="L13:M52">
    <cfRule type="expression" dxfId="109" priority="10">
      <formula>ISLOGICAL(L13)</formula>
    </cfRule>
    <cfRule type="expression" dxfId="108" priority="11">
      <formula>ISNUMBER(L13)</formula>
    </cfRule>
    <cfRule type="expression" dxfId="107" priority="12">
      <formula>OR(ISNUMBER(SEARCH(CHAR(10),L13)),ISNUMBER(SEARCH(CHAR(13),L13)))</formula>
    </cfRule>
    <cfRule type="expression" dxfId="106" priority="13">
      <formula>ISTEXT(L13)</formula>
    </cfRule>
    <cfRule type="expression" dxfId="105" priority="14">
      <formula>ISERROR(L13)</formula>
    </cfRule>
  </conditionalFormatting>
  <conditionalFormatting sqref="G13:G78">
    <cfRule type="expression" dxfId="104" priority="5">
      <formula>ISLOGICAL(G13)</formula>
    </cfRule>
    <cfRule type="expression" dxfId="103" priority="6">
      <formula>ISNUMBER(G13)</formula>
    </cfRule>
    <cfRule type="expression" dxfId="102" priority="7">
      <formula>OR(ISNUMBER(SEARCH(CHAR(10),G13)),ISNUMBER(SEARCH(CHAR(13),G13)))</formula>
    </cfRule>
    <cfRule type="expression" dxfId="101" priority="8">
      <formula>ISTEXT(G13)</formula>
    </cfRule>
    <cfRule type="expression" dxfId="100" priority="9">
      <formula>ISERROR(G13)</formula>
    </cfRule>
  </conditionalFormatting>
  <conditionalFormatting sqref="O13:P52">
    <cfRule type="cellIs" dxfId="99" priority="3" operator="equal">
      <formula>FALSE</formula>
    </cfRule>
    <cfRule type="cellIs" dxfId="98" priority="4" operator="equal">
      <formula>TRUE</formula>
    </cfRule>
  </conditionalFormatting>
  <conditionalFormatting sqref="O11">
    <cfRule type="cellIs" dxfId="97" priority="1" operator="equal">
      <formula>FALSE</formula>
    </cfRule>
    <cfRule type="cellIs" dxfId="96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Perfromance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441</v>
      </c>
    </row>
    <row r="2" spans="1:12" x14ac:dyDescent="0.45">
      <c r="L2" s="15"/>
    </row>
    <row r="4" spans="1:12" x14ac:dyDescent="0.45">
      <c r="K4" t="s">
        <v>23</v>
      </c>
    </row>
    <row r="5" spans="1:12" ht="28.5" x14ac:dyDescent="0.45">
      <c r="A5" s="16" t="s">
        <v>24</v>
      </c>
      <c r="B5" s="16" t="s">
        <v>25</v>
      </c>
      <c r="C5" s="16" t="s">
        <v>26</v>
      </c>
      <c r="D5" s="16" t="s">
        <v>27</v>
      </c>
      <c r="E5" s="16" t="s">
        <v>28</v>
      </c>
      <c r="F5" s="16" t="s">
        <v>29</v>
      </c>
      <c r="G5" s="16" t="s">
        <v>30</v>
      </c>
      <c r="H5" s="17" t="s">
        <v>31</v>
      </c>
      <c r="I5" s="17" t="s">
        <v>32</v>
      </c>
      <c r="J5" s="17" t="s">
        <v>33</v>
      </c>
      <c r="K5" s="16" t="s">
        <v>34</v>
      </c>
      <c r="L5" s="16" t="s">
        <v>35</v>
      </c>
    </row>
    <row r="6" spans="1:12" x14ac:dyDescent="0.45">
      <c r="A6">
        <f>LEN(B6)</f>
        <v>1</v>
      </c>
      <c r="B6" t="s">
        <v>36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37</v>
      </c>
      <c r="L6" s="15">
        <v>3</v>
      </c>
    </row>
    <row r="7" spans="1:12" x14ac:dyDescent="0.45">
      <c r="A7">
        <f t="shared" ref="A7:A27" si="0">LEN(B7)</f>
        <v>1</v>
      </c>
      <c r="B7" t="s">
        <v>36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38</v>
      </c>
      <c r="L7" s="15">
        <v>6</v>
      </c>
    </row>
    <row r="8" spans="1:12" x14ac:dyDescent="0.45">
      <c r="A8">
        <f t="shared" si="0"/>
        <v>1</v>
      </c>
      <c r="B8" t="s">
        <v>36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39</v>
      </c>
      <c r="L8" s="15">
        <v>12</v>
      </c>
    </row>
    <row r="9" spans="1:12" x14ac:dyDescent="0.45">
      <c r="A9">
        <f t="shared" si="0"/>
        <v>1</v>
      </c>
      <c r="B9" t="s">
        <v>36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40</v>
      </c>
      <c r="L9" s="15">
        <v>24</v>
      </c>
    </row>
    <row r="10" spans="1:12" x14ac:dyDescent="0.45">
      <c r="A10">
        <f t="shared" si="0"/>
        <v>1</v>
      </c>
      <c r="B10" t="s">
        <v>36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41</v>
      </c>
      <c r="L10" s="15">
        <v>48</v>
      </c>
    </row>
    <row r="11" spans="1:12" x14ac:dyDescent="0.45">
      <c r="A11">
        <f t="shared" si="0"/>
        <v>1</v>
      </c>
      <c r="B11" t="s">
        <v>36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42</v>
      </c>
      <c r="L11" s="15">
        <v>96</v>
      </c>
    </row>
    <row r="12" spans="1:12" x14ac:dyDescent="0.45">
      <c r="A12">
        <f t="shared" si="0"/>
        <v>1</v>
      </c>
      <c r="B12" t="s">
        <v>36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43</v>
      </c>
      <c r="L12" s="15">
        <v>192</v>
      </c>
    </row>
    <row r="13" spans="1:12" x14ac:dyDescent="0.45">
      <c r="A13">
        <f t="shared" si="0"/>
        <v>1</v>
      </c>
      <c r="B13" t="s">
        <v>36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44</v>
      </c>
      <c r="L13" s="15">
        <v>384</v>
      </c>
    </row>
    <row r="14" spans="1:12" x14ac:dyDescent="0.45">
      <c r="A14">
        <f t="shared" si="0"/>
        <v>1</v>
      </c>
      <c r="B14" t="s">
        <v>36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45</v>
      </c>
      <c r="L14" s="15">
        <v>768</v>
      </c>
    </row>
    <row r="15" spans="1:12" x14ac:dyDescent="0.45">
      <c r="A15">
        <f t="shared" si="0"/>
        <v>1</v>
      </c>
      <c r="B15" t="s">
        <v>36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46</v>
      </c>
      <c r="L15" s="15">
        <v>1536</v>
      </c>
    </row>
    <row r="16" spans="1:12" x14ac:dyDescent="0.45">
      <c r="A16">
        <f t="shared" si="0"/>
        <v>1</v>
      </c>
      <c r="B16" t="s">
        <v>36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47</v>
      </c>
      <c r="L16" s="15">
        <v>3072</v>
      </c>
    </row>
    <row r="17" spans="1:12" x14ac:dyDescent="0.45">
      <c r="A17">
        <f t="shared" si="0"/>
        <v>1</v>
      </c>
      <c r="B17" t="s">
        <v>36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48</v>
      </c>
      <c r="L17" s="15">
        <v>6144</v>
      </c>
    </row>
    <row r="18" spans="1:12" x14ac:dyDescent="0.45">
      <c r="A18">
        <f t="shared" si="0"/>
        <v>1</v>
      </c>
      <c r="B18" t="s">
        <v>36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49</v>
      </c>
      <c r="L18" s="15">
        <v>12288</v>
      </c>
    </row>
    <row r="19" spans="1:12" x14ac:dyDescent="0.45">
      <c r="A19">
        <f t="shared" si="0"/>
        <v>1</v>
      </c>
      <c r="B19" t="s">
        <v>36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50</v>
      </c>
      <c r="L19" s="15">
        <v>24576</v>
      </c>
    </row>
    <row r="20" spans="1:12" x14ac:dyDescent="0.45">
      <c r="A20">
        <f t="shared" si="0"/>
        <v>1</v>
      </c>
      <c r="B20" t="s">
        <v>36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51</v>
      </c>
      <c r="L20" s="15">
        <v>49152</v>
      </c>
    </row>
    <row r="21" spans="1:12" x14ac:dyDescent="0.45">
      <c r="A21">
        <f t="shared" si="0"/>
        <v>1</v>
      </c>
      <c r="B21" t="s">
        <v>36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52</v>
      </c>
      <c r="L21" s="15">
        <v>98304</v>
      </c>
    </row>
    <row r="22" spans="1:12" x14ac:dyDescent="0.45">
      <c r="A22">
        <f t="shared" si="0"/>
        <v>1</v>
      </c>
      <c r="B22" t="s">
        <v>36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53</v>
      </c>
      <c r="L22" s="15">
        <v>196608</v>
      </c>
    </row>
    <row r="23" spans="1:12" x14ac:dyDescent="0.45">
      <c r="A23">
        <f t="shared" si="0"/>
        <v>1</v>
      </c>
      <c r="B23" t="s">
        <v>36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54</v>
      </c>
      <c r="L23" s="15">
        <v>393216</v>
      </c>
    </row>
    <row r="24" spans="1:12" x14ac:dyDescent="0.45">
      <c r="A24">
        <f t="shared" si="0"/>
        <v>1</v>
      </c>
      <c r="B24" t="s">
        <v>36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55</v>
      </c>
      <c r="L24" s="15">
        <v>786432</v>
      </c>
    </row>
    <row r="25" spans="1:12" x14ac:dyDescent="0.45">
      <c r="A25">
        <f t="shared" si="0"/>
        <v>1</v>
      </c>
      <c r="B25" t="s">
        <v>36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56</v>
      </c>
      <c r="L25" s="15">
        <v>1572864</v>
      </c>
    </row>
    <row r="26" spans="1:12" x14ac:dyDescent="0.45">
      <c r="A26">
        <f t="shared" si="0"/>
        <v>1</v>
      </c>
      <c r="B26" t="s">
        <v>36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57</v>
      </c>
      <c r="L26" s="15">
        <v>3145728</v>
      </c>
    </row>
    <row r="27" spans="1:12" x14ac:dyDescent="0.45">
      <c r="A27">
        <f t="shared" si="0"/>
        <v>1</v>
      </c>
      <c r="B27" t="s">
        <v>36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58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59</v>
      </c>
    </row>
    <row r="32" spans="1:12" ht="28.5" x14ac:dyDescent="0.45">
      <c r="A32" s="16" t="s">
        <v>24</v>
      </c>
      <c r="B32" s="16" t="s">
        <v>25</v>
      </c>
      <c r="C32" s="16" t="s">
        <v>26</v>
      </c>
      <c r="D32" s="16" t="s">
        <v>27</v>
      </c>
      <c r="E32" s="16" t="s">
        <v>28</v>
      </c>
      <c r="F32" s="16" t="s">
        <v>29</v>
      </c>
      <c r="G32" s="16" t="s">
        <v>30</v>
      </c>
      <c r="H32" s="17" t="s">
        <v>31</v>
      </c>
      <c r="I32" s="17" t="s">
        <v>32</v>
      </c>
      <c r="J32" s="17" t="s">
        <v>33</v>
      </c>
      <c r="K32" s="16" t="s">
        <v>34</v>
      </c>
      <c r="L32" s="16" t="s">
        <v>35</v>
      </c>
    </row>
    <row r="33" spans="1:12" x14ac:dyDescent="0.45">
      <c r="A33">
        <f>LEN(B33)</f>
        <v>32</v>
      </c>
      <c r="B33" t="str">
        <f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60</v>
      </c>
      <c r="L33" s="15">
        <v>34</v>
      </c>
    </row>
    <row r="34" spans="1:12" x14ac:dyDescent="0.45">
      <c r="A34">
        <f t="shared" ref="A34:A53" si="1">LEN(B34)</f>
        <v>32</v>
      </c>
      <c r="B34" t="str">
        <f t="shared" ref="B34:B53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61</v>
      </c>
      <c r="L34" s="15">
        <v>68</v>
      </c>
    </row>
    <row r="35" spans="1:12" x14ac:dyDescent="0.45">
      <c r="A35">
        <f t="shared" si="1"/>
        <v>32</v>
      </c>
      <c r="B35" t="str">
        <f t="shared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62</v>
      </c>
      <c r="L35" s="15">
        <v>136</v>
      </c>
    </row>
    <row r="36" spans="1:12" x14ac:dyDescent="0.45">
      <c r="A36">
        <f t="shared" si="1"/>
        <v>32</v>
      </c>
      <c r="B36" t="str">
        <f t="shared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63</v>
      </c>
      <c r="L36" s="15">
        <v>272</v>
      </c>
    </row>
    <row r="37" spans="1:12" x14ac:dyDescent="0.45">
      <c r="A37">
        <f t="shared" si="1"/>
        <v>32</v>
      </c>
      <c r="B37" t="str">
        <f t="shared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64</v>
      </c>
      <c r="L37" s="15">
        <v>544</v>
      </c>
    </row>
    <row r="38" spans="1:12" x14ac:dyDescent="0.45">
      <c r="A38">
        <f t="shared" si="1"/>
        <v>32</v>
      </c>
      <c r="B38" t="str">
        <f t="shared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65</v>
      </c>
      <c r="L38" s="15">
        <v>1088</v>
      </c>
    </row>
    <row r="39" spans="1:12" x14ac:dyDescent="0.45">
      <c r="A39">
        <f t="shared" si="1"/>
        <v>32</v>
      </c>
      <c r="B39" t="str">
        <f t="shared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66</v>
      </c>
      <c r="L39" s="15">
        <v>2176</v>
      </c>
    </row>
    <row r="40" spans="1:12" x14ac:dyDescent="0.45">
      <c r="A40">
        <f t="shared" si="1"/>
        <v>32</v>
      </c>
      <c r="B40" t="str">
        <f t="shared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67</v>
      </c>
      <c r="L40" s="15">
        <v>4352</v>
      </c>
    </row>
    <row r="41" spans="1:12" x14ac:dyDescent="0.45">
      <c r="A41">
        <f t="shared" si="1"/>
        <v>32</v>
      </c>
      <c r="B41" t="str">
        <f t="shared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68</v>
      </c>
      <c r="L41" s="15">
        <v>8704</v>
      </c>
    </row>
    <row r="42" spans="1:12" x14ac:dyDescent="0.45">
      <c r="A42">
        <f t="shared" si="1"/>
        <v>32</v>
      </c>
      <c r="B42" t="str">
        <f t="shared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69</v>
      </c>
      <c r="L42" s="15">
        <v>17408</v>
      </c>
    </row>
    <row r="43" spans="1:12" x14ac:dyDescent="0.45">
      <c r="A43">
        <f t="shared" si="1"/>
        <v>32</v>
      </c>
      <c r="B43" t="str">
        <f t="shared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70</v>
      </c>
      <c r="L43" s="15">
        <v>34816</v>
      </c>
    </row>
    <row r="44" spans="1:12" x14ac:dyDescent="0.45">
      <c r="A44">
        <f t="shared" si="1"/>
        <v>32</v>
      </c>
      <c r="B44" t="str">
        <f t="shared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71</v>
      </c>
      <c r="L44" s="15">
        <v>69632</v>
      </c>
    </row>
    <row r="45" spans="1:12" x14ac:dyDescent="0.45">
      <c r="A45">
        <f t="shared" si="1"/>
        <v>32</v>
      </c>
      <c r="B45" t="str">
        <f t="shared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72</v>
      </c>
      <c r="L45" s="15">
        <v>139264</v>
      </c>
    </row>
    <row r="46" spans="1:12" x14ac:dyDescent="0.45">
      <c r="A46">
        <f t="shared" si="1"/>
        <v>32</v>
      </c>
      <c r="B46" t="str">
        <f t="shared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73</v>
      </c>
      <c r="L46" s="15">
        <v>278528</v>
      </c>
    </row>
    <row r="47" spans="1:12" x14ac:dyDescent="0.45">
      <c r="A47">
        <f t="shared" si="1"/>
        <v>32</v>
      </c>
      <c r="B47" t="str">
        <f t="shared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74</v>
      </c>
      <c r="L47" s="15">
        <v>557056</v>
      </c>
    </row>
    <row r="48" spans="1:12" x14ac:dyDescent="0.45">
      <c r="A48">
        <f t="shared" si="1"/>
        <v>32</v>
      </c>
      <c r="B48" t="str">
        <f t="shared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75</v>
      </c>
      <c r="L48" s="15">
        <v>1114112</v>
      </c>
    </row>
    <row r="49" spans="1:12" x14ac:dyDescent="0.45">
      <c r="A49">
        <f t="shared" si="1"/>
        <v>32</v>
      </c>
      <c r="B49" t="str">
        <f t="shared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76</v>
      </c>
      <c r="L49" s="15">
        <v>2228224</v>
      </c>
    </row>
    <row r="50" spans="1:12" x14ac:dyDescent="0.45">
      <c r="A50">
        <f t="shared" si="1"/>
        <v>32</v>
      </c>
      <c r="B50" t="str">
        <f t="shared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77</v>
      </c>
      <c r="L50" s="15">
        <v>4456448</v>
      </c>
    </row>
    <row r="51" spans="1:12" x14ac:dyDescent="0.45">
      <c r="A51">
        <f t="shared" si="1"/>
        <v>32</v>
      </c>
      <c r="B51" t="str">
        <f t="shared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78</v>
      </c>
      <c r="L51" s="15">
        <v>8912896</v>
      </c>
    </row>
    <row r="52" spans="1:12" x14ac:dyDescent="0.45">
      <c r="A52">
        <f t="shared" si="1"/>
        <v>32</v>
      </c>
      <c r="B52" t="str">
        <f t="shared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79</v>
      </c>
      <c r="L52" s="15">
        <v>17825792</v>
      </c>
    </row>
    <row r="53" spans="1:12" x14ac:dyDescent="0.45">
      <c r="A53">
        <f t="shared" si="1"/>
        <v>32</v>
      </c>
      <c r="B53" t="str">
        <f t="shared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80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81</v>
      </c>
    </row>
    <row r="59" spans="1:12" ht="28.5" x14ac:dyDescent="0.45">
      <c r="A59" s="16" t="s">
        <v>24</v>
      </c>
      <c r="B59" s="16" t="s">
        <v>25</v>
      </c>
      <c r="C59" s="16" t="s">
        <v>26</v>
      </c>
      <c r="D59" s="16" t="s">
        <v>27</v>
      </c>
      <c r="E59" s="16" t="s">
        <v>28</v>
      </c>
      <c r="F59" s="16" t="s">
        <v>29</v>
      </c>
      <c r="G59" s="16" t="s">
        <v>30</v>
      </c>
      <c r="H59" s="17" t="s">
        <v>31</v>
      </c>
      <c r="I59" s="17" t="s">
        <v>32</v>
      </c>
      <c r="J59" s="17" t="s">
        <v>33</v>
      </c>
      <c r="K59" s="16" t="s">
        <v>34</v>
      </c>
      <c r="L59" s="16" t="s">
        <v>35</v>
      </c>
    </row>
    <row r="60" spans="1:12" x14ac:dyDescent="0.45">
      <c r="A60">
        <f>LEN(B60)</f>
        <v>20</v>
      </c>
      <c r="B60" t="str">
        <f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82</v>
      </c>
      <c r="L60" s="15">
        <v>22</v>
      </c>
    </row>
    <row r="61" spans="1:12" x14ac:dyDescent="0.45">
      <c r="A61">
        <f t="shared" ref="A61:A80" si="3">LEN(B61)</f>
        <v>20</v>
      </c>
      <c r="B61" t="str">
        <f t="shared" ref="B61:B80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83</v>
      </c>
      <c r="L61" s="15">
        <v>44</v>
      </c>
    </row>
    <row r="62" spans="1:12" x14ac:dyDescent="0.45">
      <c r="A62">
        <f t="shared" si="3"/>
        <v>20</v>
      </c>
      <c r="B62" t="str">
        <f t="shared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84</v>
      </c>
      <c r="L62" s="15">
        <v>88</v>
      </c>
    </row>
    <row r="63" spans="1:12" x14ac:dyDescent="0.45">
      <c r="A63">
        <f t="shared" si="3"/>
        <v>20</v>
      </c>
      <c r="B63" t="str">
        <f t="shared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85</v>
      </c>
      <c r="L63" s="15">
        <v>176</v>
      </c>
    </row>
    <row r="64" spans="1:12" x14ac:dyDescent="0.45">
      <c r="A64">
        <f t="shared" si="3"/>
        <v>20</v>
      </c>
      <c r="B64" t="str">
        <f t="shared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86</v>
      </c>
      <c r="L64" s="15">
        <v>352</v>
      </c>
    </row>
    <row r="65" spans="1:12" x14ac:dyDescent="0.45">
      <c r="A65">
        <f t="shared" si="3"/>
        <v>20</v>
      </c>
      <c r="B65" t="str">
        <f t="shared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87</v>
      </c>
      <c r="L65" s="15">
        <v>704</v>
      </c>
    </row>
    <row r="66" spans="1:12" x14ac:dyDescent="0.45">
      <c r="A66">
        <f t="shared" si="3"/>
        <v>20</v>
      </c>
      <c r="B66" t="str">
        <f t="shared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88</v>
      </c>
      <c r="L66" s="15">
        <v>1408</v>
      </c>
    </row>
    <row r="67" spans="1:12" x14ac:dyDescent="0.45">
      <c r="A67">
        <f t="shared" si="3"/>
        <v>20</v>
      </c>
      <c r="B67" t="str">
        <f t="shared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89</v>
      </c>
      <c r="L67" s="15">
        <v>2816</v>
      </c>
    </row>
    <row r="68" spans="1:12" x14ac:dyDescent="0.45">
      <c r="A68">
        <f t="shared" si="3"/>
        <v>20</v>
      </c>
      <c r="B68" t="str">
        <f t="shared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90</v>
      </c>
      <c r="L68" s="15">
        <v>5632</v>
      </c>
    </row>
    <row r="69" spans="1:12" x14ac:dyDescent="0.45">
      <c r="A69">
        <f t="shared" si="3"/>
        <v>20</v>
      </c>
      <c r="B69" t="str">
        <f t="shared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91</v>
      </c>
      <c r="L69" s="15">
        <v>11264</v>
      </c>
    </row>
    <row r="70" spans="1:12" x14ac:dyDescent="0.45">
      <c r="A70">
        <f t="shared" si="3"/>
        <v>20</v>
      </c>
      <c r="B70" t="str">
        <f t="shared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92</v>
      </c>
      <c r="L70" s="15">
        <v>22528</v>
      </c>
    </row>
    <row r="71" spans="1:12" x14ac:dyDescent="0.45">
      <c r="A71">
        <f t="shared" si="3"/>
        <v>20</v>
      </c>
      <c r="B71" t="str">
        <f t="shared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93</v>
      </c>
      <c r="L71" s="15">
        <v>45056</v>
      </c>
    </row>
    <row r="72" spans="1:12" x14ac:dyDescent="0.45">
      <c r="A72">
        <f t="shared" si="3"/>
        <v>20</v>
      </c>
      <c r="B72" t="str">
        <f t="shared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94</v>
      </c>
      <c r="L72" s="15">
        <v>90112</v>
      </c>
    </row>
    <row r="73" spans="1:12" x14ac:dyDescent="0.45">
      <c r="A73">
        <f t="shared" si="3"/>
        <v>20</v>
      </c>
      <c r="B73" t="str">
        <f t="shared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95</v>
      </c>
      <c r="L73" s="15">
        <v>180224</v>
      </c>
    </row>
    <row r="74" spans="1:12" x14ac:dyDescent="0.45">
      <c r="A74">
        <f t="shared" si="3"/>
        <v>20</v>
      </c>
      <c r="B74" t="str">
        <f t="shared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96</v>
      </c>
      <c r="L74" s="15">
        <v>360448</v>
      </c>
    </row>
    <row r="75" spans="1:12" x14ac:dyDescent="0.45">
      <c r="A75">
        <f t="shared" si="3"/>
        <v>20</v>
      </c>
      <c r="B75" t="str">
        <f t="shared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97</v>
      </c>
      <c r="L75" s="15">
        <v>720896</v>
      </c>
    </row>
    <row r="76" spans="1:12" x14ac:dyDescent="0.45">
      <c r="A76">
        <f t="shared" si="3"/>
        <v>20</v>
      </c>
      <c r="B76" t="str">
        <f t="shared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98</v>
      </c>
      <c r="L76" s="15">
        <v>1441792</v>
      </c>
    </row>
    <row r="77" spans="1:12" x14ac:dyDescent="0.45">
      <c r="A77">
        <f t="shared" si="3"/>
        <v>20</v>
      </c>
      <c r="B77" t="str">
        <f t="shared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99</v>
      </c>
      <c r="L77" s="15">
        <v>2883584</v>
      </c>
    </row>
    <row r="78" spans="1:12" x14ac:dyDescent="0.45">
      <c r="A78">
        <f t="shared" si="3"/>
        <v>20</v>
      </c>
      <c r="B78" t="str">
        <f t="shared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100</v>
      </c>
      <c r="L78" s="15">
        <v>5767168</v>
      </c>
    </row>
    <row r="79" spans="1:12" x14ac:dyDescent="0.45">
      <c r="A79">
        <f t="shared" si="3"/>
        <v>20</v>
      </c>
      <c r="B79" t="str">
        <f t="shared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101</v>
      </c>
      <c r="L79" s="15">
        <v>11534336</v>
      </c>
    </row>
    <row r="80" spans="1:12" x14ac:dyDescent="0.45">
      <c r="A80">
        <f t="shared" si="3"/>
        <v>20</v>
      </c>
      <c r="B80" t="str">
        <f t="shared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102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103</v>
      </c>
    </row>
    <row r="86" spans="1:12" ht="28.5" x14ac:dyDescent="0.45">
      <c r="A86" s="16" t="s">
        <v>24</v>
      </c>
      <c r="B86" s="16" t="s">
        <v>25</v>
      </c>
      <c r="C86" s="16" t="s">
        <v>26</v>
      </c>
      <c r="D86" s="16" t="s">
        <v>27</v>
      </c>
      <c r="E86" s="16" t="s">
        <v>28</v>
      </c>
      <c r="F86" s="16" t="s">
        <v>29</v>
      </c>
      <c r="G86" s="16" t="s">
        <v>30</v>
      </c>
      <c r="H86" s="17" t="s">
        <v>31</v>
      </c>
      <c r="I86" s="17" t="s">
        <v>32</v>
      </c>
      <c r="J86" s="17" t="s">
        <v>33</v>
      </c>
      <c r="K86" s="16" t="s">
        <v>34</v>
      </c>
      <c r="L86" s="16" t="s">
        <v>35</v>
      </c>
    </row>
    <row r="87" spans="1:12" x14ac:dyDescent="0.45">
      <c r="A87">
        <f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104</v>
      </c>
      <c r="L87" s="15">
        <v>181</v>
      </c>
    </row>
    <row r="88" spans="1:12" x14ac:dyDescent="0.45">
      <c r="A88">
        <f t="shared" ref="A88:A105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105</v>
      </c>
      <c r="L88" s="15">
        <v>362</v>
      </c>
    </row>
    <row r="89" spans="1:12" x14ac:dyDescent="0.45">
      <c r="A89">
        <f t="shared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106</v>
      </c>
      <c r="L89" s="15">
        <v>724</v>
      </c>
    </row>
    <row r="90" spans="1:12" x14ac:dyDescent="0.45">
      <c r="A90">
        <f t="shared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107</v>
      </c>
      <c r="L90" s="15">
        <v>1448</v>
      </c>
    </row>
    <row r="91" spans="1:12" x14ac:dyDescent="0.45">
      <c r="A91">
        <f t="shared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108</v>
      </c>
      <c r="L91" s="15">
        <v>2896</v>
      </c>
    </row>
    <row r="92" spans="1:12" x14ac:dyDescent="0.45">
      <c r="A92">
        <f t="shared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109</v>
      </c>
      <c r="L92" s="15">
        <v>5792</v>
      </c>
    </row>
    <row r="93" spans="1:12" x14ac:dyDescent="0.45">
      <c r="A93">
        <f t="shared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110</v>
      </c>
      <c r="L93" s="15">
        <v>11584</v>
      </c>
    </row>
    <row r="94" spans="1:12" x14ac:dyDescent="0.45">
      <c r="A94">
        <f t="shared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111</v>
      </c>
      <c r="L94" s="15">
        <v>23168</v>
      </c>
    </row>
    <row r="95" spans="1:12" x14ac:dyDescent="0.45">
      <c r="A95">
        <f t="shared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112</v>
      </c>
      <c r="L95" s="15">
        <v>46336</v>
      </c>
    </row>
    <row r="96" spans="1:12" x14ac:dyDescent="0.45">
      <c r="A96">
        <f t="shared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113</v>
      </c>
      <c r="L96" s="15">
        <v>92672</v>
      </c>
    </row>
    <row r="97" spans="1:12" x14ac:dyDescent="0.45">
      <c r="A97">
        <f t="shared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114</v>
      </c>
      <c r="L97" s="15">
        <v>185344</v>
      </c>
    </row>
    <row r="98" spans="1:12" x14ac:dyDescent="0.45">
      <c r="A98">
        <f t="shared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115</v>
      </c>
      <c r="L98" s="15">
        <v>370688</v>
      </c>
    </row>
    <row r="99" spans="1:12" x14ac:dyDescent="0.45">
      <c r="A99">
        <f t="shared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116</v>
      </c>
      <c r="L99" s="15">
        <v>741376</v>
      </c>
    </row>
    <row r="100" spans="1:12" x14ac:dyDescent="0.45">
      <c r="A100">
        <f t="shared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117</v>
      </c>
      <c r="L100" s="15">
        <v>1482752</v>
      </c>
    </row>
    <row r="101" spans="1:12" x14ac:dyDescent="0.45">
      <c r="A101">
        <f t="shared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118</v>
      </c>
      <c r="L101" s="15">
        <v>2965504</v>
      </c>
    </row>
    <row r="102" spans="1:12" x14ac:dyDescent="0.45">
      <c r="A102">
        <f t="shared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119</v>
      </c>
      <c r="L102" s="15">
        <v>5931008</v>
      </c>
    </row>
    <row r="103" spans="1:12" x14ac:dyDescent="0.45">
      <c r="A103">
        <f t="shared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120</v>
      </c>
      <c r="L103" s="15">
        <v>11862016</v>
      </c>
    </row>
    <row r="104" spans="1:12" x14ac:dyDescent="0.45">
      <c r="A104">
        <f t="shared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121</v>
      </c>
      <c r="L104" s="15">
        <v>23724032</v>
      </c>
    </row>
    <row r="105" spans="1:12" x14ac:dyDescent="0.45">
      <c r="A105">
        <f t="shared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122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</row>
    <row r="113" spans="1:12" ht="28.5" x14ac:dyDescent="0.45">
      <c r="A113" s="16" t="s">
        <v>24</v>
      </c>
      <c r="B113" s="16" t="s">
        <v>25</v>
      </c>
      <c r="C113" s="16" t="s">
        <v>26</v>
      </c>
      <c r="D113" s="16" t="s">
        <v>27</v>
      </c>
      <c r="E113" s="16" t="s">
        <v>28</v>
      </c>
      <c r="F113" s="16" t="s">
        <v>29</v>
      </c>
      <c r="G113" s="16" t="s">
        <v>30</v>
      </c>
      <c r="H113" s="17" t="s">
        <v>31</v>
      </c>
      <c r="I113" s="17" t="s">
        <v>32</v>
      </c>
      <c r="J113" s="17" t="s">
        <v>33</v>
      </c>
      <c r="K113" s="16" t="s">
        <v>34</v>
      </c>
      <c r="L113" s="16" t="s">
        <v>35</v>
      </c>
    </row>
    <row r="114" spans="1:12" x14ac:dyDescent="0.45">
      <c r="A114">
        <f>LEN(B114)</f>
        <v>16</v>
      </c>
      <c r="B114" t="str">
        <f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123</v>
      </c>
      <c r="L114" s="15">
        <v>144</v>
      </c>
    </row>
    <row r="115" spans="1:12" x14ac:dyDescent="0.45">
      <c r="A115">
        <f t="shared" ref="A115:A127" si="6">LEN(B115)</f>
        <v>16</v>
      </c>
      <c r="B115" t="str">
        <f t="shared" ref="B115:B127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124</v>
      </c>
      <c r="L115" s="15">
        <v>280</v>
      </c>
    </row>
    <row r="116" spans="1:12" x14ac:dyDescent="0.45">
      <c r="A116">
        <f t="shared" si="6"/>
        <v>16</v>
      </c>
      <c r="B116" t="str">
        <f t="shared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125</v>
      </c>
      <c r="L116" s="15">
        <v>552</v>
      </c>
    </row>
    <row r="117" spans="1:12" x14ac:dyDescent="0.45">
      <c r="A117">
        <f t="shared" si="6"/>
        <v>16</v>
      </c>
      <c r="B117" t="str">
        <f t="shared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126</v>
      </c>
      <c r="L117" s="15">
        <v>1096</v>
      </c>
    </row>
    <row r="118" spans="1:12" x14ac:dyDescent="0.45">
      <c r="A118">
        <f t="shared" si="6"/>
        <v>16</v>
      </c>
      <c r="B118" t="str">
        <f t="shared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127</v>
      </c>
      <c r="L118" s="15">
        <v>2184</v>
      </c>
    </row>
    <row r="119" spans="1:12" x14ac:dyDescent="0.45">
      <c r="A119">
        <f t="shared" si="6"/>
        <v>16</v>
      </c>
      <c r="B119" t="str">
        <f t="shared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128</v>
      </c>
      <c r="L119" s="15">
        <v>4360</v>
      </c>
    </row>
    <row r="120" spans="1:12" x14ac:dyDescent="0.45">
      <c r="A120">
        <f t="shared" si="6"/>
        <v>16</v>
      </c>
      <c r="B120" t="str">
        <f t="shared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129</v>
      </c>
      <c r="L120" s="15">
        <v>8712</v>
      </c>
    </row>
    <row r="121" spans="1:12" x14ac:dyDescent="0.45">
      <c r="A121">
        <f t="shared" si="6"/>
        <v>16</v>
      </c>
      <c r="B121" t="str">
        <f t="shared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130</v>
      </c>
      <c r="L121" s="15">
        <v>17416</v>
      </c>
    </row>
    <row r="122" spans="1:12" x14ac:dyDescent="0.45">
      <c r="A122">
        <f t="shared" si="6"/>
        <v>16</v>
      </c>
      <c r="B122" t="str">
        <f t="shared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131</v>
      </c>
      <c r="L122" s="15">
        <v>34824</v>
      </c>
    </row>
    <row r="123" spans="1:12" x14ac:dyDescent="0.45">
      <c r="A123">
        <f t="shared" si="6"/>
        <v>16</v>
      </c>
      <c r="B123" t="str">
        <f t="shared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132</v>
      </c>
      <c r="L123" s="15">
        <v>69640</v>
      </c>
    </row>
    <row r="124" spans="1:12" x14ac:dyDescent="0.45">
      <c r="A124">
        <f t="shared" si="6"/>
        <v>16</v>
      </c>
      <c r="B124" t="str">
        <f t="shared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133</v>
      </c>
      <c r="L124" s="15">
        <v>139272</v>
      </c>
    </row>
    <row r="125" spans="1:12" x14ac:dyDescent="0.45">
      <c r="A125">
        <f t="shared" si="6"/>
        <v>16</v>
      </c>
      <c r="B125" t="str">
        <f t="shared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134</v>
      </c>
      <c r="L125" s="15">
        <v>278536</v>
      </c>
    </row>
    <row r="126" spans="1:12" x14ac:dyDescent="0.45">
      <c r="A126">
        <f t="shared" si="6"/>
        <v>16</v>
      </c>
      <c r="B126" t="str">
        <f t="shared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135</v>
      </c>
      <c r="L126" s="15">
        <v>557064</v>
      </c>
    </row>
    <row r="127" spans="1:12" x14ac:dyDescent="0.45">
      <c r="A127">
        <f t="shared" si="6"/>
        <v>16</v>
      </c>
      <c r="B127" t="str">
        <f t="shared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136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137</v>
      </c>
    </row>
    <row r="140" spans="1:12" ht="28.5" x14ac:dyDescent="0.45">
      <c r="A140" s="16" t="s">
        <v>24</v>
      </c>
      <c r="B140" s="16" t="s">
        <v>25</v>
      </c>
      <c r="C140" s="16" t="s">
        <v>26</v>
      </c>
      <c r="D140" s="16" t="s">
        <v>27</v>
      </c>
      <c r="E140" s="16" t="s">
        <v>28</v>
      </c>
      <c r="F140" s="16" t="s">
        <v>29</v>
      </c>
      <c r="G140" s="16" t="s">
        <v>30</v>
      </c>
      <c r="H140" s="17" t="s">
        <v>31</v>
      </c>
      <c r="I140" s="17" t="s">
        <v>32</v>
      </c>
      <c r="J140" s="17" t="s">
        <v>33</v>
      </c>
      <c r="K140" s="16" t="s">
        <v>34</v>
      </c>
      <c r="L140" s="16" t="s">
        <v>35</v>
      </c>
    </row>
    <row r="141" spans="1:12" x14ac:dyDescent="0.45">
      <c r="A141" cm="1">
        <f t="array" ref="A141:A155">LEN(B141:B155)</f>
        <v>1</v>
      </c>
      <c r="B141" t="s">
        <v>36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138</v>
      </c>
      <c r="L141" s="15">
        <v>17408</v>
      </c>
    </row>
    <row r="142" spans="1:12" x14ac:dyDescent="0.45">
      <c r="A142">
        <v>2</v>
      </c>
      <c r="B142" t="s">
        <v>139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140</v>
      </c>
      <c r="L142" s="15">
        <v>25600</v>
      </c>
    </row>
    <row r="143" spans="1:12" x14ac:dyDescent="0.45">
      <c r="A143">
        <v>4</v>
      </c>
      <c r="B143" t="s">
        <v>141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142</v>
      </c>
      <c r="L143" s="15">
        <v>41984</v>
      </c>
    </row>
    <row r="144" spans="1:12" x14ac:dyDescent="0.45">
      <c r="A144">
        <v>8</v>
      </c>
      <c r="B144" t="s">
        <v>143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144</v>
      </c>
      <c r="L144" s="15">
        <v>74752</v>
      </c>
    </row>
    <row r="145" spans="1:12" x14ac:dyDescent="0.45">
      <c r="A145">
        <v>16</v>
      </c>
      <c r="B145" t="s">
        <v>145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146</v>
      </c>
      <c r="L145" s="15">
        <v>140288</v>
      </c>
    </row>
    <row r="146" spans="1:12" x14ac:dyDescent="0.45">
      <c r="A146">
        <v>32</v>
      </c>
      <c r="B146" t="s">
        <v>147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148</v>
      </c>
      <c r="L146" s="15">
        <v>271360</v>
      </c>
    </row>
    <row r="147" spans="1:12" x14ac:dyDescent="0.45">
      <c r="A147">
        <v>64</v>
      </c>
      <c r="B147" t="s">
        <v>149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150</v>
      </c>
      <c r="L147" s="15">
        <v>533504</v>
      </c>
    </row>
    <row r="148" spans="1:12" x14ac:dyDescent="0.45">
      <c r="A148">
        <v>128</v>
      </c>
      <c r="B148" t="s">
        <v>151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152</v>
      </c>
      <c r="L148" s="15">
        <v>1057792</v>
      </c>
    </row>
    <row r="149" spans="1:12" x14ac:dyDescent="0.45">
      <c r="A149">
        <v>256</v>
      </c>
      <c r="B149" t="s">
        <v>153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154</v>
      </c>
      <c r="L149" s="15">
        <v>2106368</v>
      </c>
    </row>
    <row r="150" spans="1:12" x14ac:dyDescent="0.45">
      <c r="A150">
        <v>512</v>
      </c>
      <c r="B150" t="s">
        <v>155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156</v>
      </c>
      <c r="L150" s="15">
        <v>4203520</v>
      </c>
    </row>
    <row r="151" spans="1:12" x14ac:dyDescent="0.45">
      <c r="A151">
        <v>1024</v>
      </c>
      <c r="B151" t="s">
        <v>157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158</v>
      </c>
      <c r="L151" s="15">
        <v>8397824</v>
      </c>
    </row>
    <row r="152" spans="1:12" x14ac:dyDescent="0.45">
      <c r="A152">
        <v>2048</v>
      </c>
      <c r="B152" t="s">
        <v>159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160</v>
      </c>
      <c r="L152" s="15">
        <v>16786432</v>
      </c>
    </row>
    <row r="153" spans="1:12" x14ac:dyDescent="0.45">
      <c r="A153">
        <v>4096</v>
      </c>
      <c r="B153" t="s">
        <v>161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162</v>
      </c>
      <c r="L153" s="15">
        <v>33563648</v>
      </c>
    </row>
    <row r="154" spans="1:12" x14ac:dyDescent="0.45">
      <c r="A154">
        <v>8192</v>
      </c>
      <c r="B154" t="s">
        <v>163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164</v>
      </c>
      <c r="L154" s="15">
        <v>67118080</v>
      </c>
    </row>
    <row r="155" spans="1:12" x14ac:dyDescent="0.45">
      <c r="A155">
        <v>16384</v>
      </c>
      <c r="B155" t="s">
        <v>165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166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167</v>
      </c>
    </row>
    <row r="167" spans="1:12" ht="28.5" x14ac:dyDescent="0.45">
      <c r="A167" s="16" t="s">
        <v>24</v>
      </c>
      <c r="B167" s="16" t="s">
        <v>25</v>
      </c>
      <c r="C167" s="16" t="s">
        <v>26</v>
      </c>
      <c r="D167" s="16" t="s">
        <v>27</v>
      </c>
      <c r="E167" s="16" t="s">
        <v>28</v>
      </c>
      <c r="F167" s="16" t="s">
        <v>29</v>
      </c>
      <c r="G167" s="16" t="s">
        <v>30</v>
      </c>
      <c r="H167" s="17" t="s">
        <v>31</v>
      </c>
      <c r="I167" s="17" t="s">
        <v>32</v>
      </c>
      <c r="J167" s="17" t="s">
        <v>33</v>
      </c>
      <c r="K167" s="16" t="s">
        <v>34</v>
      </c>
      <c r="L167" s="16" t="s">
        <v>35</v>
      </c>
    </row>
    <row r="168" spans="1:12" x14ac:dyDescent="0.45">
      <c r="A168">
        <v>3</v>
      </c>
      <c r="B168" t="s">
        <v>168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169</v>
      </c>
      <c r="L168" s="15">
        <v>33792</v>
      </c>
    </row>
    <row r="169" spans="1:12" x14ac:dyDescent="0.45">
      <c r="A169">
        <v>4</v>
      </c>
      <c r="B169" t="s">
        <v>170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142</v>
      </c>
      <c r="L169" s="15">
        <v>41984</v>
      </c>
    </row>
    <row r="170" spans="1:12" x14ac:dyDescent="0.45">
      <c r="A170">
        <v>6</v>
      </c>
      <c r="B170" t="s">
        <v>171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172</v>
      </c>
      <c r="L170" s="15">
        <v>58368</v>
      </c>
    </row>
    <row r="171" spans="1:12" x14ac:dyDescent="0.45">
      <c r="A171">
        <v>10</v>
      </c>
      <c r="B171" t="s">
        <v>173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174</v>
      </c>
      <c r="L171" s="15">
        <v>91136</v>
      </c>
    </row>
    <row r="172" spans="1:12" x14ac:dyDescent="0.45">
      <c r="A172">
        <v>18</v>
      </c>
      <c r="B172" t="s">
        <v>175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176</v>
      </c>
      <c r="L172" s="15">
        <v>156672</v>
      </c>
    </row>
    <row r="173" spans="1:12" x14ac:dyDescent="0.45">
      <c r="A173">
        <v>34</v>
      </c>
      <c r="B173" t="s">
        <v>177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178</v>
      </c>
      <c r="L173" s="15">
        <v>287744</v>
      </c>
    </row>
    <row r="174" spans="1:12" x14ac:dyDescent="0.45">
      <c r="A174">
        <v>66</v>
      </c>
      <c r="B174" t="s">
        <v>179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180</v>
      </c>
      <c r="L174" s="15">
        <v>549888</v>
      </c>
    </row>
    <row r="175" spans="1:12" x14ac:dyDescent="0.45">
      <c r="A175">
        <v>130</v>
      </c>
      <c r="B175" t="s">
        <v>181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182</v>
      </c>
      <c r="L175" s="15">
        <v>1074176</v>
      </c>
    </row>
    <row r="176" spans="1:12" x14ac:dyDescent="0.45">
      <c r="A176">
        <v>258</v>
      </c>
      <c r="B176" t="s">
        <v>183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184</v>
      </c>
      <c r="L176" s="15">
        <v>2122752</v>
      </c>
    </row>
    <row r="177" spans="1:12" x14ac:dyDescent="0.45">
      <c r="A177">
        <v>514</v>
      </c>
      <c r="B177" t="s">
        <v>185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186</v>
      </c>
      <c r="L177" s="15">
        <v>4219904</v>
      </c>
    </row>
    <row r="178" spans="1:12" x14ac:dyDescent="0.45">
      <c r="A178">
        <v>1026</v>
      </c>
      <c r="B178" t="s">
        <v>187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188</v>
      </c>
      <c r="L178" s="15">
        <v>8414208</v>
      </c>
    </row>
    <row r="179" spans="1:12" x14ac:dyDescent="0.45">
      <c r="A179">
        <v>2050</v>
      </c>
      <c r="B179" t="s">
        <v>189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190</v>
      </c>
      <c r="L179" s="15">
        <v>16802816</v>
      </c>
    </row>
    <row r="180" spans="1:12" x14ac:dyDescent="0.45">
      <c r="A180">
        <v>4098</v>
      </c>
      <c r="B180" t="s">
        <v>191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192</v>
      </c>
      <c r="L180" s="15">
        <v>33580032</v>
      </c>
    </row>
    <row r="181" spans="1:12" x14ac:dyDescent="0.45">
      <c r="A181">
        <v>8194</v>
      </c>
      <c r="B181" t="s">
        <v>193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194</v>
      </c>
      <c r="L181" s="15">
        <v>67134464</v>
      </c>
    </row>
    <row r="182" spans="1:12" x14ac:dyDescent="0.45">
      <c r="A182">
        <v>16386</v>
      </c>
      <c r="B182" t="s">
        <v>195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196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ConvertTypes"/>
  <dimension ref="B1:AK30"/>
  <sheetViews>
    <sheetView showGridLines="0" showRowColHeaders="0" workbookViewId="0"/>
  </sheetViews>
  <sheetFormatPr defaultRowHeight="14.25" x14ac:dyDescent="0.45"/>
  <cols>
    <col min="1" max="1" width="1.59765625" customWidth="1"/>
    <col min="3" max="3" width="11" bestFit="1" customWidth="1"/>
    <col min="4" max="4" width="1.59765625" customWidth="1"/>
    <col min="5" max="5" width="9.9296875" bestFit="1" customWidth="1"/>
    <col min="6" max="6" width="1.59765625" customWidth="1"/>
    <col min="7" max="7" width="9.9296875" bestFit="1" customWidth="1"/>
    <col min="8" max="8" width="1.59765625" customWidth="1"/>
    <col min="9" max="9" width="9.9296875" bestFit="1" customWidth="1"/>
    <col min="10" max="10" width="1.59765625" customWidth="1"/>
    <col min="11" max="11" width="9.9296875" bestFit="1" customWidth="1"/>
    <col min="12" max="12" width="1.59765625" customWidth="1"/>
    <col min="13" max="13" width="9.9296875" bestFit="1" customWidth="1"/>
    <col min="14" max="14" width="1.59765625" customWidth="1"/>
    <col min="15" max="15" width="9.9296875" bestFit="1" customWidth="1"/>
    <col min="16" max="16" width="1.59765625" customWidth="1"/>
    <col min="17" max="17" width="9.9296875" bestFit="1" customWidth="1"/>
    <col min="18" max="18" width="1.59765625" customWidth="1"/>
    <col min="19" max="19" width="9.9296875" bestFit="1" customWidth="1"/>
    <col min="20" max="20" width="1.59765625" customWidth="1"/>
    <col min="21" max="21" width="9.9296875" bestFit="1" customWidth="1"/>
    <col min="22" max="22" width="1.59765625" customWidth="1"/>
    <col min="23" max="23" width="9.9296875" bestFit="1" customWidth="1"/>
    <col min="24" max="24" width="1.59765625" customWidth="1"/>
    <col min="25" max="25" width="9.9296875" bestFit="1" customWidth="1"/>
    <col min="26" max="26" width="1.59765625" customWidth="1"/>
    <col min="27" max="27" width="9.9296875" bestFit="1" customWidth="1"/>
    <col min="28" max="28" width="1.59765625" customWidth="1"/>
    <col min="29" max="29" width="9.9296875" bestFit="1" customWidth="1"/>
    <col min="30" max="30" width="1.59765625" customWidth="1"/>
    <col min="31" max="31" width="9.9296875" bestFit="1" customWidth="1"/>
    <col min="32" max="32" width="1.59765625" customWidth="1"/>
    <col min="33" max="33" width="9.9296875" bestFit="1" customWidth="1"/>
    <col min="34" max="34" width="1.59765625" customWidth="1"/>
    <col min="35" max="35" width="9.9296875" bestFit="1" customWidth="1"/>
    <col min="36" max="36" width="1.59765625" customWidth="1"/>
    <col min="37" max="37" width="9.9296875" bestFit="1" customWidth="1"/>
  </cols>
  <sheetData>
    <row r="1" spans="2:11" ht="28.5" x14ac:dyDescent="0.85">
      <c r="B1" s="14" t="s">
        <v>437</v>
      </c>
    </row>
    <row r="3" spans="2:11" x14ac:dyDescent="0.45">
      <c r="B3" s="3" t="s">
        <v>436</v>
      </c>
      <c r="E3" s="3" t="s">
        <v>2</v>
      </c>
    </row>
    <row r="4" spans="2:11" x14ac:dyDescent="0.45">
      <c r="B4" s="13" t="str" cm="1">
        <f t="array" ref="B4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  <c r="K4" s="4"/>
    </row>
    <row r="5" spans="2:11" x14ac:dyDescent="0.45">
      <c r="B5" s="41" t="s">
        <v>202</v>
      </c>
      <c r="C5" s="41">
        <f ca="1">TODAY()</f>
        <v>44426</v>
      </c>
      <c r="E5" s="10" t="s">
        <v>440</v>
      </c>
      <c r="F5" s="10"/>
      <c r="G5" s="10"/>
      <c r="H5" s="10"/>
      <c r="I5" s="10"/>
      <c r="J5" s="10"/>
      <c r="K5" s="10"/>
    </row>
    <row r="6" spans="2:11" x14ac:dyDescent="0.45">
      <c r="B6" s="13" t="str" cm="1">
        <f t="array" ref="B6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  <c r="K6" s="9"/>
    </row>
    <row r="7" spans="2:11" x14ac:dyDescent="0.45">
      <c r="B7" s="13" t="str" cm="1">
        <f t="array" ref="B7">_xlfn.IFS(ISNUMBER(C7),"Number",ISTEXT(C7),"String",ISLOGICAL(C7),"Boolean",ISERROR(C7),"Error")</f>
        <v>Error</v>
      </c>
      <c r="C7" s="13" t="e">
        <f>1/0</f>
        <v>#DIV/0!</v>
      </c>
      <c r="E7" s="6" t="s">
        <v>6</v>
      </c>
      <c r="F7" s="6"/>
      <c r="G7" s="6"/>
      <c r="H7" s="6"/>
      <c r="I7" s="6"/>
      <c r="J7" s="6"/>
      <c r="K7" s="6"/>
    </row>
    <row r="8" spans="2:11" x14ac:dyDescent="0.45">
      <c r="B8" s="13" t="str" cm="1">
        <f t="array" ref="B8">_xlfn.IFS(ISNUMBER(C8),"Number",ISTEXT(C8),"String",ISLOGICAL(C8),"Boolean",ISERROR(C8),"Error")</f>
        <v>String</v>
      </c>
      <c r="C8" s="13" t="s">
        <v>415</v>
      </c>
      <c r="E8" s="8" t="s">
        <v>439</v>
      </c>
      <c r="F8" s="8"/>
      <c r="G8" s="8"/>
      <c r="H8" s="8"/>
      <c r="I8" s="8"/>
      <c r="J8" s="8"/>
      <c r="K8" s="8"/>
    </row>
    <row r="9" spans="2:11" x14ac:dyDescent="0.45">
      <c r="B9" s="13" t="s">
        <v>6</v>
      </c>
      <c r="C9" s="13" t="s">
        <v>419</v>
      </c>
    </row>
    <row r="10" spans="2:11" x14ac:dyDescent="0.45">
      <c r="B10" s="13" t="str" cm="1">
        <f t="array" ref="B10">_xlfn.IFS(ISNUMBER(C10),"Number",ISTEXT(C10),"String",ISLOGICAL(C10),"Boolean",ISERROR(C10),"Error")</f>
        <v>String</v>
      </c>
      <c r="C10" s="13" t="s">
        <v>416</v>
      </c>
    </row>
    <row r="11" spans="2:11" x14ac:dyDescent="0.45">
      <c r="B11" s="13" t="str" cm="1">
        <f t="array" ref="B11">_xlfn.IFS(ISNUMBER(C11),"Number",ISTEXT(C11),"String",ISLOGICAL(C11),"Boolean",ISERROR(C11),"Error")</f>
        <v>String</v>
      </c>
      <c r="C11" s="13" t="s">
        <v>418</v>
      </c>
    </row>
    <row r="12" spans="2:11" x14ac:dyDescent="0.45">
      <c r="B12" s="13" t="str" cm="1">
        <f t="array" ref="B12">_xlfn.IFS(ISNUMBER(C12),"Number",ISTEXT(C12),"String",ISLOGICAL(C12),"Boolean",ISERROR(C12),"Error")</f>
        <v>String</v>
      </c>
      <c r="C12" s="13" t="s">
        <v>417</v>
      </c>
    </row>
    <row r="13" spans="2:11" x14ac:dyDescent="0.45">
      <c r="B13" s="13" t="str" cm="1">
        <f t="array" ref="B13">_xlfn.IFS(ISNUMBER(C13),"Number",ISTEXT(C13),"String",ISLOGICAL(C13),"Boolean",ISERROR(C13),"Error")</f>
        <v>String</v>
      </c>
      <c r="C13" s="13" t="s">
        <v>422</v>
      </c>
    </row>
    <row r="15" spans="2:11" x14ac:dyDescent="0.45">
      <c r="B15" s="3" t="s">
        <v>435</v>
      </c>
    </row>
    <row r="16" spans="2:11" x14ac:dyDescent="0.45">
      <c r="B16" t="s">
        <v>3</v>
      </c>
      <c r="C16" t="str" cm="1">
        <f t="array" aca="1" ref="C16" ca="1">CSVWrite(TempFolder()&amp;"\ConvertTypesTest.csv",Data)</f>
        <v>C:\Users\phili\AppData\Local\Temp\ConvertTypesTest.csv</v>
      </c>
    </row>
    <row r="18" spans="2:37" x14ac:dyDescent="0.45">
      <c r="B18" s="3" t="s">
        <v>438</v>
      </c>
    </row>
    <row r="19" spans="2:37" x14ac:dyDescent="0.45">
      <c r="D19" s="44"/>
      <c r="E19" s="12" t="b">
        <v>1</v>
      </c>
      <c r="F19" s="42"/>
      <c r="G19" s="12" t="b">
        <v>0</v>
      </c>
      <c r="H19" s="43"/>
      <c r="I19" s="13" t="s">
        <v>410</v>
      </c>
      <c r="J19" s="42"/>
      <c r="K19" s="12" t="s">
        <v>423</v>
      </c>
      <c r="L19" s="43"/>
      <c r="M19" s="12" t="s">
        <v>424</v>
      </c>
      <c r="N19" s="43"/>
      <c r="O19" s="13" t="s">
        <v>425</v>
      </c>
      <c r="P19" s="42"/>
      <c r="Q19" s="13" t="s">
        <v>426</v>
      </c>
      <c r="R19" s="42"/>
      <c r="S19" s="13" t="s">
        <v>427</v>
      </c>
      <c r="T19" s="42"/>
      <c r="U19" s="13" t="s">
        <v>428</v>
      </c>
      <c r="V19" s="42"/>
      <c r="W19" s="13" t="s">
        <v>429</v>
      </c>
      <c r="X19" s="42"/>
      <c r="Y19" s="13" t="s">
        <v>430</v>
      </c>
      <c r="Z19" s="42"/>
      <c r="AA19" s="13" t="s" cm="1">
        <v>431</v>
      </c>
      <c r="AB19" s="42"/>
      <c r="AC19" s="13" t="s">
        <v>432</v>
      </c>
      <c r="AD19" s="42"/>
      <c r="AE19" s="13" t="s">
        <v>433</v>
      </c>
      <c r="AF19" s="42"/>
      <c r="AG19" s="13" t="s">
        <v>434</v>
      </c>
      <c r="AH19" s="42"/>
      <c r="AI19" s="13" t="s">
        <v>420</v>
      </c>
      <c r="AJ19" s="42"/>
      <c r="AK19" s="12" t="s">
        <v>421</v>
      </c>
    </row>
    <row r="20" spans="2:37" x14ac:dyDescent="0.45"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2:37" x14ac:dyDescent="0.45">
      <c r="B21" t="str" cm="1">
        <f t="array" aca="1" ref="B21:B30" ca="1">CSVRead(FileName,FALSE,FALSE)</f>
        <v>"Number",44424</v>
      </c>
      <c r="E21" s="13" cm="1">
        <f t="array" aca="1" ref="E21:E30" ca="1">CSVRead(FileName,E19,,,"Y-M-D",,,2)</f>
        <v>44424</v>
      </c>
      <c r="G21" s="13" t="str" cm="1">
        <f t="array" aca="1" ref="G21:G30" ca="1">CSVRead(FileName,G19,,,"Y-M-D",,,2)</f>
        <v>44424</v>
      </c>
      <c r="I21" s="13" cm="1">
        <f t="array" aca="1" ref="I21:I30" ca="1">CSVRead(FileName,I19,,,"Y-M-D",,,2)</f>
        <v>44424</v>
      </c>
      <c r="K21" s="13" t="str" cm="1">
        <f t="array" aca="1" ref="K21:K30" ca="1">CSVRead(FileName,K19,,,"Y-M-D",,,2)</f>
        <v>44424</v>
      </c>
      <c r="M21" s="13" t="str" cm="1">
        <f t="array" aca="1" ref="M21:M30" ca="1">CSVRead(FileName,M19,,,"Y-M-D",,,2)</f>
        <v>44424</v>
      </c>
      <c r="O21" s="13" t="str" cm="1">
        <f t="array" aca="1" ref="O21:O30" ca="1">CSVRead(FileName,O19,,,"Y-M-D",,,2)</f>
        <v>44424</v>
      </c>
      <c r="Q21" s="13" t="str" cm="1">
        <f t="array" aca="1" ref="Q21:Q30" ca="1">CSVRead(FileName,Q19,,,"Y-M-D",,,2)</f>
        <v>44424</v>
      </c>
      <c r="S21" s="13" cm="1">
        <f t="array" aca="1" ref="S21:S30" ca="1">CSVRead(FileName,S19,,,"Y-M-D",,,2)</f>
        <v>44424</v>
      </c>
      <c r="U21" s="13" t="str" cm="1">
        <f t="array" aca="1" ref="U21:U30" ca="1">CSVRead(FileName,U19,,,"Y-M-D",,,2)</f>
        <v>44424</v>
      </c>
      <c r="W21" s="13" t="str" cm="1">
        <f t="array" aca="1" ref="W21:W30" ca="1">CSVRead(FileName,W19,,,"Y-M-D",,,2)</f>
        <v>44424</v>
      </c>
      <c r="Y21" s="13" t="str" cm="1">
        <f t="array" aca="1" ref="Y21:Y30" ca="1">CSVRead(FileName,Y19,,,"Y-M-D",,,2)</f>
        <v>44424</v>
      </c>
      <c r="AA21" s="13" cm="1">
        <f t="array" aca="1" ref="AA21:AA30" ca="1">CSVRead(FileName,AA19,,,"Y-M-D",,,2)</f>
        <v>44424</v>
      </c>
      <c r="AC21" s="13" t="str" cm="1">
        <f t="array" aca="1" ref="AC21:AC30" ca="1">CSVRead(FileName,AC19,,,"Y-M-D",,,2)</f>
        <v>44424</v>
      </c>
      <c r="AE21" s="13" t="str" cm="1">
        <f t="array" aca="1" ref="AE21:AE30" ca="1">CSVRead(FileName,AE19,,,"Y-M-D",,,2)</f>
        <v>44424</v>
      </c>
      <c r="AG21" s="13" t="str" cm="1">
        <f t="array" aca="1" ref="AG21:AG30" ca="1">CSVRead(FileName,AG19,,,"Y-M-D",,,2)</f>
        <v>44424</v>
      </c>
      <c r="AI21" s="13" cm="1">
        <f t="array" aca="1" ref="AI21:AI30" ca="1">CSVRead(FileName,AI19,,,"Y-M-D",,,2)</f>
        <v>44424</v>
      </c>
      <c r="AK21" s="13" cm="1">
        <f t="array" aca="1" ref="AK21:AK30" ca="1">CSVRead(FileName,AK19,,,"Y-M-D",,,2)</f>
        <v>44424</v>
      </c>
    </row>
    <row r="22" spans="2:37" x14ac:dyDescent="0.45">
      <c r="B22" t="str">
        <f ca="1"/>
        <v>"Date",2021-08-18</v>
      </c>
      <c r="E22" s="41">
        <f ca="1"/>
        <v>44426</v>
      </c>
      <c r="G22" s="41" t="str">
        <f ca="1"/>
        <v>2021-08-18</v>
      </c>
      <c r="I22" s="41" t="str">
        <f ca="1"/>
        <v>2021-08-18</v>
      </c>
      <c r="K22" s="41">
        <f ca="1"/>
        <v>44426</v>
      </c>
      <c r="M22" s="41" t="str">
        <f ca="1"/>
        <v>2021-08-18</v>
      </c>
      <c r="O22" s="41" t="str">
        <f ca="1"/>
        <v>2021-08-18</v>
      </c>
      <c r="Q22" s="41" t="str">
        <f ca="1"/>
        <v>2021-08-18</v>
      </c>
      <c r="S22" s="41" t="str">
        <f ca="1"/>
        <v>2021-08-18</v>
      </c>
      <c r="U22" s="41">
        <f ca="1"/>
        <v>44426</v>
      </c>
      <c r="W22" s="41" t="str">
        <f ca="1"/>
        <v>2021-08-18</v>
      </c>
      <c r="Y22" s="41" t="str">
        <f ca="1"/>
        <v>2021-08-18</v>
      </c>
      <c r="AA22" s="41" t="str">
        <f ca="1"/>
        <v>2021-08-18</v>
      </c>
      <c r="AC22" s="41">
        <f ca="1"/>
        <v>44426</v>
      </c>
      <c r="AE22" s="41" t="str">
        <f ca="1"/>
        <v>2021-08-18</v>
      </c>
      <c r="AG22" s="41" t="str">
        <f ca="1"/>
        <v>2021-08-18</v>
      </c>
      <c r="AI22" s="41">
        <f ca="1"/>
        <v>44426</v>
      </c>
      <c r="AK22" s="41">
        <f ca="1"/>
        <v>44426</v>
      </c>
    </row>
    <row r="23" spans="2:37" x14ac:dyDescent="0.45">
      <c r="B23" t="str">
        <f ca="1"/>
        <v>"Boolean",True</v>
      </c>
      <c r="E23" s="13" t="b">
        <f ca="1"/>
        <v>1</v>
      </c>
      <c r="G23" s="13" t="str">
        <f ca="1"/>
        <v>True</v>
      </c>
      <c r="I23" s="13" t="str">
        <f ca="1"/>
        <v>True</v>
      </c>
      <c r="K23" s="13" t="str">
        <f ca="1"/>
        <v>True</v>
      </c>
      <c r="M23" s="13" t="b">
        <f ca="1"/>
        <v>1</v>
      </c>
      <c r="O23" s="13" t="str">
        <f ca="1"/>
        <v>True</v>
      </c>
      <c r="Q23" s="13" t="str">
        <f ca="1"/>
        <v>True</v>
      </c>
      <c r="S23" s="13" t="str">
        <f ca="1"/>
        <v>True</v>
      </c>
      <c r="U23" s="13" t="str">
        <f ca="1"/>
        <v>True</v>
      </c>
      <c r="W23" s="13" t="b">
        <f ca="1"/>
        <v>1</v>
      </c>
      <c r="Y23" s="13" t="str">
        <f ca="1"/>
        <v>True</v>
      </c>
      <c r="AA23" s="13" t="str">
        <f ca="1"/>
        <v>True</v>
      </c>
      <c r="AC23" s="13" t="str">
        <f ca="1"/>
        <v>True</v>
      </c>
      <c r="AE23" s="13" t="b">
        <f ca="1"/>
        <v>1</v>
      </c>
      <c r="AG23" s="13" t="str">
        <f ca="1"/>
        <v>True</v>
      </c>
      <c r="AI23" s="13" t="b">
        <f ca="1"/>
        <v>1</v>
      </c>
      <c r="AK23" s="13" t="b">
        <f ca="1"/>
        <v>1</v>
      </c>
    </row>
    <row r="24" spans="2:37" x14ac:dyDescent="0.45">
      <c r="B24" t="str">
        <f ca="1"/>
        <v>"Error",#DIV/0!</v>
      </c>
      <c r="E24" s="13" t="e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str">
        <f ca="1"/>
        <v>#DIV/0!</v>
      </c>
      <c r="O24" s="13" t="e">
        <f ca="1"/>
        <v>#DIV/0!</v>
      </c>
      <c r="Q24" s="13" t="str">
        <f ca="1"/>
        <v>#DIV/0!</v>
      </c>
      <c r="S24" s="13" t="str">
        <f ca="1"/>
        <v>#DIV/0!</v>
      </c>
      <c r="U24" s="13" t="str">
        <f ca="1"/>
        <v>#DIV/0!</v>
      </c>
      <c r="W24" s="13" t="str">
        <f ca="1"/>
        <v>#DIV/0!</v>
      </c>
      <c r="Y24" s="13" t="e">
        <f ca="1"/>
        <v>#DIV/0!</v>
      </c>
      <c r="AA24" s="13" t="str">
        <f ca="1"/>
        <v>#DIV/0!</v>
      </c>
      <c r="AC24" s="13" t="str">
        <f ca="1"/>
        <v>#DIV/0!</v>
      </c>
      <c r="AE24" s="13" t="str">
        <f ca="1"/>
        <v>#DIV/0!</v>
      </c>
      <c r="AG24" s="13" t="e">
        <f ca="1"/>
        <v>#DIV/0!</v>
      </c>
      <c r="AI24" s="13" t="e">
        <f ca="1"/>
        <v>#DIV/0!</v>
      </c>
      <c r="AK24" s="13" t="e">
        <f ca="1"/>
        <v>#DIV/0!</v>
      </c>
    </row>
    <row r="25" spans="2:37" x14ac:dyDescent="0.45">
      <c r="B25" t="str">
        <f ca="1"/>
        <v>"String","1"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1</v>
      </c>
      <c r="Q25" s="13" t="str">
        <f ca="1"/>
        <v>"1"</v>
      </c>
      <c r="S25" s="13">
        <f ca="1"/>
        <v>1</v>
      </c>
      <c r="U25" s="13" t="str">
        <f ca="1"/>
        <v>1</v>
      </c>
      <c r="W25" s="13" t="str">
        <f ca="1"/>
        <v>1</v>
      </c>
      <c r="Y25" s="13" t="str">
        <f ca="1"/>
        <v>1</v>
      </c>
      <c r="AA25" s="13" t="str">
        <f ca="1"/>
        <v>"1"</v>
      </c>
      <c r="AC25" s="13" t="str">
        <f ca="1"/>
        <v>"1"</v>
      </c>
      <c r="AE25" s="13" t="str">
        <f ca="1"/>
        <v>"1"</v>
      </c>
      <c r="AG25" s="13" t="str">
        <f ca="1"/>
        <v>"1"</v>
      </c>
      <c r="AI25" s="13" t="str">
        <f ca="1"/>
        <v>1</v>
      </c>
      <c r="AK25" s="13">
        <f ca="1"/>
        <v>1</v>
      </c>
    </row>
    <row r="26" spans="2:37" x14ac:dyDescent="0.45">
      <c r="B26" t="str">
        <f ca="1"/>
        <v>"String","16-Aug-2021"</v>
      </c>
      <c r="E26" s="13" t="str">
        <f ca="1"/>
        <v>16-Aug-2021</v>
      </c>
      <c r="G26" s="13" t="str">
        <f ca="1"/>
        <v>16-Aug-2021</v>
      </c>
      <c r="I26" s="13" t="str">
        <f ca="1"/>
        <v>16-Aug-2021</v>
      </c>
      <c r="K26" s="13" t="str">
        <f ca="1"/>
        <v>16-Aug-2021</v>
      </c>
      <c r="M26" s="13" t="str">
        <f ca="1"/>
        <v>16-Aug-2021</v>
      </c>
      <c r="O26" s="13" t="str">
        <f ca="1"/>
        <v>16-Aug-2021</v>
      </c>
      <c r="Q26" s="13" t="str">
        <f ca="1"/>
        <v>"16-Aug-2021"</v>
      </c>
      <c r="S26" s="13" t="str">
        <f ca="1"/>
        <v>16-Aug-2021</v>
      </c>
      <c r="U26" s="13">
        <f ca="1"/>
        <v>44424</v>
      </c>
      <c r="W26" s="13" t="str">
        <f ca="1"/>
        <v>16-Aug-2021</v>
      </c>
      <c r="Y26" s="13" t="str">
        <f ca="1"/>
        <v>16-Aug-2021</v>
      </c>
      <c r="AA26" s="13" t="str">
        <f ca="1"/>
        <v>"16-Aug-2021"</v>
      </c>
      <c r="AC26" s="13" t="str">
        <f ca="1"/>
        <v>"16-Aug-2021"</v>
      </c>
      <c r="AE26" s="13" t="str">
        <f ca="1"/>
        <v>"16-Aug-2021"</v>
      </c>
      <c r="AG26" s="13" t="str">
        <f ca="1"/>
        <v>"16-Aug-2021"</v>
      </c>
      <c r="AI26" s="13" t="str">
        <f ca="1"/>
        <v>16-Aug-2021</v>
      </c>
      <c r="AK26" s="13">
        <f ca="1"/>
        <v>44424</v>
      </c>
    </row>
    <row r="27" spans="2:37" x14ac:dyDescent="0.45">
      <c r="B27" t="str">
        <f ca="1"/>
        <v>"String","TRUE"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TRUE</v>
      </c>
      <c r="Q27" s="13" t="str">
        <f ca="1"/>
        <v>"TRUE"</v>
      </c>
      <c r="S27" s="13" t="str">
        <f ca="1"/>
        <v>TRUE</v>
      </c>
      <c r="U27" s="13" t="str">
        <f ca="1"/>
        <v>TRUE</v>
      </c>
      <c r="W27" s="13" t="b">
        <f ca="1"/>
        <v>1</v>
      </c>
      <c r="Y27" s="13" t="str">
        <f ca="1"/>
        <v>TRUE</v>
      </c>
      <c r="AA27" s="13" t="str">
        <f ca="1"/>
        <v>"TRUE"</v>
      </c>
      <c r="AC27" s="13" t="str">
        <f ca="1"/>
        <v>"TRUE"</v>
      </c>
      <c r="AE27" s="13" t="str">
        <f ca="1"/>
        <v>"TRUE"</v>
      </c>
      <c r="AG27" s="13" t="str">
        <f ca="1"/>
        <v>"TRUE"</v>
      </c>
      <c r="AI27" s="13" t="str">
        <f ca="1"/>
        <v>TRUE</v>
      </c>
      <c r="AK27" s="13" t="b">
        <f ca="1"/>
        <v>1</v>
      </c>
    </row>
    <row r="28" spans="2:37" x14ac:dyDescent="0.45">
      <c r="B28" t="str">
        <f ca="1"/>
        <v>"String","#DIV/0!"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#DIV/0!</v>
      </c>
      <c r="Q28" s="13" t="str">
        <f ca="1"/>
        <v>"#DIV/0!"</v>
      </c>
      <c r="S28" s="13" t="str">
        <f ca="1"/>
        <v>#DIV/0!</v>
      </c>
      <c r="U28" s="13" t="str">
        <f ca="1"/>
        <v>#DIV/0!</v>
      </c>
      <c r="W28" s="13" t="str">
        <f ca="1"/>
        <v>#DIV/0!</v>
      </c>
      <c r="Y28" s="13" t="e">
        <f ca="1"/>
        <v>#DIV/0!</v>
      </c>
      <c r="AA28" s="13" t="str">
        <f ca="1"/>
        <v>"#DIV/0!"</v>
      </c>
      <c r="AC28" s="13" t="str">
        <f ca="1"/>
        <v>"#DIV/0!"</v>
      </c>
      <c r="AE28" s="13" t="str">
        <f ca="1"/>
        <v>"#DIV/0!"</v>
      </c>
      <c r="AG28" s="13" t="str">
        <f ca="1"/>
        <v>"#DIV/0!"</v>
      </c>
      <c r="AI28" s="13" t="str">
        <f ca="1"/>
        <v>#DIV/0!</v>
      </c>
      <c r="AK28" s="13" t="e">
        <f ca="1"/>
        <v>#DIV/0!</v>
      </c>
    </row>
    <row r="29" spans="2:37" x14ac:dyDescent="0.45">
      <c r="B29" t="str">
        <f ca="1"/>
        <v>"String","abc"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abc</v>
      </c>
      <c r="Q29" s="13" t="str">
        <f ca="1"/>
        <v>"abc"</v>
      </c>
      <c r="S29" s="13" t="str">
        <f ca="1"/>
        <v>abc</v>
      </c>
      <c r="U29" s="13" t="str">
        <f ca="1"/>
        <v>abc</v>
      </c>
      <c r="W29" s="13" t="str">
        <f ca="1"/>
        <v>abc</v>
      </c>
      <c r="Y29" s="13" t="str">
        <f ca="1"/>
        <v>abc</v>
      </c>
      <c r="AA29" s="13" t="str">
        <f ca="1"/>
        <v>"abc"</v>
      </c>
      <c r="AC29" s="13" t="str">
        <f ca="1"/>
        <v>"abc"</v>
      </c>
      <c r="AE29" s="13" t="str">
        <f ca="1"/>
        <v>"abc"</v>
      </c>
      <c r="AG29" s="13" t="str">
        <f ca="1"/>
        <v>"abc"</v>
      </c>
      <c r="AI29" s="13" t="str">
        <f ca="1"/>
        <v>abc</v>
      </c>
      <c r="AK29" s="13" t="str">
        <f ca="1"/>
        <v>abc</v>
      </c>
    </row>
    <row r="30" spans="2:37" x14ac:dyDescent="0.45">
      <c r="B30" t="str">
        <f ca="1"/>
        <v>"String","abc""def"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abc"def</v>
      </c>
      <c r="Q30" s="13" t="str">
        <f ca="1"/>
        <v>"abc""def"</v>
      </c>
      <c r="S30" s="13" t="str">
        <f ca="1"/>
        <v>abc"def</v>
      </c>
      <c r="U30" s="13" t="str">
        <f ca="1"/>
        <v>abc"def</v>
      </c>
      <c r="W30" s="13" t="str">
        <f ca="1"/>
        <v>abc"def</v>
      </c>
      <c r="Y30" s="13" t="str">
        <f ca="1"/>
        <v>abc"def</v>
      </c>
      <c r="AA30" s="13" t="str">
        <f ca="1"/>
        <v>"abc""def"</v>
      </c>
      <c r="AC30" s="13" t="str">
        <f ca="1"/>
        <v>"abc""def"</v>
      </c>
      <c r="AE30" s="13" t="str">
        <f ca="1"/>
        <v>"abc""def"</v>
      </c>
      <c r="AG30" s="13" t="str">
        <f ca="1"/>
        <v>"abc""def"</v>
      </c>
      <c r="AI30" s="13" t="str">
        <f ca="1"/>
        <v>abc"def</v>
      </c>
      <c r="AK30" s="13" t="str">
        <f ca="1"/>
        <v>abc"def</v>
      </c>
    </row>
  </sheetData>
  <sheetProtection sheet="1" objects="1" scenarios="1"/>
  <conditionalFormatting sqref="C4 C6:C13">
    <cfRule type="expression" dxfId="95" priority="91">
      <formula>ISLOGICAL(C4)</formula>
    </cfRule>
    <cfRule type="expression" dxfId="94" priority="92">
      <formula>ISNUMBER(C4)</formula>
    </cfRule>
    <cfRule type="expression" dxfId="93" priority="93">
      <formula>ISNUMBER(SEARCH("""",C4))</formula>
    </cfRule>
    <cfRule type="expression" dxfId="92" priority="94">
      <formula>ISTEXT(C4)</formula>
    </cfRule>
    <cfRule type="expression" dxfId="91" priority="95">
      <formula>ISERROR(C4)</formula>
    </cfRule>
  </conditionalFormatting>
  <conditionalFormatting sqref="E21 E23:E30">
    <cfRule type="expression" dxfId="90" priority="76">
      <formula>ISLOGICAL(E21)</formula>
    </cfRule>
    <cfRule type="expression" dxfId="89" priority="77">
      <formula>ISNUMBER(E21)</formula>
    </cfRule>
    <cfRule type="expression" dxfId="88" priority="78">
      <formula>ISNUMBER(SEARCH("""",E21))</formula>
    </cfRule>
    <cfRule type="expression" dxfId="87" priority="79">
      <formula>ISTEXT(E21)</formula>
    </cfRule>
    <cfRule type="expression" dxfId="86" priority="80">
      <formula>ISERROR(E21)</formula>
    </cfRule>
  </conditionalFormatting>
  <conditionalFormatting sqref="C5">
    <cfRule type="expression" dxfId="85" priority="61">
      <formula>ISLOGICAL(C5)</formula>
    </cfRule>
    <cfRule type="expression" dxfId="84" priority="62">
      <formula>ISNUMBER(C5)</formula>
    </cfRule>
    <cfRule type="expression" dxfId="83" priority="63">
      <formula>ISNUMBER(SEARCH("""",C5))</formula>
    </cfRule>
    <cfRule type="expression" dxfId="82" priority="64">
      <formula>ISTEXT(C5)</formula>
    </cfRule>
    <cfRule type="expression" dxfId="81" priority="65">
      <formula>ISERROR(C5)</formula>
    </cfRule>
  </conditionalFormatting>
  <conditionalFormatting sqref="E22">
    <cfRule type="expression" dxfId="80" priority="56">
      <formula>ISLOGICAL(E22)</formula>
    </cfRule>
    <cfRule type="expression" dxfId="79" priority="57">
      <formula>ISNUMBER(E22)</formula>
    </cfRule>
    <cfRule type="expression" dxfId="78" priority="58">
      <formula>ISNUMBER(SEARCH("""",E22))</formula>
    </cfRule>
    <cfRule type="expression" dxfId="77" priority="59">
      <formula>ISTEXT(E22)</formula>
    </cfRule>
    <cfRule type="expression" dxfId="76" priority="60">
      <formula>ISERROR(E22)</formula>
    </cfRule>
  </conditionalFormatting>
  <conditionalFormatting sqref="B4 B6:B13">
    <cfRule type="expression" dxfId="75" priority="51">
      <formula>ISLOGICAL(B4)</formula>
    </cfRule>
    <cfRule type="expression" dxfId="74" priority="52">
      <formula>ISNUMBER(B4)</formula>
    </cfRule>
    <cfRule type="expression" dxfId="73" priority="53">
      <formula>ISNUMBER(SEARCH("""",B4))</formula>
    </cfRule>
    <cfRule type="expression" dxfId="72" priority="54">
      <formula>ISTEXT(B4)</formula>
    </cfRule>
    <cfRule type="expression" dxfId="71" priority="55">
      <formula>ISERROR(B4)</formula>
    </cfRule>
  </conditionalFormatting>
  <conditionalFormatting sqref="B5">
    <cfRule type="expression" dxfId="70" priority="46">
      <formula>ISLOGICAL(B5)</formula>
    </cfRule>
    <cfRule type="expression" dxfId="69" priority="47">
      <formula>ISNUMBER(B5)</formula>
    </cfRule>
    <cfRule type="expression" dxfId="68" priority="48">
      <formula>ISNUMBER(SEARCH("""",B5))</formula>
    </cfRule>
    <cfRule type="expression" dxfId="67" priority="49">
      <formula>ISTEXT(B5)</formula>
    </cfRule>
    <cfRule type="expression" dxfId="66" priority="50">
      <formula>ISERROR(B5)</formula>
    </cfRule>
  </conditionalFormatting>
  <conditionalFormatting sqref="G23:G30 I23:I30 K23:K30 M23:M30 O23:O30 Q23:Q30 S23:S30 U23:U30 W23:W30 Y23:Y30 AA23:AA30 AC23:AC30 AE23:AE30 AG23:AG30">
    <cfRule type="expression" dxfId="65" priority="31">
      <formula>ISLOGICAL(G23)</formula>
    </cfRule>
    <cfRule type="expression" dxfId="64" priority="32">
      <formula>ISNUMBER(G23)</formula>
    </cfRule>
    <cfRule type="expression" dxfId="63" priority="33">
      <formula>ISNUMBER(SEARCH("""",G23))</formula>
    </cfRule>
    <cfRule type="expression" dxfId="62" priority="34">
      <formula>ISTEXT(G23)</formula>
    </cfRule>
    <cfRule type="expression" dxfId="61" priority="35">
      <formula>ISERROR(G23)</formula>
    </cfRule>
  </conditionalFormatting>
  <conditionalFormatting sqref="G22 I22 K22 M22 O22 Q22 S22 U22 W22 Y22 AA22 AC22 AE22 AG22">
    <cfRule type="expression" dxfId="60" priority="26">
      <formula>ISLOGICAL(G22)</formula>
    </cfRule>
    <cfRule type="expression" dxfId="59" priority="27">
      <formula>ISNUMBER(G22)</formula>
    </cfRule>
    <cfRule type="expression" dxfId="58" priority="28">
      <formula>ISNUMBER(SEARCH("""",G22))</formula>
    </cfRule>
    <cfRule type="expression" dxfId="57" priority="29">
      <formula>ISTEXT(G22)</formula>
    </cfRule>
    <cfRule type="expression" dxfId="56" priority="30">
      <formula>ISERROR(G22)</formula>
    </cfRule>
  </conditionalFormatting>
  <conditionalFormatting sqref="AI23:AI30">
    <cfRule type="expression" dxfId="55" priority="21">
      <formula>ISLOGICAL(AI23)</formula>
    </cfRule>
    <cfRule type="expression" dxfId="54" priority="22">
      <formula>ISNUMBER(AI23)</formula>
    </cfRule>
    <cfRule type="expression" dxfId="53" priority="23">
      <formula>ISNUMBER(SEARCH("""",AI23))</formula>
    </cfRule>
    <cfRule type="expression" dxfId="52" priority="24">
      <formula>ISTEXT(AI23)</formula>
    </cfRule>
    <cfRule type="expression" dxfId="51" priority="25">
      <formula>ISERROR(AI23)</formula>
    </cfRule>
  </conditionalFormatting>
  <conditionalFormatting sqref="AI22">
    <cfRule type="expression" dxfId="50" priority="16">
      <formula>ISLOGICAL(AI22)</formula>
    </cfRule>
    <cfRule type="expression" dxfId="49" priority="17">
      <formula>ISNUMBER(AI22)</formula>
    </cfRule>
    <cfRule type="expression" dxfId="48" priority="18">
      <formula>ISNUMBER(SEARCH("""",AI22))</formula>
    </cfRule>
    <cfRule type="expression" dxfId="47" priority="19">
      <formula>ISTEXT(AI22)</formula>
    </cfRule>
    <cfRule type="expression" dxfId="46" priority="20">
      <formula>ISERROR(AI22)</formula>
    </cfRule>
  </conditionalFormatting>
  <conditionalFormatting sqref="AK23:AK30">
    <cfRule type="expression" dxfId="45" priority="11">
      <formula>ISLOGICAL(AK23)</formula>
    </cfRule>
    <cfRule type="expression" dxfId="44" priority="12">
      <formula>ISNUMBER(AK23)</formula>
    </cfRule>
    <cfRule type="expression" dxfId="43" priority="13">
      <formula>ISNUMBER(SEARCH("""",AK23))</formula>
    </cfRule>
    <cfRule type="expression" dxfId="42" priority="14">
      <formula>ISTEXT(AK23)</formula>
    </cfRule>
    <cfRule type="expression" dxfId="41" priority="15">
      <formula>ISERROR(AK23)</formula>
    </cfRule>
  </conditionalFormatting>
  <conditionalFormatting sqref="AK22">
    <cfRule type="expression" dxfId="40" priority="6">
      <formula>ISLOGICAL(AK22)</formula>
    </cfRule>
    <cfRule type="expression" dxfId="39" priority="7">
      <formula>ISNUMBER(AK22)</formula>
    </cfRule>
    <cfRule type="expression" dxfId="38" priority="8">
      <formula>ISNUMBER(SEARCH("""",AK22))</formula>
    </cfRule>
    <cfRule type="expression" dxfId="37" priority="9">
      <formula>ISTEXT(AK22)</formula>
    </cfRule>
    <cfRule type="expression" dxfId="36" priority="10">
      <formula>ISERROR(AK22)</formula>
    </cfRule>
  </conditionalFormatting>
  <conditionalFormatting sqref="G21 I21 K21 M21 O21 Q21 S21 U21 W21 Y21 AA21 AC21 AE21 AG21 AI21 AK21">
    <cfRule type="expression" dxfId="35" priority="1">
      <formula>ISLOGICAL(G21)</formula>
    </cfRule>
    <cfRule type="expression" dxfId="34" priority="2">
      <formula>ISNUMBER(G21)</formula>
    </cfRule>
    <cfRule type="expression" dxfId="33" priority="3">
      <formula>ISNUMBER(SEARCH("""",G21))</formula>
    </cfRule>
    <cfRule type="expression" dxfId="32" priority="4">
      <formula>ISTEXT(G21)</formula>
    </cfRule>
    <cfRule type="expression" dxfId="31" priority="5">
      <formula>ISERROR(G21)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TestFiles"/>
  <dimension ref="A1:AQ207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RowHeight="14.25" x14ac:dyDescent="0.45"/>
  <cols>
    <col min="1" max="1" width="4.59765625" customWidth="1"/>
    <col min="2" max="2" width="9.73046875" bestFit="1" customWidth="1"/>
    <col min="3" max="3" width="9.73046875" customWidth="1"/>
    <col min="4" max="4" width="37.53125" bestFit="1" customWidth="1"/>
    <col min="5" max="6" width="6.53125" bestFit="1" customWidth="1"/>
    <col min="7" max="7" width="5.33203125" bestFit="1" customWidth="1"/>
    <col min="8" max="13" width="6.06640625" bestFit="1" customWidth="1"/>
    <col min="14" max="14" width="8.59765625" customWidth="1"/>
    <col min="15" max="15" width="6.06640625" bestFit="1" customWidth="1"/>
    <col min="16" max="16" width="40.19921875" bestFit="1" customWidth="1"/>
    <col min="17" max="17" width="4.59765625" customWidth="1"/>
    <col min="18" max="18" width="10.59765625" customWidth="1"/>
    <col min="19" max="19" width="4.59765625" customWidth="1"/>
    <col min="20" max="20" width="69.3984375" bestFit="1" customWidth="1"/>
    <col min="21" max="21" width="4.59765625" customWidth="1"/>
    <col min="22" max="22" width="82.86328125" bestFit="1" customWidth="1"/>
    <col min="23" max="23" width="4.59765625" customWidth="1"/>
    <col min="24" max="24" width="10.06640625" bestFit="1" customWidth="1"/>
    <col min="25" max="25" width="30.265625" bestFit="1" customWidth="1"/>
    <col min="26" max="26" width="5.73046875" bestFit="1" customWidth="1"/>
    <col min="27" max="27" width="9.73046875" bestFit="1" customWidth="1"/>
    <col min="28" max="28" width="7.73046875" bestFit="1" customWidth="1"/>
    <col min="29" max="29" width="11.53125" bestFit="1" customWidth="1"/>
    <col min="30" max="30" width="13" bestFit="1" customWidth="1"/>
    <col min="31" max="31" width="9.73046875" bestFit="1" customWidth="1"/>
    <col min="32" max="32" width="10.33203125" bestFit="1" customWidth="1"/>
    <col min="33" max="33" width="5.73046875" bestFit="1" customWidth="1"/>
    <col min="34" max="36" width="1.73046875" bestFit="1" customWidth="1"/>
    <col min="37" max="37" width="10.06640625" bestFit="1" customWidth="1"/>
    <col min="38" max="38" width="9.33203125" bestFit="1" customWidth="1"/>
    <col min="39" max="39" width="8.73046875" bestFit="1" customWidth="1"/>
    <col min="40" max="41" width="1.73046875" bestFit="1" customWidth="1"/>
    <col min="42" max="42" width="5.73046875" bestFit="1" customWidth="1"/>
    <col min="43" max="43" width="7.73046875" bestFit="1" customWidth="1"/>
  </cols>
  <sheetData>
    <row r="1" spans="1:43" ht="28.5" x14ac:dyDescent="0.85">
      <c r="B1" s="14" t="s">
        <v>469</v>
      </c>
      <c r="C1" s="14"/>
    </row>
    <row r="3" spans="1:43" x14ac:dyDescent="0.45">
      <c r="B3" t="s">
        <v>293</v>
      </c>
      <c r="D3" t="s">
        <v>455</v>
      </c>
      <c r="L3" s="45" t="s">
        <v>479</v>
      </c>
      <c r="M3">
        <v>90</v>
      </c>
    </row>
    <row r="4" spans="1:43" x14ac:dyDescent="0.45">
      <c r="B4" t="s">
        <v>3</v>
      </c>
      <c r="D4" t="str" cm="1">
        <f t="array" aca="1" ref="D4" ca="1">D3&amp;INDEX(Tests[FileName],RowNo)</f>
        <v>C:\Projects\VBA-CSV\testfiles\stocks.csv</v>
      </c>
      <c r="L4" s="45" t="s">
        <v>480</v>
      </c>
      <c r="M4">
        <v>1</v>
      </c>
    </row>
    <row r="5" spans="1:43" x14ac:dyDescent="0.45">
      <c r="B5" t="s">
        <v>474</v>
      </c>
      <c r="D5" s="5">
        <v>58</v>
      </c>
    </row>
    <row r="6" spans="1:43" x14ac:dyDescent="0.45">
      <c r="B6" s="3" t="s">
        <v>477</v>
      </c>
    </row>
    <row r="7" spans="1:43" ht="85.5" x14ac:dyDescent="0.45">
      <c r="B7" s="57" t="s">
        <v>481</v>
      </c>
      <c r="C7" s="57" t="s">
        <v>475</v>
      </c>
      <c r="D7" s="58" t="s">
        <v>3</v>
      </c>
      <c r="E7" s="57" t="s">
        <v>240</v>
      </c>
      <c r="F7" s="57" t="s">
        <v>241</v>
      </c>
      <c r="G7" s="57" t="s">
        <v>242</v>
      </c>
      <c r="H7" s="57" t="s">
        <v>7</v>
      </c>
      <c r="I7" s="57" t="s">
        <v>205</v>
      </c>
      <c r="J7" s="57" t="s">
        <v>243</v>
      </c>
      <c r="K7" s="57" t="s">
        <v>244</v>
      </c>
      <c r="L7" s="57" t="s">
        <v>245</v>
      </c>
      <c r="M7" s="57" t="s">
        <v>246</v>
      </c>
      <c r="N7" s="57" t="s">
        <v>13</v>
      </c>
      <c r="O7" s="57" t="s">
        <v>247</v>
      </c>
      <c r="P7" s="59" t="s">
        <v>248</v>
      </c>
      <c r="R7" s="3" t="s">
        <v>482</v>
      </c>
      <c r="T7" s="3" t="str">
        <f ca="1">"VBA code for test "&amp;RowNo</f>
        <v>VBA code for test 58</v>
      </c>
      <c r="U7" s="56"/>
      <c r="V7" s="3" t="s">
        <v>251</v>
      </c>
      <c r="W7" s="56"/>
      <c r="X7" s="3" t="s">
        <v>28</v>
      </c>
    </row>
    <row r="8" spans="1:43" x14ac:dyDescent="0.45">
      <c r="A8" cm="1">
        <f t="array" aca="1" ref="A8:A207" ca="1">_xlfn.SEQUENCE(200)</f>
        <v>1</v>
      </c>
      <c r="B8" s="50" cm="1">
        <f t="array" aca="1" ref="B8" ca="1">filesize(Folder&amp;Tests[[#This Row],[FileName]])</f>
        <v>5</v>
      </c>
      <c r="C8" s="50">
        <v>1</v>
      </c>
      <c r="D8" s="38" t="s">
        <v>297</v>
      </c>
      <c r="E8" s="37" t="b">
        <v>1</v>
      </c>
      <c r="F8" s="39" t="s">
        <v>249</v>
      </c>
      <c r="G8" s="39" t="b">
        <v>0</v>
      </c>
      <c r="H8" s="39" t="s">
        <v>249</v>
      </c>
      <c r="I8" s="39" t="s">
        <v>249</v>
      </c>
      <c r="J8" s="37">
        <v>1</v>
      </c>
      <c r="K8" s="37">
        <v>1</v>
      </c>
      <c r="L8" s="37">
        <v>0</v>
      </c>
      <c r="M8" s="37">
        <v>0</v>
      </c>
      <c r="N8" s="37" t="b">
        <v>0</v>
      </c>
      <c r="O8" s="37" t="s">
        <v>250</v>
      </c>
      <c r="P8" s="53"/>
      <c r="R8" t="s">
        <v>483</v>
      </c>
      <c r="S8" t="str">
        <f t="array" aca="1" ref="S8:S53" ca="1">""</f>
        <v/>
      </c>
      <c r="T8" t="str">
        <f ca="1">"Case "&amp;RowNo</f>
        <v>Case 58</v>
      </c>
      <c r="U8" t="str">
        <f t="array" aca="1" ref="U8:U53" ca="1">""</f>
        <v/>
      </c>
      <c r="V8" s="52" t="str" cm="1">
        <f t="array" aca="1" ref="V8:V38" ca="1">CSVRead(FileName,FALSE,FALSE)</f>
        <v>Stock Name,Company Name</v>
      </c>
      <c r="X8" s="63" t="str" cm="1">
        <f t="array" aca="1" ref="X8:Y38" ca="1">CSVRead(Folder&amp;INDEX(Tests[FileName],RowNo),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"I'm missing!",
INDEX(Tests[Unicode],RowNo),
INDEX(Tests[DecimalSeparator],RowNo))</f>
        <v>Stock Name</v>
      </c>
      <c r="Y8" s="63" t="str">
        <f ca="1"/>
        <v>Company Name</v>
      </c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0"/>
      <c r="AN8" s="60"/>
      <c r="AO8" s="60"/>
      <c r="AP8" s="60"/>
      <c r="AQ8" s="60"/>
    </row>
    <row r="9" spans="1:43" x14ac:dyDescent="0.45">
      <c r="A9">
        <f ca="1"/>
        <v>2</v>
      </c>
      <c r="B9" s="50" cm="1">
        <f t="array" aca="1" ref="B9" ca="1">filesize(Folder&amp;Tests[[#This Row],[FileName]])</f>
        <v>10</v>
      </c>
      <c r="C9" s="50">
        <v>2</v>
      </c>
      <c r="D9" s="38" t="s">
        <v>300</v>
      </c>
      <c r="E9" s="37" t="b">
        <v>1</v>
      </c>
      <c r="F9" s="39" t="s">
        <v>249</v>
      </c>
      <c r="G9" s="39" t="b">
        <v>0</v>
      </c>
      <c r="H9" s="39" t="s">
        <v>249</v>
      </c>
      <c r="I9" s="39" t="s">
        <v>249</v>
      </c>
      <c r="J9" s="37">
        <v>1</v>
      </c>
      <c r="K9" s="37">
        <v>1</v>
      </c>
      <c r="L9" s="37">
        <v>0</v>
      </c>
      <c r="M9" s="37">
        <v>0</v>
      </c>
      <c r="N9" s="37" t="b">
        <v>0</v>
      </c>
      <c r="O9" s="37" t="s">
        <v>250</v>
      </c>
      <c r="P9" s="53"/>
      <c r="S9" t="str">
        <f ca="1"/>
        <v/>
      </c>
      <c r="T9" t="str" cm="1">
        <f t="array" aca="1" ref="T9" ca="1">"TestDescription = """&amp;SUBSTITUTE(SUBSTITUTE(INDEX(Tests[FileName],RowNo,1),"_"," "),".csv","")&amp;""""</f>
        <v>TestDescription = "stocks"</v>
      </c>
      <c r="U9" t="str">
        <f ca="1"/>
        <v/>
      </c>
      <c r="V9" s="52" t="str">
        <f ca="1"/>
        <v>AXP,American Express Co</v>
      </c>
      <c r="X9" s="63" t="str">
        <f ca="1"/>
        <v>AXP</v>
      </c>
      <c r="Y9" s="63" t="str">
        <f ca="1"/>
        <v>American Express Co</v>
      </c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0"/>
      <c r="AN9" s="60"/>
      <c r="AO9" s="60"/>
      <c r="AP9" s="60"/>
      <c r="AQ9" s="60"/>
    </row>
    <row r="10" spans="1:43" x14ac:dyDescent="0.45">
      <c r="A10">
        <f ca="1"/>
        <v>3</v>
      </c>
      <c r="B10" s="50" cm="1">
        <f t="array" aca="1" ref="B10" ca="1">filesize(Folder&amp;Tests[[#This Row],[FileName]])</f>
        <v>10</v>
      </c>
      <c r="C10" s="50">
        <v>3</v>
      </c>
      <c r="D10" s="38" t="s">
        <v>301</v>
      </c>
      <c r="E10" s="37" t="b">
        <v>1</v>
      </c>
      <c r="F10" s="39" t="s">
        <v>249</v>
      </c>
      <c r="G10" s="39" t="b">
        <v>0</v>
      </c>
      <c r="H10" s="39" t="s">
        <v>249</v>
      </c>
      <c r="I10" s="39" t="s">
        <v>249</v>
      </c>
      <c r="J10" s="37">
        <v>1</v>
      </c>
      <c r="K10" s="37">
        <v>1</v>
      </c>
      <c r="L10" s="37">
        <v>0</v>
      </c>
      <c r="M10" s="37">
        <v>0</v>
      </c>
      <c r="N10" s="37" t="b">
        <v>0</v>
      </c>
      <c r="O10" s="37" t="s">
        <v>250</v>
      </c>
      <c r="P10" s="53"/>
      <c r="S10" t="str">
        <f ca="1"/>
        <v/>
      </c>
      <c r="T10" t="str" cm="1">
        <f t="array" aca="1" ref="T10" ca="1">"FileName = """&amp;INDEX(Tests[FileName],RowNo,1)&amp;""""</f>
        <v>FileName = "stocks.csv"</v>
      </c>
      <c r="U10" t="str">
        <f ca="1"/>
        <v/>
      </c>
      <c r="V10" s="52" t="str">
        <f ca="1"/>
        <v>BA,Boeing Co</v>
      </c>
      <c r="X10" s="63" t="str">
        <f ca="1"/>
        <v>BA</v>
      </c>
      <c r="Y10" s="63" t="str">
        <f ca="1"/>
        <v>Boeing Co</v>
      </c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0"/>
      <c r="AN10" s="60"/>
      <c r="AO10" s="60"/>
      <c r="AP10" s="60"/>
      <c r="AQ10" s="60"/>
    </row>
    <row r="11" spans="1:43" x14ac:dyDescent="0.45">
      <c r="A11">
        <f ca="1"/>
        <v>4</v>
      </c>
      <c r="B11" s="50" cm="1">
        <f t="array" aca="1" ref="B11" ca="1">filesize(Folder&amp;Tests[[#This Row],[FileName]])</f>
        <v>16</v>
      </c>
      <c r="C11" s="50">
        <v>4</v>
      </c>
      <c r="D11" s="38" t="s">
        <v>305</v>
      </c>
      <c r="E11" s="37" t="b">
        <v>1</v>
      </c>
      <c r="F11" s="39" t="s">
        <v>249</v>
      </c>
      <c r="G11" s="37" t="b">
        <v>0</v>
      </c>
      <c r="H11" s="39" t="s">
        <v>249</v>
      </c>
      <c r="I11" s="39" t="s">
        <v>249</v>
      </c>
      <c r="J11" s="37">
        <v>1</v>
      </c>
      <c r="K11" s="37">
        <v>1</v>
      </c>
      <c r="L11" s="37">
        <v>0</v>
      </c>
      <c r="M11" s="37">
        <v>0</v>
      </c>
      <c r="N11" s="37" t="b">
        <v>0</v>
      </c>
      <c r="O11" s="37" t="s">
        <v>252</v>
      </c>
      <c r="P11" s="53" t="s">
        <v>453</v>
      </c>
      <c r="S11" t="str">
        <f ca="1"/>
        <v/>
      </c>
      <c r="T11" t="str" cm="1">
        <f t="array" aca="1" ref="T11:T16" ca="1">VStack(ArrayToVBALitteral(_xlfn.ANCHORARRAY(X8),"Expected"),GenerateTestCode(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INDEX(Tests[Unicode],RowNo),
INDEX(Tests[DecimalSeparator],RowNo)))</f>
        <v>Expected = HStack( _</v>
      </c>
      <c r="U11" t="str">
        <f ca="1"/>
        <v/>
      </c>
      <c r="V11" s="52" t="str">
        <f ca="1"/>
        <v>CAT,Caterpillar Inc</v>
      </c>
      <c r="X11" s="63" t="str">
        <f ca="1"/>
        <v>CAT</v>
      </c>
      <c r="Y11" s="63" t="str">
        <f ca="1"/>
        <v>Caterpillar Inc</v>
      </c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0"/>
      <c r="AN11" s="60"/>
      <c r="AO11" s="60"/>
      <c r="AP11" s="60"/>
      <c r="AQ11" s="60"/>
    </row>
    <row r="12" spans="1:43" x14ac:dyDescent="0.45">
      <c r="A12">
        <f ca="1"/>
        <v>5</v>
      </c>
      <c r="B12" s="50" cm="1">
        <f t="array" aca="1" ref="B12" ca="1">filesize(Folder&amp;Tests[[#This Row],[FileName]])</f>
        <v>19</v>
      </c>
      <c r="C12" s="50">
        <v>5</v>
      </c>
      <c r="D12" s="38" t="s">
        <v>307</v>
      </c>
      <c r="E12" s="37" t="b">
        <v>1</v>
      </c>
      <c r="F12" s="39" t="s">
        <v>249</v>
      </c>
      <c r="G12" s="39" t="b">
        <v>0</v>
      </c>
      <c r="H12" s="39" t="s">
        <v>249</v>
      </c>
      <c r="I12" s="39" t="s">
        <v>249</v>
      </c>
      <c r="J12" s="37">
        <v>1</v>
      </c>
      <c r="K12" s="37">
        <v>1</v>
      </c>
      <c r="L12" s="37">
        <v>0</v>
      </c>
      <c r="M12" s="37">
        <v>0</v>
      </c>
      <c r="N12" s="37" t="b">
        <v>0</v>
      </c>
      <c r="O12" s="37" t="s">
        <v>250</v>
      </c>
      <c r="P12" s="53"/>
      <c r="S12" t="str">
        <f ca="1"/>
        <v/>
      </c>
      <c r="T12" t="str">
        <f ca="1"/>
        <v>Array("Stock Name","AXP","BA","CAT","CSC","CVX","DD","DIS","GE","GS","HD","IBM","INTC","JNJ","JPM","KO","MCD","MMM","MRK","MSFT","NKE","PFE","PG","T","TRV","UNH","UTX","V","VZ","WMT","XOM"), _</v>
      </c>
      <c r="U12" t="str">
        <f ca="1"/>
        <v/>
      </c>
      <c r="V12" s="52" t="str">
        <f ca="1"/>
        <v>CSC, Cisco Systems Inc</v>
      </c>
      <c r="X12" s="63" t="str">
        <f ca="1"/>
        <v>CSC</v>
      </c>
      <c r="Y12" s="63" t="str">
        <f ca="1"/>
        <v>Cisco Systems Inc</v>
      </c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0"/>
      <c r="AN12" s="60"/>
      <c r="AO12" s="60"/>
      <c r="AP12" s="60"/>
      <c r="AQ12" s="60"/>
    </row>
    <row r="13" spans="1:43" x14ac:dyDescent="0.45">
      <c r="A13">
        <f ca="1"/>
        <v>6</v>
      </c>
      <c r="B13" s="50" cm="1">
        <f t="array" aca="1" ref="B13" ca="1">filesize(Folder&amp;Tests[[#This Row],[FileName]])</f>
        <v>21</v>
      </c>
      <c r="C13" s="50">
        <v>6</v>
      </c>
      <c r="D13" s="38" t="s">
        <v>308</v>
      </c>
      <c r="E13" s="37" t="b">
        <v>1</v>
      </c>
      <c r="F13" s="39" t="s">
        <v>253</v>
      </c>
      <c r="G13" s="39" t="b">
        <v>1</v>
      </c>
      <c r="H13" s="39" t="s">
        <v>249</v>
      </c>
      <c r="I13" s="39" t="s">
        <v>249</v>
      </c>
      <c r="J13" s="37">
        <v>1</v>
      </c>
      <c r="K13" s="37">
        <v>1</v>
      </c>
      <c r="L13" s="37">
        <v>0</v>
      </c>
      <c r="M13" s="37">
        <v>0</v>
      </c>
      <c r="N13" s="37" t="b">
        <v>0</v>
      </c>
      <c r="O13" s="37" t="s">
        <v>250</v>
      </c>
      <c r="P13" s="49"/>
      <c r="S13" t="str">
        <f ca="1"/>
        <v/>
      </c>
      <c r="T13" t="str">
        <f ca="1"/>
        <v>Array("Company Name","American Express Co","Boeing Co","Caterpillar Inc","Cisco Systems Inc","Chevron Corp","Dupont E I De Nemours &amp; Co","Walt Disney Co","General Electric Co","Goldman Sachs Group Inc","Home Depot Inc","International Business Machines Co...","Intel Corp","Johnson &amp; Johnson","JPMorgan Chase and Co","The Coca-Cola Co","McDonald's Corp","3M Co","Merck &amp; Co Inc","Microsoft Corp","Nike Inc","Pfizer Inc","Procter &amp; Gamble Co","AT&amp;T Inc","Travelers Companies Inc","UnitedHealth Group Inc","United Technologies Corp","Visa Inc","Verizon Communications Inc","Wal-Mart Stores Inc","Exxon Mobil Corp"))</v>
      </c>
      <c r="U13" t="str">
        <f ca="1"/>
        <v/>
      </c>
      <c r="V13" s="52" t="str">
        <f ca="1"/>
        <v>CVX,Chevron Corp</v>
      </c>
      <c r="X13" s="63" t="str">
        <f ca="1"/>
        <v>CVX</v>
      </c>
      <c r="Y13" s="63" t="str">
        <f ca="1"/>
        <v>Chevron Corp</v>
      </c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</row>
    <row r="14" spans="1:43" x14ac:dyDescent="0.45">
      <c r="A14">
        <f ca="1"/>
        <v>7</v>
      </c>
      <c r="B14" s="50" cm="1">
        <f t="array" aca="1" ref="B14" ca="1">filesize(Folder&amp;Tests[[#This Row],[FileName]])</f>
        <v>21</v>
      </c>
      <c r="C14" s="50">
        <v>7</v>
      </c>
      <c r="D14" s="38" t="s">
        <v>309</v>
      </c>
      <c r="E14" s="37" t="b">
        <v>1</v>
      </c>
      <c r="F14" s="39" t="s">
        <v>249</v>
      </c>
      <c r="G14" s="39" t="b">
        <v>0</v>
      </c>
      <c r="H14" s="39" t="s">
        <v>249</v>
      </c>
      <c r="I14" s="39" t="s">
        <v>249</v>
      </c>
      <c r="J14" s="37">
        <v>1</v>
      </c>
      <c r="K14" s="37">
        <v>1</v>
      </c>
      <c r="L14" s="37">
        <v>0</v>
      </c>
      <c r="M14" s="37">
        <v>0</v>
      </c>
      <c r="N14" s="37" t="b">
        <v>0</v>
      </c>
      <c r="O14" s="37" t="s">
        <v>250</v>
      </c>
      <c r="P14" s="53"/>
      <c r="S14" t="str">
        <f ca="1"/>
        <v/>
      </c>
      <c r="T14" t="str">
        <f ca="1"/>
        <v>TestRes = TestCSVRead(i, TestDescription, Expected, Folder + FileName, WhatDiffers, _</v>
      </c>
      <c r="U14" t="str">
        <f ca="1"/>
        <v/>
      </c>
      <c r="V14" s="52" t="str">
        <f ca="1"/>
        <v>DD,Dupont E I De Nemours &amp; Co</v>
      </c>
      <c r="X14" s="63" t="str">
        <f ca="1"/>
        <v>DD</v>
      </c>
      <c r="Y14" s="63" t="str">
        <f ca="1"/>
        <v>Dupont E I De Nemours &amp; Co</v>
      </c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</row>
    <row r="15" spans="1:43" x14ac:dyDescent="0.45">
      <c r="A15">
        <f ca="1"/>
        <v>8</v>
      </c>
      <c r="B15" s="50" cm="1">
        <f t="array" aca="1" ref="B15" ca="1">filesize(Folder&amp;Tests[[#This Row],[FileName]])</f>
        <v>24</v>
      </c>
      <c r="C15" s="50">
        <v>8</v>
      </c>
      <c r="D15" s="38" t="s">
        <v>310</v>
      </c>
      <c r="E15" s="37" t="b">
        <v>1</v>
      </c>
      <c r="F15" s="39" t="s">
        <v>249</v>
      </c>
      <c r="G15" s="39" t="b">
        <v>0</v>
      </c>
      <c r="H15" s="39" t="s">
        <v>249</v>
      </c>
      <c r="I15" s="39" t="s">
        <v>450</v>
      </c>
      <c r="J15" s="37">
        <v>1</v>
      </c>
      <c r="K15" s="37">
        <v>1</v>
      </c>
      <c r="L15" s="37">
        <v>0</v>
      </c>
      <c r="M15" s="37">
        <v>0</v>
      </c>
      <c r="N15" s="37" t="b">
        <v>0</v>
      </c>
      <c r="O15" s="37" t="s">
        <v>250</v>
      </c>
      <c r="P15" s="53"/>
      <c r="S15" t="str">
        <f ca="1"/>
        <v/>
      </c>
      <c r="T15" t="str">
        <f ca="1"/>
        <v xml:space="preserve">    ConvertTypes := "T", _</v>
      </c>
      <c r="U15" t="str">
        <f ca="1"/>
        <v/>
      </c>
      <c r="V15" s="52" t="str">
        <f ca="1"/>
        <v>DIS,Walt Disney Co</v>
      </c>
      <c r="X15" s="63" t="str">
        <f ca="1"/>
        <v>DIS</v>
      </c>
      <c r="Y15" s="63" t="str">
        <f ca="1"/>
        <v>Walt Disney Co</v>
      </c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</row>
    <row r="16" spans="1:43" x14ac:dyDescent="0.45">
      <c r="A16">
        <f ca="1"/>
        <v>9</v>
      </c>
      <c r="B16" s="50" cm="1">
        <f t="array" aca="1" ref="B16" ca="1">filesize(Folder&amp;Tests[[#This Row],[FileName]])</f>
        <v>25</v>
      </c>
      <c r="C16" s="50">
        <v>9</v>
      </c>
      <c r="D16" s="38" t="s">
        <v>311</v>
      </c>
      <c r="E16" s="37" t="b">
        <v>1</v>
      </c>
      <c r="F16" s="39" t="s">
        <v>249</v>
      </c>
      <c r="G16" s="39" t="b">
        <v>0</v>
      </c>
      <c r="H16" s="39" t="s">
        <v>249</v>
      </c>
      <c r="I16" s="39" t="s">
        <v>451</v>
      </c>
      <c r="J16" s="37">
        <v>1</v>
      </c>
      <c r="K16" s="37">
        <v>1</v>
      </c>
      <c r="L16" s="37">
        <v>0</v>
      </c>
      <c r="M16" s="37">
        <v>0</v>
      </c>
      <c r="N16" s="37" t="b">
        <v>0</v>
      </c>
      <c r="O16" s="37" t="s">
        <v>250</v>
      </c>
      <c r="P16" s="53"/>
      <c r="S16" t="str">
        <f ca="1"/>
        <v/>
      </c>
      <c r="T16" t="str">
        <f ca="1"/>
        <v xml:space="preserve">    ShowMissingsAs := Empty)</v>
      </c>
      <c r="U16" t="str">
        <f ca="1"/>
        <v/>
      </c>
      <c r="V16" s="52" t="str">
        <f ca="1"/>
        <v>GE,General Electric Co</v>
      </c>
      <c r="X16" s="63" t="str">
        <f ca="1"/>
        <v>GE</v>
      </c>
      <c r="Y16" s="63" t="str">
        <f ca="1"/>
        <v>General Electric Co</v>
      </c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</row>
    <row r="17" spans="1:38" x14ac:dyDescent="0.45">
      <c r="A17">
        <f ca="1"/>
        <v>10</v>
      </c>
      <c r="B17" s="50" cm="1">
        <f t="array" aca="1" ref="B17" ca="1">filesize(Folder&amp;Tests[[#This Row],[FileName]])</f>
        <v>25</v>
      </c>
      <c r="C17" s="50">
        <v>10</v>
      </c>
      <c r="D17" s="38" t="s">
        <v>312</v>
      </c>
      <c r="E17" s="37" t="b">
        <v>1</v>
      </c>
      <c r="F17" s="39" t="s">
        <v>249</v>
      </c>
      <c r="G17" s="39" t="b">
        <v>0</v>
      </c>
      <c r="H17" s="39" t="s">
        <v>249</v>
      </c>
      <c r="I17" s="39" t="s">
        <v>249</v>
      </c>
      <c r="J17" s="37">
        <v>1</v>
      </c>
      <c r="K17" s="37">
        <v>1</v>
      </c>
      <c r="L17" s="37">
        <v>0</v>
      </c>
      <c r="M17" s="37">
        <v>0</v>
      </c>
      <c r="N17" s="37" t="b">
        <v>0</v>
      </c>
      <c r="O17" s="37" t="s">
        <v>250</v>
      </c>
      <c r="P17" s="53"/>
      <c r="S17" t="str">
        <f ca="1"/>
        <v/>
      </c>
      <c r="U17" t="str">
        <f ca="1"/>
        <v/>
      </c>
      <c r="V17" s="52" t="str">
        <f ca="1"/>
        <v>GS,Goldman Sachs Group Inc</v>
      </c>
      <c r="X17" s="63" t="str">
        <f ca="1"/>
        <v>GS</v>
      </c>
      <c r="Y17" s="63" t="str">
        <f ca="1"/>
        <v>Goldman Sachs Group Inc</v>
      </c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</row>
    <row r="18" spans="1:38" x14ac:dyDescent="0.45">
      <c r="A18">
        <f ca="1"/>
        <v>11</v>
      </c>
      <c r="B18" s="50" cm="1">
        <f t="array" aca="1" ref="B18" ca="1">filesize(Folder&amp;Tests[[#This Row],[FileName]])</f>
        <v>25</v>
      </c>
      <c r="C18" s="50">
        <v>11</v>
      </c>
      <c r="D18" s="38" t="s">
        <v>313</v>
      </c>
      <c r="E18" s="37" t="b">
        <v>1</v>
      </c>
      <c r="F18" s="39" t="s">
        <v>249</v>
      </c>
      <c r="G18" s="39" t="b">
        <v>0</v>
      </c>
      <c r="H18" s="39" t="s">
        <v>249</v>
      </c>
      <c r="I18" s="39" t="s">
        <v>249</v>
      </c>
      <c r="J18" s="37">
        <v>1</v>
      </c>
      <c r="K18" s="37">
        <v>1</v>
      </c>
      <c r="L18" s="37">
        <v>0</v>
      </c>
      <c r="M18" s="37">
        <v>0</v>
      </c>
      <c r="N18" s="37" t="b">
        <v>0</v>
      </c>
      <c r="O18" s="37" t="s">
        <v>250</v>
      </c>
      <c r="P18" s="53"/>
      <c r="S18" t="str">
        <f ca="1"/>
        <v/>
      </c>
      <c r="U18" t="str">
        <f ca="1"/>
        <v/>
      </c>
      <c r="V18" s="52" t="str">
        <f ca="1"/>
        <v>HD,Home Depot Inc</v>
      </c>
      <c r="X18" s="63" t="str">
        <f ca="1"/>
        <v>HD</v>
      </c>
      <c r="Y18" s="63" t="str">
        <f ca="1"/>
        <v>Home Depot Inc</v>
      </c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</row>
    <row r="19" spans="1:38" x14ac:dyDescent="0.45">
      <c r="A19">
        <f ca="1"/>
        <v>12</v>
      </c>
      <c r="B19" s="50" cm="1">
        <f t="array" aca="1" ref="B19" ca="1">filesize(Folder&amp;Tests[[#This Row],[FileName]])</f>
        <v>30</v>
      </c>
      <c r="C19" s="50">
        <v>12</v>
      </c>
      <c r="D19" s="38" t="s">
        <v>315</v>
      </c>
      <c r="E19" s="37" t="b">
        <v>1</v>
      </c>
      <c r="F19" s="39" t="s">
        <v>249</v>
      </c>
      <c r="G19" s="39" t="b">
        <v>0</v>
      </c>
      <c r="H19" s="39" t="s">
        <v>249</v>
      </c>
      <c r="I19" s="39" t="s">
        <v>249</v>
      </c>
      <c r="J19" s="37">
        <v>1</v>
      </c>
      <c r="K19" s="37">
        <v>1</v>
      </c>
      <c r="L19" s="37">
        <v>0</v>
      </c>
      <c r="M19" s="37">
        <v>0</v>
      </c>
      <c r="N19" s="37" t="b">
        <v>0</v>
      </c>
      <c r="O19" s="37" t="s">
        <v>250</v>
      </c>
      <c r="P19" s="53"/>
      <c r="S19" t="str">
        <f ca="1"/>
        <v/>
      </c>
      <c r="U19" t="str">
        <f ca="1"/>
        <v/>
      </c>
      <c r="V19" s="52" t="str">
        <f ca="1"/>
        <v>IBM,International Business Machines Co...</v>
      </c>
      <c r="X19" s="63" t="str">
        <f ca="1"/>
        <v>IBM</v>
      </c>
      <c r="Y19" s="63" t="str">
        <f ca="1"/>
        <v>International Business Machines Co...</v>
      </c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</row>
    <row r="20" spans="1:38" x14ac:dyDescent="0.45">
      <c r="A20">
        <f ca="1"/>
        <v>13</v>
      </c>
      <c r="B20" s="50" cm="1">
        <f t="array" aca="1" ref="B20" ca="1">filesize(Folder&amp;Tests[[#This Row],[FileName]])</f>
        <v>32</v>
      </c>
      <c r="C20" s="50">
        <v>13</v>
      </c>
      <c r="D20" s="38" t="s">
        <v>316</v>
      </c>
      <c r="E20" s="37" t="b">
        <v>1</v>
      </c>
      <c r="F20" s="39" t="s">
        <v>249</v>
      </c>
      <c r="G20" s="39" t="b">
        <v>0</v>
      </c>
      <c r="H20" s="39" t="s">
        <v>249</v>
      </c>
      <c r="I20" s="39" t="s">
        <v>249</v>
      </c>
      <c r="J20" s="37">
        <v>1</v>
      </c>
      <c r="K20" s="37">
        <v>1</v>
      </c>
      <c r="L20" s="37">
        <v>0</v>
      </c>
      <c r="M20" s="37">
        <v>0</v>
      </c>
      <c r="N20" s="37" t="b">
        <v>0</v>
      </c>
      <c r="O20" s="37" t="s">
        <v>250</v>
      </c>
      <c r="P20" s="53"/>
      <c r="S20" t="str">
        <f ca="1"/>
        <v/>
      </c>
      <c r="U20" t="str">
        <f ca="1"/>
        <v/>
      </c>
      <c r="V20" s="52" t="str">
        <f ca="1"/>
        <v>INTC,Intel Corp</v>
      </c>
      <c r="X20" s="63" t="str">
        <f ca="1"/>
        <v>INTC</v>
      </c>
      <c r="Y20" s="63" t="str">
        <f ca="1"/>
        <v>Intel Corp</v>
      </c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</row>
    <row r="21" spans="1:38" x14ac:dyDescent="0.45">
      <c r="A21">
        <f ca="1"/>
        <v>14</v>
      </c>
      <c r="B21" s="50" cm="1">
        <f t="array" aca="1" ref="B21" ca="1">filesize(Folder&amp;Tests[[#This Row],[FileName]])</f>
        <v>32</v>
      </c>
      <c r="C21" s="50">
        <v>14</v>
      </c>
      <c r="D21" s="38" t="s">
        <v>317</v>
      </c>
      <c r="E21" s="37" t="b">
        <v>1</v>
      </c>
      <c r="F21" s="39" t="s">
        <v>249</v>
      </c>
      <c r="G21" s="39" t="b">
        <v>0</v>
      </c>
      <c r="H21" s="39" t="s">
        <v>249</v>
      </c>
      <c r="I21" s="39" t="s">
        <v>249</v>
      </c>
      <c r="J21" s="37">
        <v>1</v>
      </c>
      <c r="K21" s="37">
        <v>1</v>
      </c>
      <c r="L21" s="37">
        <v>0</v>
      </c>
      <c r="M21" s="37">
        <v>0</v>
      </c>
      <c r="N21" s="37" t="b">
        <v>0</v>
      </c>
      <c r="O21" s="37" t="s">
        <v>250</v>
      </c>
      <c r="P21" s="53"/>
      <c r="S21" t="str">
        <f ca="1"/>
        <v/>
      </c>
      <c r="U21" t="str">
        <f ca="1"/>
        <v/>
      </c>
      <c r="V21" s="52" t="str">
        <f ca="1"/>
        <v>JNJ,Johnson &amp; Johnson</v>
      </c>
      <c r="X21" s="63" t="str">
        <f ca="1"/>
        <v>JNJ</v>
      </c>
      <c r="Y21" s="63" t="str">
        <f ca="1"/>
        <v>Johnson &amp; Johnson</v>
      </c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</row>
    <row r="22" spans="1:38" x14ac:dyDescent="0.45">
      <c r="A22">
        <f ca="1"/>
        <v>15</v>
      </c>
      <c r="B22" s="50" cm="1">
        <f t="array" aca="1" ref="B22" ca="1">filesize(Folder&amp;Tests[[#This Row],[FileName]])</f>
        <v>32</v>
      </c>
      <c r="C22" s="50">
        <v>15</v>
      </c>
      <c r="D22" s="38" t="s">
        <v>318</v>
      </c>
      <c r="E22" s="37" t="b">
        <v>1</v>
      </c>
      <c r="F22" s="39" t="s">
        <v>249</v>
      </c>
      <c r="G22" s="39" t="b">
        <v>0</v>
      </c>
      <c r="H22" s="39" t="s">
        <v>249</v>
      </c>
      <c r="I22" s="39" t="s">
        <v>249</v>
      </c>
      <c r="J22" s="37">
        <v>1</v>
      </c>
      <c r="K22" s="37">
        <v>1</v>
      </c>
      <c r="L22" s="37">
        <v>0</v>
      </c>
      <c r="M22" s="37">
        <v>0</v>
      </c>
      <c r="N22" s="37" t="b">
        <v>0</v>
      </c>
      <c r="O22" s="37" t="s">
        <v>250</v>
      </c>
      <c r="P22" s="53"/>
      <c r="S22" t="str">
        <f ca="1"/>
        <v/>
      </c>
      <c r="U22" t="str">
        <f ca="1"/>
        <v/>
      </c>
      <c r="V22" s="52" t="str">
        <f ca="1"/>
        <v>JPM,JPMorgan Chase and Co</v>
      </c>
      <c r="X22" s="63" t="str">
        <f ca="1"/>
        <v>JPM</v>
      </c>
      <c r="Y22" s="63" t="str">
        <f ca="1"/>
        <v>JPMorgan Chase and Co</v>
      </c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</row>
    <row r="23" spans="1:38" x14ac:dyDescent="0.45">
      <c r="A23">
        <f ca="1"/>
        <v>16</v>
      </c>
      <c r="B23" s="50" cm="1">
        <f t="array" aca="1" ref="B23" ca="1">filesize(Folder&amp;Tests[[#This Row],[FileName]])</f>
        <v>32</v>
      </c>
      <c r="C23" s="50">
        <v>16</v>
      </c>
      <c r="D23" s="38" t="s">
        <v>319</v>
      </c>
      <c r="E23" s="37" t="b">
        <v>1</v>
      </c>
      <c r="F23" s="39" t="s">
        <v>249</v>
      </c>
      <c r="G23" s="39" t="b">
        <v>0</v>
      </c>
      <c r="H23" s="39" t="s">
        <v>249</v>
      </c>
      <c r="I23" s="39" t="s">
        <v>249</v>
      </c>
      <c r="J23" s="37">
        <v>1</v>
      </c>
      <c r="K23" s="37">
        <v>1</v>
      </c>
      <c r="L23" s="37">
        <v>0</v>
      </c>
      <c r="M23" s="37">
        <v>0</v>
      </c>
      <c r="N23" s="37" t="b">
        <v>0</v>
      </c>
      <c r="O23" s="37" t="s">
        <v>250</v>
      </c>
      <c r="P23" s="53"/>
      <c r="S23" t="str">
        <f ca="1"/>
        <v/>
      </c>
      <c r="U23" t="str">
        <f ca="1"/>
        <v/>
      </c>
      <c r="V23" s="52" t="str">
        <f ca="1"/>
        <v>KO,The Coca-Cola Co</v>
      </c>
      <c r="X23" s="63" t="str">
        <f ca="1"/>
        <v>KO</v>
      </c>
      <c r="Y23" s="63" t="str">
        <f ca="1"/>
        <v>The Coca-Cola Co</v>
      </c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</row>
    <row r="24" spans="1:38" x14ac:dyDescent="0.45">
      <c r="A24">
        <f ca="1"/>
        <v>17</v>
      </c>
      <c r="B24" s="50" cm="1">
        <f t="array" aca="1" ref="B24" ca="1">filesize(Folder&amp;Tests[[#This Row],[FileName]])</f>
        <v>33</v>
      </c>
      <c r="C24" s="50">
        <v>17</v>
      </c>
      <c r="D24" s="38" t="s">
        <v>323</v>
      </c>
      <c r="E24" s="37" t="b">
        <v>1</v>
      </c>
      <c r="F24" s="39" t="s">
        <v>249</v>
      </c>
      <c r="G24" s="39" t="b">
        <v>0</v>
      </c>
      <c r="H24" s="39" t="s">
        <v>249</v>
      </c>
      <c r="I24" s="39" t="s">
        <v>249</v>
      </c>
      <c r="J24" s="37">
        <v>1</v>
      </c>
      <c r="K24" s="37">
        <v>1</v>
      </c>
      <c r="L24" s="37">
        <v>0</v>
      </c>
      <c r="M24" s="37">
        <v>0</v>
      </c>
      <c r="N24" s="37" t="b">
        <v>0</v>
      </c>
      <c r="O24" s="37" t="s">
        <v>250</v>
      </c>
      <c r="P24" s="53"/>
      <c r="S24" t="str">
        <f ca="1"/>
        <v/>
      </c>
      <c r="U24" t="str">
        <f ca="1"/>
        <v/>
      </c>
      <c r="V24" s="52" t="str">
        <f ca="1"/>
        <v>MCD,McDonald's Corp</v>
      </c>
      <c r="X24" s="63" t="str">
        <f ca="1"/>
        <v>MCD</v>
      </c>
      <c r="Y24" s="63" t="str">
        <f ca="1"/>
        <v>McDonald's Corp</v>
      </c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</row>
    <row r="25" spans="1:38" x14ac:dyDescent="0.45">
      <c r="A25">
        <f ca="1"/>
        <v>18</v>
      </c>
      <c r="B25" s="50" cm="1">
        <f t="array" aca="1" ref="B25" ca="1">filesize(Folder&amp;Tests[[#This Row],[FileName]])</f>
        <v>33</v>
      </c>
      <c r="C25" s="50">
        <v>18</v>
      </c>
      <c r="D25" s="38" t="s">
        <v>324</v>
      </c>
      <c r="E25" s="37" t="b">
        <v>1</v>
      </c>
      <c r="F25" s="39" t="s">
        <v>253</v>
      </c>
      <c r="G25" s="39" t="b">
        <v>0</v>
      </c>
      <c r="H25" s="39" t="s">
        <v>249</v>
      </c>
      <c r="I25" s="39" t="s">
        <v>249</v>
      </c>
      <c r="J25" s="37">
        <v>1</v>
      </c>
      <c r="K25" s="37">
        <v>1</v>
      </c>
      <c r="L25" s="37">
        <v>0</v>
      </c>
      <c r="M25" s="37">
        <v>0</v>
      </c>
      <c r="N25" s="37" t="b">
        <v>0</v>
      </c>
      <c r="O25" s="37" t="s">
        <v>250</v>
      </c>
      <c r="P25" s="53"/>
      <c r="S25" t="str">
        <f ca="1"/>
        <v/>
      </c>
      <c r="U25" t="str">
        <f ca="1"/>
        <v/>
      </c>
      <c r="V25" s="52" t="str">
        <f ca="1"/>
        <v>MMM,3M Co</v>
      </c>
      <c r="X25" s="63" t="str">
        <f ca="1"/>
        <v>MMM</v>
      </c>
      <c r="Y25" s="63" t="str">
        <f ca="1"/>
        <v>3M Co</v>
      </c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</row>
    <row r="26" spans="1:38" x14ac:dyDescent="0.45">
      <c r="A26">
        <f ca="1"/>
        <v>19</v>
      </c>
      <c r="B26" s="50" cm="1">
        <f t="array" aca="1" ref="B26" ca="1">filesize(Folder&amp;Tests[[#This Row],[FileName]])</f>
        <v>34</v>
      </c>
      <c r="C26" s="50">
        <v>19</v>
      </c>
      <c r="D26" s="38" t="s">
        <v>328</v>
      </c>
      <c r="E26" s="37" t="b">
        <v>1</v>
      </c>
      <c r="F26" s="39" t="s">
        <v>249</v>
      </c>
      <c r="G26" s="39" t="b">
        <v>0</v>
      </c>
      <c r="H26" s="39" t="s">
        <v>249</v>
      </c>
      <c r="I26" s="39" t="s">
        <v>249</v>
      </c>
      <c r="J26" s="37">
        <v>1</v>
      </c>
      <c r="K26" s="37">
        <v>1</v>
      </c>
      <c r="L26" s="37">
        <v>0</v>
      </c>
      <c r="M26" s="37">
        <v>0</v>
      </c>
      <c r="N26" s="37" t="b">
        <v>0</v>
      </c>
      <c r="O26" s="37" t="s">
        <v>250</v>
      </c>
      <c r="P26" s="53"/>
      <c r="S26" t="str">
        <f ca="1"/>
        <v/>
      </c>
      <c r="U26" t="str">
        <f ca="1"/>
        <v/>
      </c>
      <c r="V26" s="52" t="str">
        <f ca="1"/>
        <v>MRK,Merck &amp; Co Inc</v>
      </c>
      <c r="X26" s="63" t="str">
        <f ca="1"/>
        <v>MRK</v>
      </c>
      <c r="Y26" s="63" t="str">
        <f ca="1"/>
        <v>Merck &amp; Co Inc</v>
      </c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</row>
    <row r="27" spans="1:38" x14ac:dyDescent="0.45">
      <c r="A27">
        <f ca="1"/>
        <v>20</v>
      </c>
      <c r="B27" s="50" cm="1">
        <f t="array" aca="1" ref="B27" ca="1">filesize(Folder&amp;Tests[[#This Row],[FileName]])</f>
        <v>35</v>
      </c>
      <c r="C27" s="50">
        <v>20</v>
      </c>
      <c r="D27" s="38" t="s">
        <v>329</v>
      </c>
      <c r="E27" s="37" t="b">
        <v>1</v>
      </c>
      <c r="F27" s="39" t="s">
        <v>249</v>
      </c>
      <c r="G27" s="39" t="b">
        <v>0</v>
      </c>
      <c r="H27" s="39" t="s">
        <v>249</v>
      </c>
      <c r="I27" s="39" t="s">
        <v>249</v>
      </c>
      <c r="J27" s="37">
        <v>1</v>
      </c>
      <c r="K27" s="37">
        <v>1</v>
      </c>
      <c r="L27" s="37">
        <v>0</v>
      </c>
      <c r="M27" s="37">
        <v>0</v>
      </c>
      <c r="N27" s="37" t="b">
        <v>0</v>
      </c>
      <c r="O27" s="37" t="s">
        <v>250</v>
      </c>
      <c r="P27" s="53"/>
      <c r="S27" t="str">
        <f ca="1"/>
        <v/>
      </c>
      <c r="U27" t="str">
        <f ca="1"/>
        <v/>
      </c>
      <c r="V27" s="52" t="str">
        <f ca="1"/>
        <v>MSFT,Microsoft Corp</v>
      </c>
      <c r="X27" s="63" t="str">
        <f ca="1"/>
        <v>MSFT</v>
      </c>
      <c r="Y27" s="63" t="str">
        <f ca="1"/>
        <v>Microsoft Corp</v>
      </c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</row>
    <row r="28" spans="1:38" x14ac:dyDescent="0.45">
      <c r="A28">
        <f ca="1"/>
        <v>21</v>
      </c>
      <c r="B28" s="50" cm="1">
        <f t="array" aca="1" ref="B28" ca="1">filesize(Folder&amp;Tests[[#This Row],[FileName]])</f>
        <v>35</v>
      </c>
      <c r="C28" s="50">
        <v>21</v>
      </c>
      <c r="D28" s="38" t="s">
        <v>330</v>
      </c>
      <c r="E28" s="37" t="b">
        <v>1</v>
      </c>
      <c r="F28" s="39" t="s">
        <v>249</v>
      </c>
      <c r="G28" s="39" t="b">
        <v>0</v>
      </c>
      <c r="H28" s="39" t="s">
        <v>249</v>
      </c>
      <c r="I28" s="39" t="s">
        <v>249</v>
      </c>
      <c r="J28" s="37">
        <v>4</v>
      </c>
      <c r="K28" s="37">
        <v>1</v>
      </c>
      <c r="L28" s="37">
        <v>0</v>
      </c>
      <c r="M28" s="37">
        <v>0</v>
      </c>
      <c r="N28" s="37" t="b">
        <v>0</v>
      </c>
      <c r="O28" s="37" t="s">
        <v>250</v>
      </c>
      <c r="P28" s="53"/>
      <c r="S28" t="str">
        <f ca="1"/>
        <v/>
      </c>
      <c r="U28" t="str">
        <f ca="1"/>
        <v/>
      </c>
      <c r="V28" s="52" t="str">
        <f ca="1"/>
        <v>NKE,Nike Inc</v>
      </c>
      <c r="X28" s="63" t="str">
        <f ca="1"/>
        <v>NKE</v>
      </c>
      <c r="Y28" s="63" t="str">
        <f ca="1"/>
        <v>Nike Inc</v>
      </c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</row>
    <row r="29" spans="1:38" x14ac:dyDescent="0.45">
      <c r="A29">
        <f ca="1"/>
        <v>22</v>
      </c>
      <c r="B29" s="50" cm="1">
        <f t="array" aca="1" ref="B29" ca="1">filesize(Folder&amp;Tests[[#This Row],[FileName]])</f>
        <v>35</v>
      </c>
      <c r="C29" s="50">
        <v>22</v>
      </c>
      <c r="D29" s="38" t="s">
        <v>331</v>
      </c>
      <c r="E29" s="37" t="b">
        <v>1</v>
      </c>
      <c r="F29" s="39" t="s">
        <v>249</v>
      </c>
      <c r="G29" s="39" t="b">
        <v>0</v>
      </c>
      <c r="H29" s="39" t="s">
        <v>249</v>
      </c>
      <c r="I29" s="39" t="s">
        <v>249</v>
      </c>
      <c r="J29" s="37">
        <v>1</v>
      </c>
      <c r="K29" s="37">
        <v>1</v>
      </c>
      <c r="L29" s="37">
        <v>0</v>
      </c>
      <c r="M29" s="37">
        <v>0</v>
      </c>
      <c r="N29" s="37" t="b">
        <v>0</v>
      </c>
      <c r="O29" s="37" t="s">
        <v>250</v>
      </c>
      <c r="P29" s="53"/>
      <c r="S29" t="str">
        <f ca="1"/>
        <v/>
      </c>
      <c r="U29" t="str">
        <f ca="1"/>
        <v/>
      </c>
      <c r="V29" s="52" t="str">
        <f ca="1"/>
        <v>PFE,Pfizer Inc</v>
      </c>
      <c r="X29" s="63" t="str">
        <f ca="1"/>
        <v>PFE</v>
      </c>
      <c r="Y29" s="63" t="str">
        <f ca="1"/>
        <v>Pfizer Inc</v>
      </c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</row>
    <row r="30" spans="1:38" x14ac:dyDescent="0.45">
      <c r="A30">
        <f ca="1"/>
        <v>23</v>
      </c>
      <c r="B30" s="50" cm="1">
        <f t="array" aca="1" ref="B30" ca="1">filesize(Folder&amp;Tests[[#This Row],[FileName]])</f>
        <v>35</v>
      </c>
      <c r="C30" s="50">
        <v>23</v>
      </c>
      <c r="D30" s="38" t="s">
        <v>332</v>
      </c>
      <c r="E30" s="37" t="b">
        <v>1</v>
      </c>
      <c r="F30" s="39" t="s">
        <v>249</v>
      </c>
      <c r="G30" s="39" t="b">
        <v>0</v>
      </c>
      <c r="H30" s="39" t="s">
        <v>249</v>
      </c>
      <c r="I30" s="39" t="s">
        <v>249</v>
      </c>
      <c r="J30" s="37">
        <v>1</v>
      </c>
      <c r="K30" s="37">
        <v>1</v>
      </c>
      <c r="L30" s="37">
        <v>0</v>
      </c>
      <c r="M30" s="37">
        <v>0</v>
      </c>
      <c r="N30" s="37" t="b">
        <v>0</v>
      </c>
      <c r="O30" s="37" t="s">
        <v>250</v>
      </c>
      <c r="P30" s="53"/>
      <c r="S30" t="str">
        <f ca="1"/>
        <v/>
      </c>
      <c r="U30" t="str">
        <f ca="1"/>
        <v/>
      </c>
      <c r="V30" s="52" t="str">
        <f ca="1"/>
        <v>PG,Procter &amp; Gamble Co</v>
      </c>
      <c r="X30" s="63" t="str">
        <f ca="1"/>
        <v>PG</v>
      </c>
      <c r="Y30" s="63" t="str">
        <f ca="1"/>
        <v>Procter &amp; Gamble Co</v>
      </c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</row>
    <row r="31" spans="1:38" x14ac:dyDescent="0.45">
      <c r="A31">
        <f ca="1"/>
        <v>24</v>
      </c>
      <c r="B31" s="50" cm="1">
        <f t="array" aca="1" ref="B31" ca="1">filesize(Folder&amp;Tests[[#This Row],[FileName]])</f>
        <v>37</v>
      </c>
      <c r="C31" s="50">
        <v>24</v>
      </c>
      <c r="D31" s="38" t="s">
        <v>333</v>
      </c>
      <c r="E31" s="37" t="b">
        <v>1</v>
      </c>
      <c r="F31" s="39" t="s">
        <v>249</v>
      </c>
      <c r="G31" s="39" t="b">
        <v>0</v>
      </c>
      <c r="H31" s="39" t="s">
        <v>249</v>
      </c>
      <c r="I31" s="39" t="s">
        <v>249</v>
      </c>
      <c r="J31" s="37">
        <v>1</v>
      </c>
      <c r="K31" s="37">
        <v>1</v>
      </c>
      <c r="L31" s="37">
        <v>0</v>
      </c>
      <c r="M31" s="37">
        <v>0</v>
      </c>
      <c r="N31" s="37" t="b">
        <v>0</v>
      </c>
      <c r="O31" s="37" t="s">
        <v>250</v>
      </c>
      <c r="P31" s="53"/>
      <c r="S31" t="str">
        <f ca="1"/>
        <v/>
      </c>
      <c r="U31" t="str">
        <f ca="1"/>
        <v/>
      </c>
      <c r="V31" s="52" t="str">
        <f ca="1"/>
        <v>T,AT&amp;T Inc</v>
      </c>
      <c r="X31" s="63" t="str">
        <f ca="1"/>
        <v>T</v>
      </c>
      <c r="Y31" s="63" t="str">
        <f ca="1"/>
        <v>AT&amp;T Inc</v>
      </c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</row>
    <row r="32" spans="1:38" x14ac:dyDescent="0.45">
      <c r="A32">
        <f ca="1"/>
        <v>25</v>
      </c>
      <c r="B32" s="50" cm="1">
        <f t="array" aca="1" ref="B32" ca="1">filesize(Folder&amp;Tests[[#This Row],[FileName]])</f>
        <v>37</v>
      </c>
      <c r="C32" s="50">
        <v>25</v>
      </c>
      <c r="D32" s="38" t="s">
        <v>334</v>
      </c>
      <c r="E32" s="37" t="b">
        <v>1</v>
      </c>
      <c r="F32" s="39" t="s">
        <v>249</v>
      </c>
      <c r="G32" s="39" t="b">
        <v>0</v>
      </c>
      <c r="H32" s="37" t="s">
        <v>258</v>
      </c>
      <c r="I32" s="39" t="s">
        <v>249</v>
      </c>
      <c r="J32" s="37">
        <v>1</v>
      </c>
      <c r="K32" s="37">
        <v>1</v>
      </c>
      <c r="L32" s="37">
        <v>0</v>
      </c>
      <c r="M32" s="37">
        <v>0</v>
      </c>
      <c r="N32" s="37" t="b">
        <v>0</v>
      </c>
      <c r="O32" s="37" t="s">
        <v>250</v>
      </c>
      <c r="P32" s="53"/>
      <c r="S32" t="str">
        <f ca="1"/>
        <v/>
      </c>
      <c r="U32" t="str">
        <f ca="1"/>
        <v/>
      </c>
      <c r="V32" s="52" t="str">
        <f ca="1"/>
        <v>TRV,Travelers Companies Inc</v>
      </c>
      <c r="X32" s="63" t="str">
        <f ca="1"/>
        <v>TRV</v>
      </c>
      <c r="Y32" s="63" t="str">
        <f ca="1"/>
        <v>Travelers Companies Inc</v>
      </c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</row>
    <row r="33" spans="1:38" x14ac:dyDescent="0.45">
      <c r="A33">
        <f ca="1"/>
        <v>26</v>
      </c>
      <c r="B33" s="50" cm="1">
        <f t="array" aca="1" ref="B33" ca="1">filesize(Folder&amp;Tests[[#This Row],[FileName]])</f>
        <v>43</v>
      </c>
      <c r="C33" s="50">
        <v>26</v>
      </c>
      <c r="D33" s="38" t="s">
        <v>335</v>
      </c>
      <c r="E33" s="37" t="b">
        <v>1</v>
      </c>
      <c r="F33" s="39" t="s">
        <v>253</v>
      </c>
      <c r="G33" s="39" t="b">
        <v>1</v>
      </c>
      <c r="H33" s="39" t="s">
        <v>249</v>
      </c>
      <c r="I33" s="39" t="s">
        <v>249</v>
      </c>
      <c r="J33" s="37">
        <v>1</v>
      </c>
      <c r="K33" s="37">
        <v>1</v>
      </c>
      <c r="L33" s="37">
        <v>0</v>
      </c>
      <c r="M33" s="37">
        <v>0</v>
      </c>
      <c r="N33" s="37" t="b">
        <v>0</v>
      </c>
      <c r="O33" s="37" t="s">
        <v>250</v>
      </c>
      <c r="P33" s="53" t="s">
        <v>259</v>
      </c>
      <c r="S33" t="str">
        <f ca="1"/>
        <v/>
      </c>
      <c r="U33" t="str">
        <f ca="1"/>
        <v/>
      </c>
      <c r="V33" s="52" t="str">
        <f ca="1"/>
        <v>UNH,UnitedHealth Group Inc</v>
      </c>
      <c r="X33" s="63" t="str">
        <f ca="1"/>
        <v>UNH</v>
      </c>
      <c r="Y33" s="63" t="str">
        <f ca="1"/>
        <v>UnitedHealth Group Inc</v>
      </c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</row>
    <row r="34" spans="1:38" x14ac:dyDescent="0.45">
      <c r="A34">
        <f ca="1"/>
        <v>27</v>
      </c>
      <c r="B34" s="50" cm="1">
        <f t="array" aca="1" ref="B34" ca="1">filesize(Folder&amp;Tests[[#This Row],[FileName]])</f>
        <v>43</v>
      </c>
      <c r="C34" s="50">
        <v>27</v>
      </c>
      <c r="D34" s="38" t="s">
        <v>336</v>
      </c>
      <c r="E34" s="37" t="b">
        <v>0</v>
      </c>
      <c r="F34" s="39" t="s">
        <v>249</v>
      </c>
      <c r="G34" s="39" t="b">
        <v>0</v>
      </c>
      <c r="H34" s="39" t="s">
        <v>249</v>
      </c>
      <c r="I34" s="39" t="s">
        <v>249</v>
      </c>
      <c r="J34" s="37">
        <v>1</v>
      </c>
      <c r="K34" s="37">
        <v>1</v>
      </c>
      <c r="L34" s="37">
        <v>0</v>
      </c>
      <c r="M34" s="37">
        <v>0</v>
      </c>
      <c r="N34" s="37" t="b">
        <v>0</v>
      </c>
      <c r="O34" s="37" t="s">
        <v>250</v>
      </c>
      <c r="P34" s="53"/>
      <c r="S34" t="str">
        <f ca="1"/>
        <v/>
      </c>
      <c r="U34" t="str">
        <f ca="1"/>
        <v/>
      </c>
      <c r="V34" s="52" t="str">
        <f ca="1"/>
        <v>UTX,United Technologies Corp</v>
      </c>
      <c r="X34" s="63" t="str">
        <f ca="1"/>
        <v>UTX</v>
      </c>
      <c r="Y34" s="63" t="str">
        <f ca="1"/>
        <v>United Technologies Corp</v>
      </c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</row>
    <row r="35" spans="1:38" x14ac:dyDescent="0.45">
      <c r="A35">
        <f ca="1"/>
        <v>28</v>
      </c>
      <c r="B35" s="50" cm="1">
        <f t="array" aca="1" ref="B35" ca="1">filesize(Folder&amp;Tests[[#This Row],[FileName]])</f>
        <v>45</v>
      </c>
      <c r="C35" s="50">
        <v>28</v>
      </c>
      <c r="D35" s="38" t="s">
        <v>337</v>
      </c>
      <c r="E35" s="37" t="b">
        <v>0</v>
      </c>
      <c r="F35" s="39" t="s">
        <v>249</v>
      </c>
      <c r="G35" s="39" t="b">
        <v>0</v>
      </c>
      <c r="H35" s="39" t="s">
        <v>249</v>
      </c>
      <c r="I35" s="39" t="s">
        <v>249</v>
      </c>
      <c r="J35" s="37">
        <v>1</v>
      </c>
      <c r="K35" s="37">
        <v>1</v>
      </c>
      <c r="L35" s="37">
        <v>0</v>
      </c>
      <c r="M35" s="37">
        <v>0</v>
      </c>
      <c r="N35" s="37" t="b">
        <v>0</v>
      </c>
      <c r="O35" s="37" t="s">
        <v>250</v>
      </c>
      <c r="P35" s="53" t="s">
        <v>260</v>
      </c>
      <c r="S35" t="str">
        <f ca="1"/>
        <v/>
      </c>
      <c r="U35" t="str">
        <f ca="1"/>
        <v/>
      </c>
      <c r="V35" s="52" t="str">
        <f ca="1"/>
        <v>V,Visa Inc</v>
      </c>
      <c r="X35" s="63" t="str">
        <f ca="1"/>
        <v>V</v>
      </c>
      <c r="Y35" s="63" t="str">
        <f ca="1"/>
        <v>Visa Inc</v>
      </c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</row>
    <row r="36" spans="1:38" x14ac:dyDescent="0.45">
      <c r="A36">
        <f ca="1"/>
        <v>29</v>
      </c>
      <c r="B36" s="50" cm="1">
        <f t="array" aca="1" ref="B36" ca="1">filesize(Folder&amp;Tests[[#This Row],[FileName]])</f>
        <v>45</v>
      </c>
      <c r="C36" s="50">
        <v>29</v>
      </c>
      <c r="D36" s="38" t="s">
        <v>338</v>
      </c>
      <c r="E36" s="37" t="b">
        <v>0</v>
      </c>
      <c r="F36" s="39" t="s">
        <v>249</v>
      </c>
      <c r="G36" s="39" t="b">
        <v>0</v>
      </c>
      <c r="H36" s="39" t="s">
        <v>249</v>
      </c>
      <c r="I36" s="39" t="s">
        <v>249</v>
      </c>
      <c r="J36" s="37">
        <v>1</v>
      </c>
      <c r="K36" s="37">
        <v>1</v>
      </c>
      <c r="L36" s="37">
        <v>0</v>
      </c>
      <c r="M36" s="37">
        <v>0</v>
      </c>
      <c r="N36" s="37" t="b">
        <v>0</v>
      </c>
      <c r="O36" s="37" t="s">
        <v>250</v>
      </c>
      <c r="P36" s="53"/>
      <c r="S36" t="str">
        <f ca="1"/>
        <v/>
      </c>
      <c r="U36" t="str">
        <f ca="1"/>
        <v/>
      </c>
      <c r="V36" s="52" t="str">
        <f ca="1"/>
        <v>VZ,Verizon Communications Inc</v>
      </c>
      <c r="X36" s="63" t="str">
        <f ca="1"/>
        <v>VZ</v>
      </c>
      <c r="Y36" s="63" t="str">
        <f ca="1"/>
        <v>Verizon Communications Inc</v>
      </c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</row>
    <row r="37" spans="1:38" x14ac:dyDescent="0.45">
      <c r="A37">
        <f ca="1"/>
        <v>30</v>
      </c>
      <c r="B37" s="50" cm="1">
        <f t="array" aca="1" ref="B37" ca="1">filesize(Folder&amp;Tests[[#This Row],[FileName]])</f>
        <v>47</v>
      </c>
      <c r="C37" s="50">
        <v>30</v>
      </c>
      <c r="D37" s="38" t="s">
        <v>339</v>
      </c>
      <c r="E37" s="37" t="b">
        <v>1</v>
      </c>
      <c r="F37" s="39" t="s">
        <v>249</v>
      </c>
      <c r="G37" s="39" t="b">
        <v>0</v>
      </c>
      <c r="H37" s="39" t="s">
        <v>249</v>
      </c>
      <c r="I37" s="39" t="s">
        <v>249</v>
      </c>
      <c r="J37" s="37">
        <v>1</v>
      </c>
      <c r="K37" s="37">
        <v>1</v>
      </c>
      <c r="L37" s="37">
        <v>0</v>
      </c>
      <c r="M37" s="37">
        <v>0</v>
      </c>
      <c r="N37" s="37" t="b">
        <v>0</v>
      </c>
      <c r="O37" s="37" t="s">
        <v>250</v>
      </c>
      <c r="P37" s="53"/>
      <c r="S37" t="str">
        <f ca="1"/>
        <v/>
      </c>
      <c r="U37" t="str">
        <f ca="1"/>
        <v/>
      </c>
      <c r="V37" s="52" t="str">
        <f ca="1"/>
        <v>WMT,Wal-Mart Stores Inc</v>
      </c>
      <c r="X37" s="63" t="str">
        <f ca="1"/>
        <v>WMT</v>
      </c>
      <c r="Y37" s="63" t="str">
        <f ca="1"/>
        <v>Wal-Mart Stores Inc</v>
      </c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</row>
    <row r="38" spans="1:38" x14ac:dyDescent="0.45">
      <c r="A38">
        <f ca="1"/>
        <v>31</v>
      </c>
      <c r="B38" s="50" cm="1">
        <f t="array" aca="1" ref="B38" ca="1">filesize(Folder&amp;Tests[[#This Row],[FileName]])</f>
        <v>47</v>
      </c>
      <c r="C38" s="50">
        <v>31</v>
      </c>
      <c r="D38" s="38" t="s">
        <v>340</v>
      </c>
      <c r="E38" s="37" t="b">
        <v>1</v>
      </c>
      <c r="F38" s="39" t="s">
        <v>249</v>
      </c>
      <c r="G38" s="39" t="b">
        <v>0</v>
      </c>
      <c r="H38" s="39" t="s">
        <v>249</v>
      </c>
      <c r="I38" s="39" t="s">
        <v>249</v>
      </c>
      <c r="J38" s="37">
        <v>1</v>
      </c>
      <c r="K38" s="37">
        <v>1</v>
      </c>
      <c r="L38" s="37">
        <v>0</v>
      </c>
      <c r="M38" s="37">
        <v>0</v>
      </c>
      <c r="N38" s="37" t="b">
        <v>0</v>
      </c>
      <c r="O38" s="37" t="s">
        <v>250</v>
      </c>
      <c r="P38" s="53" t="s">
        <v>261</v>
      </c>
      <c r="S38" t="str">
        <f ca="1"/>
        <v/>
      </c>
      <c r="U38" t="str">
        <f ca="1"/>
        <v/>
      </c>
      <c r="V38" s="52" t="str">
        <f ca="1"/>
        <v>XOM,Exxon Mobil Corp</v>
      </c>
      <c r="X38" s="63" t="str">
        <f ca="1"/>
        <v>XOM</v>
      </c>
      <c r="Y38" s="63" t="str">
        <f ca="1"/>
        <v>Exxon Mobil Corp</v>
      </c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</row>
    <row r="39" spans="1:38" x14ac:dyDescent="0.45">
      <c r="A39">
        <f ca="1"/>
        <v>32</v>
      </c>
      <c r="B39" s="50" cm="1">
        <f t="array" aca="1" ref="B39" ca="1">filesize(Folder&amp;Tests[[#This Row],[FileName]])</f>
        <v>50</v>
      </c>
      <c r="C39" s="50">
        <v>32</v>
      </c>
      <c r="D39" s="38" t="s">
        <v>341</v>
      </c>
      <c r="E39" s="37" t="b">
        <v>1</v>
      </c>
      <c r="F39" s="39" t="s">
        <v>249</v>
      </c>
      <c r="G39" s="39" t="b">
        <v>0</v>
      </c>
      <c r="H39" s="39" t="s">
        <v>249</v>
      </c>
      <c r="I39" s="39" t="s">
        <v>249</v>
      </c>
      <c r="J39" s="37">
        <v>1</v>
      </c>
      <c r="K39" s="37">
        <v>1</v>
      </c>
      <c r="L39" s="37">
        <v>0</v>
      </c>
      <c r="M39" s="37">
        <v>0</v>
      </c>
      <c r="N39" s="37" t="b">
        <v>0</v>
      </c>
      <c r="O39" s="37" t="s">
        <v>250</v>
      </c>
      <c r="P39" s="53"/>
      <c r="S39" t="str">
        <f ca="1"/>
        <v/>
      </c>
      <c r="U39" t="str">
        <f ca="1"/>
        <v/>
      </c>
      <c r="V39" s="52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</row>
    <row r="40" spans="1:38" x14ac:dyDescent="0.45">
      <c r="A40">
        <f ca="1"/>
        <v>33</v>
      </c>
      <c r="B40" s="50" cm="1">
        <f t="array" aca="1" ref="B40" ca="1">filesize(Folder&amp;Tests[[#This Row],[FileName]])</f>
        <v>50</v>
      </c>
      <c r="C40" s="50">
        <v>33</v>
      </c>
      <c r="D40" s="38" t="s">
        <v>342</v>
      </c>
      <c r="E40" s="37" t="b">
        <v>1</v>
      </c>
      <c r="F40" s="39" t="s">
        <v>249</v>
      </c>
      <c r="G40" s="39" t="b">
        <v>0</v>
      </c>
      <c r="H40" s="39" t="s">
        <v>249</v>
      </c>
      <c r="I40" s="39" t="s">
        <v>249</v>
      </c>
      <c r="J40" s="37">
        <v>1</v>
      </c>
      <c r="K40" s="37">
        <v>1</v>
      </c>
      <c r="L40" s="37">
        <v>0</v>
      </c>
      <c r="M40" s="37">
        <v>0</v>
      </c>
      <c r="N40" s="37" t="b">
        <v>0</v>
      </c>
      <c r="O40" s="37" t="s">
        <v>250</v>
      </c>
      <c r="P40" s="53"/>
      <c r="S40" t="str">
        <f ca="1"/>
        <v/>
      </c>
      <c r="U40" t="str">
        <f ca="1"/>
        <v/>
      </c>
      <c r="V40" s="52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</row>
    <row r="41" spans="1:38" x14ac:dyDescent="0.45">
      <c r="A41">
        <f ca="1"/>
        <v>34</v>
      </c>
      <c r="B41" s="50" cm="1">
        <f t="array" aca="1" ref="B41" ca="1">filesize(Folder&amp;Tests[[#This Row],[FileName]])</f>
        <v>50</v>
      </c>
      <c r="C41" s="50">
        <v>34</v>
      </c>
      <c r="D41" s="38" t="s">
        <v>343</v>
      </c>
      <c r="E41" s="37" t="b">
        <v>1</v>
      </c>
      <c r="F41" s="39" t="s">
        <v>249</v>
      </c>
      <c r="G41" s="39" t="b">
        <v>0</v>
      </c>
      <c r="H41" s="39" t="s">
        <v>249</v>
      </c>
      <c r="I41" s="39" t="s">
        <v>249</v>
      </c>
      <c r="J41" s="37">
        <v>1</v>
      </c>
      <c r="K41" s="37">
        <v>1</v>
      </c>
      <c r="L41" s="37">
        <v>0</v>
      </c>
      <c r="M41" s="37">
        <v>0</v>
      </c>
      <c r="N41" s="37" t="b">
        <v>0</v>
      </c>
      <c r="O41" s="37" t="s">
        <v>250</v>
      </c>
      <c r="P41" s="53" t="s">
        <v>262</v>
      </c>
      <c r="S41" t="str">
        <f ca="1"/>
        <v/>
      </c>
      <c r="U41" t="str">
        <f ca="1"/>
        <v/>
      </c>
      <c r="V41" s="52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</row>
    <row r="42" spans="1:38" x14ac:dyDescent="0.45">
      <c r="A42">
        <f ca="1"/>
        <v>35</v>
      </c>
      <c r="B42" s="50" cm="1">
        <f t="array" aca="1" ref="B42" ca="1">filesize(Folder&amp;Tests[[#This Row],[FileName]])</f>
        <v>51</v>
      </c>
      <c r="C42" s="50">
        <v>35</v>
      </c>
      <c r="D42" s="38" t="s">
        <v>344</v>
      </c>
      <c r="E42" s="37" t="b">
        <v>1</v>
      </c>
      <c r="F42" s="39" t="s">
        <v>249</v>
      </c>
      <c r="G42" s="39" t="b">
        <v>0</v>
      </c>
      <c r="H42" s="39" t="s">
        <v>249</v>
      </c>
      <c r="I42" s="39" t="s">
        <v>249</v>
      </c>
      <c r="J42" s="37">
        <v>1</v>
      </c>
      <c r="K42" s="37">
        <v>1</v>
      </c>
      <c r="L42" s="37">
        <v>0</v>
      </c>
      <c r="M42" s="37">
        <v>0</v>
      </c>
      <c r="N42" s="37" t="b">
        <v>0</v>
      </c>
      <c r="O42" s="37" t="s">
        <v>250</v>
      </c>
      <c r="P42" s="53" t="s">
        <v>263</v>
      </c>
      <c r="S42" t="str">
        <f ca="1"/>
        <v/>
      </c>
      <c r="U42" t="str">
        <f ca="1"/>
        <v/>
      </c>
      <c r="V42" s="52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</row>
    <row r="43" spans="1:38" x14ac:dyDescent="0.45">
      <c r="A43">
        <f ca="1"/>
        <v>36</v>
      </c>
      <c r="B43" s="50" cm="1">
        <f t="array" aca="1" ref="B43" ca="1">filesize(Folder&amp;Tests[[#This Row],[FileName]])</f>
        <v>52</v>
      </c>
      <c r="C43" s="50">
        <v>36</v>
      </c>
      <c r="D43" s="38" t="s">
        <v>345</v>
      </c>
      <c r="E43" s="37" t="s">
        <v>427</v>
      </c>
      <c r="F43" s="39" t="s">
        <v>249</v>
      </c>
      <c r="G43" s="39" t="b">
        <v>0</v>
      </c>
      <c r="H43" s="39" t="s">
        <v>249</v>
      </c>
      <c r="I43" s="39" t="s">
        <v>249</v>
      </c>
      <c r="J43" s="37">
        <v>1</v>
      </c>
      <c r="K43" s="37">
        <v>1</v>
      </c>
      <c r="L43" s="37">
        <v>0</v>
      </c>
      <c r="M43" s="37">
        <v>0</v>
      </c>
      <c r="N43" s="37" t="b">
        <v>0</v>
      </c>
      <c r="O43" s="37" t="s">
        <v>250</v>
      </c>
      <c r="P43" s="54" t="s">
        <v>444</v>
      </c>
      <c r="S43" t="str">
        <f ca="1"/>
        <v/>
      </c>
      <c r="U43" t="str">
        <f ca="1"/>
        <v/>
      </c>
      <c r="V43" s="52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</row>
    <row r="44" spans="1:38" x14ac:dyDescent="0.45">
      <c r="A44">
        <f ca="1"/>
        <v>37</v>
      </c>
      <c r="B44" s="50" cm="1">
        <f t="array" aca="1" ref="B44" ca="1">filesize(Folder&amp;Tests[[#This Row],[FileName]])</f>
        <v>53</v>
      </c>
      <c r="C44" s="50">
        <v>37</v>
      </c>
      <c r="D44" s="38" t="s">
        <v>346</v>
      </c>
      <c r="E44" s="37" t="b">
        <v>1</v>
      </c>
      <c r="F44" s="39" t="s">
        <v>249</v>
      </c>
      <c r="G44" s="39" t="b">
        <v>0</v>
      </c>
      <c r="H44" s="39" t="s">
        <v>249</v>
      </c>
      <c r="I44" s="39" t="s">
        <v>249</v>
      </c>
      <c r="J44" s="37">
        <v>1</v>
      </c>
      <c r="K44" s="37">
        <v>1</v>
      </c>
      <c r="L44" s="37">
        <v>0</v>
      </c>
      <c r="M44" s="37">
        <v>0</v>
      </c>
      <c r="N44" s="37" t="b">
        <v>0</v>
      </c>
      <c r="O44" s="37" t="s">
        <v>250</v>
      </c>
      <c r="P44" s="49" t="s">
        <v>412</v>
      </c>
      <c r="S44" t="str">
        <f ca="1"/>
        <v/>
      </c>
      <c r="U44" t="str">
        <f ca="1"/>
        <v/>
      </c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</row>
    <row r="45" spans="1:38" x14ac:dyDescent="0.45">
      <c r="A45">
        <f ca="1"/>
        <v>38</v>
      </c>
      <c r="B45" s="50" cm="1">
        <f t="array" aca="1" ref="B45" ca="1">filesize(Folder&amp;Tests[[#This Row],[FileName]])</f>
        <v>53</v>
      </c>
      <c r="C45" s="50">
        <v>38</v>
      </c>
      <c r="D45" s="38" t="s">
        <v>347</v>
      </c>
      <c r="E45" s="37" t="b">
        <v>1</v>
      </c>
      <c r="F45" s="39" t="s">
        <v>249</v>
      </c>
      <c r="G45" s="39" t="b">
        <v>0</v>
      </c>
      <c r="H45" s="39" t="s">
        <v>249</v>
      </c>
      <c r="I45" s="39" t="s">
        <v>249</v>
      </c>
      <c r="J45" s="37">
        <v>1</v>
      </c>
      <c r="K45" s="37">
        <v>1</v>
      </c>
      <c r="L45" s="37">
        <v>0</v>
      </c>
      <c r="M45" s="37">
        <v>0</v>
      </c>
      <c r="N45" s="37" t="b">
        <v>0</v>
      </c>
      <c r="O45" s="37" t="s">
        <v>250</v>
      </c>
      <c r="P45" s="49" t="s">
        <v>413</v>
      </c>
      <c r="S45" t="str">
        <f ca="1"/>
        <v/>
      </c>
      <c r="U45" t="str">
        <f ca="1"/>
        <v/>
      </c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</row>
    <row r="46" spans="1:38" x14ac:dyDescent="0.45">
      <c r="A46">
        <f ca="1"/>
        <v>39</v>
      </c>
      <c r="B46" s="50" cm="1">
        <f t="array" aca="1" ref="B46" ca="1">filesize(Folder&amp;Tests[[#This Row],[FileName]])</f>
        <v>57</v>
      </c>
      <c r="C46" s="50">
        <v>39</v>
      </c>
      <c r="D46" s="38" t="s">
        <v>348</v>
      </c>
      <c r="E46" s="37" t="b">
        <v>1</v>
      </c>
      <c r="F46" s="39" t="s">
        <v>249</v>
      </c>
      <c r="G46" s="39" t="b">
        <v>0</v>
      </c>
      <c r="H46" s="39" t="s">
        <v>249</v>
      </c>
      <c r="I46" s="39" t="s">
        <v>249</v>
      </c>
      <c r="J46" s="37">
        <v>1</v>
      </c>
      <c r="K46" s="37">
        <v>1</v>
      </c>
      <c r="L46" s="37">
        <v>0</v>
      </c>
      <c r="M46" s="37">
        <v>0</v>
      </c>
      <c r="N46" s="37" t="b">
        <v>0</v>
      </c>
      <c r="O46" s="37" t="s">
        <v>250</v>
      </c>
      <c r="P46" s="53"/>
      <c r="S46" t="str">
        <f ca="1"/>
        <v/>
      </c>
      <c r="U46" t="str">
        <f ca="1"/>
        <v/>
      </c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</row>
    <row r="47" spans="1:38" x14ac:dyDescent="0.45">
      <c r="A47">
        <f ca="1"/>
        <v>40</v>
      </c>
      <c r="B47" s="50" cm="1">
        <f t="array" aca="1" ref="B47" ca="1">filesize(Folder&amp;Tests[[#This Row],[FileName]])</f>
        <v>59</v>
      </c>
      <c r="C47" s="50">
        <v>40</v>
      </c>
      <c r="D47" s="38" t="s">
        <v>350</v>
      </c>
      <c r="E47" s="37" t="b">
        <v>1</v>
      </c>
      <c r="F47" s="39" t="s">
        <v>249</v>
      </c>
      <c r="G47" s="39" t="b">
        <v>0</v>
      </c>
      <c r="H47" s="39" t="s">
        <v>249</v>
      </c>
      <c r="I47" s="39" t="s">
        <v>249</v>
      </c>
      <c r="J47" s="37">
        <v>1</v>
      </c>
      <c r="K47" s="37">
        <v>1</v>
      </c>
      <c r="L47" s="37">
        <v>0</v>
      </c>
      <c r="M47" s="37">
        <v>0</v>
      </c>
      <c r="N47" s="37" t="b">
        <v>0</v>
      </c>
      <c r="O47" s="37" t="s">
        <v>252</v>
      </c>
      <c r="P47" s="53" t="s">
        <v>265</v>
      </c>
      <c r="S47" t="str">
        <f ca="1"/>
        <v/>
      </c>
      <c r="U47" t="str">
        <f ca="1"/>
        <v/>
      </c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</row>
    <row r="48" spans="1:38" x14ac:dyDescent="0.45">
      <c r="A48">
        <f ca="1"/>
        <v>41</v>
      </c>
      <c r="B48" s="50" cm="1">
        <f t="array" aca="1" ref="B48" ca="1">filesize(Folder&amp;Tests[[#This Row],[FileName]])</f>
        <v>59</v>
      </c>
      <c r="C48" s="50">
        <v>41</v>
      </c>
      <c r="D48" s="38" t="s">
        <v>351</v>
      </c>
      <c r="E48" s="37" t="b">
        <v>1</v>
      </c>
      <c r="F48" s="39" t="s">
        <v>249</v>
      </c>
      <c r="G48" s="39" t="b">
        <v>0</v>
      </c>
      <c r="H48" s="39" t="s">
        <v>249</v>
      </c>
      <c r="I48" s="39" t="s">
        <v>249</v>
      </c>
      <c r="J48" s="37">
        <v>1</v>
      </c>
      <c r="K48" s="37">
        <v>1</v>
      </c>
      <c r="L48" s="37">
        <v>0</v>
      </c>
      <c r="M48" s="37">
        <v>0</v>
      </c>
      <c r="N48" s="37" t="b">
        <v>0</v>
      </c>
      <c r="O48" s="37" t="s">
        <v>250</v>
      </c>
      <c r="P48" s="53" t="s">
        <v>266</v>
      </c>
      <c r="S48" t="str">
        <f ca="1"/>
        <v/>
      </c>
      <c r="U48" t="str">
        <f ca="1"/>
        <v/>
      </c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</row>
    <row r="49" spans="1:38" x14ac:dyDescent="0.45">
      <c r="A49">
        <f ca="1"/>
        <v>42</v>
      </c>
      <c r="B49" s="50" cm="1">
        <f t="array" aca="1" ref="B49" ca="1">filesize(Folder&amp;Tests[[#This Row],[FileName]])</f>
        <v>61</v>
      </c>
      <c r="C49" s="50">
        <v>42</v>
      </c>
      <c r="D49" s="38" t="s">
        <v>352</v>
      </c>
      <c r="E49" s="37" t="b">
        <v>1</v>
      </c>
      <c r="F49" s="39" t="s">
        <v>249</v>
      </c>
      <c r="G49" s="39" t="b">
        <v>0</v>
      </c>
      <c r="H49" s="39" t="s">
        <v>249</v>
      </c>
      <c r="I49" s="39" t="s">
        <v>249</v>
      </c>
      <c r="J49" s="37">
        <v>1</v>
      </c>
      <c r="K49" s="37">
        <v>1</v>
      </c>
      <c r="L49" s="37">
        <v>0</v>
      </c>
      <c r="M49" s="37">
        <v>0</v>
      </c>
      <c r="N49" s="37" t="b">
        <v>0</v>
      </c>
      <c r="O49" s="37" t="s">
        <v>250</v>
      </c>
      <c r="P49" s="53" t="s">
        <v>267</v>
      </c>
      <c r="S49" t="str">
        <f ca="1"/>
        <v/>
      </c>
      <c r="U49" t="str">
        <f ca="1"/>
        <v/>
      </c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</row>
    <row r="50" spans="1:38" x14ac:dyDescent="0.45">
      <c r="A50">
        <f ca="1"/>
        <v>43</v>
      </c>
      <c r="B50" s="50" cm="1">
        <f t="array" aca="1" ref="B50" ca="1">filesize(Folder&amp;Tests[[#This Row],[FileName]])</f>
        <v>65</v>
      </c>
      <c r="C50" s="50">
        <v>43</v>
      </c>
      <c r="D50" s="38" t="s">
        <v>356</v>
      </c>
      <c r="E50" s="37" t="b">
        <v>1</v>
      </c>
      <c r="F50" s="39" t="s">
        <v>271</v>
      </c>
      <c r="G50" s="39" t="b">
        <v>0</v>
      </c>
      <c r="H50" s="39" t="s">
        <v>249</v>
      </c>
      <c r="I50" s="39" t="s">
        <v>249</v>
      </c>
      <c r="J50" s="37">
        <v>1</v>
      </c>
      <c r="K50" s="37">
        <v>1</v>
      </c>
      <c r="L50" s="37">
        <v>0</v>
      </c>
      <c r="M50" s="37">
        <v>0</v>
      </c>
      <c r="N50" s="37" t="b">
        <v>0</v>
      </c>
      <c r="O50" s="37" t="s">
        <v>250</v>
      </c>
      <c r="P50" s="53"/>
      <c r="S50" t="str">
        <f ca="1"/>
        <v/>
      </c>
      <c r="U50" t="str">
        <f ca="1"/>
        <v/>
      </c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</row>
    <row r="51" spans="1:38" x14ac:dyDescent="0.45">
      <c r="A51">
        <f ca="1"/>
        <v>44</v>
      </c>
      <c r="B51" s="50" cm="1">
        <f t="array" aca="1" ref="B51" ca="1">filesize(Folder&amp;Tests[[#This Row],[FileName]])</f>
        <v>66</v>
      </c>
      <c r="C51" s="50">
        <v>44</v>
      </c>
      <c r="D51" s="38" t="s">
        <v>357</v>
      </c>
      <c r="E51" s="37" t="b">
        <v>1</v>
      </c>
      <c r="F51" s="39" t="s">
        <v>249</v>
      </c>
      <c r="G51" s="39" t="b">
        <v>0</v>
      </c>
      <c r="H51" s="39" t="s">
        <v>249</v>
      </c>
      <c r="I51" s="39" t="s">
        <v>249</v>
      </c>
      <c r="J51" s="37">
        <v>1</v>
      </c>
      <c r="K51" s="37">
        <v>1</v>
      </c>
      <c r="L51" s="37">
        <v>0</v>
      </c>
      <c r="M51" s="37">
        <v>0</v>
      </c>
      <c r="N51" s="37" t="b">
        <v>0</v>
      </c>
      <c r="O51" s="37" t="s">
        <v>250</v>
      </c>
      <c r="P51" s="53"/>
      <c r="S51" t="str">
        <f ca="1"/>
        <v/>
      </c>
      <c r="U51" t="str">
        <f ca="1"/>
        <v/>
      </c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</row>
    <row r="52" spans="1:38" x14ac:dyDescent="0.45">
      <c r="A52">
        <f ca="1"/>
        <v>45</v>
      </c>
      <c r="B52" s="50" cm="1">
        <f t="array" aca="1" ref="B52" ca="1">filesize(Folder&amp;Tests[[#This Row],[FileName]])</f>
        <v>67</v>
      </c>
      <c r="C52" s="50">
        <v>45</v>
      </c>
      <c r="D52" s="38" t="s">
        <v>358</v>
      </c>
      <c r="E52" s="37" t="b">
        <v>1</v>
      </c>
      <c r="F52" s="39" t="s">
        <v>249</v>
      </c>
      <c r="G52" s="39" t="b">
        <v>0</v>
      </c>
      <c r="H52" s="39" t="s">
        <v>249</v>
      </c>
      <c r="I52" s="39" t="s">
        <v>249</v>
      </c>
      <c r="J52" s="37">
        <v>1</v>
      </c>
      <c r="K52" s="37">
        <v>1</v>
      </c>
      <c r="L52" s="37">
        <v>0</v>
      </c>
      <c r="M52" s="37">
        <v>0</v>
      </c>
      <c r="N52" s="37" t="b">
        <v>0</v>
      </c>
      <c r="O52" s="37" t="s">
        <v>250</v>
      </c>
      <c r="P52" s="53"/>
      <c r="S52" t="str">
        <f ca="1"/>
        <v/>
      </c>
      <c r="U52" t="str">
        <f ca="1"/>
        <v/>
      </c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</row>
    <row r="53" spans="1:38" x14ac:dyDescent="0.45">
      <c r="A53">
        <f ca="1"/>
        <v>46</v>
      </c>
      <c r="B53" s="50" cm="1">
        <f t="array" aca="1" ref="B53" ca="1">filesize(Folder&amp;Tests[[#This Row],[FileName]])</f>
        <v>84</v>
      </c>
      <c r="C53" s="50">
        <v>46</v>
      </c>
      <c r="D53" s="38" t="s">
        <v>361</v>
      </c>
      <c r="E53" s="37" t="b">
        <v>1</v>
      </c>
      <c r="F53" s="39" t="s">
        <v>249</v>
      </c>
      <c r="G53" s="39" t="b">
        <v>0</v>
      </c>
      <c r="H53" s="39" t="s">
        <v>249</v>
      </c>
      <c r="I53" s="39" t="s">
        <v>450</v>
      </c>
      <c r="J53" s="37">
        <v>1</v>
      </c>
      <c r="K53" s="37">
        <v>1</v>
      </c>
      <c r="L53" s="37">
        <v>0</v>
      </c>
      <c r="M53" s="37">
        <v>0</v>
      </c>
      <c r="N53" s="37" t="b">
        <v>0</v>
      </c>
      <c r="O53" s="37" t="s">
        <v>250</v>
      </c>
      <c r="P53" s="53"/>
      <c r="S53" t="str">
        <f ca="1"/>
        <v/>
      </c>
      <c r="U53" t="str">
        <f ca="1"/>
        <v/>
      </c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</row>
    <row r="54" spans="1:38" x14ac:dyDescent="0.45">
      <c r="A54">
        <f ca="1"/>
        <v>47</v>
      </c>
      <c r="B54" s="50" cm="1">
        <f t="array" aca="1" ref="B54" ca="1">filesize(Folder&amp;Tests[[#This Row],[FileName]])</f>
        <v>91</v>
      </c>
      <c r="C54" s="50">
        <v>47</v>
      </c>
      <c r="D54" s="38" t="s">
        <v>362</v>
      </c>
      <c r="E54" s="37" t="b">
        <v>1</v>
      </c>
      <c r="F54" s="39" t="s">
        <v>249</v>
      </c>
      <c r="G54" s="39" t="b">
        <v>0</v>
      </c>
      <c r="H54" s="39" t="s">
        <v>249</v>
      </c>
      <c r="I54" s="39" t="s">
        <v>249</v>
      </c>
      <c r="J54" s="37">
        <v>1</v>
      </c>
      <c r="K54" s="37">
        <v>1</v>
      </c>
      <c r="L54" s="37">
        <v>0</v>
      </c>
      <c r="M54" s="37">
        <v>0</v>
      </c>
      <c r="N54" s="37" t="b">
        <v>0</v>
      </c>
      <c r="O54" s="37" t="s">
        <v>250</v>
      </c>
      <c r="P54" s="53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</row>
    <row r="55" spans="1:38" x14ac:dyDescent="0.45">
      <c r="A55">
        <f ca="1"/>
        <v>48</v>
      </c>
      <c r="B55" s="50" cm="1">
        <f t="array" aca="1" ref="B55" ca="1">filesize(Folder&amp;Tests[[#This Row],[FileName]])</f>
        <v>96</v>
      </c>
      <c r="C55" s="50">
        <v>48</v>
      </c>
      <c r="D55" s="38" t="s">
        <v>363</v>
      </c>
      <c r="E55" s="37" t="b">
        <v>1</v>
      </c>
      <c r="F55" s="39" t="s">
        <v>249</v>
      </c>
      <c r="G55" s="39" t="b">
        <v>0</v>
      </c>
      <c r="H55" s="39" t="s">
        <v>249</v>
      </c>
      <c r="I55" s="39" t="s">
        <v>450</v>
      </c>
      <c r="J55" s="37">
        <v>1</v>
      </c>
      <c r="K55" s="37">
        <v>1</v>
      </c>
      <c r="L55" s="37">
        <v>0</v>
      </c>
      <c r="M55" s="37">
        <v>0</v>
      </c>
      <c r="N55" s="37" t="b">
        <v>0</v>
      </c>
      <c r="O55" s="37" t="s">
        <v>250</v>
      </c>
      <c r="P55" s="49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</row>
    <row r="56" spans="1:38" x14ac:dyDescent="0.45">
      <c r="A56">
        <f ca="1"/>
        <v>49</v>
      </c>
      <c r="B56" s="50" cm="1">
        <f t="array" aca="1" ref="B56" ca="1">filesize(Folder&amp;Tests[[#This Row],[FileName]])</f>
        <v>100</v>
      </c>
      <c r="C56" s="50">
        <v>49</v>
      </c>
      <c r="D56" s="38" t="s">
        <v>364</v>
      </c>
      <c r="E56" s="37" t="b">
        <v>1</v>
      </c>
      <c r="F56" s="39" t="s">
        <v>249</v>
      </c>
      <c r="G56" s="39" t="b">
        <v>0</v>
      </c>
      <c r="H56" s="39" t="s">
        <v>249</v>
      </c>
      <c r="I56" s="39" t="s">
        <v>249</v>
      </c>
      <c r="J56" s="37">
        <v>1</v>
      </c>
      <c r="K56" s="37">
        <v>1</v>
      </c>
      <c r="L56" s="37">
        <v>0</v>
      </c>
      <c r="M56" s="37">
        <v>0</v>
      </c>
      <c r="N56" s="40" t="b">
        <v>1</v>
      </c>
      <c r="O56" s="37" t="s">
        <v>250</v>
      </c>
      <c r="P56" s="49" t="s">
        <v>274</v>
      </c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</row>
    <row r="57" spans="1:38" x14ac:dyDescent="0.45">
      <c r="A57">
        <f ca="1"/>
        <v>50</v>
      </c>
      <c r="B57" s="50" cm="1">
        <f t="array" aca="1" ref="B57" ca="1">filesize(Folder&amp;Tests[[#This Row],[FileName]])</f>
        <v>100</v>
      </c>
      <c r="C57" s="50">
        <v>50</v>
      </c>
      <c r="D57" s="38" t="s">
        <v>366</v>
      </c>
      <c r="E57" s="37" t="b">
        <v>1</v>
      </c>
      <c r="F57" s="39" t="s">
        <v>249</v>
      </c>
      <c r="G57" s="39" t="b">
        <v>0</v>
      </c>
      <c r="H57" s="39" t="s">
        <v>249</v>
      </c>
      <c r="I57" s="39" t="s">
        <v>249</v>
      </c>
      <c r="J57" s="37">
        <v>1</v>
      </c>
      <c r="K57" s="37">
        <v>1</v>
      </c>
      <c r="L57" s="37">
        <v>0</v>
      </c>
      <c r="M57" s="37">
        <v>0</v>
      </c>
      <c r="N57" s="40" t="b">
        <v>1</v>
      </c>
      <c r="O57" s="37" t="s">
        <v>250</v>
      </c>
      <c r="P57" s="49" t="s">
        <v>274</v>
      </c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</row>
    <row r="58" spans="1:38" x14ac:dyDescent="0.45">
      <c r="A58">
        <f ca="1"/>
        <v>51</v>
      </c>
      <c r="B58" s="50" cm="1">
        <f t="array" aca="1" ref="B58" ca="1">filesize(Folder&amp;Tests[[#This Row],[FileName]])</f>
        <v>110</v>
      </c>
      <c r="C58" s="50">
        <v>51</v>
      </c>
      <c r="D58" s="38" t="s">
        <v>368</v>
      </c>
      <c r="E58" s="37" t="b">
        <v>1</v>
      </c>
      <c r="F58" s="39" t="s">
        <v>249</v>
      </c>
      <c r="G58" s="39" t="b">
        <v>0</v>
      </c>
      <c r="H58" s="39" t="s">
        <v>249</v>
      </c>
      <c r="I58" s="39" t="s">
        <v>249</v>
      </c>
      <c r="J58" s="37">
        <v>1</v>
      </c>
      <c r="K58" s="37">
        <v>1</v>
      </c>
      <c r="L58" s="37">
        <v>0</v>
      </c>
      <c r="M58" s="37">
        <v>0</v>
      </c>
      <c r="N58" s="37" t="b">
        <v>0</v>
      </c>
      <c r="O58" s="37" t="s">
        <v>250</v>
      </c>
      <c r="P58" s="53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</row>
    <row r="59" spans="1:38" x14ac:dyDescent="0.45">
      <c r="A59">
        <f ca="1"/>
        <v>52</v>
      </c>
      <c r="B59" s="50" cm="1">
        <f t="array" aca="1" ref="B59" ca="1">filesize(Folder&amp;Tests[[#This Row],[FileName]])</f>
        <v>115</v>
      </c>
      <c r="C59" s="50">
        <v>52</v>
      </c>
      <c r="D59" s="38" t="s">
        <v>369</v>
      </c>
      <c r="E59" s="37" t="b">
        <v>1</v>
      </c>
      <c r="F59" s="39" t="s">
        <v>249</v>
      </c>
      <c r="G59" s="39" t="b">
        <v>0</v>
      </c>
      <c r="H59" s="39" t="s">
        <v>249</v>
      </c>
      <c r="I59" s="39" t="s">
        <v>450</v>
      </c>
      <c r="J59" s="37">
        <v>1</v>
      </c>
      <c r="K59" s="37">
        <v>1</v>
      </c>
      <c r="L59" s="37">
        <v>0</v>
      </c>
      <c r="M59" s="37">
        <v>0</v>
      </c>
      <c r="N59" s="37" t="b">
        <v>0</v>
      </c>
      <c r="O59" s="37" t="s">
        <v>250</v>
      </c>
      <c r="P59" s="53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</row>
    <row r="60" spans="1:38" x14ac:dyDescent="0.45">
      <c r="A60">
        <f ca="1"/>
        <v>53</v>
      </c>
      <c r="B60" s="50" cm="1">
        <f t="array" aca="1" ref="B60" ca="1">filesize(Folder&amp;Tests[[#This Row],[FileName]])</f>
        <v>196</v>
      </c>
      <c r="C60" s="50">
        <v>53</v>
      </c>
      <c r="D60" s="38" t="s">
        <v>370</v>
      </c>
      <c r="E60" s="37" t="b">
        <v>1</v>
      </c>
      <c r="F60" s="39" t="str">
        <f ca="1">CHAR(9)</f>
        <v xml:space="preserve">	</v>
      </c>
      <c r="G60" s="39" t="b">
        <v>0</v>
      </c>
      <c r="H60" s="39" t="s">
        <v>249</v>
      </c>
      <c r="I60" s="39" t="s">
        <v>249</v>
      </c>
      <c r="J60" s="37">
        <v>1</v>
      </c>
      <c r="K60" s="37">
        <v>1</v>
      </c>
      <c r="L60" s="37">
        <v>0</v>
      </c>
      <c r="M60" s="37">
        <v>0</v>
      </c>
      <c r="N60" s="40" t="b">
        <v>1</v>
      </c>
      <c r="O60" s="37" t="s">
        <v>250</v>
      </c>
      <c r="P60" s="49" t="s">
        <v>276</v>
      </c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</row>
    <row r="61" spans="1:38" x14ac:dyDescent="0.45">
      <c r="A61">
        <f ca="1"/>
        <v>54</v>
      </c>
      <c r="B61" s="50" cm="1">
        <f t="array" aca="1" ref="B61" ca="1">filesize(Folder&amp;Tests[[#This Row],[FileName]])</f>
        <v>382</v>
      </c>
      <c r="C61" s="50">
        <v>54</v>
      </c>
      <c r="D61" s="38" t="s">
        <v>371</v>
      </c>
      <c r="E61" s="37" t="b">
        <v>1</v>
      </c>
      <c r="F61" s="39" t="s">
        <v>249</v>
      </c>
      <c r="G61" s="39" t="b">
        <v>0</v>
      </c>
      <c r="H61" s="39" t="s">
        <v>249</v>
      </c>
      <c r="I61" s="39" t="s">
        <v>249</v>
      </c>
      <c r="J61" s="37">
        <v>1</v>
      </c>
      <c r="K61" s="37">
        <v>1</v>
      </c>
      <c r="L61" s="37">
        <v>0</v>
      </c>
      <c r="M61" s="37">
        <v>0</v>
      </c>
      <c r="N61" s="37" t="b">
        <v>0</v>
      </c>
      <c r="O61" s="37" t="s">
        <v>252</v>
      </c>
      <c r="P61" s="49" t="s">
        <v>445</v>
      </c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</row>
    <row r="62" spans="1:38" x14ac:dyDescent="0.45">
      <c r="A62">
        <f ca="1"/>
        <v>55</v>
      </c>
      <c r="B62" s="50" cm="1">
        <f t="array" aca="1" ref="B62" ca="1">filesize(Folder&amp;Tests[[#This Row],[FileName]])</f>
        <v>400</v>
      </c>
      <c r="C62" s="50">
        <v>55</v>
      </c>
      <c r="D62" s="38" t="s">
        <v>372</v>
      </c>
      <c r="E62" s="37" t="s">
        <v>410</v>
      </c>
      <c r="F62" s="39" t="s">
        <v>249</v>
      </c>
      <c r="G62" s="39" t="b">
        <v>0</v>
      </c>
      <c r="H62" s="39" t="s">
        <v>249</v>
      </c>
      <c r="I62" s="39" t="s">
        <v>450</v>
      </c>
      <c r="J62" s="37">
        <v>1</v>
      </c>
      <c r="K62" s="37">
        <v>1</v>
      </c>
      <c r="L62" s="37">
        <v>0</v>
      </c>
      <c r="M62" s="37">
        <v>0</v>
      </c>
      <c r="N62" s="37" t="b">
        <v>0</v>
      </c>
      <c r="O62" s="37" t="s">
        <v>250</v>
      </c>
      <c r="P62" s="53" t="s">
        <v>452</v>
      </c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</row>
    <row r="63" spans="1:38" x14ac:dyDescent="0.45">
      <c r="A63">
        <f ca="1"/>
        <v>56</v>
      </c>
      <c r="B63" s="50" cm="1">
        <f t="array" aca="1" ref="B63" ca="1">filesize(Folder&amp;Tests[[#This Row],[FileName]])</f>
        <v>446</v>
      </c>
      <c r="C63" s="50">
        <v>56</v>
      </c>
      <c r="D63" s="38" t="s">
        <v>373</v>
      </c>
      <c r="E63" s="37" t="b">
        <v>1</v>
      </c>
      <c r="F63" s="39" t="s">
        <v>253</v>
      </c>
      <c r="G63" s="39" t="b">
        <v>1</v>
      </c>
      <c r="H63" s="39" t="s">
        <v>249</v>
      </c>
      <c r="I63" s="39" t="s">
        <v>249</v>
      </c>
      <c r="J63" s="37">
        <v>1</v>
      </c>
      <c r="K63" s="37">
        <v>1</v>
      </c>
      <c r="L63" s="37">
        <v>0</v>
      </c>
      <c r="M63" s="37">
        <v>0</v>
      </c>
      <c r="N63" s="37" t="b">
        <v>0</v>
      </c>
      <c r="O63" s="37" t="s">
        <v>250</v>
      </c>
      <c r="P63" s="49" t="s">
        <v>259</v>
      </c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</row>
    <row r="64" spans="1:38" x14ac:dyDescent="0.45">
      <c r="A64">
        <f ca="1"/>
        <v>57</v>
      </c>
      <c r="B64" s="50" cm="1">
        <f t="array" aca="1" ref="B64" ca="1">filesize(Folder&amp;Tests[[#This Row],[FileName]])</f>
        <v>585</v>
      </c>
      <c r="C64" s="50">
        <v>57</v>
      </c>
      <c r="D64" s="38" t="s">
        <v>375</v>
      </c>
      <c r="E64" s="37" t="b">
        <v>1</v>
      </c>
      <c r="F64" s="39" t="s">
        <v>249</v>
      </c>
      <c r="G64" s="39" t="b">
        <v>0</v>
      </c>
      <c r="H64" s="39" t="s">
        <v>249</v>
      </c>
      <c r="I64" s="39" t="s">
        <v>249</v>
      </c>
      <c r="J64" s="37">
        <v>1</v>
      </c>
      <c r="K64" s="37">
        <v>1</v>
      </c>
      <c r="L64" s="37">
        <v>0</v>
      </c>
      <c r="M64" s="37">
        <v>0</v>
      </c>
      <c r="N64" s="37" t="b">
        <v>0</v>
      </c>
      <c r="O64" s="37" t="s">
        <v>250</v>
      </c>
      <c r="P64" s="49" t="s">
        <v>277</v>
      </c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</row>
    <row r="65" spans="1:38" x14ac:dyDescent="0.45">
      <c r="A65">
        <f ca="1"/>
        <v>58</v>
      </c>
      <c r="B65" s="50" cm="1">
        <f t="array" aca="1" ref="B65" ca="1">filesize(Folder&amp;Tests[[#This Row],[FileName]])</f>
        <v>664</v>
      </c>
      <c r="C65" s="50">
        <v>58</v>
      </c>
      <c r="D65" s="38" t="s">
        <v>376</v>
      </c>
      <c r="E65" s="37" t="s">
        <v>487</v>
      </c>
      <c r="F65" s="39" t="s">
        <v>249</v>
      </c>
      <c r="G65" s="39" t="b">
        <v>0</v>
      </c>
      <c r="H65" s="39" t="s">
        <v>249</v>
      </c>
      <c r="I65" s="39" t="s">
        <v>249</v>
      </c>
      <c r="J65" s="37">
        <v>1</v>
      </c>
      <c r="K65" s="37">
        <v>1</v>
      </c>
      <c r="L65" s="37">
        <v>0</v>
      </c>
      <c r="M65" s="37">
        <v>0</v>
      </c>
      <c r="N65" s="37" t="b">
        <v>0</v>
      </c>
      <c r="O65" s="37" t="s">
        <v>250</v>
      </c>
      <c r="P65" s="53" t="s">
        <v>259</v>
      </c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</row>
    <row r="66" spans="1:38" x14ac:dyDescent="0.45">
      <c r="A66">
        <f ca="1"/>
        <v>59</v>
      </c>
      <c r="B66" s="50" cm="1">
        <f t="array" aca="1" ref="B66" ca="1">filesize(Folder&amp;Tests[[#This Row],[FileName]])</f>
        <v>716</v>
      </c>
      <c r="C66" s="50">
        <v>59</v>
      </c>
      <c r="D66" s="38" t="s">
        <v>377</v>
      </c>
      <c r="E66" s="37" t="b">
        <v>1</v>
      </c>
      <c r="F66" s="39" t="s">
        <v>253</v>
      </c>
      <c r="G66" s="39" t="b">
        <v>1</v>
      </c>
      <c r="H66" s="39" t="s">
        <v>249</v>
      </c>
      <c r="I66" s="39" t="s">
        <v>249</v>
      </c>
      <c r="J66" s="37">
        <v>1</v>
      </c>
      <c r="K66" s="37">
        <v>1</v>
      </c>
      <c r="L66" s="37">
        <v>0</v>
      </c>
      <c r="M66" s="37">
        <v>0</v>
      </c>
      <c r="N66" s="37" t="b">
        <v>0</v>
      </c>
      <c r="O66" s="37" t="s">
        <v>250</v>
      </c>
      <c r="P66" s="53" t="s">
        <v>291</v>
      </c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</row>
    <row r="67" spans="1:38" x14ac:dyDescent="0.45">
      <c r="A67">
        <f ca="1"/>
        <v>60</v>
      </c>
      <c r="B67" s="50"/>
      <c r="C67" s="51">
        <v>60</v>
      </c>
      <c r="D67" s="38"/>
      <c r="E67" s="37"/>
      <c r="F67" s="39"/>
      <c r="G67" s="39"/>
      <c r="H67" s="39"/>
      <c r="I67" s="39"/>
      <c r="J67" s="37"/>
      <c r="K67" s="37"/>
      <c r="L67" s="37"/>
      <c r="M67" s="37"/>
      <c r="N67" s="37"/>
      <c r="O67" s="37"/>
      <c r="P67" s="53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</row>
    <row r="68" spans="1:38" x14ac:dyDescent="0.45">
      <c r="A68">
        <f ca="1"/>
        <v>61</v>
      </c>
      <c r="B68" s="50" cm="1">
        <f t="array" aca="1" ref="B68" ca="1">filesize(Folder&amp;Tests[[#This Row],[FileName]])</f>
        <v>764</v>
      </c>
      <c r="C68" s="50">
        <v>61</v>
      </c>
      <c r="D68" s="38" t="s">
        <v>378</v>
      </c>
      <c r="E68" s="37" t="b">
        <v>1</v>
      </c>
      <c r="F68" s="39" t="s">
        <v>249</v>
      </c>
      <c r="G68" s="39" t="b">
        <v>0</v>
      </c>
      <c r="H68" s="39" t="s">
        <v>249</v>
      </c>
      <c r="I68" s="39" t="s">
        <v>249</v>
      </c>
      <c r="J68" s="37">
        <v>1</v>
      </c>
      <c r="K68" s="37">
        <v>1</v>
      </c>
      <c r="L68" s="37">
        <v>0</v>
      </c>
      <c r="M68" s="37">
        <v>0</v>
      </c>
      <c r="N68" s="37" t="b">
        <v>0</v>
      </c>
      <c r="O68" s="37" t="s">
        <v>250</v>
      </c>
      <c r="P68" s="49" t="s">
        <v>292</v>
      </c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</row>
    <row r="69" spans="1:38" x14ac:dyDescent="0.45">
      <c r="A69">
        <f ca="1"/>
        <v>62</v>
      </c>
      <c r="B69" s="50" cm="1">
        <f t="array" aca="1" ref="B69" ca="1">filesize(Folder&amp;Tests[[#This Row],[FileName]])</f>
        <v>793</v>
      </c>
      <c r="C69" s="50">
        <v>62</v>
      </c>
      <c r="D69" s="38" t="s">
        <v>379</v>
      </c>
      <c r="E69" s="37" t="s">
        <v>486</v>
      </c>
      <c r="F69" s="39" t="str">
        <f ca="1">CHAR(9)</f>
        <v xml:space="preserve">	</v>
      </c>
      <c r="G69" s="39" t="b">
        <v>0</v>
      </c>
      <c r="H69" s="39" t="s">
        <v>249</v>
      </c>
      <c r="I69" s="39" t="s">
        <v>249</v>
      </c>
      <c r="J69" s="37">
        <v>1</v>
      </c>
      <c r="K69" s="37">
        <v>1</v>
      </c>
      <c r="L69" s="37">
        <v>0</v>
      </c>
      <c r="M69" s="37">
        <v>0</v>
      </c>
      <c r="N69" s="37" t="b">
        <v>0</v>
      </c>
      <c r="O69" s="37" t="s">
        <v>250</v>
      </c>
      <c r="P69" s="53" t="s">
        <v>278</v>
      </c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</row>
    <row r="70" spans="1:38" x14ac:dyDescent="0.45">
      <c r="A70">
        <f ca="1"/>
        <v>63</v>
      </c>
      <c r="B70" s="50" cm="1">
        <f t="array" aca="1" ref="B70" ca="1">filesize(Folder&amp;Tests[[#This Row],[FileName]])</f>
        <v>1770</v>
      </c>
      <c r="C70" s="50">
        <v>63</v>
      </c>
      <c r="D70" s="38" t="s">
        <v>380</v>
      </c>
      <c r="E70" s="37" t="b">
        <v>1</v>
      </c>
      <c r="F70" s="39" t="s">
        <v>249</v>
      </c>
      <c r="G70" s="39" t="b">
        <v>0</v>
      </c>
      <c r="H70" s="39" t="s">
        <v>249</v>
      </c>
      <c r="I70" s="39" t="s">
        <v>249</v>
      </c>
      <c r="J70" s="37">
        <v>1</v>
      </c>
      <c r="K70" s="37">
        <v>1</v>
      </c>
      <c r="L70" s="37">
        <v>0</v>
      </c>
      <c r="M70" s="37">
        <v>0</v>
      </c>
      <c r="N70" s="37" t="b">
        <v>0</v>
      </c>
      <c r="O70" s="37" t="s">
        <v>250</v>
      </c>
      <c r="P70" s="53" t="s">
        <v>259</v>
      </c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</row>
    <row r="71" spans="1:38" x14ac:dyDescent="0.45">
      <c r="A71">
        <f ca="1"/>
        <v>64</v>
      </c>
      <c r="B71" s="50" cm="1">
        <f t="array" aca="1" ref="B71" ca="1">filesize(Folder&amp;Tests[[#This Row],[FileName]])</f>
        <v>2092</v>
      </c>
      <c r="C71" s="50">
        <v>64</v>
      </c>
      <c r="D71" s="38" t="s">
        <v>381</v>
      </c>
      <c r="E71" s="37" t="s">
        <v>410</v>
      </c>
      <c r="F71" s="39" t="s">
        <v>249</v>
      </c>
      <c r="G71" s="39" t="b">
        <v>0</v>
      </c>
      <c r="H71" s="39" t="s">
        <v>249</v>
      </c>
      <c r="I71" s="39" t="s">
        <v>249</v>
      </c>
      <c r="J71" s="37">
        <v>1</v>
      </c>
      <c r="K71" s="37">
        <v>1</v>
      </c>
      <c r="L71" s="37">
        <v>0</v>
      </c>
      <c r="M71" s="37">
        <v>0</v>
      </c>
      <c r="N71" s="37" t="b">
        <v>0</v>
      </c>
      <c r="O71" s="37" t="s">
        <v>250</v>
      </c>
      <c r="P71" s="53" t="s">
        <v>259</v>
      </c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</row>
    <row r="72" spans="1:38" x14ac:dyDescent="0.45">
      <c r="A72">
        <f ca="1"/>
        <v>65</v>
      </c>
      <c r="B72" s="50" cm="1">
        <f t="array" aca="1" ref="B72" ca="1">filesize(Folder&amp;Tests[[#This Row],[FileName]])</f>
        <v>180</v>
      </c>
      <c r="C72" s="50">
        <v>65</v>
      </c>
      <c r="D72" s="38" t="s">
        <v>454</v>
      </c>
      <c r="E72" s="37" t="b" cm="1">
        <v>1</v>
      </c>
      <c r="F72" s="39" t="s">
        <v>249</v>
      </c>
      <c r="G72" s="39" t="b">
        <v>0</v>
      </c>
      <c r="H72" s="39" t="s">
        <v>249</v>
      </c>
      <c r="I72" s="39" t="s">
        <v>249</v>
      </c>
      <c r="J72" s="37">
        <v>1</v>
      </c>
      <c r="K72" s="37">
        <v>1</v>
      </c>
      <c r="L72" s="37">
        <v>0</v>
      </c>
      <c r="M72" s="37">
        <v>0</v>
      </c>
      <c r="N72" s="37" t="b">
        <v>0</v>
      </c>
      <c r="O72" s="37" t="s">
        <v>250</v>
      </c>
      <c r="P72" s="53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</row>
    <row r="73" spans="1:38" x14ac:dyDescent="0.45">
      <c r="A73">
        <f ca="1"/>
        <v>66</v>
      </c>
      <c r="B73" s="50" cm="1">
        <f t="array" aca="1" ref="B73" ca="1">filesize(Folder&amp;Tests[[#This Row],[FileName]])</f>
        <v>180</v>
      </c>
      <c r="C73" s="50">
        <v>66</v>
      </c>
      <c r="D73" s="38" t="s">
        <v>454</v>
      </c>
      <c r="E73" s="37" t="b">
        <v>0</v>
      </c>
      <c r="F73" s="39" t="s">
        <v>249</v>
      </c>
      <c r="G73" s="39" t="b">
        <v>0</v>
      </c>
      <c r="H73" s="39" t="s">
        <v>249</v>
      </c>
      <c r="I73" s="39" t="s">
        <v>249</v>
      </c>
      <c r="J73" s="37">
        <v>1</v>
      </c>
      <c r="K73" s="37">
        <v>1</v>
      </c>
      <c r="L73" s="37">
        <v>0</v>
      </c>
      <c r="M73" s="37">
        <v>0</v>
      </c>
      <c r="N73" s="37" t="b">
        <v>0</v>
      </c>
      <c r="O73" s="37" t="s">
        <v>250</v>
      </c>
      <c r="P73" s="53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</row>
    <row r="74" spans="1:38" x14ac:dyDescent="0.45">
      <c r="A74">
        <f ca="1"/>
        <v>67</v>
      </c>
      <c r="B74" s="50" cm="1">
        <f t="array" aca="1" ref="B74" ca="1">filesize(Folder&amp;Tests[[#This Row],[FileName]])</f>
        <v>180</v>
      </c>
      <c r="C74" s="50">
        <v>67</v>
      </c>
      <c r="D74" s="38" t="s">
        <v>454</v>
      </c>
      <c r="E74" s="37" t="s">
        <v>410</v>
      </c>
      <c r="F74" s="39" t="s">
        <v>249</v>
      </c>
      <c r="G74" s="39" t="b">
        <v>0</v>
      </c>
      <c r="H74" s="39" t="s">
        <v>249</v>
      </c>
      <c r="I74" s="39" t="s">
        <v>249</v>
      </c>
      <c r="J74" s="37">
        <v>1</v>
      </c>
      <c r="K74" s="37">
        <v>1</v>
      </c>
      <c r="L74" s="37">
        <v>0</v>
      </c>
      <c r="M74" s="37">
        <v>0</v>
      </c>
      <c r="N74" s="37" t="b">
        <v>0</v>
      </c>
      <c r="O74" s="37" t="s">
        <v>250</v>
      </c>
      <c r="P74" s="53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</row>
    <row r="75" spans="1:38" x14ac:dyDescent="0.45">
      <c r="A75">
        <f ca="1"/>
        <v>68</v>
      </c>
      <c r="B75" s="50" cm="1">
        <f t="array" aca="1" ref="B75" ca="1">filesize(Folder&amp;Tests[[#This Row],[FileName]])</f>
        <v>180</v>
      </c>
      <c r="C75" s="50">
        <v>68</v>
      </c>
      <c r="D75" s="38" t="s">
        <v>454</v>
      </c>
      <c r="E75" s="37" t="s">
        <v>423</v>
      </c>
      <c r="F75" s="39" t="s">
        <v>249</v>
      </c>
      <c r="G75" s="39" t="b">
        <v>0</v>
      </c>
      <c r="H75" s="39" t="s">
        <v>249</v>
      </c>
      <c r="I75" s="39" t="s">
        <v>249</v>
      </c>
      <c r="J75" s="37">
        <v>1</v>
      </c>
      <c r="K75" s="37">
        <v>1</v>
      </c>
      <c r="L75" s="37">
        <v>0</v>
      </c>
      <c r="M75" s="37">
        <v>0</v>
      </c>
      <c r="N75" s="37" t="b">
        <v>0</v>
      </c>
      <c r="O75" s="37" t="s">
        <v>250</v>
      </c>
      <c r="P75" s="53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</row>
    <row r="76" spans="1:38" x14ac:dyDescent="0.45">
      <c r="A76">
        <f ca="1"/>
        <v>69</v>
      </c>
      <c r="B76" s="50" cm="1">
        <f t="array" aca="1" ref="B76" ca="1">filesize(Folder&amp;Tests[[#This Row],[FileName]])</f>
        <v>180</v>
      </c>
      <c r="C76" s="50">
        <v>69</v>
      </c>
      <c r="D76" s="38" t="s">
        <v>454</v>
      </c>
      <c r="E76" s="37" t="s">
        <v>424</v>
      </c>
      <c r="F76" s="39" t="s">
        <v>249</v>
      </c>
      <c r="G76" s="39" t="b">
        <v>0</v>
      </c>
      <c r="H76" s="39" t="s">
        <v>249</v>
      </c>
      <c r="I76" s="39" t="s">
        <v>249</v>
      </c>
      <c r="J76" s="37">
        <v>1</v>
      </c>
      <c r="K76" s="37">
        <v>1</v>
      </c>
      <c r="L76" s="37">
        <v>0</v>
      </c>
      <c r="M76" s="37">
        <v>0</v>
      </c>
      <c r="N76" s="37" t="b">
        <v>0</v>
      </c>
      <c r="O76" s="37" t="s">
        <v>250</v>
      </c>
      <c r="P76" s="53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</row>
    <row r="77" spans="1:38" x14ac:dyDescent="0.45">
      <c r="A77">
        <f ca="1"/>
        <v>70</v>
      </c>
      <c r="B77" s="50" cm="1">
        <f t="array" aca="1" ref="B77" ca="1">filesize(Folder&amp;Tests[[#This Row],[FileName]])</f>
        <v>180</v>
      </c>
      <c r="C77" s="50">
        <v>70</v>
      </c>
      <c r="D77" s="38" t="s">
        <v>454</v>
      </c>
      <c r="E77" s="37" t="s">
        <v>425</v>
      </c>
      <c r="F77" s="39" t="s">
        <v>249</v>
      </c>
      <c r="G77" s="39" t="b">
        <v>0</v>
      </c>
      <c r="H77" s="39" t="s">
        <v>249</v>
      </c>
      <c r="I77" s="39" t="s">
        <v>249</v>
      </c>
      <c r="J77" s="37">
        <v>1</v>
      </c>
      <c r="K77" s="37">
        <v>1</v>
      </c>
      <c r="L77" s="37">
        <v>0</v>
      </c>
      <c r="M77" s="37">
        <v>0</v>
      </c>
      <c r="N77" s="37" t="b">
        <v>0</v>
      </c>
      <c r="O77" s="37" t="s">
        <v>250</v>
      </c>
      <c r="P77" s="53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</row>
    <row r="78" spans="1:38" x14ac:dyDescent="0.45">
      <c r="A78">
        <f ca="1"/>
        <v>71</v>
      </c>
      <c r="B78" s="50" cm="1">
        <f t="array" aca="1" ref="B78" ca="1">filesize(Folder&amp;Tests[[#This Row],[FileName]])</f>
        <v>180</v>
      </c>
      <c r="C78" s="50">
        <v>71</v>
      </c>
      <c r="D78" s="38" t="s">
        <v>454</v>
      </c>
      <c r="E78" s="37" t="s">
        <v>426</v>
      </c>
      <c r="F78" s="39" t="s">
        <v>249</v>
      </c>
      <c r="G78" s="39" t="b">
        <v>0</v>
      </c>
      <c r="H78" s="39" t="s">
        <v>249</v>
      </c>
      <c r="I78" s="39" t="s">
        <v>249</v>
      </c>
      <c r="J78" s="37">
        <v>1</v>
      </c>
      <c r="K78" s="37">
        <v>1</v>
      </c>
      <c r="L78" s="37">
        <v>0</v>
      </c>
      <c r="M78" s="37">
        <v>0</v>
      </c>
      <c r="N78" s="37" t="b">
        <v>0</v>
      </c>
      <c r="O78" s="37" t="s">
        <v>250</v>
      </c>
      <c r="P78" s="53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</row>
    <row r="79" spans="1:38" x14ac:dyDescent="0.45">
      <c r="A79">
        <f ca="1"/>
        <v>72</v>
      </c>
      <c r="B79" s="50" cm="1">
        <f t="array" aca="1" ref="B79" ca="1">filesize(Folder&amp;Tests[[#This Row],[FileName]])</f>
        <v>180</v>
      </c>
      <c r="C79" s="50">
        <v>72</v>
      </c>
      <c r="D79" s="38" t="s">
        <v>454</v>
      </c>
      <c r="E79" s="37" t="s">
        <v>427</v>
      </c>
      <c r="F79" s="39" t="s">
        <v>249</v>
      </c>
      <c r="G79" s="39" t="b">
        <v>0</v>
      </c>
      <c r="H79" s="39" t="s">
        <v>249</v>
      </c>
      <c r="I79" s="39" t="s">
        <v>249</v>
      </c>
      <c r="J79" s="37">
        <v>1</v>
      </c>
      <c r="K79" s="37">
        <v>1</v>
      </c>
      <c r="L79" s="37">
        <v>0</v>
      </c>
      <c r="M79" s="37">
        <v>0</v>
      </c>
      <c r="N79" s="37" t="b">
        <v>0</v>
      </c>
      <c r="O79" s="37" t="s">
        <v>250</v>
      </c>
      <c r="P79" s="53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</row>
    <row r="80" spans="1:38" x14ac:dyDescent="0.45">
      <c r="A80">
        <f ca="1"/>
        <v>73</v>
      </c>
      <c r="B80" s="50" cm="1">
        <f t="array" aca="1" ref="B80" ca="1">filesize(Folder&amp;Tests[[#This Row],[FileName]])</f>
        <v>180</v>
      </c>
      <c r="C80" s="50">
        <v>73</v>
      </c>
      <c r="D80" s="38" t="s">
        <v>454</v>
      </c>
      <c r="E80" s="37" t="s">
        <v>428</v>
      </c>
      <c r="F80" s="39" t="s">
        <v>249</v>
      </c>
      <c r="G80" s="39" t="b">
        <v>0</v>
      </c>
      <c r="H80" s="39" t="s">
        <v>249</v>
      </c>
      <c r="I80" s="39" t="s">
        <v>249</v>
      </c>
      <c r="J80" s="37">
        <v>1</v>
      </c>
      <c r="K80" s="37">
        <v>1</v>
      </c>
      <c r="L80" s="37">
        <v>0</v>
      </c>
      <c r="M80" s="37">
        <v>0</v>
      </c>
      <c r="N80" s="37" t="b">
        <v>0</v>
      </c>
      <c r="O80" s="37" t="s">
        <v>250</v>
      </c>
      <c r="P80" s="53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</row>
    <row r="81" spans="1:38" x14ac:dyDescent="0.45">
      <c r="A81">
        <f ca="1"/>
        <v>74</v>
      </c>
      <c r="B81" s="50" cm="1">
        <f t="array" aca="1" ref="B81" ca="1">filesize(Folder&amp;Tests[[#This Row],[FileName]])</f>
        <v>180</v>
      </c>
      <c r="C81" s="50">
        <v>74</v>
      </c>
      <c r="D81" s="38" t="s">
        <v>454</v>
      </c>
      <c r="E81" s="37" t="s">
        <v>429</v>
      </c>
      <c r="F81" s="39" t="s">
        <v>249</v>
      </c>
      <c r="G81" s="39" t="b">
        <v>0</v>
      </c>
      <c r="H81" s="39" t="s">
        <v>249</v>
      </c>
      <c r="I81" s="39" t="s">
        <v>249</v>
      </c>
      <c r="J81" s="37">
        <v>1</v>
      </c>
      <c r="K81" s="37">
        <v>1</v>
      </c>
      <c r="L81" s="37">
        <v>0</v>
      </c>
      <c r="M81" s="37">
        <v>0</v>
      </c>
      <c r="N81" s="37" t="b">
        <v>0</v>
      </c>
      <c r="O81" s="37" t="s">
        <v>250</v>
      </c>
      <c r="P81" s="53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</row>
    <row r="82" spans="1:38" x14ac:dyDescent="0.45">
      <c r="A82">
        <f ca="1"/>
        <v>75</v>
      </c>
      <c r="B82" s="50" cm="1">
        <f t="array" aca="1" ref="B82" ca="1">filesize(Folder&amp;Tests[[#This Row],[FileName]])</f>
        <v>180</v>
      </c>
      <c r="C82" s="50">
        <v>75</v>
      </c>
      <c r="D82" s="38" t="s">
        <v>454</v>
      </c>
      <c r="E82" s="37" t="s">
        <v>430</v>
      </c>
      <c r="F82" s="39" t="s">
        <v>249</v>
      </c>
      <c r="G82" s="39" t="b">
        <v>0</v>
      </c>
      <c r="H82" s="39" t="s">
        <v>249</v>
      </c>
      <c r="I82" s="39" t="s">
        <v>249</v>
      </c>
      <c r="J82" s="37">
        <v>1</v>
      </c>
      <c r="K82" s="37">
        <v>1</v>
      </c>
      <c r="L82" s="37">
        <v>0</v>
      </c>
      <c r="M82" s="37">
        <v>0</v>
      </c>
      <c r="N82" s="37" t="b">
        <v>0</v>
      </c>
      <c r="O82" s="37" t="s">
        <v>250</v>
      </c>
      <c r="P82" s="53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</row>
    <row r="83" spans="1:38" x14ac:dyDescent="0.45">
      <c r="A83">
        <f ca="1"/>
        <v>76</v>
      </c>
      <c r="B83" s="50" cm="1">
        <f t="array" aca="1" ref="B83" ca="1">filesize(Folder&amp;Tests[[#This Row],[FileName]])</f>
        <v>180</v>
      </c>
      <c r="C83" s="50">
        <v>76</v>
      </c>
      <c r="D83" s="38" t="s">
        <v>454</v>
      </c>
      <c r="E83" s="37" t="s">
        <v>431</v>
      </c>
      <c r="F83" s="39" t="s">
        <v>249</v>
      </c>
      <c r="G83" s="39" t="b">
        <v>0</v>
      </c>
      <c r="H83" s="39" t="s">
        <v>249</v>
      </c>
      <c r="I83" s="39" t="s">
        <v>249</v>
      </c>
      <c r="J83" s="37">
        <v>1</v>
      </c>
      <c r="K83" s="37">
        <v>1</v>
      </c>
      <c r="L83" s="37">
        <v>0</v>
      </c>
      <c r="M83" s="37">
        <v>0</v>
      </c>
      <c r="N83" s="37" t="b">
        <v>0</v>
      </c>
      <c r="O83" s="37" t="s">
        <v>250</v>
      </c>
      <c r="P83" s="53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</row>
    <row r="84" spans="1:38" x14ac:dyDescent="0.45">
      <c r="A84">
        <f ca="1"/>
        <v>77</v>
      </c>
      <c r="B84" s="50" cm="1">
        <f t="array" aca="1" ref="B84" ca="1">filesize(Folder&amp;Tests[[#This Row],[FileName]])</f>
        <v>180</v>
      </c>
      <c r="C84" s="50">
        <v>77</v>
      </c>
      <c r="D84" s="38" t="s">
        <v>454</v>
      </c>
      <c r="E84" s="37" t="s">
        <v>432</v>
      </c>
      <c r="F84" s="39" t="s">
        <v>249</v>
      </c>
      <c r="G84" s="39" t="b">
        <v>0</v>
      </c>
      <c r="H84" s="39" t="s">
        <v>249</v>
      </c>
      <c r="I84" s="39" t="s">
        <v>249</v>
      </c>
      <c r="J84" s="37">
        <v>1</v>
      </c>
      <c r="K84" s="37">
        <v>1</v>
      </c>
      <c r="L84" s="37">
        <v>0</v>
      </c>
      <c r="M84" s="37">
        <v>0</v>
      </c>
      <c r="N84" s="37" t="b">
        <v>0</v>
      </c>
      <c r="O84" s="37" t="s">
        <v>250</v>
      </c>
      <c r="P84" s="53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</row>
    <row r="85" spans="1:38" x14ac:dyDescent="0.45">
      <c r="A85">
        <f ca="1"/>
        <v>78</v>
      </c>
      <c r="B85" s="50" cm="1">
        <f t="array" aca="1" ref="B85" ca="1">filesize(Folder&amp;Tests[[#This Row],[FileName]])</f>
        <v>180</v>
      </c>
      <c r="C85" s="50">
        <v>78</v>
      </c>
      <c r="D85" s="38" t="s">
        <v>454</v>
      </c>
      <c r="E85" s="37" t="s">
        <v>433</v>
      </c>
      <c r="F85" s="39" t="s">
        <v>249</v>
      </c>
      <c r="G85" s="39" t="b">
        <v>0</v>
      </c>
      <c r="H85" s="39" t="s">
        <v>249</v>
      </c>
      <c r="I85" s="39" t="s">
        <v>249</v>
      </c>
      <c r="J85" s="37">
        <v>1</v>
      </c>
      <c r="K85" s="37">
        <v>1</v>
      </c>
      <c r="L85" s="37">
        <v>0</v>
      </c>
      <c r="M85" s="37">
        <v>0</v>
      </c>
      <c r="N85" s="37" t="b">
        <v>0</v>
      </c>
      <c r="O85" s="37" t="s">
        <v>250</v>
      </c>
      <c r="P85" s="53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</row>
    <row r="86" spans="1:38" x14ac:dyDescent="0.45">
      <c r="A86">
        <f ca="1"/>
        <v>79</v>
      </c>
      <c r="B86" s="50" cm="1">
        <f t="array" aca="1" ref="B86" ca="1">filesize(Folder&amp;Tests[[#This Row],[FileName]])</f>
        <v>180</v>
      </c>
      <c r="C86" s="50">
        <v>79</v>
      </c>
      <c r="D86" s="38" t="s">
        <v>454</v>
      </c>
      <c r="E86" s="37" t="s">
        <v>434</v>
      </c>
      <c r="F86" s="39" t="s">
        <v>249</v>
      </c>
      <c r="G86" s="39" t="b">
        <v>0</v>
      </c>
      <c r="H86" s="39" t="s">
        <v>249</v>
      </c>
      <c r="I86" s="39" t="s">
        <v>249</v>
      </c>
      <c r="J86" s="37">
        <v>1</v>
      </c>
      <c r="K86" s="37">
        <v>1</v>
      </c>
      <c r="L86" s="37">
        <v>0</v>
      </c>
      <c r="M86" s="37">
        <v>0</v>
      </c>
      <c r="N86" s="37" t="b">
        <v>0</v>
      </c>
      <c r="O86" s="37" t="s">
        <v>250</v>
      </c>
      <c r="P86" s="53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</row>
    <row r="87" spans="1:38" x14ac:dyDescent="0.45">
      <c r="A87">
        <f ca="1"/>
        <v>80</v>
      </c>
      <c r="B87" s="50" cm="1">
        <f t="array" aca="1" ref="B87" ca="1">filesize(Folder&amp;Tests[[#This Row],[FileName]])</f>
        <v>180</v>
      </c>
      <c r="C87" s="50">
        <v>80</v>
      </c>
      <c r="D87" s="38" t="s">
        <v>454</v>
      </c>
      <c r="E87" s="37" t="s">
        <v>420</v>
      </c>
      <c r="F87" s="39" t="s">
        <v>249</v>
      </c>
      <c r="G87" s="39" t="b">
        <v>0</v>
      </c>
      <c r="H87" s="39" t="s">
        <v>249</v>
      </c>
      <c r="I87" s="39" t="s">
        <v>249</v>
      </c>
      <c r="J87" s="37">
        <v>1</v>
      </c>
      <c r="K87" s="37">
        <v>1</v>
      </c>
      <c r="L87" s="37">
        <v>0</v>
      </c>
      <c r="M87" s="37">
        <v>0</v>
      </c>
      <c r="N87" s="37" t="b">
        <v>0</v>
      </c>
      <c r="O87" s="37" t="s">
        <v>250</v>
      </c>
      <c r="P87" s="53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</row>
    <row r="88" spans="1:38" x14ac:dyDescent="0.45">
      <c r="A88">
        <f ca="1"/>
        <v>81</v>
      </c>
      <c r="B88" s="50" cm="1">
        <f t="array" aca="1" ref="B88" ca="1">filesize(Folder&amp;Tests[[#This Row],[FileName]])</f>
        <v>180</v>
      </c>
      <c r="C88" s="50">
        <v>81</v>
      </c>
      <c r="D88" s="38" t="s">
        <v>454</v>
      </c>
      <c r="E88" s="37" t="s">
        <v>421</v>
      </c>
      <c r="F88" s="39" t="s">
        <v>249</v>
      </c>
      <c r="G88" s="39" t="b">
        <v>0</v>
      </c>
      <c r="H88" s="39" t="s">
        <v>249</v>
      </c>
      <c r="I88" s="39" t="s">
        <v>249</v>
      </c>
      <c r="J88" s="37">
        <v>1</v>
      </c>
      <c r="K88" s="37">
        <v>1</v>
      </c>
      <c r="L88" s="37">
        <v>0</v>
      </c>
      <c r="M88" s="37">
        <v>0</v>
      </c>
      <c r="N88" s="37" t="b">
        <v>0</v>
      </c>
      <c r="O88" s="37" t="s">
        <v>250</v>
      </c>
      <c r="P88" s="53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</row>
    <row r="89" spans="1:38" x14ac:dyDescent="0.45">
      <c r="A89">
        <f ca="1"/>
        <v>82</v>
      </c>
      <c r="B89" s="50" cm="1">
        <f t="array" aca="1" ref="B89" ca="1">filesize(Folder&amp;Tests[[#This Row],[FileName]])</f>
        <v>630</v>
      </c>
      <c r="C89" s="50">
        <v>82</v>
      </c>
      <c r="D89" s="52" t="s">
        <v>456</v>
      </c>
      <c r="E89" s="37" t="b">
        <v>0</v>
      </c>
      <c r="F89" s="39" t="s">
        <v>249</v>
      </c>
      <c r="G89" s="39" t="b">
        <v>0</v>
      </c>
      <c r="H89" s="39" t="s">
        <v>249</v>
      </c>
      <c r="I89" s="39" t="s">
        <v>249</v>
      </c>
      <c r="J89" s="37">
        <v>3</v>
      </c>
      <c r="K89" s="37">
        <v>3</v>
      </c>
      <c r="L89" s="37">
        <v>10</v>
      </c>
      <c r="M89" s="37">
        <v>1</v>
      </c>
      <c r="N89" s="37" t="b">
        <v>0</v>
      </c>
      <c r="O89" s="37" t="s">
        <v>250</v>
      </c>
      <c r="P89" s="53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</row>
    <row r="90" spans="1:38" x14ac:dyDescent="0.45">
      <c r="A90">
        <f ca="1"/>
        <v>83</v>
      </c>
      <c r="B90" s="50" cm="1">
        <f t="array" aca="1" ref="B90" ca="1">filesize(Folder&amp;Tests[[#This Row],[FileName]])</f>
        <v>630</v>
      </c>
      <c r="C90" s="50">
        <v>83</v>
      </c>
      <c r="D90" s="52" t="s">
        <v>456</v>
      </c>
      <c r="E90" s="37" t="b">
        <v>0</v>
      </c>
      <c r="F90" s="39" t="s">
        <v>249</v>
      </c>
      <c r="G90" s="39" t="b">
        <v>0</v>
      </c>
      <c r="H90" s="39" t="s">
        <v>249</v>
      </c>
      <c r="I90" s="39" t="s">
        <v>249</v>
      </c>
      <c r="J90" s="37">
        <v>6</v>
      </c>
      <c r="K90" s="37">
        <v>5</v>
      </c>
      <c r="L90" s="37">
        <v>1</v>
      </c>
      <c r="M90" s="37">
        <v>8</v>
      </c>
      <c r="N90" s="37" t="b">
        <v>0</v>
      </c>
      <c r="O90" s="37" t="s">
        <v>250</v>
      </c>
      <c r="P90" s="53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</row>
    <row r="91" spans="1:38" x14ac:dyDescent="0.45">
      <c r="A91">
        <f ca="1"/>
        <v>84</v>
      </c>
      <c r="B91" s="50" cm="1">
        <f t="array" aca="1" ref="B91" ca="1">filesize(Folder&amp;Tests[[#This Row],[FileName]])</f>
        <v>630</v>
      </c>
      <c r="C91" s="50">
        <v>84</v>
      </c>
      <c r="D91" s="52" t="s">
        <v>456</v>
      </c>
      <c r="E91" s="37" t="b">
        <v>0</v>
      </c>
      <c r="F91" s="39" t="s">
        <v>249</v>
      </c>
      <c r="G91" s="39" t="b">
        <v>0</v>
      </c>
      <c r="H91" s="39" t="s">
        <v>249</v>
      </c>
      <c r="I91" s="39" t="s">
        <v>249</v>
      </c>
      <c r="J91" s="37">
        <v>8</v>
      </c>
      <c r="K91" s="37">
        <v>8</v>
      </c>
      <c r="L91" s="37">
        <v>4</v>
      </c>
      <c r="M91" s="37">
        <v>4</v>
      </c>
      <c r="N91" s="37" t="b">
        <v>0</v>
      </c>
      <c r="O91" s="37" t="s">
        <v>250</v>
      </c>
      <c r="P91" s="53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</row>
    <row r="92" spans="1:38" x14ac:dyDescent="0.45">
      <c r="A92">
        <f ca="1"/>
        <v>85</v>
      </c>
      <c r="B92" s="50" cm="1">
        <f t="array" aca="1" ref="B92" ca="1">filesize(Folder&amp;Tests[[#This Row],[FileName]])</f>
        <v>849</v>
      </c>
      <c r="C92" s="50">
        <v>85</v>
      </c>
      <c r="D92" s="52" t="s">
        <v>457</v>
      </c>
      <c r="E92" s="37" t="b">
        <v>0</v>
      </c>
      <c r="F92" s="39" t="s">
        <v>249</v>
      </c>
      <c r="G92" s="39" t="b">
        <v>0</v>
      </c>
      <c r="H92" s="39" t="s">
        <v>249</v>
      </c>
      <c r="I92" s="39" t="s">
        <v>450</v>
      </c>
      <c r="J92" s="37">
        <v>3</v>
      </c>
      <c r="K92" s="37">
        <v>3</v>
      </c>
      <c r="L92" s="37">
        <v>10</v>
      </c>
      <c r="M92" s="37">
        <v>1</v>
      </c>
      <c r="N92" s="37" t="b">
        <v>0</v>
      </c>
      <c r="O92" s="37" t="s">
        <v>250</v>
      </c>
      <c r="P92" s="53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</row>
    <row r="93" spans="1:38" x14ac:dyDescent="0.45">
      <c r="A93">
        <f ca="1"/>
        <v>86</v>
      </c>
      <c r="B93" s="50" cm="1">
        <f t="array" aca="1" ref="B93" ca="1">filesize(Folder&amp;Tests[[#This Row],[FileName]])</f>
        <v>849</v>
      </c>
      <c r="C93" s="50">
        <v>86</v>
      </c>
      <c r="D93" s="52" t="s">
        <v>457</v>
      </c>
      <c r="E93" s="37" t="b">
        <v>0</v>
      </c>
      <c r="F93" s="39" t="s">
        <v>249</v>
      </c>
      <c r="G93" s="39" t="b">
        <v>0</v>
      </c>
      <c r="H93" s="39" t="s">
        <v>249</v>
      </c>
      <c r="I93" s="39" t="s">
        <v>450</v>
      </c>
      <c r="J93" s="37">
        <v>6</v>
      </c>
      <c r="K93" s="37">
        <v>5</v>
      </c>
      <c r="L93" s="37">
        <v>1</v>
      </c>
      <c r="M93" s="37">
        <v>8</v>
      </c>
      <c r="N93" s="37" t="b">
        <v>0</v>
      </c>
      <c r="O93" s="37" t="s">
        <v>250</v>
      </c>
      <c r="P93" s="53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</row>
    <row r="94" spans="1:38" x14ac:dyDescent="0.45">
      <c r="A94">
        <f ca="1"/>
        <v>87</v>
      </c>
      <c r="B94" s="50" cm="1">
        <f t="array" aca="1" ref="B94" ca="1">filesize(Folder&amp;Tests[[#This Row],[FileName]])</f>
        <v>849</v>
      </c>
      <c r="C94" s="50">
        <v>87</v>
      </c>
      <c r="D94" s="52" t="s">
        <v>457</v>
      </c>
      <c r="E94" s="37" t="b">
        <v>0</v>
      </c>
      <c r="F94" s="39" t="s">
        <v>249</v>
      </c>
      <c r="G94" s="39" t="b">
        <v>0</v>
      </c>
      <c r="H94" s="39" t="s">
        <v>249</v>
      </c>
      <c r="I94" s="39" t="s">
        <v>450</v>
      </c>
      <c r="J94" s="37">
        <v>8</v>
      </c>
      <c r="K94" s="37">
        <v>8</v>
      </c>
      <c r="L94" s="37">
        <v>4</v>
      </c>
      <c r="M94" s="37">
        <v>4</v>
      </c>
      <c r="N94" s="37" t="b">
        <v>0</v>
      </c>
      <c r="O94" s="37" t="s">
        <v>250</v>
      </c>
      <c r="P94" s="53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</row>
    <row r="95" spans="1:38" x14ac:dyDescent="0.45">
      <c r="A95">
        <f ca="1"/>
        <v>88</v>
      </c>
      <c r="B95" s="50" cm="1">
        <f t="array" aca="1" ref="B95" ca="1">filesize(Folder&amp;Tests[[#This Row],[FileName]])</f>
        <v>118</v>
      </c>
      <c r="C95" s="50">
        <v>88</v>
      </c>
      <c r="D95" s="52" t="s">
        <v>466</v>
      </c>
      <c r="E95" s="37" t="b">
        <v>1</v>
      </c>
      <c r="F95" s="39" t="s">
        <v>249</v>
      </c>
      <c r="G95" s="39" t="b">
        <v>0</v>
      </c>
      <c r="H95" s="39" t="s">
        <v>249</v>
      </c>
      <c r="I95" s="39" t="s">
        <v>249</v>
      </c>
      <c r="J95" s="37">
        <v>1</v>
      </c>
      <c r="K95" s="37">
        <v>1</v>
      </c>
      <c r="L95" s="37">
        <v>0</v>
      </c>
      <c r="M95" s="37">
        <v>0</v>
      </c>
      <c r="N95" s="37" t="b">
        <v>0</v>
      </c>
      <c r="O95" s="37" t="s">
        <v>250</v>
      </c>
      <c r="P95" s="53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</row>
    <row r="96" spans="1:38" x14ac:dyDescent="0.45">
      <c r="A96">
        <f ca="1"/>
        <v>89</v>
      </c>
      <c r="B96" s="50" cm="1">
        <f t="array" aca="1" ref="B96" ca="1">filesize(Folder&amp;Tests[[#This Row],[FileName]])</f>
        <v>231</v>
      </c>
      <c r="C96" s="50">
        <v>89</v>
      </c>
      <c r="D96" s="38" t="s">
        <v>471</v>
      </c>
      <c r="E96" s="37" t="b">
        <v>1</v>
      </c>
      <c r="F96" s="39" t="s">
        <v>470</v>
      </c>
      <c r="G96" s="39" t="b">
        <v>0</v>
      </c>
      <c r="H96" s="39" t="s">
        <v>249</v>
      </c>
      <c r="I96" s="39" t="s">
        <v>249</v>
      </c>
      <c r="J96" s="37">
        <v>1</v>
      </c>
      <c r="K96" s="37">
        <v>1</v>
      </c>
      <c r="L96" s="37">
        <v>0</v>
      </c>
      <c r="M96" s="37">
        <v>0</v>
      </c>
      <c r="N96" s="37" t="b">
        <v>0</v>
      </c>
      <c r="O96" s="37" t="s">
        <v>250</v>
      </c>
      <c r="P96" s="53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</row>
    <row r="97" spans="1:38" x14ac:dyDescent="0.45">
      <c r="A97">
        <f ca="1"/>
        <v>90</v>
      </c>
      <c r="B97" s="50" cm="1">
        <f t="array" aca="1" ref="B97" ca="1">filesize(Folder&amp;Tests[[#This Row],[FileName]])</f>
        <v>511</v>
      </c>
      <c r="C97" s="50">
        <v>90</v>
      </c>
      <c r="D97" s="38" t="s">
        <v>472</v>
      </c>
      <c r="E97" s="37" t="b">
        <v>1</v>
      </c>
      <c r="F97" s="39" t="s">
        <v>473</v>
      </c>
      <c r="G97" s="39" t="b">
        <v>1</v>
      </c>
      <c r="H97" s="39" t="s">
        <v>249</v>
      </c>
      <c r="I97" s="39" t="s">
        <v>249</v>
      </c>
      <c r="J97" s="37">
        <v>1</v>
      </c>
      <c r="K97" s="37">
        <v>1</v>
      </c>
      <c r="L97" s="37">
        <v>0</v>
      </c>
      <c r="M97" s="37">
        <v>0</v>
      </c>
      <c r="N97" s="37" t="b">
        <v>0</v>
      </c>
      <c r="O97" s="37" t="s">
        <v>250</v>
      </c>
      <c r="P97" s="53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</row>
    <row r="98" spans="1:38" x14ac:dyDescent="0.45">
      <c r="A98">
        <f ca="1"/>
        <v>91</v>
      </c>
      <c r="B98" s="50" cm="1">
        <f t="array" aca="1" ref="B98" ca="1">filesize(Folder&amp;Tests[[#This Row],[FileName]])</f>
        <v>0</v>
      </c>
      <c r="C98" s="50">
        <v>91</v>
      </c>
      <c r="D98" s="38" t="s">
        <v>295</v>
      </c>
      <c r="E98" s="37" t="b">
        <v>0</v>
      </c>
      <c r="F98" s="39" t="s">
        <v>249</v>
      </c>
      <c r="G98" s="39" t="b">
        <v>0</v>
      </c>
      <c r="H98" s="39" t="s">
        <v>249</v>
      </c>
      <c r="I98" s="39" t="s">
        <v>249</v>
      </c>
      <c r="J98" s="37">
        <v>1</v>
      </c>
      <c r="K98" s="37">
        <v>1</v>
      </c>
      <c r="L98" s="37">
        <v>0</v>
      </c>
      <c r="M98" s="37">
        <v>0</v>
      </c>
      <c r="N98" s="37" t="b">
        <v>0</v>
      </c>
      <c r="O98" s="37" t="s">
        <v>250</v>
      </c>
      <c r="P98" s="53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</row>
    <row r="99" spans="1:38" x14ac:dyDescent="0.45">
      <c r="A99">
        <f ca="1"/>
        <v>92</v>
      </c>
      <c r="B99" s="50" cm="1">
        <f t="array" aca="1" ref="B99" ca="1">filesize(Folder&amp;Tests[[#This Row],[FileName]])</f>
        <v>745568</v>
      </c>
      <c r="C99" s="50">
        <v>92</v>
      </c>
      <c r="D99" s="38" t="s">
        <v>399</v>
      </c>
      <c r="E99" s="37" t="b">
        <v>1</v>
      </c>
      <c r="F99" s="39" t="s">
        <v>249</v>
      </c>
      <c r="G99" s="39" t="b">
        <v>0</v>
      </c>
      <c r="H99" s="39" t="s">
        <v>249</v>
      </c>
      <c r="I99" s="39" t="s">
        <v>249</v>
      </c>
      <c r="J99" s="37">
        <v>1</v>
      </c>
      <c r="K99" s="37">
        <v>1</v>
      </c>
      <c r="L99" s="37">
        <v>1</v>
      </c>
      <c r="M99" s="37">
        <v>0</v>
      </c>
      <c r="N99" s="37" t="b">
        <v>0</v>
      </c>
      <c r="O99" s="37" t="s">
        <v>250</v>
      </c>
      <c r="P99" s="53" t="s">
        <v>254</v>
      </c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</row>
    <row r="100" spans="1:38" x14ac:dyDescent="0.45">
      <c r="A100">
        <f ca="1"/>
        <v>93</v>
      </c>
      <c r="B100" s="50" cm="1">
        <f t="array" aca="1" ref="B100" ca="1">filesize(Folder&amp;Tests[[#This Row],[FileName]])</f>
        <v>0</v>
      </c>
      <c r="C100" s="50" t="s">
        <v>476</v>
      </c>
      <c r="D100" s="38" t="s">
        <v>294</v>
      </c>
      <c r="E100" s="37" t="b">
        <v>0</v>
      </c>
      <c r="F100" s="39" t="s">
        <v>249</v>
      </c>
      <c r="G100" s="39" t="b">
        <v>0</v>
      </c>
      <c r="H100" s="39" t="s">
        <v>249</v>
      </c>
      <c r="I100" s="39" t="s">
        <v>249</v>
      </c>
      <c r="J100" s="37">
        <v>1</v>
      </c>
      <c r="K100" s="37">
        <v>1</v>
      </c>
      <c r="L100" s="37">
        <v>0</v>
      </c>
      <c r="M100" s="37">
        <v>0</v>
      </c>
      <c r="N100" s="37" t="b">
        <v>0</v>
      </c>
      <c r="O100" s="37" t="s">
        <v>250</v>
      </c>
      <c r="P100" s="53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</row>
    <row r="101" spans="1:38" x14ac:dyDescent="0.45">
      <c r="A101">
        <f ca="1"/>
        <v>94</v>
      </c>
      <c r="B101" s="50" cm="1">
        <f t="array" aca="1" ref="B101" ca="1">filesize(Folder&amp;Tests[[#This Row],[FileName]])</f>
        <v>4</v>
      </c>
      <c r="C101" s="50" t="s">
        <v>476</v>
      </c>
      <c r="D101" s="38" t="s">
        <v>296</v>
      </c>
      <c r="E101" s="37" t="b">
        <v>0</v>
      </c>
      <c r="F101" s="39" t="s">
        <v>249</v>
      </c>
      <c r="G101" s="39" t="b">
        <v>0</v>
      </c>
      <c r="H101" s="39" t="s">
        <v>249</v>
      </c>
      <c r="I101" s="39" t="s">
        <v>249</v>
      </c>
      <c r="J101" s="37">
        <v>1</v>
      </c>
      <c r="K101" s="37">
        <v>1</v>
      </c>
      <c r="L101" s="37">
        <v>0</v>
      </c>
      <c r="M101" s="37">
        <v>0</v>
      </c>
      <c r="N101" s="37" t="b">
        <v>0</v>
      </c>
      <c r="O101" s="37" t="s">
        <v>250</v>
      </c>
      <c r="P101" s="53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</row>
    <row r="102" spans="1:38" x14ac:dyDescent="0.45">
      <c r="A102">
        <f ca="1"/>
        <v>95</v>
      </c>
      <c r="B102" s="50" cm="1">
        <f t="array" aca="1" ref="B102" ca="1">filesize(Folder&amp;Tests[[#This Row],[FileName]])</f>
        <v>5</v>
      </c>
      <c r="C102" s="50" t="s">
        <v>476</v>
      </c>
      <c r="D102" s="38" t="s">
        <v>298</v>
      </c>
      <c r="E102" s="37" t="b">
        <v>1</v>
      </c>
      <c r="F102" s="39" t="s">
        <v>249</v>
      </c>
      <c r="G102" s="39" t="b">
        <v>0</v>
      </c>
      <c r="H102" s="39" t="s">
        <v>249</v>
      </c>
      <c r="I102" s="39" t="s">
        <v>249</v>
      </c>
      <c r="J102" s="37">
        <v>1</v>
      </c>
      <c r="K102" s="37">
        <v>1</v>
      </c>
      <c r="L102" s="37">
        <v>0</v>
      </c>
      <c r="M102" s="37">
        <v>0</v>
      </c>
      <c r="N102" s="37" t="b">
        <v>0</v>
      </c>
      <c r="O102" s="37" t="s">
        <v>250</v>
      </c>
      <c r="P102" s="53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</row>
    <row r="103" spans="1:38" x14ac:dyDescent="0.45">
      <c r="A103">
        <f ca="1"/>
        <v>96</v>
      </c>
      <c r="B103" s="50" cm="1">
        <f t="array" aca="1" ref="B103" ca="1">filesize(Folder&amp;Tests[[#This Row],[FileName]])</f>
        <v>6</v>
      </c>
      <c r="C103" s="50" t="s">
        <v>476</v>
      </c>
      <c r="D103" s="38" t="s">
        <v>299</v>
      </c>
      <c r="E103" s="37" t="b">
        <v>1</v>
      </c>
      <c r="F103" s="39" t="s">
        <v>249</v>
      </c>
      <c r="G103" s="39" t="b">
        <v>0</v>
      </c>
      <c r="H103" s="39" t="s">
        <v>249</v>
      </c>
      <c r="I103" s="39" t="s">
        <v>249</v>
      </c>
      <c r="J103" s="37">
        <v>1</v>
      </c>
      <c r="K103" s="37">
        <v>1</v>
      </c>
      <c r="L103" s="37">
        <v>0</v>
      </c>
      <c r="M103" s="37">
        <v>0</v>
      </c>
      <c r="N103" s="37" t="b">
        <v>0</v>
      </c>
      <c r="O103" s="37" t="s">
        <v>250</v>
      </c>
      <c r="P103" s="53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</row>
    <row r="104" spans="1:38" x14ac:dyDescent="0.45">
      <c r="A104">
        <f ca="1"/>
        <v>97</v>
      </c>
      <c r="B104" s="50" cm="1">
        <f t="array" aca="1" ref="B104" ca="1">filesize(Folder&amp;Tests[[#This Row],[FileName]])</f>
        <v>11</v>
      </c>
      <c r="C104" s="50" t="s">
        <v>476</v>
      </c>
      <c r="D104" s="38" t="s">
        <v>302</v>
      </c>
      <c r="E104" s="37" t="b">
        <v>1</v>
      </c>
      <c r="F104" s="39" t="s">
        <v>249</v>
      </c>
      <c r="G104" s="39" t="b">
        <v>0</v>
      </c>
      <c r="H104" s="39" t="s">
        <v>249</v>
      </c>
      <c r="I104" s="39" t="s">
        <v>249</v>
      </c>
      <c r="J104" s="37">
        <v>1</v>
      </c>
      <c r="K104" s="37">
        <v>1</v>
      </c>
      <c r="L104" s="37">
        <v>0</v>
      </c>
      <c r="M104" s="37">
        <v>0</v>
      </c>
      <c r="N104" s="37" t="b">
        <v>0</v>
      </c>
      <c r="O104" s="37" t="s">
        <v>250</v>
      </c>
      <c r="P104" s="53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</row>
    <row r="105" spans="1:38" x14ac:dyDescent="0.45">
      <c r="A105">
        <f ca="1"/>
        <v>98</v>
      </c>
      <c r="B105" s="50" cm="1">
        <f t="array" aca="1" ref="B105" ca="1">filesize(Folder&amp;Tests[[#This Row],[FileName]])</f>
        <v>11</v>
      </c>
      <c r="C105" s="50" t="s">
        <v>476</v>
      </c>
      <c r="D105" s="38" t="s">
        <v>303</v>
      </c>
      <c r="E105" s="37" t="b">
        <v>1</v>
      </c>
      <c r="F105" s="39" t="s">
        <v>249</v>
      </c>
      <c r="G105" s="39" t="b">
        <v>0</v>
      </c>
      <c r="H105" s="39" t="s">
        <v>249</v>
      </c>
      <c r="I105" s="39" t="s">
        <v>249</v>
      </c>
      <c r="J105" s="37">
        <v>1</v>
      </c>
      <c r="K105" s="37">
        <v>1</v>
      </c>
      <c r="L105" s="37">
        <v>0</v>
      </c>
      <c r="M105" s="37">
        <v>0</v>
      </c>
      <c r="N105" s="37" t="b">
        <v>0</v>
      </c>
      <c r="O105" s="37" t="s">
        <v>250</v>
      </c>
      <c r="P105" s="53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</row>
    <row r="106" spans="1:38" x14ac:dyDescent="0.45">
      <c r="A106">
        <f ca="1"/>
        <v>99</v>
      </c>
      <c r="B106" s="50" cm="1">
        <f t="array" aca="1" ref="B106" ca="1">filesize(Folder&amp;Tests[[#This Row],[FileName]])</f>
        <v>11</v>
      </c>
      <c r="C106" s="50" t="s">
        <v>476</v>
      </c>
      <c r="D106" s="38" t="s">
        <v>304</v>
      </c>
      <c r="E106" s="37" t="b">
        <v>1</v>
      </c>
      <c r="F106" s="39" t="s">
        <v>249</v>
      </c>
      <c r="G106" s="39" t="b">
        <v>0</v>
      </c>
      <c r="H106" s="39" t="s">
        <v>249</v>
      </c>
      <c r="I106" s="39" t="s">
        <v>249</v>
      </c>
      <c r="J106" s="37">
        <v>1</v>
      </c>
      <c r="K106" s="37">
        <v>1</v>
      </c>
      <c r="L106" s="37">
        <v>0</v>
      </c>
      <c r="M106" s="37">
        <v>0</v>
      </c>
      <c r="N106" s="37" t="b">
        <v>0</v>
      </c>
      <c r="O106" s="37" t="s">
        <v>250</v>
      </c>
      <c r="P106" s="53" t="s">
        <v>453</v>
      </c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</row>
    <row r="107" spans="1:38" x14ac:dyDescent="0.45">
      <c r="A107">
        <f ca="1"/>
        <v>100</v>
      </c>
      <c r="B107" s="50" cm="1">
        <f t="array" aca="1" ref="B107" ca="1">filesize(Folder&amp;Tests[[#This Row],[FileName]])</f>
        <v>18</v>
      </c>
      <c r="C107" s="50" t="s">
        <v>476</v>
      </c>
      <c r="D107" s="38" t="s">
        <v>306</v>
      </c>
      <c r="E107" s="37" t="b">
        <v>1</v>
      </c>
      <c r="F107" s="39" t="s">
        <v>249</v>
      </c>
      <c r="G107" s="39" t="b">
        <v>0</v>
      </c>
      <c r="H107" s="39" t="s">
        <v>249</v>
      </c>
      <c r="I107" s="39" t="s">
        <v>249</v>
      </c>
      <c r="J107" s="37">
        <v>1</v>
      </c>
      <c r="K107" s="37">
        <v>1</v>
      </c>
      <c r="L107" s="37">
        <v>0</v>
      </c>
      <c r="M107" s="37">
        <v>0</v>
      </c>
      <c r="N107" s="37" t="b">
        <v>0</v>
      </c>
      <c r="O107" s="37" t="s">
        <v>250</v>
      </c>
      <c r="P107" s="53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</row>
    <row r="108" spans="1:38" x14ac:dyDescent="0.45">
      <c r="A108">
        <f ca="1"/>
        <v>101</v>
      </c>
      <c r="B108" s="50" cm="1">
        <f t="array" aca="1" ref="B108" ca="1">filesize(Folder&amp;Tests[[#This Row],[FileName]])</f>
        <v>30</v>
      </c>
      <c r="C108" s="50" t="s">
        <v>476</v>
      </c>
      <c r="D108" s="38" t="s">
        <v>314</v>
      </c>
      <c r="E108" s="37" t="b">
        <v>1</v>
      </c>
      <c r="F108" s="39" t="s">
        <v>249</v>
      </c>
      <c r="G108" s="39" t="b">
        <v>0</v>
      </c>
      <c r="H108" s="39" t="s">
        <v>249</v>
      </c>
      <c r="I108" s="39" t="s">
        <v>249</v>
      </c>
      <c r="J108" s="37">
        <v>1</v>
      </c>
      <c r="K108" s="37">
        <v>1</v>
      </c>
      <c r="L108" s="37">
        <v>0</v>
      </c>
      <c r="M108" s="37">
        <v>0</v>
      </c>
      <c r="N108" s="37" t="b">
        <v>0</v>
      </c>
      <c r="O108" s="37" t="s">
        <v>250</v>
      </c>
      <c r="P108" s="49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</row>
    <row r="109" spans="1:38" x14ac:dyDescent="0.45">
      <c r="A109">
        <f ca="1"/>
        <v>102</v>
      </c>
      <c r="B109" s="50" cm="1">
        <f t="array" aca="1" ref="B109" ca="1">filesize(Folder&amp;Tests[[#This Row],[FileName]])</f>
        <v>32</v>
      </c>
      <c r="C109" s="50" t="s">
        <v>476</v>
      </c>
      <c r="D109" s="38" t="s">
        <v>320</v>
      </c>
      <c r="E109" s="37" t="b">
        <v>1</v>
      </c>
      <c r="F109" s="39" t="s">
        <v>249</v>
      </c>
      <c r="G109" s="39" t="b">
        <v>0</v>
      </c>
      <c r="H109" s="39" t="s">
        <v>249</v>
      </c>
      <c r="I109" s="39" t="s">
        <v>249</v>
      </c>
      <c r="J109" s="37">
        <v>1</v>
      </c>
      <c r="K109" s="37">
        <v>1</v>
      </c>
      <c r="L109" s="37">
        <v>0</v>
      </c>
      <c r="M109" s="37">
        <v>0</v>
      </c>
      <c r="N109" s="37" t="b">
        <v>0</v>
      </c>
      <c r="O109" s="37" t="s">
        <v>250</v>
      </c>
      <c r="P109" s="53" t="s">
        <v>255</v>
      </c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</row>
    <row r="110" spans="1:38" x14ac:dyDescent="0.45">
      <c r="A110">
        <f ca="1"/>
        <v>103</v>
      </c>
      <c r="B110" s="50" cm="1">
        <f t="array" aca="1" ref="B110" ca="1">filesize(Folder&amp;Tests[[#This Row],[FileName]])</f>
        <v>32</v>
      </c>
      <c r="C110" s="50" t="s">
        <v>476</v>
      </c>
      <c r="D110" s="38" t="s">
        <v>321</v>
      </c>
      <c r="E110" s="37" t="b">
        <v>1</v>
      </c>
      <c r="F110" s="39" t="s">
        <v>249</v>
      </c>
      <c r="G110" s="39" t="b">
        <v>0</v>
      </c>
      <c r="H110" s="39" t="s">
        <v>249</v>
      </c>
      <c r="I110" s="39" t="s">
        <v>249</v>
      </c>
      <c r="J110" s="37">
        <v>1</v>
      </c>
      <c r="K110" s="37">
        <v>1</v>
      </c>
      <c r="L110" s="37">
        <v>0</v>
      </c>
      <c r="M110" s="37">
        <v>0</v>
      </c>
      <c r="N110" s="37" t="b">
        <v>0</v>
      </c>
      <c r="O110" s="37" t="s">
        <v>250</v>
      </c>
      <c r="P110" s="53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</row>
    <row r="111" spans="1:38" x14ac:dyDescent="0.45">
      <c r="A111">
        <f ca="1"/>
        <v>104</v>
      </c>
      <c r="B111" s="50" cm="1">
        <f t="array" aca="1" ref="B111" ca="1">filesize(Folder&amp;Tests[[#This Row],[FileName]])</f>
        <v>33</v>
      </c>
      <c r="C111" s="50" t="s">
        <v>476</v>
      </c>
      <c r="D111" s="38" t="s">
        <v>322</v>
      </c>
      <c r="E111" s="37" t="b">
        <v>1</v>
      </c>
      <c r="F111" s="39" t="s">
        <v>249</v>
      </c>
      <c r="G111" s="39" t="b">
        <v>0</v>
      </c>
      <c r="H111" s="39" t="s">
        <v>249</v>
      </c>
      <c r="I111" s="39" t="s">
        <v>249</v>
      </c>
      <c r="J111" s="37">
        <v>1</v>
      </c>
      <c r="K111" s="37">
        <v>1</v>
      </c>
      <c r="L111" s="37">
        <v>0</v>
      </c>
      <c r="M111" s="37">
        <v>0</v>
      </c>
      <c r="N111" s="37" t="b">
        <v>0</v>
      </c>
      <c r="O111" s="37" t="s">
        <v>250</v>
      </c>
      <c r="P111" s="53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</row>
    <row r="112" spans="1:38" x14ac:dyDescent="0.45">
      <c r="A112">
        <f ca="1"/>
        <v>105</v>
      </c>
      <c r="B112" s="50" cm="1">
        <f t="array" aca="1" ref="B112" ca="1">filesize(Folder&amp;Tests[[#This Row],[FileName]])</f>
        <v>34</v>
      </c>
      <c r="C112" s="50" t="s">
        <v>476</v>
      </c>
      <c r="D112" s="38" t="s">
        <v>325</v>
      </c>
      <c r="E112" s="37" t="b">
        <v>1</v>
      </c>
      <c r="F112" s="39" t="s">
        <v>249</v>
      </c>
      <c r="G112" s="39" t="b">
        <v>0</v>
      </c>
      <c r="H112" s="39" t="s">
        <v>249</v>
      </c>
      <c r="I112" s="39" t="s">
        <v>249</v>
      </c>
      <c r="J112" s="37">
        <v>1</v>
      </c>
      <c r="K112" s="37">
        <v>1</v>
      </c>
      <c r="L112" s="37">
        <v>0</v>
      </c>
      <c r="M112" s="37">
        <v>0</v>
      </c>
      <c r="N112" s="37" t="b">
        <v>0</v>
      </c>
      <c r="O112" s="37" t="s">
        <v>250</v>
      </c>
      <c r="P112" s="53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</row>
    <row r="113" spans="1:38" x14ac:dyDescent="0.45">
      <c r="A113">
        <f ca="1"/>
        <v>106</v>
      </c>
      <c r="B113" s="50" cm="1">
        <f t="array" aca="1" ref="B113" ca="1">filesize(Folder&amp;Tests[[#This Row],[FileName]])</f>
        <v>34</v>
      </c>
      <c r="C113" s="50" t="s">
        <v>476</v>
      </c>
      <c r="D113" s="38" t="s">
        <v>326</v>
      </c>
      <c r="E113" s="37" t="b">
        <v>1</v>
      </c>
      <c r="F113" s="39" t="s">
        <v>249</v>
      </c>
      <c r="G113" s="39" t="b">
        <v>0</v>
      </c>
      <c r="H113" s="39" t="s">
        <v>249</v>
      </c>
      <c r="I113" s="39" t="s">
        <v>249</v>
      </c>
      <c r="J113" s="37">
        <v>1</v>
      </c>
      <c r="K113" s="37">
        <v>1</v>
      </c>
      <c r="L113" s="37">
        <v>0</v>
      </c>
      <c r="M113" s="37">
        <v>0</v>
      </c>
      <c r="N113" s="37" t="b">
        <v>0</v>
      </c>
      <c r="O113" s="37" t="s">
        <v>250</v>
      </c>
      <c r="P113" s="53" t="s">
        <v>256</v>
      </c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</row>
    <row r="114" spans="1:38" x14ac:dyDescent="0.45">
      <c r="A114">
        <f ca="1"/>
        <v>107</v>
      </c>
      <c r="B114" s="50" cm="1">
        <f t="array" aca="1" ref="B114" ca="1">filesize(Folder&amp;Tests[[#This Row],[FileName]])</f>
        <v>34</v>
      </c>
      <c r="C114" s="50" t="s">
        <v>476</v>
      </c>
      <c r="D114" s="38" t="s">
        <v>327</v>
      </c>
      <c r="E114" s="37" t="b">
        <v>1</v>
      </c>
      <c r="F114" s="39" t="s">
        <v>249</v>
      </c>
      <c r="G114" s="39" t="b">
        <v>0</v>
      </c>
      <c r="H114" s="39" t="s">
        <v>249</v>
      </c>
      <c r="I114" s="39" t="s">
        <v>249</v>
      </c>
      <c r="J114" s="37">
        <v>1</v>
      </c>
      <c r="K114" s="37">
        <v>1</v>
      </c>
      <c r="L114" s="37">
        <v>0</v>
      </c>
      <c r="M114" s="37">
        <v>0</v>
      </c>
      <c r="N114" s="37" t="b">
        <v>0</v>
      </c>
      <c r="O114" s="37" t="s">
        <v>250</v>
      </c>
      <c r="P114" s="53" t="s">
        <v>257</v>
      </c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</row>
    <row r="115" spans="1:38" x14ac:dyDescent="0.45">
      <c r="A115">
        <f ca="1"/>
        <v>108</v>
      </c>
      <c r="B115" s="50" cm="1">
        <f t="array" aca="1" ref="B115" ca="1">filesize(Folder&amp;Tests[[#This Row],[FileName]])</f>
        <v>58</v>
      </c>
      <c r="C115" s="50" t="s">
        <v>476</v>
      </c>
      <c r="D115" s="38" t="s">
        <v>349</v>
      </c>
      <c r="E115" s="37" t="b">
        <v>1</v>
      </c>
      <c r="F115" s="39" t="s">
        <v>249</v>
      </c>
      <c r="G115" s="39" t="b">
        <v>0</v>
      </c>
      <c r="H115" s="39" t="s">
        <v>249</v>
      </c>
      <c r="I115" s="39" t="s">
        <v>249</v>
      </c>
      <c r="J115" s="37">
        <v>1</v>
      </c>
      <c r="K115" s="37">
        <v>1</v>
      </c>
      <c r="L115" s="37">
        <v>0</v>
      </c>
      <c r="M115" s="37">
        <v>0</v>
      </c>
      <c r="N115" s="37" t="b">
        <v>0</v>
      </c>
      <c r="O115" s="37" t="s">
        <v>250</v>
      </c>
      <c r="P115" s="53" t="s">
        <v>264</v>
      </c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</row>
    <row r="116" spans="1:38" x14ac:dyDescent="0.45">
      <c r="A116">
        <f ca="1"/>
        <v>109</v>
      </c>
      <c r="B116" s="50" cm="1">
        <f t="array" aca="1" ref="B116" ca="1">filesize(Folder&amp;Tests[[#This Row],[FileName]])</f>
        <v>62</v>
      </c>
      <c r="C116" s="50" t="s">
        <v>476</v>
      </c>
      <c r="D116" s="38" t="s">
        <v>353</v>
      </c>
      <c r="E116" s="37" t="b">
        <v>1</v>
      </c>
      <c r="F116" s="39" t="s">
        <v>249</v>
      </c>
      <c r="G116" s="39" t="b">
        <v>0</v>
      </c>
      <c r="H116" s="39" t="s">
        <v>249</v>
      </c>
      <c r="I116" s="39" t="s">
        <v>249</v>
      </c>
      <c r="J116" s="37">
        <v>1</v>
      </c>
      <c r="K116" s="37">
        <v>1</v>
      </c>
      <c r="L116" s="37">
        <v>0</v>
      </c>
      <c r="M116" s="37">
        <v>0</v>
      </c>
      <c r="N116" s="37" t="b">
        <v>0</v>
      </c>
      <c r="O116" s="37" t="s">
        <v>250</v>
      </c>
      <c r="P116" s="53" t="s">
        <v>268</v>
      </c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</row>
    <row r="117" spans="1:38" x14ac:dyDescent="0.45">
      <c r="A117">
        <f ca="1"/>
        <v>110</v>
      </c>
      <c r="B117" s="50" cm="1">
        <f t="array" aca="1" ref="B117" ca="1">filesize(Folder&amp;Tests[[#This Row],[FileName]])</f>
        <v>64</v>
      </c>
      <c r="C117" s="50" t="s">
        <v>476</v>
      </c>
      <c r="D117" s="38" t="s">
        <v>354</v>
      </c>
      <c r="E117" s="37" t="b">
        <v>1</v>
      </c>
      <c r="F117" s="39" t="s">
        <v>249</v>
      </c>
      <c r="G117" s="39" t="b">
        <v>0</v>
      </c>
      <c r="H117" s="39" t="s">
        <v>249</v>
      </c>
      <c r="I117" s="39" t="s">
        <v>249</v>
      </c>
      <c r="J117" s="37">
        <v>1</v>
      </c>
      <c r="K117" s="37">
        <v>1</v>
      </c>
      <c r="L117" s="37">
        <v>0</v>
      </c>
      <c r="M117" s="37">
        <v>0</v>
      </c>
      <c r="N117" s="37" t="b">
        <v>0</v>
      </c>
      <c r="O117" s="37" t="s">
        <v>250</v>
      </c>
      <c r="P117" s="53" t="s">
        <v>269</v>
      </c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</row>
    <row r="118" spans="1:38" x14ac:dyDescent="0.45">
      <c r="A118">
        <f ca="1"/>
        <v>111</v>
      </c>
      <c r="B118" s="50" cm="1">
        <f t="array" aca="1" ref="B118" ca="1">filesize(Folder&amp;Tests[[#This Row],[FileName]])</f>
        <v>65</v>
      </c>
      <c r="C118" s="50" t="s">
        <v>476</v>
      </c>
      <c r="D118" s="38" t="s">
        <v>355</v>
      </c>
      <c r="E118" s="37" t="b">
        <v>0</v>
      </c>
      <c r="F118" s="39" t="s">
        <v>249</v>
      </c>
      <c r="G118" s="39" t="b">
        <v>0</v>
      </c>
      <c r="H118" s="39" t="s">
        <v>249</v>
      </c>
      <c r="I118" s="39" t="s">
        <v>249</v>
      </c>
      <c r="J118" s="37">
        <v>1</v>
      </c>
      <c r="K118" s="37">
        <v>1</v>
      </c>
      <c r="L118" s="37">
        <v>0</v>
      </c>
      <c r="M118" s="37">
        <v>0</v>
      </c>
      <c r="N118" s="37" t="b">
        <v>0</v>
      </c>
      <c r="O118" s="37" t="s">
        <v>250</v>
      </c>
      <c r="P118" s="53" t="s">
        <v>270</v>
      </c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</row>
    <row r="119" spans="1:38" x14ac:dyDescent="0.45">
      <c r="A119">
        <f ca="1"/>
        <v>112</v>
      </c>
      <c r="B119" s="50" cm="1">
        <f t="array" aca="1" ref="B119" ca="1">filesize(Folder&amp;Tests[[#This Row],[FileName]])</f>
        <v>67</v>
      </c>
      <c r="C119" s="50" t="s">
        <v>476</v>
      </c>
      <c r="D119" s="38" t="s">
        <v>359</v>
      </c>
      <c r="E119" s="37" t="b">
        <v>1</v>
      </c>
      <c r="F119" s="39" t="s">
        <v>249</v>
      </c>
      <c r="G119" s="39" t="b">
        <v>0</v>
      </c>
      <c r="H119" s="39" t="s">
        <v>249</v>
      </c>
      <c r="I119" s="39" t="s">
        <v>249</v>
      </c>
      <c r="J119" s="37">
        <v>1</v>
      </c>
      <c r="K119" s="37">
        <v>1</v>
      </c>
      <c r="L119" s="37">
        <v>0</v>
      </c>
      <c r="M119" s="37">
        <v>0</v>
      </c>
      <c r="N119" s="37" t="b">
        <v>0</v>
      </c>
      <c r="O119" s="37" t="s">
        <v>250</v>
      </c>
      <c r="P119" s="53" t="s">
        <v>272</v>
      </c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</row>
    <row r="120" spans="1:38" x14ac:dyDescent="0.45">
      <c r="A120">
        <f ca="1"/>
        <v>113</v>
      </c>
      <c r="B120" s="50" cm="1">
        <f t="array" aca="1" ref="B120" ca="1">filesize(Folder&amp;Tests[[#This Row],[FileName]])</f>
        <v>68</v>
      </c>
      <c r="C120" s="50" t="s">
        <v>476</v>
      </c>
      <c r="D120" s="38" t="s">
        <v>360</v>
      </c>
      <c r="E120" s="37" t="b">
        <v>0</v>
      </c>
      <c r="F120" s="39" t="s">
        <v>249</v>
      </c>
      <c r="G120" s="39" t="b">
        <v>0</v>
      </c>
      <c r="H120" s="39" t="s">
        <v>249</v>
      </c>
      <c r="I120" s="39" t="s">
        <v>249</v>
      </c>
      <c r="J120" s="37">
        <v>1</v>
      </c>
      <c r="K120" s="37">
        <v>1</v>
      </c>
      <c r="L120" s="37">
        <v>0</v>
      </c>
      <c r="M120" s="37">
        <v>0</v>
      </c>
      <c r="N120" s="37" t="b">
        <v>0</v>
      </c>
      <c r="O120" s="37" t="s">
        <v>250</v>
      </c>
      <c r="P120" s="53" t="s">
        <v>273</v>
      </c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</row>
    <row r="121" spans="1:38" x14ac:dyDescent="0.45">
      <c r="A121">
        <f ca="1"/>
        <v>114</v>
      </c>
      <c r="B121" s="50" cm="1">
        <f t="array" aca="1" ref="B121" ca="1">filesize(Folder&amp;Tests[[#This Row],[FileName]])</f>
        <v>100</v>
      </c>
      <c r="C121" s="50" t="s">
        <v>476</v>
      </c>
      <c r="D121" s="38" t="s">
        <v>365</v>
      </c>
      <c r="E121" s="37" t="b">
        <v>1</v>
      </c>
      <c r="F121" s="39" t="s">
        <v>249</v>
      </c>
      <c r="G121" s="39" t="b">
        <v>0</v>
      </c>
      <c r="H121" s="39" t="s">
        <v>249</v>
      </c>
      <c r="I121" s="39" t="s">
        <v>249</v>
      </c>
      <c r="J121" s="37">
        <v>1</v>
      </c>
      <c r="K121" s="37">
        <v>1</v>
      </c>
      <c r="L121" s="37">
        <v>0</v>
      </c>
      <c r="M121" s="37">
        <v>0</v>
      </c>
      <c r="N121" s="40" t="b">
        <v>1</v>
      </c>
      <c r="O121" s="37" t="s">
        <v>250</v>
      </c>
      <c r="P121" s="49" t="s">
        <v>275</v>
      </c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</row>
    <row r="122" spans="1:38" x14ac:dyDescent="0.45">
      <c r="A122">
        <f ca="1"/>
        <v>115</v>
      </c>
      <c r="B122" s="50" cm="1">
        <f t="array" aca="1" ref="B122" ca="1">filesize(Folder&amp;Tests[[#This Row],[FileName]])</f>
        <v>106</v>
      </c>
      <c r="C122" s="50" t="s">
        <v>476</v>
      </c>
      <c r="D122" s="38" t="s">
        <v>367</v>
      </c>
      <c r="E122" s="37" t="b">
        <v>1</v>
      </c>
      <c r="F122" s="39" t="s">
        <v>249</v>
      </c>
      <c r="G122" s="39" t="b">
        <v>0</v>
      </c>
      <c r="H122" s="39" t="s">
        <v>249</v>
      </c>
      <c r="I122" s="39" t="s">
        <v>249</v>
      </c>
      <c r="J122" s="37">
        <v>1</v>
      </c>
      <c r="K122" s="37">
        <v>1</v>
      </c>
      <c r="L122" s="37">
        <v>0</v>
      </c>
      <c r="M122" s="37">
        <v>0</v>
      </c>
      <c r="N122" s="37" t="b">
        <v>0</v>
      </c>
      <c r="O122" s="37" t="s">
        <v>250</v>
      </c>
      <c r="P122" s="53" t="s">
        <v>273</v>
      </c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</row>
    <row r="123" spans="1:38" x14ac:dyDescent="0.45">
      <c r="A123">
        <f ca="1"/>
        <v>116</v>
      </c>
      <c r="B123" s="50" cm="1">
        <f t="array" aca="1" ref="B123" ca="1">filesize(Folder&amp;Tests[[#This Row],[FileName]])</f>
        <v>506</v>
      </c>
      <c r="C123" s="50" t="s">
        <v>476</v>
      </c>
      <c r="D123" s="38" t="s">
        <v>374</v>
      </c>
      <c r="E123" s="37" t="b">
        <v>0</v>
      </c>
      <c r="F123" s="39" t="s">
        <v>249</v>
      </c>
      <c r="G123" s="39" t="b">
        <v>0</v>
      </c>
      <c r="H123" s="39" t="s">
        <v>249</v>
      </c>
      <c r="I123" s="39" t="s">
        <v>249</v>
      </c>
      <c r="J123" s="37">
        <v>1</v>
      </c>
      <c r="K123" s="37">
        <v>1</v>
      </c>
      <c r="L123" s="37">
        <v>0</v>
      </c>
      <c r="M123" s="37">
        <v>0</v>
      </c>
      <c r="N123" s="37" t="b">
        <v>0</v>
      </c>
      <c r="O123" s="37" t="s">
        <v>250</v>
      </c>
      <c r="P123" s="53" t="s">
        <v>273</v>
      </c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</row>
    <row r="124" spans="1:38" x14ac:dyDescent="0.45">
      <c r="A124">
        <f ca="1"/>
        <v>117</v>
      </c>
      <c r="B124" s="50" cm="1">
        <f t="array" aca="1" ref="B124" ca="1">filesize(Folder&amp;Tests[[#This Row],[FileName]])</f>
        <v>4340</v>
      </c>
      <c r="C124" s="50" t="s">
        <v>476</v>
      </c>
      <c r="D124" s="38" t="s">
        <v>382</v>
      </c>
      <c r="E124" s="37" t="b">
        <v>0</v>
      </c>
      <c r="F124" s="39" t="s">
        <v>249</v>
      </c>
      <c r="G124" s="39" t="b">
        <v>0</v>
      </c>
      <c r="H124" s="39" t="s">
        <v>249</v>
      </c>
      <c r="I124" s="39" t="s">
        <v>249</v>
      </c>
      <c r="J124" s="37">
        <v>1</v>
      </c>
      <c r="K124" s="37">
        <v>1</v>
      </c>
      <c r="L124" s="37">
        <v>0</v>
      </c>
      <c r="M124" s="37">
        <v>0</v>
      </c>
      <c r="N124" s="37" t="b">
        <v>0</v>
      </c>
      <c r="O124" s="37" t="s">
        <v>250</v>
      </c>
      <c r="P124" s="53" t="s">
        <v>279</v>
      </c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</row>
    <row r="125" spans="1:38" x14ac:dyDescent="0.45">
      <c r="A125">
        <f ca="1"/>
        <v>118</v>
      </c>
      <c r="B125" s="50" cm="1">
        <f t="array" aca="1" ref="B125" ca="1">filesize(Folder&amp;Tests[[#This Row],[FileName]])</f>
        <v>6223</v>
      </c>
      <c r="C125" s="51" t="s">
        <v>476</v>
      </c>
      <c r="D125" s="46" t="s">
        <v>383</v>
      </c>
      <c r="E125" s="47" t="b">
        <v>1</v>
      </c>
      <c r="F125" s="48" t="s">
        <v>249</v>
      </c>
      <c r="G125" s="48" t="b">
        <v>0</v>
      </c>
      <c r="H125" s="48" t="s">
        <v>249</v>
      </c>
      <c r="I125" s="48" t="s">
        <v>249</v>
      </c>
      <c r="J125" s="47">
        <v>1</v>
      </c>
      <c r="K125" s="47">
        <v>1</v>
      </c>
      <c r="L125" s="47">
        <v>0</v>
      </c>
      <c r="M125" s="47">
        <v>0</v>
      </c>
      <c r="N125" s="47" t="b">
        <v>0</v>
      </c>
      <c r="O125" s="47" t="s">
        <v>250</v>
      </c>
      <c r="P125" s="61" t="s">
        <v>467</v>
      </c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</row>
    <row r="126" spans="1:38" x14ac:dyDescent="0.45">
      <c r="A126">
        <f ca="1"/>
        <v>119</v>
      </c>
      <c r="B126" s="50" cm="1">
        <f t="array" aca="1" ref="B126" ca="1">filesize(Folder&amp;Tests[[#This Row],[FileName]])</f>
        <v>20520</v>
      </c>
      <c r="C126" s="50" t="s">
        <v>476</v>
      </c>
      <c r="D126" s="38" t="s">
        <v>384</v>
      </c>
      <c r="E126" s="37" t="b">
        <v>1</v>
      </c>
      <c r="F126" s="39" t="s">
        <v>249</v>
      </c>
      <c r="G126" s="39" t="b">
        <v>0</v>
      </c>
      <c r="H126" s="39" t="s">
        <v>249</v>
      </c>
      <c r="I126" s="39" t="s">
        <v>249</v>
      </c>
      <c r="J126" s="37">
        <v>1</v>
      </c>
      <c r="K126" s="37">
        <v>1</v>
      </c>
      <c r="L126" s="37">
        <v>0</v>
      </c>
      <c r="M126" s="37">
        <v>0</v>
      </c>
      <c r="N126" s="37" t="b">
        <v>0</v>
      </c>
      <c r="O126" s="37" t="s">
        <v>250</v>
      </c>
      <c r="P126" s="53" t="s">
        <v>280</v>
      </c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</row>
    <row r="127" spans="1:38" x14ac:dyDescent="0.45">
      <c r="A127">
        <f ca="1"/>
        <v>120</v>
      </c>
      <c r="B127" s="50" cm="1">
        <f t="array" aca="1" ref="B127" ca="1">filesize(Folder&amp;Tests[[#This Row],[FileName]])</f>
        <v>42987</v>
      </c>
      <c r="C127" s="50" t="s">
        <v>476</v>
      </c>
      <c r="D127" s="38" t="s">
        <v>385</v>
      </c>
      <c r="E127" s="37" t="b">
        <v>0</v>
      </c>
      <c r="F127" s="39" t="s">
        <v>249</v>
      </c>
      <c r="G127" s="39" t="b">
        <v>0</v>
      </c>
      <c r="H127" s="39" t="s">
        <v>249</v>
      </c>
      <c r="I127" s="39" t="s">
        <v>249</v>
      </c>
      <c r="J127" s="37">
        <v>1</v>
      </c>
      <c r="K127" s="37">
        <v>1</v>
      </c>
      <c r="L127" s="37">
        <v>0</v>
      </c>
      <c r="M127" s="37">
        <v>0</v>
      </c>
      <c r="N127" s="37" t="b">
        <v>0</v>
      </c>
      <c r="O127" s="37" t="s">
        <v>250</v>
      </c>
      <c r="P127" s="53" t="s">
        <v>281</v>
      </c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</row>
    <row r="128" spans="1:38" x14ac:dyDescent="0.45">
      <c r="A128">
        <f ca="1"/>
        <v>121</v>
      </c>
      <c r="B128" s="50" cm="1">
        <f t="array" aca="1" ref="B128" ca="1">filesize(Folder&amp;Tests[[#This Row],[FileName]])</f>
        <v>93536</v>
      </c>
      <c r="C128" s="50" t="s">
        <v>476</v>
      </c>
      <c r="D128" s="38" t="s">
        <v>386</v>
      </c>
      <c r="E128" s="37" t="s">
        <v>282</v>
      </c>
      <c r="F128" s="39" t="s">
        <v>249</v>
      </c>
      <c r="G128" s="39" t="b">
        <v>0</v>
      </c>
      <c r="H128" s="39" t="s">
        <v>249</v>
      </c>
      <c r="I128" s="39" t="s">
        <v>249</v>
      </c>
      <c r="J128" s="37">
        <v>1</v>
      </c>
      <c r="K128" s="37">
        <v>1</v>
      </c>
      <c r="L128" s="37">
        <v>0</v>
      </c>
      <c r="M128" s="37">
        <v>0</v>
      </c>
      <c r="N128" s="37" t="b">
        <v>0</v>
      </c>
      <c r="O128" s="37" t="s">
        <v>250</v>
      </c>
      <c r="P128" s="53" t="s">
        <v>283</v>
      </c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</row>
    <row r="129" spans="1:38" x14ac:dyDescent="0.45">
      <c r="A129">
        <f ca="1"/>
        <v>122</v>
      </c>
      <c r="B129" s="50" cm="1">
        <f t="array" aca="1" ref="B129" ca="1">filesize(Folder&amp;Tests[[#This Row],[FileName]])</f>
        <v>97842</v>
      </c>
      <c r="C129" s="50" t="s">
        <v>476</v>
      </c>
      <c r="D129" s="38" t="s">
        <v>387</v>
      </c>
      <c r="E129" s="37" t="b">
        <v>0</v>
      </c>
      <c r="F129" s="39" t="s">
        <v>249</v>
      </c>
      <c r="G129" s="39" t="b">
        <v>0</v>
      </c>
      <c r="H129" s="39" t="s">
        <v>249</v>
      </c>
      <c r="I129" s="39" t="s">
        <v>249</v>
      </c>
      <c r="J129" s="37">
        <v>1</v>
      </c>
      <c r="K129" s="37">
        <v>1</v>
      </c>
      <c r="L129" s="37">
        <v>0</v>
      </c>
      <c r="M129" s="37">
        <v>0</v>
      </c>
      <c r="N129" s="37" t="b">
        <v>0</v>
      </c>
      <c r="O129" s="37" t="s">
        <v>250</v>
      </c>
      <c r="P129" s="53" t="s">
        <v>284</v>
      </c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</row>
    <row r="130" spans="1:38" x14ac:dyDescent="0.45">
      <c r="A130">
        <f ca="1"/>
        <v>123</v>
      </c>
      <c r="B130" s="50" cm="1">
        <f t="array" aca="1" ref="B130" ca="1">filesize(Folder&amp;Tests[[#This Row],[FileName]])</f>
        <v>113183</v>
      </c>
      <c r="C130" s="50" t="s">
        <v>476</v>
      </c>
      <c r="D130" s="38" t="s">
        <v>388</v>
      </c>
      <c r="E130" s="37" t="b">
        <v>1</v>
      </c>
      <c r="F130" s="39" t="s">
        <v>249</v>
      </c>
      <c r="G130" s="39" t="b">
        <v>0</v>
      </c>
      <c r="H130" s="39" t="s">
        <v>249</v>
      </c>
      <c r="I130" s="39" t="s">
        <v>249</v>
      </c>
      <c r="J130" s="37">
        <v>1</v>
      </c>
      <c r="K130" s="37">
        <v>1</v>
      </c>
      <c r="L130" s="37">
        <v>0</v>
      </c>
      <c r="M130" s="37">
        <v>0</v>
      </c>
      <c r="N130" s="37" t="b">
        <v>0</v>
      </c>
      <c r="O130" s="37" t="s">
        <v>250</v>
      </c>
      <c r="P130" s="53" t="s">
        <v>285</v>
      </c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</row>
    <row r="131" spans="1:38" x14ac:dyDescent="0.45">
      <c r="A131">
        <f ca="1"/>
        <v>124</v>
      </c>
      <c r="B131" s="50" cm="1">
        <f t="array" aca="1" ref="B131" ca="1">filesize(Folder&amp;Tests[[#This Row],[FileName]])</f>
        <v>123637</v>
      </c>
      <c r="C131" s="50" t="s">
        <v>476</v>
      </c>
      <c r="D131" s="38" t="s">
        <v>389</v>
      </c>
      <c r="E131" s="37" t="b">
        <v>1</v>
      </c>
      <c r="F131" s="39" t="s">
        <v>249</v>
      </c>
      <c r="G131" s="39" t="b">
        <v>0</v>
      </c>
      <c r="H131" s="39" t="s">
        <v>249</v>
      </c>
      <c r="I131" s="39" t="s">
        <v>249</v>
      </c>
      <c r="J131" s="37">
        <v>1</v>
      </c>
      <c r="K131" s="37">
        <v>1</v>
      </c>
      <c r="L131" s="37">
        <v>0</v>
      </c>
      <c r="M131" s="37">
        <v>0</v>
      </c>
      <c r="N131" s="37" t="b">
        <v>0</v>
      </c>
      <c r="O131" s="37" t="s">
        <v>250</v>
      </c>
      <c r="P131" s="53" t="s">
        <v>285</v>
      </c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</row>
    <row r="132" spans="1:38" x14ac:dyDescent="0.45">
      <c r="A132">
        <f ca="1"/>
        <v>125</v>
      </c>
      <c r="B132" s="50" cm="1">
        <f t="array" aca="1" ref="B132" ca="1">filesize(Folder&amp;Tests[[#This Row],[FileName]])</f>
        <v>164899</v>
      </c>
      <c r="C132" s="50" t="s">
        <v>476</v>
      </c>
      <c r="D132" s="38" t="s">
        <v>390</v>
      </c>
      <c r="E132" s="37" t="b">
        <v>0</v>
      </c>
      <c r="F132" s="39" t="s">
        <v>249</v>
      </c>
      <c r="G132" s="39" t="b">
        <v>0</v>
      </c>
      <c r="H132" s="39" t="s">
        <v>249</v>
      </c>
      <c r="I132" s="39" t="s">
        <v>249</v>
      </c>
      <c r="J132" s="37">
        <v>1</v>
      </c>
      <c r="K132" s="37">
        <v>1</v>
      </c>
      <c r="L132" s="37">
        <v>0</v>
      </c>
      <c r="M132" s="37">
        <v>0</v>
      </c>
      <c r="N132" s="37" t="b">
        <v>0</v>
      </c>
      <c r="O132" s="37" t="s">
        <v>250</v>
      </c>
      <c r="P132" s="49" t="s">
        <v>286</v>
      </c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</row>
    <row r="133" spans="1:38" x14ac:dyDescent="0.45">
      <c r="A133">
        <f ca="1"/>
        <v>126</v>
      </c>
      <c r="B133" s="50" cm="1">
        <f t="array" aca="1" ref="B133" ca="1">filesize(Folder&amp;Tests[[#This Row],[FileName]])</f>
        <v>196770</v>
      </c>
      <c r="C133" s="50" t="s">
        <v>476</v>
      </c>
      <c r="D133" s="38" t="s">
        <v>391</v>
      </c>
      <c r="E133" s="37" t="b">
        <v>1</v>
      </c>
      <c r="F133" s="39" t="s">
        <v>249</v>
      </c>
      <c r="G133" s="39" t="b">
        <v>0</v>
      </c>
      <c r="H133" s="39" t="s">
        <v>249</v>
      </c>
      <c r="I133" s="39" t="s">
        <v>249</v>
      </c>
      <c r="J133" s="37">
        <v>1</v>
      </c>
      <c r="K133" s="37">
        <v>1</v>
      </c>
      <c r="L133" s="37">
        <v>0</v>
      </c>
      <c r="M133" s="37">
        <v>0</v>
      </c>
      <c r="N133" s="37" t="b">
        <v>0</v>
      </c>
      <c r="O133" s="37" t="s">
        <v>250</v>
      </c>
      <c r="P133" s="53" t="s">
        <v>254</v>
      </c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</row>
    <row r="134" spans="1:38" x14ac:dyDescent="0.45">
      <c r="A134">
        <f ca="1"/>
        <v>127</v>
      </c>
      <c r="B134" s="50" cm="1">
        <f t="array" aca="1" ref="B134" ca="1">filesize(Folder&amp;Tests[[#This Row],[FileName]])</f>
        <v>201701</v>
      </c>
      <c r="C134" s="50" t="s">
        <v>476</v>
      </c>
      <c r="D134" s="38" t="s">
        <v>392</v>
      </c>
      <c r="E134" s="37" t="b">
        <v>1</v>
      </c>
      <c r="F134" s="39" t="s">
        <v>249</v>
      </c>
      <c r="G134" s="39" t="b">
        <v>0</v>
      </c>
      <c r="H134" s="39" t="s">
        <v>249</v>
      </c>
      <c r="I134" s="39" t="s">
        <v>249</v>
      </c>
      <c r="J134" s="37">
        <v>1</v>
      </c>
      <c r="K134" s="37">
        <v>1</v>
      </c>
      <c r="L134" s="37">
        <v>0</v>
      </c>
      <c r="M134" s="37">
        <v>0</v>
      </c>
      <c r="N134" s="37" t="b">
        <v>0</v>
      </c>
      <c r="O134" s="37" t="s">
        <v>250</v>
      </c>
      <c r="P134" s="53" t="s">
        <v>287</v>
      </c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</row>
    <row r="135" spans="1:38" x14ac:dyDescent="0.45">
      <c r="A135">
        <f ca="1"/>
        <v>128</v>
      </c>
      <c r="B135" s="50" cm="1">
        <f t="array" aca="1" ref="B135" ca="1">filesize(Folder&amp;Tests[[#This Row],[FileName]])</f>
        <v>210026</v>
      </c>
      <c r="C135" s="50" t="s">
        <v>476</v>
      </c>
      <c r="D135" s="38" t="s">
        <v>393</v>
      </c>
      <c r="E135" s="37" t="b">
        <v>1</v>
      </c>
      <c r="F135" s="39" t="s">
        <v>249</v>
      </c>
      <c r="G135" s="39" t="b">
        <v>0</v>
      </c>
      <c r="H135" s="39" t="s">
        <v>249</v>
      </c>
      <c r="I135" s="39" t="s">
        <v>249</v>
      </c>
      <c r="J135" s="37">
        <v>1</v>
      </c>
      <c r="K135" s="37">
        <v>1</v>
      </c>
      <c r="L135" s="37">
        <v>0</v>
      </c>
      <c r="M135" s="37">
        <v>0</v>
      </c>
      <c r="N135" s="37" t="b">
        <v>0</v>
      </c>
      <c r="O135" s="37" t="s">
        <v>250</v>
      </c>
      <c r="P135" s="53" t="s">
        <v>288</v>
      </c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</row>
    <row r="136" spans="1:38" x14ac:dyDescent="0.45">
      <c r="A136">
        <f ca="1"/>
        <v>129</v>
      </c>
      <c r="B136" s="50" cm="1">
        <f t="array" aca="1" ref="B136" ca="1">filesize(Folder&amp;Tests[[#This Row],[FileName]])</f>
        <v>253983</v>
      </c>
      <c r="C136" s="50" t="s">
        <v>476</v>
      </c>
      <c r="D136" s="38" t="s">
        <v>394</v>
      </c>
      <c r="E136" s="37" t="b">
        <v>1</v>
      </c>
      <c r="F136" s="39" t="s">
        <v>249</v>
      </c>
      <c r="G136" s="39" t="b">
        <v>0</v>
      </c>
      <c r="H136" s="39" t="s">
        <v>249</v>
      </c>
      <c r="I136" s="39" t="s">
        <v>249</v>
      </c>
      <c r="J136" s="37">
        <v>1</v>
      </c>
      <c r="K136" s="37">
        <v>1</v>
      </c>
      <c r="L136" s="37">
        <v>0</v>
      </c>
      <c r="M136" s="37">
        <v>0</v>
      </c>
      <c r="N136" s="37" t="b">
        <v>0</v>
      </c>
      <c r="O136" s="37" t="s">
        <v>250</v>
      </c>
      <c r="P136" s="49" t="s">
        <v>405</v>
      </c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</row>
    <row r="137" spans="1:38" x14ac:dyDescent="0.45">
      <c r="A137">
        <f ca="1"/>
        <v>130</v>
      </c>
      <c r="B137" s="50" cm="1">
        <f t="array" aca="1" ref="B137" ca="1">filesize(Folder&amp;Tests[[#This Row],[FileName]])</f>
        <v>270111</v>
      </c>
      <c r="C137" s="50" t="s">
        <v>476</v>
      </c>
      <c r="D137" s="38" t="s">
        <v>395</v>
      </c>
      <c r="E137" s="37" t="b">
        <v>1</v>
      </c>
      <c r="F137" s="39" t="s">
        <v>249</v>
      </c>
      <c r="G137" s="39" t="b">
        <v>0</v>
      </c>
      <c r="H137" s="39" t="s">
        <v>249</v>
      </c>
      <c r="I137" s="39" t="s">
        <v>249</v>
      </c>
      <c r="J137" s="37">
        <v>1</v>
      </c>
      <c r="K137" s="37">
        <v>1</v>
      </c>
      <c r="L137" s="37">
        <v>0</v>
      </c>
      <c r="M137" s="37">
        <v>0</v>
      </c>
      <c r="N137" s="37" t="b">
        <v>0</v>
      </c>
      <c r="O137" s="37" t="s">
        <v>250</v>
      </c>
      <c r="P137" s="49" t="s">
        <v>407</v>
      </c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</row>
    <row r="138" spans="1:38" x14ac:dyDescent="0.45">
      <c r="A138">
        <f ca="1"/>
        <v>131</v>
      </c>
      <c r="B138" s="50" cm="1">
        <f t="array" aca="1" ref="B138" ca="1">filesize(Folder&amp;Tests[[#This Row],[FileName]])</f>
        <v>295054</v>
      </c>
      <c r="C138" s="50" t="s">
        <v>476</v>
      </c>
      <c r="D138" s="38" t="s">
        <v>396</v>
      </c>
      <c r="E138" s="37" t="b">
        <v>1</v>
      </c>
      <c r="F138" s="39" t="s">
        <v>249</v>
      </c>
      <c r="G138" s="39" t="b">
        <v>0</v>
      </c>
      <c r="H138" s="39" t="s">
        <v>249</v>
      </c>
      <c r="I138" s="39" t="s">
        <v>249</v>
      </c>
      <c r="J138" s="37">
        <v>1</v>
      </c>
      <c r="K138" s="37">
        <v>1</v>
      </c>
      <c r="L138" s="37">
        <v>0</v>
      </c>
      <c r="M138" s="37">
        <v>0</v>
      </c>
      <c r="N138" s="37" t="b">
        <v>0</v>
      </c>
      <c r="O138" s="37" t="s">
        <v>250</v>
      </c>
      <c r="P138" s="53" t="s">
        <v>406</v>
      </c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</row>
    <row r="139" spans="1:38" x14ac:dyDescent="0.45">
      <c r="A139">
        <f ca="1"/>
        <v>132</v>
      </c>
      <c r="B139" s="50" cm="1">
        <f t="array" aca="1" ref="B139" ca="1">filesize(Folder&amp;Tests[[#This Row],[FileName]])</f>
        <v>457411</v>
      </c>
      <c r="C139" s="50" t="s">
        <v>476</v>
      </c>
      <c r="D139" s="38" t="s">
        <v>397</v>
      </c>
      <c r="E139" s="37" t="b">
        <v>1</v>
      </c>
      <c r="F139" s="39" t="s">
        <v>249</v>
      </c>
      <c r="G139" s="39" t="b">
        <v>1</v>
      </c>
      <c r="H139" s="39" t="s">
        <v>249</v>
      </c>
      <c r="I139" s="39" t="s">
        <v>249</v>
      </c>
      <c r="J139" s="37">
        <v>1</v>
      </c>
      <c r="K139" s="37">
        <v>1</v>
      </c>
      <c r="L139" s="37">
        <v>0</v>
      </c>
      <c r="M139" s="37">
        <v>0</v>
      </c>
      <c r="N139" s="37" t="b">
        <v>0</v>
      </c>
      <c r="O139" s="37" t="s">
        <v>250</v>
      </c>
      <c r="P139" s="53" t="s">
        <v>254</v>
      </c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</row>
    <row r="140" spans="1:38" x14ac:dyDescent="0.45">
      <c r="A140">
        <f ca="1"/>
        <v>133</v>
      </c>
      <c r="B140" s="50" cm="1">
        <f t="array" aca="1" ref="B140" ca="1">filesize(Folder&amp;Tests[[#This Row],[FileName]])</f>
        <v>728165</v>
      </c>
      <c r="C140" s="50" t="s">
        <v>476</v>
      </c>
      <c r="D140" s="38" t="s">
        <v>398</v>
      </c>
      <c r="E140" s="37" t="b">
        <v>1</v>
      </c>
      <c r="F140" s="39" t="s">
        <v>249</v>
      </c>
      <c r="G140" s="39" t="b">
        <v>0</v>
      </c>
      <c r="H140" s="39" t="s">
        <v>249</v>
      </c>
      <c r="I140" s="39" t="s">
        <v>249</v>
      </c>
      <c r="J140" s="37">
        <v>1</v>
      </c>
      <c r="K140" s="37">
        <v>1</v>
      </c>
      <c r="L140" s="37">
        <v>0</v>
      </c>
      <c r="M140" s="37">
        <v>0</v>
      </c>
      <c r="N140" s="37" t="b">
        <v>0</v>
      </c>
      <c r="O140" s="37" t="s">
        <v>252</v>
      </c>
      <c r="P140" s="49" t="s">
        <v>468</v>
      </c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</row>
    <row r="141" spans="1:38" x14ac:dyDescent="0.45">
      <c r="A141">
        <f ca="1"/>
        <v>134</v>
      </c>
      <c r="B141" s="50" cm="1">
        <f t="array" aca="1" ref="B141" ca="1">filesize(Folder&amp;Tests[[#This Row],[FileName]])</f>
        <v>793574</v>
      </c>
      <c r="C141" s="50" t="s">
        <v>476</v>
      </c>
      <c r="D141" s="38" t="s">
        <v>400</v>
      </c>
      <c r="E141" s="37" t="b">
        <v>1</v>
      </c>
      <c r="F141" s="39" t="s">
        <v>249</v>
      </c>
      <c r="G141" s="39" t="b">
        <v>0</v>
      </c>
      <c r="H141" s="39" t="s">
        <v>249</v>
      </c>
      <c r="I141" s="39" t="s">
        <v>249</v>
      </c>
      <c r="J141" s="37">
        <v>1</v>
      </c>
      <c r="K141" s="37">
        <v>1</v>
      </c>
      <c r="L141" s="37">
        <v>0</v>
      </c>
      <c r="M141" s="37">
        <v>0</v>
      </c>
      <c r="N141" s="37" t="b">
        <v>0</v>
      </c>
      <c r="O141" s="37" t="s">
        <v>250</v>
      </c>
      <c r="P141" s="53" t="s">
        <v>408</v>
      </c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</row>
    <row r="142" spans="1:38" x14ac:dyDescent="0.45">
      <c r="A142">
        <f ca="1"/>
        <v>135</v>
      </c>
      <c r="B142" s="50" cm="1">
        <f t="array" aca="1" ref="B142" ca="1">filesize(Folder&amp;Tests[[#This Row],[FileName]])</f>
        <v>1647418</v>
      </c>
      <c r="C142" s="50" t="s">
        <v>476</v>
      </c>
      <c r="D142" s="38" t="s">
        <v>401</v>
      </c>
      <c r="E142" s="37" t="s">
        <v>410</v>
      </c>
      <c r="F142" s="39" t="s">
        <v>249</v>
      </c>
      <c r="G142" s="39" t="b">
        <v>0</v>
      </c>
      <c r="H142" s="39" t="s">
        <v>249</v>
      </c>
      <c r="I142" s="39" t="s">
        <v>249</v>
      </c>
      <c r="J142" s="37">
        <v>1</v>
      </c>
      <c r="K142" s="37">
        <v>1</v>
      </c>
      <c r="L142" s="37">
        <v>0</v>
      </c>
      <c r="M142" s="37">
        <v>0</v>
      </c>
      <c r="N142" s="37" t="b">
        <v>0</v>
      </c>
      <c r="O142" s="37" t="s">
        <v>250</v>
      </c>
      <c r="P142" s="53" t="s">
        <v>409</v>
      </c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</row>
    <row r="143" spans="1:38" x14ac:dyDescent="0.45">
      <c r="A143">
        <f ca="1"/>
        <v>136</v>
      </c>
      <c r="B143" s="50" cm="1">
        <f t="array" aca="1" ref="B143" ca="1">filesize(Folder&amp;Tests[[#This Row],[FileName]])</f>
        <v>4160286</v>
      </c>
      <c r="C143" s="50" t="s">
        <v>476</v>
      </c>
      <c r="D143" s="38" t="s">
        <v>402</v>
      </c>
      <c r="E143" s="37" t="s">
        <v>410</v>
      </c>
      <c r="F143" s="39" t="s">
        <v>249</v>
      </c>
      <c r="G143" s="39" t="b">
        <v>0</v>
      </c>
      <c r="H143" s="39" t="s">
        <v>249</v>
      </c>
      <c r="I143" s="39" t="s">
        <v>249</v>
      </c>
      <c r="J143" s="37">
        <v>1</v>
      </c>
      <c r="K143" s="37">
        <v>1</v>
      </c>
      <c r="L143" s="37">
        <v>0</v>
      </c>
      <c r="M143" s="37">
        <v>0</v>
      </c>
      <c r="N143" s="37" t="b">
        <v>0</v>
      </c>
      <c r="O143" s="37" t="s">
        <v>250</v>
      </c>
      <c r="P143" s="53" t="s">
        <v>254</v>
      </c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</row>
    <row r="144" spans="1:38" x14ac:dyDescent="0.45">
      <c r="A144">
        <f ca="1"/>
        <v>137</v>
      </c>
      <c r="B144" s="50" cm="1">
        <f t="array" aca="1" ref="B144" ca="1">filesize(Folder&amp;Tests[[#This Row],[FileName]])</f>
        <v>8215444</v>
      </c>
      <c r="C144" s="51" t="s">
        <v>476</v>
      </c>
      <c r="D144" s="46" t="s">
        <v>403</v>
      </c>
      <c r="E144" s="37" t="s">
        <v>410</v>
      </c>
      <c r="F144" s="39" t="s">
        <v>249</v>
      </c>
      <c r="G144" s="39" t="b">
        <v>0</v>
      </c>
      <c r="H144" s="39" t="s">
        <v>249</v>
      </c>
      <c r="I144" s="39" t="s">
        <v>249</v>
      </c>
      <c r="J144" s="37">
        <v>1</v>
      </c>
      <c r="K144" s="37">
        <v>1</v>
      </c>
      <c r="L144" s="37">
        <v>0</v>
      </c>
      <c r="M144" s="37">
        <v>0</v>
      </c>
      <c r="N144" s="37" t="b">
        <v>0</v>
      </c>
      <c r="O144" s="37" t="s">
        <v>250</v>
      </c>
      <c r="P144" s="55" t="s">
        <v>254</v>
      </c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</row>
    <row r="145" spans="1:16" x14ac:dyDescent="0.45">
      <c r="A145">
        <f ca="1"/>
        <v>138</v>
      </c>
      <c r="B145" s="50" cm="1">
        <f t="array" aca="1" ref="B145" ca="1">filesize(Folder&amp;Tests[[#This Row],[FileName]])</f>
        <v>10000140</v>
      </c>
      <c r="C145" s="51" t="s">
        <v>476</v>
      </c>
      <c r="D145" s="46" t="s">
        <v>404</v>
      </c>
      <c r="E145" s="37" t="s">
        <v>410</v>
      </c>
      <c r="F145" s="39" t="s">
        <v>249</v>
      </c>
      <c r="G145" s="39" t="b">
        <v>0</v>
      </c>
      <c r="H145" s="39" t="s">
        <v>249</v>
      </c>
      <c r="I145" s="39" t="s">
        <v>249</v>
      </c>
      <c r="J145" s="37">
        <v>1</v>
      </c>
      <c r="K145" s="37">
        <v>1</v>
      </c>
      <c r="L145" s="37">
        <v>0</v>
      </c>
      <c r="M145" s="37">
        <v>0</v>
      </c>
      <c r="N145" s="37" t="b">
        <v>0</v>
      </c>
      <c r="O145" s="37" t="s">
        <v>250</v>
      </c>
      <c r="P145" s="55" t="s">
        <v>411</v>
      </c>
    </row>
    <row r="146" spans="1:16" x14ac:dyDescent="0.45">
      <c r="A146">
        <f ca="1"/>
        <v>139</v>
      </c>
    </row>
    <row r="147" spans="1:16" x14ac:dyDescent="0.45">
      <c r="A147">
        <f ca="1"/>
        <v>140</v>
      </c>
    </row>
    <row r="148" spans="1:16" x14ac:dyDescent="0.45">
      <c r="A148">
        <f ca="1"/>
        <v>141</v>
      </c>
    </row>
    <row r="149" spans="1:16" x14ac:dyDescent="0.45">
      <c r="A149">
        <f ca="1"/>
        <v>142</v>
      </c>
    </row>
    <row r="150" spans="1:16" x14ac:dyDescent="0.45">
      <c r="A150">
        <f ca="1"/>
        <v>143</v>
      </c>
    </row>
    <row r="151" spans="1:16" x14ac:dyDescent="0.45">
      <c r="A151">
        <f ca="1"/>
        <v>144</v>
      </c>
    </row>
    <row r="152" spans="1:16" x14ac:dyDescent="0.45">
      <c r="A152">
        <f ca="1"/>
        <v>145</v>
      </c>
    </row>
    <row r="153" spans="1:16" x14ac:dyDescent="0.45">
      <c r="A153">
        <f ca="1"/>
        <v>146</v>
      </c>
    </row>
    <row r="154" spans="1:16" x14ac:dyDescent="0.45">
      <c r="A154">
        <f ca="1"/>
        <v>147</v>
      </c>
    </row>
    <row r="155" spans="1:16" x14ac:dyDescent="0.45">
      <c r="A155">
        <f ca="1"/>
        <v>148</v>
      </c>
    </row>
    <row r="156" spans="1:16" x14ac:dyDescent="0.45">
      <c r="A156">
        <f ca="1"/>
        <v>149</v>
      </c>
    </row>
    <row r="157" spans="1:16" x14ac:dyDescent="0.45">
      <c r="A157">
        <f ca="1"/>
        <v>150</v>
      </c>
    </row>
    <row r="158" spans="1:16" x14ac:dyDescent="0.45">
      <c r="A158">
        <f ca="1"/>
        <v>151</v>
      </c>
    </row>
    <row r="159" spans="1:16" x14ac:dyDescent="0.45">
      <c r="A159">
        <f ca="1"/>
        <v>152</v>
      </c>
    </row>
    <row r="160" spans="1:16" x14ac:dyDescent="0.45">
      <c r="A160">
        <f ca="1"/>
        <v>153</v>
      </c>
    </row>
    <row r="161" spans="1:1" x14ac:dyDescent="0.45">
      <c r="A161">
        <f ca="1"/>
        <v>154</v>
      </c>
    </row>
    <row r="162" spans="1:1" x14ac:dyDescent="0.45">
      <c r="A162">
        <f ca="1"/>
        <v>155</v>
      </c>
    </row>
    <row r="163" spans="1:1" x14ac:dyDescent="0.45">
      <c r="A163">
        <f ca="1"/>
        <v>156</v>
      </c>
    </row>
    <row r="164" spans="1:1" x14ac:dyDescent="0.45">
      <c r="A164">
        <f ca="1"/>
        <v>157</v>
      </c>
    </row>
    <row r="165" spans="1:1" x14ac:dyDescent="0.45">
      <c r="A165">
        <f ca="1"/>
        <v>158</v>
      </c>
    </row>
    <row r="166" spans="1:1" x14ac:dyDescent="0.45">
      <c r="A166">
        <f ca="1"/>
        <v>159</v>
      </c>
    </row>
    <row r="167" spans="1:1" x14ac:dyDescent="0.45">
      <c r="A167">
        <f ca="1"/>
        <v>160</v>
      </c>
    </row>
    <row r="168" spans="1:1" x14ac:dyDescent="0.45">
      <c r="A168">
        <f ca="1"/>
        <v>161</v>
      </c>
    </row>
    <row r="169" spans="1:1" x14ac:dyDescent="0.45">
      <c r="A169">
        <f ca="1"/>
        <v>162</v>
      </c>
    </row>
    <row r="170" spans="1:1" x14ac:dyDescent="0.45">
      <c r="A170">
        <f ca="1"/>
        <v>163</v>
      </c>
    </row>
    <row r="171" spans="1:1" x14ac:dyDescent="0.45">
      <c r="A171">
        <f ca="1"/>
        <v>164</v>
      </c>
    </row>
    <row r="172" spans="1:1" x14ac:dyDescent="0.45">
      <c r="A172">
        <f ca="1"/>
        <v>165</v>
      </c>
    </row>
    <row r="173" spans="1:1" x14ac:dyDescent="0.45">
      <c r="A173">
        <f ca="1"/>
        <v>166</v>
      </c>
    </row>
    <row r="174" spans="1:1" x14ac:dyDescent="0.45">
      <c r="A174">
        <f ca="1"/>
        <v>167</v>
      </c>
    </row>
    <row r="175" spans="1:1" x14ac:dyDescent="0.45">
      <c r="A175">
        <f ca="1"/>
        <v>168</v>
      </c>
    </row>
    <row r="176" spans="1:1" x14ac:dyDescent="0.45">
      <c r="A176">
        <f ca="1"/>
        <v>169</v>
      </c>
    </row>
    <row r="177" spans="1:1" x14ac:dyDescent="0.45">
      <c r="A177">
        <f ca="1"/>
        <v>170</v>
      </c>
    </row>
    <row r="178" spans="1:1" x14ac:dyDescent="0.45">
      <c r="A178">
        <f ca="1"/>
        <v>171</v>
      </c>
    </row>
    <row r="179" spans="1:1" x14ac:dyDescent="0.45">
      <c r="A179">
        <f ca="1"/>
        <v>172</v>
      </c>
    </row>
    <row r="180" spans="1:1" x14ac:dyDescent="0.45">
      <c r="A180">
        <f ca="1"/>
        <v>173</v>
      </c>
    </row>
    <row r="181" spans="1:1" x14ac:dyDescent="0.45">
      <c r="A181">
        <f ca="1"/>
        <v>174</v>
      </c>
    </row>
    <row r="182" spans="1:1" x14ac:dyDescent="0.45">
      <c r="A182">
        <f ca="1"/>
        <v>175</v>
      </c>
    </row>
    <row r="183" spans="1:1" x14ac:dyDescent="0.45">
      <c r="A183">
        <f ca="1"/>
        <v>176</v>
      </c>
    </row>
    <row r="184" spans="1:1" x14ac:dyDescent="0.45">
      <c r="A184">
        <f ca="1"/>
        <v>177</v>
      </c>
    </row>
    <row r="185" spans="1:1" x14ac:dyDescent="0.45">
      <c r="A185">
        <f ca="1"/>
        <v>178</v>
      </c>
    </row>
    <row r="186" spans="1:1" x14ac:dyDescent="0.45">
      <c r="A186">
        <f ca="1"/>
        <v>179</v>
      </c>
    </row>
    <row r="187" spans="1:1" x14ac:dyDescent="0.45">
      <c r="A187">
        <f ca="1"/>
        <v>180</v>
      </c>
    </row>
    <row r="188" spans="1:1" x14ac:dyDescent="0.45">
      <c r="A188">
        <f ca="1"/>
        <v>181</v>
      </c>
    </row>
    <row r="189" spans="1:1" x14ac:dyDescent="0.45">
      <c r="A189">
        <f ca="1"/>
        <v>182</v>
      </c>
    </row>
    <row r="190" spans="1:1" x14ac:dyDescent="0.45">
      <c r="A190">
        <f ca="1"/>
        <v>183</v>
      </c>
    </row>
    <row r="191" spans="1:1" x14ac:dyDescent="0.45">
      <c r="A191">
        <f ca="1"/>
        <v>184</v>
      </c>
    </row>
    <row r="192" spans="1:1" x14ac:dyDescent="0.45">
      <c r="A192">
        <f ca="1"/>
        <v>185</v>
      </c>
    </row>
    <row r="193" spans="1:1" x14ac:dyDescent="0.45">
      <c r="A193">
        <f ca="1"/>
        <v>186</v>
      </c>
    </row>
    <row r="194" spans="1:1" x14ac:dyDescent="0.45">
      <c r="A194">
        <f ca="1"/>
        <v>187</v>
      </c>
    </row>
    <row r="195" spans="1:1" x14ac:dyDescent="0.45">
      <c r="A195">
        <f ca="1"/>
        <v>188</v>
      </c>
    </row>
    <row r="196" spans="1:1" x14ac:dyDescent="0.45">
      <c r="A196">
        <f ca="1"/>
        <v>189</v>
      </c>
    </row>
    <row r="197" spans="1:1" x14ac:dyDescent="0.45">
      <c r="A197">
        <f ca="1"/>
        <v>190</v>
      </c>
    </row>
    <row r="198" spans="1:1" x14ac:dyDescent="0.45">
      <c r="A198">
        <f ca="1"/>
        <v>191</v>
      </c>
    </row>
    <row r="199" spans="1:1" x14ac:dyDescent="0.45">
      <c r="A199">
        <f ca="1"/>
        <v>192</v>
      </c>
    </row>
    <row r="200" spans="1:1" x14ac:dyDescent="0.45">
      <c r="A200">
        <f ca="1"/>
        <v>193</v>
      </c>
    </row>
    <row r="201" spans="1:1" x14ac:dyDescent="0.45">
      <c r="A201">
        <f ca="1"/>
        <v>194</v>
      </c>
    </row>
    <row r="202" spans="1:1" x14ac:dyDescent="0.45">
      <c r="A202">
        <f ca="1"/>
        <v>195</v>
      </c>
    </row>
    <row r="203" spans="1:1" x14ac:dyDescent="0.45">
      <c r="A203">
        <f ca="1"/>
        <v>196</v>
      </c>
    </row>
    <row r="204" spans="1:1" x14ac:dyDescent="0.45">
      <c r="A204">
        <f ca="1"/>
        <v>197</v>
      </c>
    </row>
    <row r="205" spans="1:1" x14ac:dyDescent="0.45">
      <c r="A205">
        <f ca="1"/>
        <v>198</v>
      </c>
    </row>
    <row r="206" spans="1:1" x14ac:dyDescent="0.45">
      <c r="A206">
        <f ca="1"/>
        <v>199</v>
      </c>
    </row>
    <row r="207" spans="1:1" x14ac:dyDescent="0.45">
      <c r="A207">
        <f ca="1"/>
        <v>200</v>
      </c>
    </row>
  </sheetData>
  <sheetProtection sheet="1" objects="1" scenarios="1"/>
  <sortState xmlns:xlrd2="http://schemas.microsoft.com/office/spreadsheetml/2017/richdata2" ref="B8:P119">
    <sortCondition ref="B8:B119"/>
  </sortState>
  <conditionalFormatting sqref="V8:V11">
    <cfRule type="expression" dxfId="30" priority="51">
      <formula>ISLOGICAL(V8)</formula>
    </cfRule>
    <cfRule type="expression" dxfId="29" priority="52">
      <formula>ISNUMBER(V8)</formula>
    </cfRule>
    <cfRule type="expression" dxfId="28" priority="53">
      <formula>ISNUMBER(SEARCH("""",V8))</formula>
    </cfRule>
    <cfRule type="expression" dxfId="27" priority="54">
      <formula>ISTEXT(V8)</formula>
    </cfRule>
    <cfRule type="expression" dxfId="26" priority="55">
      <formula>ISERROR(V8)</formula>
    </cfRule>
  </conditionalFormatting>
  <conditionalFormatting sqref="X8:AF8">
    <cfRule type="expression" dxfId="25" priority="46">
      <formula>ISLOGICAL(X8)</formula>
    </cfRule>
    <cfRule type="expression" dxfId="24" priority="47">
      <formula>ISNUMBER(X8)</formula>
    </cfRule>
    <cfRule type="expression" dxfId="23" priority="48">
      <formula>ISNUMBER(SEARCH("""",X8))</formula>
    </cfRule>
    <cfRule type="expression" dxfId="22" priority="49">
      <formula>ISTEXT(X8)</formula>
    </cfRule>
    <cfRule type="expression" dxfId="21" priority="50">
      <formula>ISERROR(X8)</formula>
    </cfRule>
  </conditionalFormatting>
  <conditionalFormatting sqref="AG8:AL8">
    <cfRule type="expression" dxfId="20" priority="41">
      <formula>ISLOGICAL(AG8)</formula>
    </cfRule>
    <cfRule type="expression" dxfId="19" priority="42">
      <formula>ISNUMBER(AG8)</formula>
    </cfRule>
    <cfRule type="expression" dxfId="18" priority="43">
      <formula>ISNUMBER(SEARCH("""",AG8))</formula>
    </cfRule>
    <cfRule type="expression" dxfId="17" priority="44">
      <formula>ISTEXT(AG8)</formula>
    </cfRule>
    <cfRule type="expression" dxfId="16" priority="45">
      <formula>ISERROR(AG8)</formula>
    </cfRule>
  </conditionalFormatting>
  <conditionalFormatting sqref="V12:V43">
    <cfRule type="expression" dxfId="15" priority="21">
      <formula>ISLOGICAL(V12)</formula>
    </cfRule>
    <cfRule type="expression" dxfId="14" priority="22">
      <formula>ISNUMBER(V12)</formula>
    </cfRule>
    <cfRule type="expression" dxfId="13" priority="23">
      <formula>ISNUMBER(SEARCH("""",V12))</formula>
    </cfRule>
    <cfRule type="expression" dxfId="12" priority="24">
      <formula>ISTEXT(V12)</formula>
    </cfRule>
    <cfRule type="expression" dxfId="11" priority="25">
      <formula>ISERROR(V12)</formula>
    </cfRule>
  </conditionalFormatting>
  <conditionalFormatting sqref="X9:AF43">
    <cfRule type="expression" dxfId="10" priority="16">
      <formula>ISLOGICAL(X9)</formula>
    </cfRule>
    <cfRule type="expression" dxfId="9" priority="17">
      <formula>ISNUMBER(X9)</formula>
    </cfRule>
    <cfRule type="expression" dxfId="8" priority="18">
      <formula>ISNUMBER(SEARCH("""",X9))</formula>
    </cfRule>
    <cfRule type="expression" dxfId="7" priority="19">
      <formula>ISTEXT(X9)</formula>
    </cfRule>
    <cfRule type="expression" dxfId="6" priority="20">
      <formula>ISERROR(X9)</formula>
    </cfRule>
  </conditionalFormatting>
  <conditionalFormatting sqref="AG9:AL43">
    <cfRule type="expression" dxfId="5" priority="11">
      <formula>ISLOGICAL(AG9)</formula>
    </cfRule>
    <cfRule type="expression" dxfId="4" priority="12">
      <formula>ISNUMBER(AG9)</formula>
    </cfRule>
    <cfRule type="expression" dxfId="3" priority="13">
      <formula>ISNUMBER(SEARCH("""",AG9))</formula>
    </cfRule>
    <cfRule type="expression" dxfId="2" priority="14">
      <formula>ISTEXT(AG9)</formula>
    </cfRule>
    <cfRule type="expression" dxfId="1" priority="15">
      <formula>ISERROR(AG9)</formula>
    </cfRule>
  </conditionalFormatting>
  <conditionalFormatting sqref="B8:P145">
    <cfRule type="expression" dxfId="0" priority="149">
      <formula>ROW(B8)-ROW($B$7)=RowNo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4" name="Button 29">
              <controlPr defaultSize="0" print="0" autoFill="0" autoPict="0" macro="[0]!RunTestsFromButton">
                <anchor moveWithCells="1" sizeWithCells="1">
                  <from>
                    <xdr:col>10</xdr:col>
                    <xdr:colOff>52388</xdr:colOff>
                    <xdr:row>0</xdr:row>
                    <xdr:rowOff>114300</xdr:rowOff>
                  </from>
                  <to>
                    <xdr:col>11</xdr:col>
                    <xdr:colOff>404813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U41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197</v>
      </c>
    </row>
    <row r="3" spans="2:21" x14ac:dyDescent="0.45">
      <c r="I3" s="22" t="s">
        <v>198</v>
      </c>
      <c r="U3" s="22" t="s">
        <v>199</v>
      </c>
    </row>
    <row r="4" spans="2:21" x14ac:dyDescent="0.45">
      <c r="I4" s="23"/>
      <c r="U4" s="24" t="s">
        <v>200</v>
      </c>
    </row>
    <row r="5" spans="2:21" x14ac:dyDescent="0.45">
      <c r="B5" s="25" t="s">
        <v>201</v>
      </c>
      <c r="C5" s="26" t="s">
        <v>202</v>
      </c>
      <c r="D5" s="65" t="s">
        <v>203</v>
      </c>
      <c r="E5" s="27" t="s">
        <v>204</v>
      </c>
      <c r="F5" s="28" t="s">
        <v>205</v>
      </c>
      <c r="I5" t="s">
        <v>206</v>
      </c>
      <c r="U5" s="24" t="s">
        <v>207</v>
      </c>
    </row>
    <row r="6" spans="2:21" x14ac:dyDescent="0.45">
      <c r="B6" s="64">
        <v>36</v>
      </c>
      <c r="C6" s="29">
        <v>44427</v>
      </c>
      <c r="D6" s="66">
        <v>0.74518518518743804</v>
      </c>
      <c r="E6" s="30" t="s">
        <v>208</v>
      </c>
      <c r="F6" s="31" t="s">
        <v>488</v>
      </c>
      <c r="I6" s="23" t="s">
        <v>215</v>
      </c>
    </row>
    <row r="7" spans="2:21" x14ac:dyDescent="0.45">
      <c r="B7" s="62">
        <v>35</v>
      </c>
      <c r="C7" s="29">
        <v>44427</v>
      </c>
      <c r="D7" s="66">
        <v>0.51920138888817746</v>
      </c>
      <c r="E7" s="30" t="s">
        <v>208</v>
      </c>
      <c r="F7" s="31" t="s">
        <v>478</v>
      </c>
      <c r="I7" t="s">
        <v>211</v>
      </c>
    </row>
    <row r="8" spans="2:21" x14ac:dyDescent="0.45">
      <c r="B8" s="62">
        <v>34</v>
      </c>
      <c r="C8" s="29">
        <v>44426</v>
      </c>
      <c r="D8" s="66">
        <v>0.84697916666482342</v>
      </c>
      <c r="E8" s="30" t="s">
        <v>208</v>
      </c>
      <c r="F8" s="31" t="s">
        <v>459</v>
      </c>
    </row>
    <row r="9" spans="2:21" x14ac:dyDescent="0.45">
      <c r="B9" s="62">
        <v>33</v>
      </c>
      <c r="C9" s="29">
        <v>44426</v>
      </c>
      <c r="D9" s="66">
        <v>0.84443287036992842</v>
      </c>
      <c r="E9" s="30" t="s">
        <v>208</v>
      </c>
      <c r="F9" s="31" t="s">
        <v>458</v>
      </c>
      <c r="I9" s="19" t="s">
        <v>443</v>
      </c>
    </row>
    <row r="10" spans="2:21" x14ac:dyDescent="0.45">
      <c r="B10" s="62">
        <v>32</v>
      </c>
      <c r="C10" s="29">
        <v>44424</v>
      </c>
      <c r="D10" s="66">
        <v>0.93637731481430819</v>
      </c>
      <c r="E10" s="30" t="s">
        <v>208</v>
      </c>
      <c r="F10" s="32" t="s">
        <v>449</v>
      </c>
      <c r="I10" s="23" t="s">
        <v>215</v>
      </c>
    </row>
    <row r="11" spans="2:21" x14ac:dyDescent="0.45">
      <c r="B11" s="62">
        <v>31</v>
      </c>
      <c r="C11" s="29">
        <v>44424</v>
      </c>
      <c r="D11" s="66">
        <v>0.49105324073752854</v>
      </c>
      <c r="E11" s="30" t="s">
        <v>208</v>
      </c>
      <c r="F11" s="31" t="s">
        <v>442</v>
      </c>
      <c r="I11" s="23" t="s">
        <v>414</v>
      </c>
    </row>
    <row r="12" spans="2:21" x14ac:dyDescent="0.45">
      <c r="B12" s="62">
        <v>30</v>
      </c>
      <c r="C12" s="29">
        <v>44423</v>
      </c>
      <c r="D12" s="66">
        <v>0.49593750000349246</v>
      </c>
      <c r="E12" s="30" t="s">
        <v>208</v>
      </c>
      <c r="F12" s="31" t="s">
        <v>289</v>
      </c>
      <c r="I12" s="23" t="s">
        <v>446</v>
      </c>
    </row>
    <row r="13" spans="2:21" x14ac:dyDescent="0.45">
      <c r="B13" s="62">
        <v>29</v>
      </c>
      <c r="C13" s="29">
        <v>44423</v>
      </c>
      <c r="D13" s="66">
        <v>0.437638888892252</v>
      </c>
      <c r="E13" s="30" t="s">
        <v>208</v>
      </c>
      <c r="F13" s="31" t="s">
        <v>209</v>
      </c>
      <c r="I13" s="23" t="s">
        <v>447</v>
      </c>
    </row>
    <row r="14" spans="2:21" x14ac:dyDescent="0.45">
      <c r="B14" s="62">
        <v>28</v>
      </c>
      <c r="C14" s="29">
        <v>44423</v>
      </c>
      <c r="D14" s="66">
        <v>0.33465277777577285</v>
      </c>
      <c r="E14" s="30" t="s">
        <v>208</v>
      </c>
      <c r="F14" s="31" t="s">
        <v>210</v>
      </c>
      <c r="I14" s="23" t="s">
        <v>448</v>
      </c>
    </row>
    <row r="15" spans="2:21" x14ac:dyDescent="0.45">
      <c r="B15" s="62">
        <v>27</v>
      </c>
      <c r="C15" s="29">
        <v>44421</v>
      </c>
      <c r="D15" s="66">
        <v>0.84150462962861639</v>
      </c>
      <c r="E15" s="30" t="s">
        <v>208</v>
      </c>
      <c r="F15" s="31" t="s">
        <v>212</v>
      </c>
      <c r="I15" s="23" t="s">
        <v>465</v>
      </c>
    </row>
    <row r="16" spans="2:21" x14ac:dyDescent="0.45">
      <c r="B16" s="62">
        <v>26</v>
      </c>
      <c r="C16" s="29">
        <v>44421</v>
      </c>
      <c r="D16" s="66">
        <v>0.83098379629518604</v>
      </c>
      <c r="E16" s="30" t="s">
        <v>208</v>
      </c>
      <c r="F16" s="31" t="s">
        <v>213</v>
      </c>
      <c r="I16" t="s">
        <v>484</v>
      </c>
    </row>
    <row r="17" spans="2:9" x14ac:dyDescent="0.45">
      <c r="B17" s="62">
        <v>25</v>
      </c>
      <c r="C17" s="29">
        <v>44421</v>
      </c>
      <c r="D17" s="66">
        <v>0.73097222221986158</v>
      </c>
      <c r="E17" s="30" t="s">
        <v>208</v>
      </c>
      <c r="F17" s="31" t="s">
        <v>214</v>
      </c>
      <c r="I17" t="s">
        <v>485</v>
      </c>
    </row>
    <row r="18" spans="2:9" x14ac:dyDescent="0.45">
      <c r="B18" s="62">
        <v>24</v>
      </c>
      <c r="C18" s="29">
        <v>44421</v>
      </c>
      <c r="D18" s="66">
        <v>0.71106481481547235</v>
      </c>
      <c r="E18" s="30" t="s">
        <v>208</v>
      </c>
      <c r="F18" s="31" t="s">
        <v>216</v>
      </c>
    </row>
    <row r="19" spans="2:9" x14ac:dyDescent="0.45">
      <c r="B19" s="62">
        <v>23</v>
      </c>
      <c r="C19" s="29">
        <v>44420</v>
      </c>
      <c r="D19" s="66">
        <v>0.80428240740729962</v>
      </c>
      <c r="E19" s="30" t="s">
        <v>208</v>
      </c>
      <c r="F19" s="31" t="s">
        <v>217</v>
      </c>
      <c r="I19" s="22" t="s">
        <v>460</v>
      </c>
    </row>
    <row r="20" spans="2:9" x14ac:dyDescent="0.45">
      <c r="B20" s="62">
        <v>22</v>
      </c>
      <c r="C20" s="29">
        <v>44420</v>
      </c>
      <c r="D20" s="66">
        <v>0.74781249999796273</v>
      </c>
      <c r="E20" s="30" t="s">
        <v>208</v>
      </c>
      <c r="F20" s="32" t="s">
        <v>218</v>
      </c>
      <c r="I20" t="s">
        <v>461</v>
      </c>
    </row>
    <row r="21" spans="2:9" x14ac:dyDescent="0.45">
      <c r="B21" s="62">
        <v>21</v>
      </c>
      <c r="C21" s="29">
        <v>44419</v>
      </c>
      <c r="D21" s="66">
        <v>0.98854166666569654</v>
      </c>
      <c r="E21" s="30" t="s">
        <v>208</v>
      </c>
      <c r="F21" s="31" t="s">
        <v>219</v>
      </c>
      <c r="I21" s="23" t="s">
        <v>462</v>
      </c>
    </row>
    <row r="22" spans="2:9" x14ac:dyDescent="0.45">
      <c r="B22" s="62">
        <v>20</v>
      </c>
      <c r="C22" s="29">
        <v>44419</v>
      </c>
      <c r="D22" s="66">
        <v>0.98135416666627862</v>
      </c>
      <c r="E22" s="30" t="s">
        <v>208</v>
      </c>
      <c r="F22" s="31" t="s">
        <v>220</v>
      </c>
      <c r="I22" s="23" t="s">
        <v>463</v>
      </c>
    </row>
    <row r="23" spans="2:9" x14ac:dyDescent="0.45">
      <c r="B23" s="62">
        <v>19</v>
      </c>
      <c r="C23" s="29">
        <v>44419</v>
      </c>
      <c r="D23" s="66">
        <v>0.82271990740991896</v>
      </c>
      <c r="E23" s="30" t="s">
        <v>208</v>
      </c>
      <c r="F23" s="31" t="s">
        <v>221</v>
      </c>
      <c r="I23" s="23" t="s">
        <v>464</v>
      </c>
    </row>
    <row r="24" spans="2:9" x14ac:dyDescent="0.45">
      <c r="B24" s="62">
        <v>18</v>
      </c>
      <c r="C24" s="29">
        <v>44419</v>
      </c>
      <c r="D24" s="66">
        <v>0.73975694444379769</v>
      </c>
      <c r="E24" s="30" t="s">
        <v>208</v>
      </c>
      <c r="F24" s="31" t="s">
        <v>222</v>
      </c>
    </row>
    <row r="25" spans="2:9" x14ac:dyDescent="0.45">
      <c r="B25" s="62">
        <v>17</v>
      </c>
      <c r="C25" s="29">
        <v>44419</v>
      </c>
      <c r="D25" s="66">
        <v>0.708356481482042</v>
      </c>
      <c r="E25" s="30" t="s">
        <v>208</v>
      </c>
      <c r="F25" s="31" t="s">
        <v>223</v>
      </c>
    </row>
    <row r="26" spans="2:9" x14ac:dyDescent="0.45">
      <c r="B26" s="62">
        <v>16</v>
      </c>
      <c r="C26" s="29">
        <v>44419</v>
      </c>
      <c r="D26" s="66">
        <v>0.51960648148087785</v>
      </c>
      <c r="E26" s="30" t="s">
        <v>208</v>
      </c>
      <c r="F26" s="31" t="s">
        <v>224</v>
      </c>
    </row>
    <row r="27" spans="2:9" x14ac:dyDescent="0.45">
      <c r="B27" s="62">
        <v>15</v>
      </c>
      <c r="C27" s="29">
        <v>44419</v>
      </c>
      <c r="D27" s="66">
        <v>0.49577546296495711</v>
      </c>
      <c r="E27" s="30" t="s">
        <v>208</v>
      </c>
      <c r="F27" s="32" t="s">
        <v>225</v>
      </c>
    </row>
    <row r="28" spans="2:9" x14ac:dyDescent="0.45">
      <c r="B28" s="62">
        <v>14</v>
      </c>
      <c r="C28" s="29">
        <v>44419</v>
      </c>
      <c r="D28" s="66">
        <v>0.49174768518423662</v>
      </c>
      <c r="E28" s="30" t="s">
        <v>208</v>
      </c>
      <c r="F28" s="31" t="s">
        <v>226</v>
      </c>
    </row>
    <row r="29" spans="2:9" x14ac:dyDescent="0.45">
      <c r="B29" s="62">
        <v>13</v>
      </c>
      <c r="C29" s="29">
        <v>44419</v>
      </c>
      <c r="D29" s="66">
        <v>0.49034722222131677</v>
      </c>
      <c r="E29" s="30" t="s">
        <v>208</v>
      </c>
      <c r="F29" s="31" t="s">
        <v>227</v>
      </c>
    </row>
    <row r="30" spans="2:9" x14ac:dyDescent="0.45">
      <c r="B30" s="62">
        <v>12</v>
      </c>
      <c r="C30" s="29">
        <v>44419</v>
      </c>
      <c r="D30" s="66">
        <v>0.48190972222073469</v>
      </c>
      <c r="E30" s="30" t="s">
        <v>208</v>
      </c>
      <c r="F30" s="31" t="s">
        <v>228</v>
      </c>
    </row>
    <row r="31" spans="2:9" x14ac:dyDescent="0.45">
      <c r="B31" s="62">
        <v>11</v>
      </c>
      <c r="C31" s="29">
        <v>44418</v>
      </c>
      <c r="D31" s="66">
        <v>0.95467592592467554</v>
      </c>
      <c r="E31" s="30" t="s">
        <v>208</v>
      </c>
      <c r="F31" s="32" t="s">
        <v>229</v>
      </c>
    </row>
    <row r="32" spans="2:9" x14ac:dyDescent="0.45">
      <c r="B32" s="62">
        <v>10</v>
      </c>
      <c r="C32" s="29">
        <v>44418</v>
      </c>
      <c r="D32" s="66">
        <v>0.73436342592322035</v>
      </c>
      <c r="E32" s="30" t="s">
        <v>208</v>
      </c>
      <c r="F32" s="32" t="s">
        <v>230</v>
      </c>
    </row>
    <row r="33" spans="2:6" x14ac:dyDescent="0.45">
      <c r="B33" s="62">
        <v>9</v>
      </c>
      <c r="C33" s="29">
        <v>44417</v>
      </c>
      <c r="D33" s="66">
        <v>0.54605324073781958</v>
      </c>
      <c r="E33" s="30" t="s">
        <v>208</v>
      </c>
      <c r="F33" s="31" t="s">
        <v>231</v>
      </c>
    </row>
    <row r="34" spans="2:6" x14ac:dyDescent="0.45">
      <c r="B34" s="62">
        <v>8</v>
      </c>
      <c r="C34" s="29">
        <v>44416</v>
      </c>
      <c r="D34" s="66">
        <v>0.54939814814861165</v>
      </c>
      <c r="E34" s="30" t="s">
        <v>208</v>
      </c>
      <c r="F34" s="31" t="s">
        <v>232</v>
      </c>
    </row>
    <row r="35" spans="2:6" x14ac:dyDescent="0.45">
      <c r="B35" s="62">
        <v>7</v>
      </c>
      <c r="C35" s="29">
        <v>44415</v>
      </c>
      <c r="D35" s="66">
        <v>0.96137731481576338</v>
      </c>
      <c r="E35" s="30" t="s">
        <v>208</v>
      </c>
      <c r="F35" s="31" t="s">
        <v>233</v>
      </c>
    </row>
    <row r="36" spans="2:6" x14ac:dyDescent="0.45">
      <c r="B36" s="62">
        <v>6</v>
      </c>
      <c r="C36" s="29">
        <v>44414</v>
      </c>
      <c r="D36" s="66">
        <v>0.66607638888672227</v>
      </c>
      <c r="E36" s="30" t="s">
        <v>208</v>
      </c>
      <c r="F36" s="32" t="s">
        <v>234</v>
      </c>
    </row>
    <row r="37" spans="2:6" x14ac:dyDescent="0.45">
      <c r="B37" s="62">
        <v>5</v>
      </c>
      <c r="C37" s="29">
        <v>44412</v>
      </c>
      <c r="D37" s="66">
        <v>0.34912037036701804</v>
      </c>
      <c r="E37" s="30" t="s">
        <v>208</v>
      </c>
      <c r="F37" s="32" t="s">
        <v>235</v>
      </c>
    </row>
    <row r="38" spans="2:6" x14ac:dyDescent="0.45">
      <c r="B38" s="62">
        <v>4</v>
      </c>
      <c r="C38" s="29">
        <v>44411</v>
      </c>
      <c r="D38" s="66">
        <v>0.37682870370190358</v>
      </c>
      <c r="E38" s="30" t="s">
        <v>208</v>
      </c>
      <c r="F38" s="31" t="s">
        <v>236</v>
      </c>
    </row>
    <row r="39" spans="2:6" x14ac:dyDescent="0.45">
      <c r="B39" s="62">
        <v>3</v>
      </c>
      <c r="C39" s="29">
        <v>44406</v>
      </c>
      <c r="D39" s="66">
        <v>0.59842592592758592</v>
      </c>
      <c r="E39" s="30" t="s">
        <v>208</v>
      </c>
      <c r="F39" s="31" t="s">
        <v>237</v>
      </c>
    </row>
    <row r="40" spans="2:6" x14ac:dyDescent="0.45">
      <c r="B40" s="62">
        <v>2</v>
      </c>
      <c r="C40" s="29">
        <v>44406</v>
      </c>
      <c r="D40" s="66">
        <v>0.57677083333692281</v>
      </c>
      <c r="E40" s="30" t="s">
        <v>208</v>
      </c>
      <c r="F40" s="32" t="s">
        <v>238</v>
      </c>
    </row>
    <row r="41" spans="2:6" x14ac:dyDescent="0.45">
      <c r="B41" s="33">
        <v>1</v>
      </c>
      <c r="C41" s="34">
        <v>44400</v>
      </c>
      <c r="D41" s="67">
        <v>0.58872685184906004</v>
      </c>
      <c r="E41" s="35" t="s">
        <v>208</v>
      </c>
      <c r="F41" s="36" t="s">
        <v>239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Demo</vt:lpstr>
      <vt:lpstr>Performance</vt:lpstr>
      <vt:lpstr>ConvertTypes</vt:lpstr>
      <vt:lpstr>Test</vt:lpstr>
      <vt:lpstr>Audit</vt:lpstr>
      <vt:lpstr>Test!CallToCSVRead</vt:lpstr>
      <vt:lpstr>ConvertTypes!Data</vt:lpstr>
      <vt:lpstr>Demo!Data</vt:lpstr>
      <vt:lpstr>Demo!DateFormat</vt:lpstr>
      <vt:lpstr>Demo!DateTimeFormat</vt:lpstr>
      <vt:lpstr>Demo!EOL</vt:lpstr>
      <vt:lpstr>ConvertTypes!FileName</vt:lpstr>
      <vt:lpstr>Demo!FileName</vt:lpstr>
      <vt:lpstr>Test!FileName</vt:lpstr>
      <vt:lpstr>FileName</vt:lpstr>
      <vt:lpstr>Test!FileTable</vt:lpstr>
      <vt:lpstr>Test!Folder</vt:lpstr>
      <vt:lpstr>Audit!Headers</vt:lpstr>
      <vt:lpstr>Test!NumFailed</vt:lpstr>
      <vt:lpstr>Test!NumPassed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Test!RowNo</vt:lpstr>
      <vt:lpstr>Test!Test_Failures</vt:lpstr>
      <vt:lpstr>Demo!Unicode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2021-08-19T16:09:41Z</dcterms:modified>
</cp:coreProperties>
</file>