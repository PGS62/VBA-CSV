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13_ncr:1_{A13762B6-203E-4560-AC69-4D1B04EBEBFC}" xr6:coauthVersionLast="47" xr6:coauthVersionMax="47" xr10:uidLastSave="{00000000-0000-0000-0000-000000000000}"/>
  <bookViews>
    <workbookView xWindow="-98" yWindow="-98" windowWidth="24496" windowHeight="15796" xr2:uid="{86175985-054A-431D-8A4E-01C3A835BC9D}"/>
  </bookViews>
  <sheets>
    <sheet name="Demo" sheetId="1" r:id="rId1"/>
    <sheet name="Help" sheetId="3" r:id="rId2"/>
    <sheet name="Audit" sheetId="2" r:id="rId3"/>
  </sheets>
  <functionGroups builtInGroupCount="19"/>
  <definedNames>
    <definedName name="AllowLineFeed">Demo!#REF!</definedName>
    <definedName name="DateFormat">Demo!$C$6</definedName>
    <definedName name="DateTimeFormat">Demo!$C$7</definedName>
    <definedName name="EOL">Demo!$C$9</definedName>
    <definedName name="FileName">Demo!$C$4</definedName>
    <definedName name="Headers" localSheetId="2">Audit!$B$5:$F$5</definedName>
    <definedName name="NCols">Demo!#REF!</definedName>
    <definedName name="NRows">Demo!#REF!</definedName>
    <definedName name="QuoteAllStrings">Demo!$C$5</definedName>
    <definedName name="Unicode">Demo!$C$8</definedName>
    <definedName name="Windows">Demo!$C$5:$C$8</definedName>
  </definedNames>
  <calcPr calcId="191029" calcMode="manual" calcCompleted="0" calcOnSave="0"/>
  <extLst>
    <ext xmlns:x14="http://schemas.microsoft.com/office/spreadsheetml/2009/9/main" uri="{8193D73E-4604-4355-AFF4-8A2333D13BE4}">
      <x14:definedNames>
        <x14:definedName name="CSVRead">
          <x14:argumentDescriptions count="13">
            <x14:argumentDescription index="0">The full name of the file, including the path.</x14:argumentDescription>
            <x14:argumentDescription index="1">TRUE to convert Numbers, Dates, Logicals and Excel Errors into their typed values, or FALSE to leave as strings. For more control enter a string containing the letters N,D,L, and E eg "NL" to convert just numbers and logicals, not dates or errors.</x14:argumentDescription>
            <x14:argumentDescription index="2">Delimiter character. Defaults to the first instance of comma, tab, semi-colon, colon or vertical bar found in the file outside quoted regions. Enter FALSE to to see the file's raw contents as would be displayed in a text editor.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StartRow to the end of the file are read.</x14:argumentDescription>
            <x14:argumentDescription index="7">The number of columns to read from the file. If omitted (or zero), all columns from StartColumn are read.</x14:argumentDescription>
            <x14:argumentDescription index="8">"Windows" (or ascii 13 + 10, or FALSE), "Unix" (or ascii 10, or TRUE) or "Mac" (or ascii 13)  to specify line-endings, or "Mixed" for inconsistent line endings. Omit to infer from the first line ending found outside quoted regions.</x14:argumentDescription>
            <x14:argumentDescription index="9">Enter TRUE if the file is unicode, FALSE if the file is ascii. Omit to guess (via function sFileIsUnicode).</x14:argumentDescription>
            <x14:argumentDescription index="10">Value to represent empty fields (successive delimiters) in the file. May be a string or an Empty value. Optional and defaults to the zero-length string.</x14:argumentDescription>
            <x14:argumentDescription index="11">The character that represents a decimal point. If omitted, then the value from Windows regional settings is used.</x14:argumentDescription>
            <x14:argumentDescription index="12">For use from VBA, sets the lower bound for indexing into the returned array and must be 1 or 0. Optional, defaults to 1.</x14:argumentDescription>
          </x14:argumentDescriptions>
        </x14:definedName>
        <x14:definedName name="CSVWrite">
          <x14:argumentDescriptions count="9">
            <x14:argumentDescription index="0">The full name of the file, including the path.</x14:argumentDescription>
            <x14:argumentDescription index="1">An array of arbitrary data. Elements may be strings, numbers, dates, Booleans, empty, Excel errors or null values.</x14:argumentDescription>
            <x14:argumentDescription index="2">If TRUE (the default) then ALL strings are quoted before being written to file. Otherwise (FALSE) only strings containing characters comma, line feed, carriage return or double quote are quoted. Double quotes are always escaped by a second double quote.</x14:argumentDescription>
            <x14:argumentDescription index="3">A format string, such as 'yyyy-mm-dd' that determine how dates (e.g. cells formatted as dates) appear in the file.</x14:argumentDescription>
            <x14:argumentDescription index="4">A format string, such as 'yyyy-mm-dd hh:mm:ss' that determine how elements of dates with time appear in the file. Currently the companion function CVSRead is not capable of interpreting fields written in DateTime format.</x14:argumentDescription>
            <x14:argumentDescription index="5">If TRUE then the file written is encoded as unicode. Defaults to FALSE for an ascii file.</x14:argumentDescription>
            <x14:argumentDescription index="6">If FALSE (the default) the file written will be ascii. If TRUE the file written will be Unicode.</x14:argumentDescription>
            <x14:argumentDescription index="7">Enter the required line ending character as "Windows" (or ascii 13 plus ascii 10), or "Unix" (or ascii 10) or "Mac" (or ascii 13). If omitted defaults to "Windows".</x14:argumentDescription>
            <x14:argumentDescription index="8">This argument is for develop purposes only, it will soon be removed.</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1" l="1" a="1"/>
  <c r="H45" i="3" a="1"/>
  <c r="H24" i="3" a="1"/>
  <c r="B24" i="3" a="1"/>
  <c r="B45" i="3" a="1"/>
  <c r="E13" i="1" l="1"/>
  <c r="B24" i="3"/>
  <c r="H24" i="3"/>
  <c r="H45" i="3"/>
  <c r="B45" i="3"/>
  <c r="L13" i="1" a="1"/>
  <c r="I13" i="1" a="1"/>
  <c r="G13" i="1" a="1"/>
  <c r="G13" i="1" l="1"/>
  <c r="I13" i="1"/>
  <c r="L13" i="1"/>
  <c r="O13" i="1" l="1" a="1"/>
  <c r="O13" i="1" s="1"/>
  <c r="O11"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<sst xmlns="http://schemas.openxmlformats.org/spreadsheetml/2006/main" count="149" uniqueCount="110">
  <si>
    <t>FileName</t>
  </si>
  <si>
    <t>DateFormat</t>
  </si>
  <si>
    <t>Audit</t>
  </si>
  <si>
    <t>Version</t>
  </si>
  <si>
    <t>Date</t>
  </si>
  <si>
    <t>Time</t>
  </si>
  <si>
    <t>Author</t>
  </si>
  <si>
    <t>Comment</t>
  </si>
  <si>
    <t>Philip Swannell</t>
  </si>
  <si>
    <t>First version. Start with SolumAddin's sFileShow to create CSVParse.</t>
  </si>
  <si>
    <t>Reimported sFileSaveCSV and sFileShow from SolumAddin verison 2199. Code does not yet compile</t>
  </si>
  <si>
    <t>Code now compiles.</t>
  </si>
  <si>
    <t>QuoteAllStrings</t>
  </si>
  <si>
    <t>DateTimeFormat</t>
  </si>
  <si>
    <t>Unicode</t>
  </si>
  <si>
    <t>EOL</t>
  </si>
  <si>
    <t>Windows</t>
  </si>
  <si>
    <t>yyyy-mmm-dd</t>
  </si>
  <si>
    <t>yyyy-mmm-dd hh:mm:ss</t>
  </si>
  <si>
    <t>Equal?</t>
  </si>
  <si>
    <t>TypeConversion</t>
  </si>
  <si>
    <t>Delimiter</t>
  </si>
  <si>
    <t>StartRow</t>
  </si>
  <si>
    <t>StartCol</t>
  </si>
  <si>
    <t>NumRows</t>
  </si>
  <si>
    <t>NumCols</t>
  </si>
  <si>
    <t>LineEndings</t>
  </si>
  <si>
    <t>ShowMissingsAs</t>
  </si>
  <si>
    <t>DecimalSeparator</t>
  </si>
  <si>
    <t>LowerBounds</t>
  </si>
  <si>
    <t>Returns the contents of a comma-separated file on disk as an array.</t>
  </si>
  <si>
    <t>The full name of the file, including the path.</t>
  </si>
  <si>
    <t>Delimiter character. Defaults to the first instance of comma, tab, semi-colon, colon or vertical bar found in the file outside quoted regions. Enter FALSE to to see the file's raw contents as would be displayed in a text editor.</t>
  </si>
  <si>
    <t>"Windows" (or ascii 13 + 10, or FALSE), "Unix" (or ascii 10, or TRUE) or "Mac" (or ascii 13)  to specify line-endings, or "Mixed" for inconsistent line endings. Omit to infer from the first line ending found outside quoted regions.</t>
  </si>
  <si>
    <t>The format of dates in the file such as D-M-Y, M-D-Y or Y/M/D. If omitted a value is read from Windows regional settings. Repeated D's (or M's or Y's) are equivalent to single instances, so that d-m-y and DD-MMM-YYYY are equivalent.</t>
  </si>
  <si>
    <t>The character that represents a decimal point. If omitted, then the value from Windows regional settings is used.</t>
  </si>
  <si>
    <t>The "row" in the file at which reading starts. Optional and defaults to 1 to read from the first row.</t>
  </si>
  <si>
    <t>The "column" in the file at which reading starts. Optional and defaults to 1 to read from the first column.</t>
  </si>
  <si>
    <t>The number of rows to read from the file. If omitted (or zero), all rows from StartRow to the end of the file are read.</t>
  </si>
  <si>
    <t>The number of columns to read from the file. If omitted (or zero), all columns from StartColumn are read.</t>
  </si>
  <si>
    <t>Enter TRUE if the file is unicode, FALSE if the file is ascii. Omit to guess (via function sFileIsUnicode).</t>
  </si>
  <si>
    <t>Value to represent empty fields (successive delimiters) in the file. May be a string or an Empty value. Optional and defaults to the zero-length string.</t>
  </si>
  <si>
    <t>TRUE to convert Numbers, Dates, Logicals and Excel Errors into their typed values, or FALSE to leave as strings. For more control enter a string containing the letters N,D,L, and E eg "NL" to convert just numbers and logicals, not dates or errors.</t>
  </si>
  <si>
    <t>Argument</t>
  </si>
  <si>
    <t>CSVRead</t>
  </si>
  <si>
    <t>FunctionName</t>
  </si>
  <si>
    <t>FunctionDescription</t>
  </si>
  <si>
    <t>Description</t>
  </si>
  <si>
    <t>VBA Code to register with Excel function Wizard. Function description and argument descriptions must be 255 characters or less.</t>
  </si>
  <si>
    <t>Header for VBA code</t>
  </si>
  <si>
    <t>Keeping the help in sync</t>
  </si>
  <si>
    <t>ExtraHelp</t>
  </si>
  <si>
    <t>For use from VBA, sets the lower bound for indexing into the returned array and must be 1 or 0. Optional, defaults to 1.</t>
  </si>
  <si>
    <t>C:\Temp\TestFile.CSV</t>
  </si>
  <si>
    <t>Inputs to CSVWrite</t>
  </si>
  <si>
    <t>Call CSVRead, TypeConversion = TRUE</t>
  </si>
  <si>
    <t>VBA-CSV functions CSVWrite and CSVRead</t>
  </si>
  <si>
    <t>Here_x000D_
be_x000D_
line_x000D_
feeds</t>
  </si>
  <si>
    <t>False</t>
  </si>
  <si>
    <t/>
  </si>
  <si>
    <t>String</t>
  </si>
  <si>
    <t>Logical</t>
  </si>
  <si>
    <t>Error</t>
  </si>
  <si>
    <t>2019-Oct-11</t>
  </si>
  <si>
    <t>2047-Jul-12</t>
  </si>
  <si>
    <t>kæ&gt;ÓCƏðķ°1ŗŘādr</t>
  </si>
  <si>
    <t>-1.338083225621E-05</t>
  </si>
  <si>
    <t>2041-Jan-23</t>
  </si>
  <si>
    <t>ŮR¾õ§zëĺ_x000D_
»¥Ŋś$</t>
  </si>
  <si>
    <t>įÁtùƍƎÈ_Ċÿ3</t>
  </si>
  <si>
    <t>hŜŊýƇêűƎŸÛĺÒìăłĊĥîƋs</t>
  </si>
  <si>
    <t>2045-Jul-20</t>
  </si>
  <si>
    <t>4685027886.36842</t>
  </si>
  <si>
    <t>1988-Feb-28</t>
  </si>
  <si>
    <t>1990-Oct-20</t>
  </si>
  <si>
    <t>ĥĖ</t>
  </si>
  <si>
    <t>ïJ$œŬ8ĨĴ¹0</t>
  </si>
  <si>
    <t>-24.1065284489367</t>
  </si>
  <si>
    <t>TODO</t>
  </si>
  <si>
    <t>Help for CSVWrite</t>
  </si>
  <si>
    <t>Write checklist for releases</t>
  </si>
  <si>
    <t>Help for both functions in Markdown</t>
  </si>
  <si>
    <t>Random Data passed to CSVWrite</t>
  </si>
  <si>
    <t>CSVRead, TypeConversion = FALSE. All fields returned as strings</t>
  </si>
  <si>
    <t>CSVRead, Delimiter = FALSE. Get "raw" file contents.</t>
  </si>
  <si>
    <t>CSVWrite</t>
  </si>
  <si>
    <t>All equal, i.e. "round trip" worked?</t>
  </si>
  <si>
    <t>Need to think about International settings and date parsing.</t>
  </si>
  <si>
    <t>Drop LowerBounds argument from CSVRead - make a constant instead</t>
  </si>
  <si>
    <t>Drop Ragged argument from CSVWrite and have a second verson of the function for round-trip testing only.</t>
  </si>
  <si>
    <t>Data</t>
  </si>
  <si>
    <t>Ragged</t>
  </si>
  <si>
    <t xml:space="preserve">Creates a csv file on disk containing the data in the array Data. Any existing file of the same name is overwritten. If successful, the function returns the name of the file written, otherwise an error string. </t>
  </si>
  <si>
    <t>If TRUE (the default) then ALL strings are quoted before being written to file. Otherwise (FALSE) only strings containing characters comma, line feed, carriage return or double quote are quoted. Double quotes are always escaped by a second double quote.</t>
  </si>
  <si>
    <t>A format string, such as 'yyyy-mm-dd' that determine how dates (e.g. cells formatted as dates) appear in the file.</t>
  </si>
  <si>
    <t>If TRUE then the file written is encoded as unicode. Defaults to FALSE for an ascii file.</t>
  </si>
  <si>
    <t>Enter the required line ending character as "Windows" (or ascii 13 plus ascii 10), or "Unix" (or ascii 10) or "Mac" (or ascii 13). If omitted defaults to "Windows".</t>
  </si>
  <si>
    <t>An array of arbitrary data. Elements may be strings, numbers, dates, Booleans, empty, Excel errors or null values.</t>
  </si>
  <si>
    <t>If FALSE (the default) the file written will be ascii. If TRUE the file written will be Unicode.</t>
  </si>
  <si>
    <t>See also CSVWrite for which this function is the inverse.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the value given by ShowMissingsAs.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Windows, Unix and (old) Mac line endings.</t>
  </si>
  <si>
    <t>See also CSVRead which is the inverse of this function.
For definition of the CSV format see
https://tools.ietf.org/html/rfc4180#section-2</t>
  </si>
  <si>
    <t>This argument is for develop purposes only, it will soon be removed.</t>
  </si>
  <si>
    <t>A format string, such as 'yyyy-mm-dd hh:mm:ss' that determine how elements of dates with time appear in the file. Currently the companion function CVSRead is not capable of interpreting fields written in DateTime format.</t>
  </si>
  <si>
    <t>Colour key</t>
  </si>
  <si>
    <t>Number (or Date, according to cell's NumberFormat)</t>
  </si>
  <si>
    <t>SplitNew idea - rather than the VBA code examine every character of the input to check for double quotes and EOLs we repeatedly use InStr, thus pushing the character examination down to C.</t>
  </si>
  <si>
    <t>SplitNew seems to work weell. Need to rewrite methof ReadLine using the same approach.</t>
  </si>
  <si>
    <t>Measure speed against the "Garcia code"</t>
  </si>
  <si>
    <t>Rewrote code to split a string, rather than examining each character in VBA code, use InStr in a while loop to push the character examination down to C code.</t>
  </si>
  <si>
    <t>Release checklist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</si>
</sst>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8" x14ac:knownFonts="1">
    <font>
      <sz val="11"/>
      <color theme="1"/>
      <name val="Calibri"/>
      <family val="2"/>
      <scheme val="minor"/>
    </font>
    <font>
      <sz val="22"/>
      <color theme="1"/>
      <name val="Calibri"/>
      <family val="2"/>
      <scheme val="minor"/>
    </font>
    <font>
      <sz val="11"/>
      <name val="Calibri"/>
      <family val="2"/>
      <scheme val="minor"/>
    </font>
    <font>
      <b/>
      <sz val="11"/>
      <color theme="1"/>
      <name val="Calibri"/>
      <family val="2"/>
      <scheme val="minor"/>
    </font>
    <font>
      <sz val="11"/>
      <color rgb="FF0000FF"/>
      <name val="Calibri"/>
      <family val="2"/>
      <scheme val="minor"/>
    </font>
    <font>
      <sz val="10"/>
      <color theme="1"/>
      <name val="Courier New"/>
      <family val="3"/>
    </font>
    <font>
      <i/>
      <sz val="11"/>
      <color theme="1"/>
      <name val="Calibri"/>
      <family val="2"/>
      <scheme val="minor"/>
    </font>
    <font>
      <sz val="11"/>
      <color rgb="FF000000"/>
      <name val="Calibri"/>
      <family val="2"/>
    </font>
  </fonts>
  <fills count="7">
    <fill>
      <patternFill patternType="none"/>
    </fill>
    <fill>
      <patternFill patternType="gray125"/>
    </fill>
    <fill>
      <patternFill patternType="solid">
        <fgColor indexed="65"/>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2" tint="-9.9978637043366805E-2"/>
        <bgColor indexed="64"/>
      </patternFill>
    </fill>
  </fills>
  <borders count="11">
    <border>
      <left/>
      <right/>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1">
    <xf numFmtId="0" fontId="0" fillId="0" borderId="0"/>
  </cellStyleXfs>
  <cellXfs count="44">
    <xf numFmtId="0" fontId="0" fillId="0" borderId="0" xfId="0"/>
    <xf numFmtId="0" fontId="1" fillId="0" borderId="0" xfId="0" applyFont="1"/>
    <xf numFmtId="0" fontId="0" fillId="0" borderId="1" xfId="0" applyBorder="1" applyAlignment="1">
      <alignment horizontal="center" vertical="center"/>
    </xf>
    <xf numFmtId="0" fontId="0" fillId="0" borderId="2" xfId="0" applyBorder="1" applyAlignment="1">
      <alignment horizontal="left" vertical="center"/>
    </xf>
    <xf numFmtId="38" fontId="2" fillId="2" borderId="4" xfId="0" applyNumberFormat="1" applyFont="1" applyFill="1" applyBorder="1" applyAlignment="1">
      <alignment horizontal="center" vertical="center"/>
    </xf>
    <xf numFmtId="0" fontId="2" fillId="2" borderId="5" xfId="0" applyFont="1" applyFill="1" applyBorder="1" applyAlignment="1">
      <alignment horizontal="left" vertical="center"/>
    </xf>
    <xf numFmtId="164" fontId="0" fillId="0" borderId="2" xfId="0" applyNumberFormat="1" applyBorder="1" applyAlignment="1">
      <alignment horizontal="left" vertical="center"/>
    </xf>
    <xf numFmtId="164" fontId="2" fillId="2" borderId="5" xfId="0" applyNumberFormat="1" applyFont="1" applyFill="1" applyBorder="1" applyAlignment="1">
      <alignment horizontal="left" vertical="center"/>
    </xf>
    <xf numFmtId="0" fontId="0" fillId="0" borderId="3" xfId="0" applyBorder="1" applyAlignment="1">
      <alignment horizontal="left" vertical="center" wrapText="1"/>
    </xf>
    <xf numFmtId="0" fontId="2" fillId="2" borderId="6" xfId="0" quotePrefix="1" applyFont="1" applyFill="1" applyBorder="1" applyAlignment="1">
      <alignment horizontal="left" vertical="center" wrapText="1"/>
    </xf>
    <xf numFmtId="0" fontId="0" fillId="0" borderId="0" xfId="0" quotePrefix="1" applyAlignment="1">
      <alignment horizontal="left"/>
    </xf>
    <xf numFmtId="38" fontId="2" fillId="2" borderId="7" xfId="0" applyNumberFormat="1" applyFont="1" applyFill="1" applyBorder="1" applyAlignment="1">
      <alignment horizontal="center" vertical="center"/>
    </xf>
    <xf numFmtId="164" fontId="2" fillId="2" borderId="8" xfId="0" applyNumberFormat="1" applyFont="1" applyFill="1" applyBorder="1" applyAlignment="1">
      <alignment horizontal="left" vertical="center"/>
    </xf>
    <xf numFmtId="0" fontId="2" fillId="2" borderId="8" xfId="0" applyFont="1" applyFill="1" applyBorder="1" applyAlignment="1">
      <alignment horizontal="left" vertical="center"/>
    </xf>
    <xf numFmtId="0" fontId="2" fillId="2" borderId="9" xfId="0" applyFont="1" applyFill="1" applyBorder="1" applyAlignment="1">
      <alignment horizontal="left" vertical="center" wrapText="1"/>
    </xf>
    <xf numFmtId="0" fontId="2" fillId="2" borderId="9" xfId="0" quotePrefix="1" applyFont="1" applyFill="1" applyBorder="1" applyAlignment="1">
      <alignment horizontal="left" vertical="center" wrapText="1"/>
    </xf>
    <xf numFmtId="0" fontId="4" fillId="0" borderId="0" xfId="0" quotePrefix="1" applyFont="1" applyAlignment="1" applyProtection="1">
      <alignment horizontal="left"/>
      <protection locked="0"/>
    </xf>
    <xf numFmtId="0" fontId="4" fillId="0" borderId="0" xfId="0" applyFont="1" applyAlignment="1" applyProtection="1">
      <alignment horizontal="left"/>
      <protection locked="0"/>
    </xf>
    <xf numFmtId="0" fontId="0" fillId="0" borderId="10" xfId="0" applyBorder="1"/>
    <xf numFmtId="0" fontId="3" fillId="0" borderId="0" xfId="0" applyFont="1"/>
    <xf numFmtId="0" fontId="3" fillId="0" borderId="0" xfId="0" quotePrefix="1" applyFont="1" applyAlignment="1">
      <alignment horizontal="left"/>
    </xf>
    <xf numFmtId="0" fontId="5" fillId="0" borderId="0" xfId="0" applyFont="1"/>
    <xf numFmtId="0" fontId="5" fillId="0" borderId="0" xfId="0" quotePrefix="1" applyFont="1" applyAlignment="1">
      <alignment horizontal="left"/>
    </xf>
    <xf numFmtId="0" fontId="0" fillId="0" borderId="0" xfId="0" applyAlignment="1">
      <alignment vertical="center" wrapText="1"/>
    </xf>
    <xf numFmtId="14" fontId="0" fillId="0" borderId="0" xfId="0" applyNumberFormat="1" applyAlignment="1">
      <alignment vertical="center" wrapText="1"/>
    </xf>
    <xf numFmtId="0" fontId="0" fillId="0" borderId="0" xfId="0" quotePrefix="1" applyAlignment="1">
      <alignment vertical="center" wrapText="1"/>
    </xf>
    <xf numFmtId="0" fontId="6" fillId="0" borderId="0" xfId="0" quotePrefix="1" applyFont="1" applyAlignment="1">
      <alignment horizontal="left"/>
    </xf>
    <xf numFmtId="0" fontId="6" fillId="0" borderId="0" xfId="0" applyFont="1"/>
    <xf numFmtId="0" fontId="1" fillId="0" borderId="0" xfId="0" quotePrefix="1" applyFont="1" applyAlignment="1">
      <alignment horizontal="left"/>
    </xf>
    <xf numFmtId="164" fontId="0" fillId="0" borderId="10" xfId="0" applyNumberFormat="1" applyBorder="1"/>
    <xf numFmtId="0" fontId="0" fillId="3" borderId="0" xfId="0" applyFill="1"/>
    <xf numFmtId="0" fontId="0" fillId="4" borderId="0" xfId="0" applyFill="1"/>
    <xf numFmtId="0" fontId="0" fillId="0" borderId="10" xfId="0" applyNumberFormat="1" applyBorder="1"/>
    <xf numFmtId="0" fontId="0" fillId="6" borderId="0" xfId="0" applyFill="1"/>
    <xf numFmtId="0" fontId="0" fillId="0" borderId="0" xfId="0" applyNumberFormat="1" applyBorder="1"/>
    <xf numFmtId="0" fontId="0" fillId="5" borderId="0" xfId="0" quotePrefix="1" applyFill="1" applyAlignment="1">
      <alignment horizontal="left"/>
    </xf>
    <xf numFmtId="0" fontId="0" fillId="0" borderId="10" xfId="0" quotePrefix="1" applyNumberFormat="1" applyBorder="1" applyAlignment="1">
      <alignment horizontal="left"/>
    </xf>
    <xf numFmtId="0" fontId="0" fillId="0" borderId="0" xfId="0" quotePrefix="1" applyAlignment="1">
      <alignment horizontal="left" vertical="center" wrapText="1"/>
    </xf>
    <xf numFmtId="0" fontId="0" fillId="0" borderId="0" xfId="0" applyAlignment="1">
      <alignment vertical="center"/>
    </xf>
    <xf numFmtId="0" fontId="0" fillId="0" borderId="0" xfId="0" quotePrefix="1" applyAlignment="1">
      <alignment horizontal="left" wrapText="1"/>
    </xf>
    <xf numFmtId="38" fontId="2" fillId="2" borderId="7" xfId="0" applyNumberFormat="1" applyFont="1" applyFill="1" applyBorder="1" applyAlignment="1">
      <alignment horizontal="center" vertical="center"/>
    </xf>
    <xf numFmtId="20" fontId="0" fillId="0" borderId="2" xfId="0" applyNumberFormat="1" applyBorder="1" applyAlignment="1">
      <alignment horizontal="left" vertical="center"/>
    </xf>
    <xf numFmtId="20" fontId="2" fillId="2" borderId="8" xfId="0" applyNumberFormat="1" applyFont="1" applyFill="1" applyBorder="1" applyAlignment="1">
      <alignment horizontal="left" vertical="center"/>
    </xf>
    <xf numFmtId="20" fontId="2" fillId="2" borderId="5" xfId="0" applyNumberFormat="1" applyFont="1" applyFill="1" applyBorder="1" applyAlignment="1">
      <alignment horizontal="left" vertical="center"/>
    </xf>
  </cellXfs>
  <cellStyles count="1">
    <cellStyle name="Normal" xfId="0" builtinId="0"/>
  </cellStyles>
  <dxfs count="17">
    <dxf>
      <fill>
        <patternFill>
          <bgColor theme="2" tint="-9.9948118533890809E-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ill>
        <patternFill>
          <bgColor rgb="FFFF0000"/>
        </patternFill>
      </fill>
    </dxf>
    <dxf>
      <fill>
        <patternFill>
          <bgColor theme="4" tint="0.79998168889431442"/>
        </patternFill>
      </fill>
    </dxf>
    <dxf>
      <fill>
        <patternFill>
          <bgColor theme="5"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A321A-91F7-472A-A62A-D780A9D4A49B}">
  <sheetPr codeName="shDemo"/>
  <dimension ref="A1:P84"/>
  <sheetViews>
    <sheetView showGridLines="0" showRowColHeaders="0" tabSelected="1"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2.59765625" customWidth="1"/>
    <col min="7" max="7" width="46.59765625" bestFit="1" customWidth="1"/>
    <col min="8" max="8" width="2.59765625" customWidth="1"/>
    <col min="9" max="10" width="30.59765625" customWidth="1"/>
    <col min="11" max="11" width="2.59765625" customWidth="1"/>
    <col min="12" max="13" width="23.59765625" customWidth="1"/>
    <col min="14" max="14" width="2.59765625" customWidth="1"/>
    <col min="19" max="19" width="13.19921875" bestFit="1" customWidth="1"/>
  </cols>
  <sheetData>
    <row r="1" spans="1:16" ht="28.5" x14ac:dyDescent="0.85">
      <c r="A1" s="28" t="s">
        <v>56</v>
      </c>
    </row>
    <row r="3" spans="1:16" x14ac:dyDescent="0.45">
      <c r="B3" s="26" t="s">
        <v>54</v>
      </c>
      <c r="G3" s="27" t="s">
        <v>103</v>
      </c>
    </row>
    <row r="4" spans="1:16" x14ac:dyDescent="0.45">
      <c r="B4" t="s">
        <v>0</v>
      </c>
      <c r="C4" s="16" t="s">
        <v>53</v>
      </c>
      <c r="G4" s="35" t="s">
        <v>104</v>
      </c>
    </row>
    <row r="5" spans="1:16" x14ac:dyDescent="0.45">
      <c r="B5" t="s">
        <v>12</v>
      </c>
      <c r="C5" s="17" t="b">
        <v>1</v>
      </c>
      <c r="G5" s="30" t="s">
        <v>60</v>
      </c>
    </row>
    <row r="6" spans="1:16" x14ac:dyDescent="0.45">
      <c r="B6" t="s">
        <v>1</v>
      </c>
      <c r="C6" s="16" t="s">
        <v>17</v>
      </c>
      <c r="G6" s="33" t="s">
        <v>62</v>
      </c>
    </row>
    <row r="7" spans="1:16" x14ac:dyDescent="0.45">
      <c r="B7" t="s">
        <v>13</v>
      </c>
      <c r="C7" s="16" t="s">
        <v>18</v>
      </c>
      <c r="G7" s="31" t="s">
        <v>61</v>
      </c>
    </row>
    <row r="8" spans="1:16" x14ac:dyDescent="0.45">
      <c r="B8" t="s">
        <v>14</v>
      </c>
      <c r="C8" s="17" t="b">
        <v>1</v>
      </c>
    </row>
    <row r="9" spans="1:16" x14ac:dyDescent="0.45">
      <c r="B9" t="s">
        <v>15</v>
      </c>
      <c r="C9" s="17" t="s">
        <v>16</v>
      </c>
    </row>
    <row r="10" spans="1:16" x14ac:dyDescent="0.45">
      <c r="C10" s="17"/>
      <c r="O10" s="27" t="s">
        <v>86</v>
      </c>
    </row>
    <row r="11" spans="1:16" x14ac:dyDescent="0.45">
      <c r="C11" s="17"/>
      <c r="O11" s="18" t="e">
        <f ca="1">AND(ROWS(B13:C52)=ROWS(_xlfn.ANCHORARRAY(I13)),COLUMNS(B13:C52)=COLUMNS(_xlfn.ANCHORARRAY(I13)),AND(_xlfn.ANCHORARRAY(O13)))</f>
        <v>#N/A</v>
      </c>
    </row>
    <row r="12" spans="1:16" x14ac:dyDescent="0.45">
      <c r="B12" s="26" t="s">
        <v>82</v>
      </c>
      <c r="E12" s="27" t="s">
        <v>85</v>
      </c>
      <c r="F12" s="27"/>
      <c r="G12" s="26" t="s">
        <v>84</v>
      </c>
      <c r="I12" s="26" t="s">
        <v>83</v>
      </c>
      <c r="L12" s="26" t="s">
        <v>55</v>
      </c>
      <c r="O12" t="s">
        <v>19</v>
      </c>
    </row>
    <row r="13" spans="1:16" x14ac:dyDescent="0.45">
      <c r="B13" s="32" t="s" cm="1">
        <v>57</v>
      </c>
      <c r="C13" s="29">
        <v>49554</v>
      </c>
      <c r="E13" t="str" cm="1">
        <f t="array" aca="1" ref="E13" ca="1">CSVWrite(FileName,B13:C52,QuoteAllStrings,DateFormat,DateTimeFormat,,Unicode,EOL,FALSE)</f>
        <v>C:\Temp\TestFile.CSV</v>
      </c>
      <c r="G13" s="34" t="str" cm="1">
        <f t="array" aca="1" ref="G13:G56" ca="1">CSVRead(E13,,FALSE)</f>
        <v>"Here</v>
      </c>
      <c r="I13" s="32" t="str" cm="1">
        <f t="array" aca="1" ref="I13:J53" ca="1">CSVRead(E13,FALSE)</f>
        <v>Here_x000D_
be_x000D_
line_x000D_
feeds</v>
      </c>
      <c r="J13" s="32" t="str">
        <f ca="1"/>
        <v>2035-Sep-02</v>
      </c>
      <c r="L13" s="32" t="str" cm="1">
        <f t="array" aca="1" ref="L13:M53" ca="1">CSVRead(E13,TRUE,,DateFormat)</f>
        <v>Here_x000D_
be_x000D_
line_x000D_
feeds</v>
      </c>
      <c r="M13" s="32">
        <f ca="1"/>
        <v>49554</v>
      </c>
      <c r="O13" s="18" t="b" cm="1">
        <f t="array" aca="1" ref="O13:P53" ca="1">IFERROR(B13:C52,"An Error")=IFERROR(_xlfn.ANCHORARRAY(L13),"An Error")</f>
        <v>1</v>
      </c>
      <c r="P13" s="18" t="b">
        <f ca="1"/>
        <v>1</v>
      </c>
    </row>
    <row r="14" spans="1:16" x14ac:dyDescent="0.45">
      <c r="B14" s="32">
        <v>-929600</v>
      </c>
      <c r="C14" s="32">
        <v>0</v>
      </c>
      <c r="G14" s="34" t="str">
        <f ca="1"/>
        <v>be</v>
      </c>
      <c r="I14" s="32" t="str">
        <f ca="1"/>
        <v>-929600</v>
      </c>
      <c r="J14" s="32" t="str">
        <f ca="1"/>
        <v>0</v>
      </c>
      <c r="L14" s="32">
        <f ca="1"/>
        <v>-929600</v>
      </c>
      <c r="M14" s="32">
        <f ca="1"/>
        <v>0</v>
      </c>
      <c r="O14" s="18" t="b">
        <f ca="1"/>
        <v>1</v>
      </c>
      <c r="P14" s="18" t="b">
        <f ca="1"/>
        <v>1</v>
      </c>
    </row>
    <row r="15" spans="1:16" x14ac:dyDescent="0.45">
      <c r="B15" s="32" t="s">
        <v>59</v>
      </c>
      <c r="C15" s="32">
        <v>61965</v>
      </c>
      <c r="G15" s="34" t="str">
        <f ca="1"/>
        <v>line</v>
      </c>
      <c r="I15" s="32" t="str">
        <f ca="1"/>
        <v/>
      </c>
      <c r="J15" s="32" t="str">
        <f ca="1"/>
        <v>61965</v>
      </c>
      <c r="L15" s="32" t="str">
        <f ca="1"/>
        <v/>
      </c>
      <c r="M15" s="32">
        <f ca="1"/>
        <v>61965</v>
      </c>
      <c r="O15" s="18" t="b">
        <f ca="1"/>
        <v>1</v>
      </c>
      <c r="P15" s="18" t="b">
        <f ca="1"/>
        <v>1</v>
      </c>
    </row>
    <row r="16" spans="1:16" x14ac:dyDescent="0.45">
      <c r="B16" s="32">
        <v>0.189475105004663</v>
      </c>
      <c r="C16" s="32" t="s">
        <v>59</v>
      </c>
      <c r="G16" s="34" t="str">
        <f ca="1"/>
        <v>feeds",2035-Sep-02</v>
      </c>
      <c r="I16" s="32" t="str">
        <f ca="1"/>
        <v>0.189475105004663</v>
      </c>
      <c r="J16" s="32" t="str">
        <f ca="1"/>
        <v/>
      </c>
      <c r="L16" s="32">
        <f ca="1"/>
        <v>0.189475105004663</v>
      </c>
      <c r="M16" s="32" t="str">
        <f ca="1"/>
        <v/>
      </c>
      <c r="O16" s="18" t="b">
        <f ca="1"/>
        <v>1</v>
      </c>
      <c r="P16" s="18" t="b">
        <f ca="1"/>
        <v>1</v>
      </c>
    </row>
    <row r="17" spans="2:16" x14ac:dyDescent="0.45">
      <c r="B17" s="32">
        <v>12.799363103464501</v>
      </c>
      <c r="C17" s="32" t="s">
        <v>59</v>
      </c>
      <c r="G17" s="34" t="str">
        <f ca="1"/>
        <v>-929600,0</v>
      </c>
      <c r="I17" s="32" t="str">
        <f ca="1"/>
        <v>12.7993631034645</v>
      </c>
      <c r="J17" s="32" t="str">
        <f ca="1"/>
        <v/>
      </c>
      <c r="L17" s="32">
        <f ca="1"/>
        <v>12.799363103464501</v>
      </c>
      <c r="M17" s="32" t="str">
        <f ca="1"/>
        <v/>
      </c>
      <c r="O17" s="18" t="b">
        <f ca="1"/>
        <v>1</v>
      </c>
      <c r="P17" s="18" t="b">
        <f ca="1"/>
        <v>1</v>
      </c>
    </row>
    <row r="18" spans="2:16" x14ac:dyDescent="0.45">
      <c r="B18" s="32">
        <v>35181</v>
      </c>
      <c r="C18" s="32" t="e">
        <v>#N/A</v>
      </c>
      <c r="G18" s="34" t="str">
        <f ca="1"/>
        <v>"",61965</v>
      </c>
      <c r="I18" s="32" t="str">
        <f ca="1"/>
        <v>35181</v>
      </c>
      <c r="J18" s="32" t="str">
        <f ca="1"/>
        <v>#N/A</v>
      </c>
      <c r="L18" s="32">
        <f ca="1"/>
        <v>35181</v>
      </c>
      <c r="M18" s="32" t="e">
        <f ca="1"/>
        <v>#N/A</v>
      </c>
      <c r="O18" s="18" t="b">
        <f ca="1"/>
        <v>1</v>
      </c>
      <c r="P18" s="18" t="b">
        <f ca="1"/>
        <v>1</v>
      </c>
    </row>
    <row r="19" spans="2:16" x14ac:dyDescent="0.45">
      <c r="B19" s="32" t="s">
        <v>63</v>
      </c>
      <c r="C19" s="32">
        <v>-184128</v>
      </c>
      <c r="G19" s="34" t="str">
        <f ca="1"/>
        <v>0.189475105004663,""</v>
      </c>
      <c r="I19" s="32" t="str">
        <f ca="1"/>
        <v>2019-Oct-11</v>
      </c>
      <c r="J19" s="32" t="str">
        <f ca="1"/>
        <v>-184128</v>
      </c>
      <c r="L19" s="32" t="str">
        <f ca="1"/>
        <v>2019-Oct-11</v>
      </c>
      <c r="M19" s="32">
        <f ca="1"/>
        <v>-184128</v>
      </c>
      <c r="O19" s="18" t="b">
        <f ca="1"/>
        <v>1</v>
      </c>
      <c r="P19" s="18" t="b">
        <f ca="1"/>
        <v>1</v>
      </c>
    </row>
    <row r="20" spans="2:16" x14ac:dyDescent="0.45">
      <c r="B20" s="32">
        <v>27259</v>
      </c>
      <c r="C20" s="32">
        <v>3.2433144203254399E-5</v>
      </c>
      <c r="G20" s="34" t="str">
        <f ca="1"/>
        <v>12.7993631034645,""</v>
      </c>
      <c r="I20" s="32" t="str">
        <f ca="1"/>
        <v>27259</v>
      </c>
      <c r="J20" s="32" t="str">
        <f ca="1"/>
        <v>3.24331442032544E-05</v>
      </c>
      <c r="L20" s="32">
        <f ca="1"/>
        <v>27259</v>
      </c>
      <c r="M20" s="32">
        <f ca="1"/>
        <v>3.2433144203254399E-5</v>
      </c>
      <c r="O20" s="18" t="b">
        <f ca="1"/>
        <v>1</v>
      </c>
      <c r="P20" s="18" t="b">
        <f ca="1"/>
        <v>1</v>
      </c>
    </row>
    <row r="21" spans="2:16" x14ac:dyDescent="0.45">
      <c r="B21" s="32">
        <v>0</v>
      </c>
      <c r="C21" s="32" t="s">
        <v>64</v>
      </c>
      <c r="G21" s="34" t="str">
        <f ca="1"/>
        <v>35181,#N/A</v>
      </c>
      <c r="I21" s="32" t="str">
        <f ca="1"/>
        <v>0</v>
      </c>
      <c r="J21" s="32" t="str">
        <f ca="1"/>
        <v>2047-Jul-12</v>
      </c>
      <c r="L21" s="32">
        <f ca="1"/>
        <v>0</v>
      </c>
      <c r="M21" s="32" t="str">
        <f ca="1"/>
        <v>2047-Jul-12</v>
      </c>
      <c r="O21" s="18" t="b">
        <f ca="1"/>
        <v>1</v>
      </c>
      <c r="P21" s="18" t="b">
        <f ca="1"/>
        <v>1</v>
      </c>
    </row>
    <row r="22" spans="2:16" x14ac:dyDescent="0.45">
      <c r="B22" s="32" t="s">
        <v>65</v>
      </c>
      <c r="C22" s="32" t="s">
        <v>58</v>
      </c>
      <c r="G22" s="34" t="str">
        <f ca="1"/>
        <v>"2019-Oct-11",-184128</v>
      </c>
      <c r="I22" s="32" t="str">
        <f ca="1"/>
        <v>kæ&gt;ÓCƏðķ°1ŗŘādr</v>
      </c>
      <c r="J22" s="32" t="str">
        <f ca="1"/>
        <v>False</v>
      </c>
      <c r="L22" s="32" t="str">
        <f ca="1"/>
        <v>kæ&gt;ÓCƏðķ°1ŗŘādr</v>
      </c>
      <c r="M22" s="32" t="str">
        <f ca="1"/>
        <v>False</v>
      </c>
      <c r="O22" s="18" t="b">
        <f ca="1"/>
        <v>1</v>
      </c>
      <c r="P22" s="18" t="b">
        <f ca="1"/>
        <v>1</v>
      </c>
    </row>
    <row r="23" spans="2:16" x14ac:dyDescent="0.45">
      <c r="B23" s="32" t="s">
        <v>59</v>
      </c>
      <c r="C23" s="32">
        <v>0</v>
      </c>
      <c r="G23" s="34" t="str">
        <f ca="1"/>
        <v>27259,3.24331442032544E-05</v>
      </c>
      <c r="I23" s="32" t="str">
        <f ca="1"/>
        <v/>
      </c>
      <c r="J23" s="32" t="str">
        <f ca="1"/>
        <v>0</v>
      </c>
      <c r="L23" s="32" t="str">
        <f ca="1"/>
        <v/>
      </c>
      <c r="M23" s="32">
        <f ca="1"/>
        <v>0</v>
      </c>
      <c r="O23" s="18" t="b">
        <f ca="1"/>
        <v>1</v>
      </c>
      <c r="P23" s="18" t="b">
        <f ca="1"/>
        <v>1</v>
      </c>
    </row>
    <row r="24" spans="2:16" x14ac:dyDescent="0.45">
      <c r="B24" s="32" t="s">
        <v>58</v>
      </c>
      <c r="C24" s="32" t="s">
        <v>58</v>
      </c>
      <c r="G24" s="34" t="str">
        <f ca="1"/>
        <v>0,"2047-Jul-12"</v>
      </c>
      <c r="I24" s="32" t="str">
        <f ca="1"/>
        <v>False</v>
      </c>
      <c r="J24" s="32" t="str">
        <f ca="1"/>
        <v>False</v>
      </c>
      <c r="L24" s="32" t="str">
        <f ca="1"/>
        <v>False</v>
      </c>
      <c r="M24" s="32" t="str">
        <f ca="1"/>
        <v>False</v>
      </c>
      <c r="O24" s="18" t="b">
        <f ca="1"/>
        <v>1</v>
      </c>
      <c r="P24" s="18" t="b">
        <f ca="1"/>
        <v>1</v>
      </c>
    </row>
    <row r="25" spans="2:16" x14ac:dyDescent="0.45">
      <c r="B25" s="32">
        <v>3.9336708473489102E-7</v>
      </c>
      <c r="C25" s="32" t="s">
        <v>58</v>
      </c>
      <c r="G25" s="34" t="str">
        <f ca="1"/>
        <v>"kæ&gt;ÓCƏðķ°1ŗŘādr","False"</v>
      </c>
      <c r="I25" s="32" t="str">
        <f ca="1"/>
        <v>3.93367084734891E-07</v>
      </c>
      <c r="J25" s="32" t="str">
        <f ca="1"/>
        <v>False</v>
      </c>
      <c r="L25" s="32">
        <f ca="1"/>
        <v>3.9336708473489102E-7</v>
      </c>
      <c r="M25" s="32" t="str">
        <f ca="1"/>
        <v>False</v>
      </c>
      <c r="O25" s="18" t="b">
        <f ca="1"/>
        <v>1</v>
      </c>
      <c r="P25" s="18" t="b">
        <f ca="1"/>
        <v>1</v>
      </c>
    </row>
    <row r="26" spans="2:16" x14ac:dyDescent="0.45">
      <c r="B26" s="32"/>
      <c r="C26" s="32">
        <v>59195</v>
      </c>
      <c r="G26" s="34" t="str">
        <f ca="1"/>
        <v>"",0</v>
      </c>
      <c r="I26" s="32" t="str">
        <f ca="1"/>
        <v/>
      </c>
      <c r="J26" s="32" t="str">
        <f ca="1"/>
        <v>59195</v>
      </c>
      <c r="L26" s="32" t="str">
        <f ca="1"/>
        <v/>
      </c>
      <c r="M26" s="32">
        <f ca="1"/>
        <v>59195</v>
      </c>
      <c r="O26" s="18" t="b">
        <f ca="1"/>
        <v>0</v>
      </c>
      <c r="P26" s="18" t="b">
        <f ca="1"/>
        <v>1</v>
      </c>
    </row>
    <row r="27" spans="2:16" x14ac:dyDescent="0.45">
      <c r="B27" s="32"/>
      <c r="C27" s="32" t="s">
        <v>59</v>
      </c>
      <c r="G27" s="34" t="str">
        <f ca="1"/>
        <v>"False","False"</v>
      </c>
      <c r="I27" s="32" t="str">
        <f ca="1"/>
        <v/>
      </c>
      <c r="J27" s="32" t="str">
        <f ca="1"/>
        <v/>
      </c>
      <c r="L27" s="32" t="str">
        <f ca="1"/>
        <v/>
      </c>
      <c r="M27" s="32" t="str">
        <f ca="1"/>
        <v/>
      </c>
      <c r="O27" s="18" t="b">
        <f ca="1"/>
        <v>0</v>
      </c>
      <c r="P27" s="18" t="b">
        <f ca="1"/>
        <v>1</v>
      </c>
    </row>
    <row r="28" spans="2:16" x14ac:dyDescent="0.45">
      <c r="B28" s="32"/>
      <c r="C28" s="32" t="s">
        <v>59</v>
      </c>
      <c r="G28" s="34" t="str">
        <f ca="1"/>
        <v>3.93367084734891E-07,"False"</v>
      </c>
      <c r="I28" s="32" t="str">
        <f ca="1"/>
        <v/>
      </c>
      <c r="J28" s="32" t="str">
        <f ca="1"/>
        <v/>
      </c>
      <c r="L28" s="32" t="str">
        <f ca="1"/>
        <v/>
      </c>
      <c r="M28" s="32" t="str">
        <f ca="1"/>
        <v/>
      </c>
      <c r="O28" s="18" t="b">
        <f ca="1"/>
        <v>0</v>
      </c>
      <c r="P28" s="18" t="b">
        <f ca="1"/>
        <v>1</v>
      </c>
    </row>
    <row r="29" spans="2:16" x14ac:dyDescent="0.45">
      <c r="B29" s="32" t="s">
        <v>58</v>
      </c>
      <c r="C29" s="32">
        <v>-621745</v>
      </c>
      <c r="G29" s="34" t="str">
        <f ca="1"/>
        <v>,59195</v>
      </c>
      <c r="I29" s="32" t="str">
        <f ca="1"/>
        <v>False</v>
      </c>
      <c r="J29" s="32" t="str">
        <f ca="1"/>
        <v>-621745</v>
      </c>
      <c r="L29" s="32" t="str">
        <f ca="1"/>
        <v>False</v>
      </c>
      <c r="M29" s="32">
        <f ca="1"/>
        <v>-621745</v>
      </c>
      <c r="O29" s="18" t="b">
        <f ca="1"/>
        <v>1</v>
      </c>
      <c r="P29" s="18" t="b">
        <f ca="1"/>
        <v>1</v>
      </c>
    </row>
    <row r="30" spans="2:16" x14ac:dyDescent="0.45">
      <c r="B30" s="32" t="s">
        <v>66</v>
      </c>
      <c r="C30" s="32">
        <v>55761</v>
      </c>
      <c r="G30" s="34" t="str">
        <f ca="1"/>
        <v>,""</v>
      </c>
      <c r="I30" s="32" t="str">
        <f ca="1"/>
        <v>-1.338083225621E-05</v>
      </c>
      <c r="J30" s="32" t="str">
        <f ca="1"/>
        <v>55761</v>
      </c>
      <c r="L30" s="32" t="str">
        <f ca="1"/>
        <v>-1.338083225621E-05</v>
      </c>
      <c r="M30" s="32">
        <f ca="1"/>
        <v>55761</v>
      </c>
      <c r="O30" s="18" t="b">
        <f ca="1"/>
        <v>1</v>
      </c>
      <c r="P30" s="18" t="b">
        <f ca="1"/>
        <v>1</v>
      </c>
    </row>
    <row r="31" spans="2:16" x14ac:dyDescent="0.45">
      <c r="B31" s="32">
        <v>0</v>
      </c>
      <c r="C31" s="32">
        <v>44331</v>
      </c>
      <c r="G31" s="34" t="str">
        <f ca="1"/>
        <v>,""</v>
      </c>
      <c r="I31" s="32" t="str">
        <f ca="1"/>
        <v>0</v>
      </c>
      <c r="J31" s="32" t="str">
        <f ca="1"/>
        <v>44331</v>
      </c>
      <c r="L31" s="32">
        <f ca="1"/>
        <v>0</v>
      </c>
      <c r="M31" s="32">
        <f ca="1"/>
        <v>44331</v>
      </c>
      <c r="O31" s="18" t="b">
        <f ca="1"/>
        <v>1</v>
      </c>
      <c r="P31" s="18" t="b">
        <f ca="1"/>
        <v>1</v>
      </c>
    </row>
    <row r="32" spans="2:16" x14ac:dyDescent="0.45">
      <c r="B32" s="32" t="b">
        <v>1</v>
      </c>
      <c r="C32" s="32">
        <v>457589</v>
      </c>
      <c r="G32" s="34" t="str">
        <f ca="1"/>
        <v>"False",-621745</v>
      </c>
      <c r="I32" s="32" t="str">
        <f ca="1"/>
        <v>True</v>
      </c>
      <c r="J32" s="32" t="str">
        <f ca="1"/>
        <v>457589</v>
      </c>
      <c r="L32" s="32" t="b">
        <f ca="1"/>
        <v>1</v>
      </c>
      <c r="M32" s="32">
        <f ca="1"/>
        <v>457589</v>
      </c>
      <c r="O32" s="18" t="b">
        <f ca="1"/>
        <v>1</v>
      </c>
      <c r="P32" s="18" t="b">
        <f ca="1"/>
        <v>1</v>
      </c>
    </row>
    <row r="33" spans="2:16" x14ac:dyDescent="0.45">
      <c r="B33" s="32" t="s">
        <v>67</v>
      </c>
      <c r="C33" s="32" t="s">
        <v>59</v>
      </c>
      <c r="G33" s="34" t="str">
        <f ca="1"/>
        <v>"-1.338083225621E-05",55761</v>
      </c>
      <c r="I33" s="32" t="str">
        <f ca="1"/>
        <v>2041-Jan-23</v>
      </c>
      <c r="J33" s="32" t="str">
        <f ca="1"/>
        <v/>
      </c>
      <c r="L33" s="32" t="str">
        <f ca="1"/>
        <v>2041-Jan-23</v>
      </c>
      <c r="M33" s="32" t="str">
        <f ca="1"/>
        <v/>
      </c>
      <c r="O33" s="18" t="b">
        <f ca="1"/>
        <v>1</v>
      </c>
      <c r="P33" s="18" t="b">
        <f ca="1"/>
        <v>1</v>
      </c>
    </row>
    <row r="34" spans="2:16" x14ac:dyDescent="0.45">
      <c r="B34" s="32" t="s">
        <v>58</v>
      </c>
      <c r="C34" s="32"/>
      <c r="G34" s="34" t="str">
        <f ca="1"/>
        <v>0,44331</v>
      </c>
      <c r="I34" s="32" t="str">
        <f ca="1"/>
        <v>False</v>
      </c>
      <c r="J34" s="32" t="str">
        <f ca="1"/>
        <v/>
      </c>
      <c r="L34" s="32" t="str">
        <f ca="1"/>
        <v>False</v>
      </c>
      <c r="M34" s="32" t="str">
        <f ca="1"/>
        <v/>
      </c>
      <c r="O34" s="18" t="b">
        <f ca="1"/>
        <v>1</v>
      </c>
      <c r="P34" s="18" t="b">
        <f ca="1"/>
        <v>0</v>
      </c>
    </row>
    <row r="35" spans="2:16" x14ac:dyDescent="0.45">
      <c r="B35" s="32" t="s">
        <v>59</v>
      </c>
      <c r="C35" s="32" t="s">
        <v>59</v>
      </c>
      <c r="G35" s="34" t="str">
        <f ca="1"/>
        <v>True,457589</v>
      </c>
      <c r="I35" s="32" t="str">
        <f ca="1"/>
        <v/>
      </c>
      <c r="J35" s="32" t="str">
        <f ca="1"/>
        <v/>
      </c>
      <c r="L35" s="32" t="str">
        <f ca="1"/>
        <v/>
      </c>
      <c r="M35" s="32" t="str">
        <f ca="1"/>
        <v/>
      </c>
      <c r="O35" s="18" t="b">
        <f ca="1"/>
        <v>1</v>
      </c>
      <c r="P35" s="18" t="b">
        <f ca="1"/>
        <v>1</v>
      </c>
    </row>
    <row r="36" spans="2:16" x14ac:dyDescent="0.45">
      <c r="B36" s="32">
        <v>0</v>
      </c>
      <c r="C36" s="32" t="s">
        <v>68</v>
      </c>
      <c r="G36" s="34" t="str">
        <f ca="1"/>
        <v>"2041-Jan-23",""</v>
      </c>
      <c r="I36" s="32" t="str">
        <f ca="1"/>
        <v>0</v>
      </c>
      <c r="J36" s="32" t="str">
        <f ca="1"/>
        <v>ŮR¾õ§zëĺ_x000D_
»¥Ŋś$</v>
      </c>
      <c r="L36" s="32">
        <f ca="1"/>
        <v>0</v>
      </c>
      <c r="M36" s="32" t="str">
        <f ca="1"/>
        <v>ŮR¾õ§zëĺ_x000D_
»¥Ŋś$</v>
      </c>
      <c r="O36" s="18" t="b">
        <f ca="1"/>
        <v>1</v>
      </c>
      <c r="P36" s="18" t="b">
        <f ca="1"/>
        <v>1</v>
      </c>
    </row>
    <row r="37" spans="2:16" x14ac:dyDescent="0.45">
      <c r="B37" s="32" t="s">
        <v>69</v>
      </c>
      <c r="C37" s="32">
        <v>28956</v>
      </c>
      <c r="G37" s="34" t="str">
        <f ca="1"/>
        <v>"False",</v>
      </c>
      <c r="I37" s="32" t="str">
        <f ca="1"/>
        <v>įÁtùƍƎÈ_Ċÿ3</v>
      </c>
      <c r="J37" s="32" t="str">
        <f ca="1"/>
        <v>28956</v>
      </c>
      <c r="L37" s="32" t="str">
        <f ca="1"/>
        <v>įÁtùƍƎÈ_Ċÿ3</v>
      </c>
      <c r="M37" s="32">
        <f ca="1"/>
        <v>28956</v>
      </c>
      <c r="O37" s="18" t="b">
        <f ca="1"/>
        <v>1</v>
      </c>
      <c r="P37" s="18" t="b">
        <f ca="1"/>
        <v>1</v>
      </c>
    </row>
    <row r="38" spans="2:16" x14ac:dyDescent="0.45">
      <c r="B38" s="36" t="b">
        <v>1</v>
      </c>
      <c r="C38" s="32" t="s">
        <v>70</v>
      </c>
      <c r="G38" s="34" t="str">
        <f ca="1"/>
        <v>"",""</v>
      </c>
      <c r="I38" s="32" t="str">
        <f ca="1"/>
        <v>True</v>
      </c>
      <c r="J38" s="32" t="str">
        <f ca="1"/>
        <v>hŜŊýƇêűƎŸÛĺÒìăłĊĥîƋs</v>
      </c>
      <c r="L38" s="32" t="b">
        <f ca="1"/>
        <v>1</v>
      </c>
      <c r="M38" s="32" t="str">
        <f ca="1"/>
        <v>hŜŊýƇêűƎŸÛĺÒìăłĊĥîƋs</v>
      </c>
      <c r="O38" s="18" t="b">
        <f ca="1"/>
        <v>1</v>
      </c>
      <c r="P38" s="18" t="b">
        <f ca="1"/>
        <v>1</v>
      </c>
    </row>
    <row r="39" spans="2:16" x14ac:dyDescent="0.45">
      <c r="B39" s="32" t="e">
        <v>#NAME?</v>
      </c>
      <c r="C39" s="32" t="s">
        <v>59</v>
      </c>
      <c r="G39" s="34" t="str">
        <f ca="1"/>
        <v>0,"ŮR¾õ§zëĺ</v>
      </c>
      <c r="I39" s="32" t="str">
        <f ca="1"/>
        <v>#NAME?</v>
      </c>
      <c r="J39" s="32" t="str">
        <f ca="1"/>
        <v/>
      </c>
      <c r="L39" s="32" t="e">
        <f ca="1"/>
        <v>#NAME?</v>
      </c>
      <c r="M39" s="32" t="str">
        <f ca="1"/>
        <v/>
      </c>
      <c r="O39" s="18" t="b">
        <f ca="1"/>
        <v>1</v>
      </c>
      <c r="P39" s="18" t="b">
        <f ca="1"/>
        <v>1</v>
      </c>
    </row>
    <row r="40" spans="2:16" x14ac:dyDescent="0.45">
      <c r="B40" s="32">
        <v>541482</v>
      </c>
      <c r="C40" s="32" t="s">
        <v>71</v>
      </c>
      <c r="G40" s="34" t="str">
        <f ca="1"/>
        <v>»¥Ŋś$"</v>
      </c>
      <c r="I40" s="32" t="str">
        <f ca="1"/>
        <v>541482</v>
      </c>
      <c r="J40" s="32" t="str">
        <f ca="1"/>
        <v>2045-Jul-20</v>
      </c>
      <c r="L40" s="32">
        <f ca="1"/>
        <v>541482</v>
      </c>
      <c r="M40" s="32" t="str">
        <f ca="1"/>
        <v>2045-Jul-20</v>
      </c>
      <c r="O40" s="18" t="b">
        <f ca="1"/>
        <v>1</v>
      </c>
      <c r="P40" s="18" t="b">
        <f ca="1"/>
        <v>1</v>
      </c>
    </row>
    <row r="41" spans="2:16" x14ac:dyDescent="0.45">
      <c r="B41" s="32">
        <v>0</v>
      </c>
      <c r="C41" s="32" t="e">
        <v>#NAME?</v>
      </c>
      <c r="G41" s="34" t="str">
        <f ca="1"/>
        <v>"įÁtùƍƎÈ_Ċÿ3",28956</v>
      </c>
      <c r="I41" s="32" t="str">
        <f ca="1"/>
        <v>0</v>
      </c>
      <c r="J41" s="32" t="str">
        <f ca="1"/>
        <v>#NAME?</v>
      </c>
      <c r="L41" s="32">
        <f ca="1"/>
        <v>0</v>
      </c>
      <c r="M41" s="32" t="e">
        <f ca="1"/>
        <v>#NAME?</v>
      </c>
      <c r="O41" s="18" t="b">
        <f ca="1"/>
        <v>1</v>
      </c>
      <c r="P41" s="18" t="b">
        <f ca="1"/>
        <v>1</v>
      </c>
    </row>
    <row r="42" spans="2:16" x14ac:dyDescent="0.45">
      <c r="B42" s="32" t="e">
        <v>#NAME?</v>
      </c>
      <c r="C42" s="32">
        <v>2254223750.8312898</v>
      </c>
      <c r="G42" s="34" t="str">
        <f ca="1"/>
        <v>True,"hŜŊýƇêűƎŸÛĺÒìăłĊĥîƋs"</v>
      </c>
      <c r="I42" s="32" t="str">
        <f ca="1"/>
        <v>#NAME?</v>
      </c>
      <c r="J42" s="32" t="str">
        <f ca="1"/>
        <v>2254223750.83129</v>
      </c>
      <c r="L42" s="32" t="e">
        <f ca="1"/>
        <v>#NAME?</v>
      </c>
      <c r="M42" s="32">
        <f ca="1"/>
        <v>2254223750.8312898</v>
      </c>
      <c r="O42" s="18" t="b">
        <f ca="1"/>
        <v>1</v>
      </c>
      <c r="P42" s="18" t="b">
        <f ca="1"/>
        <v>1</v>
      </c>
    </row>
    <row r="43" spans="2:16" x14ac:dyDescent="0.45">
      <c r="B43" s="32">
        <v>6.5356602879357698E-2</v>
      </c>
      <c r="C43" s="32" t="s">
        <v>72</v>
      </c>
      <c r="G43" s="34" t="str">
        <f ca="1"/>
        <v>#NAME?,""</v>
      </c>
      <c r="I43" s="32" t="str">
        <f ca="1"/>
        <v>6.53566028793577E-02</v>
      </c>
      <c r="J43" s="32" t="str">
        <f ca="1"/>
        <v>4685027886.36842</v>
      </c>
      <c r="L43" s="32">
        <f ca="1"/>
        <v>6.5356602879357698E-2</v>
      </c>
      <c r="M43" s="32" t="str">
        <f ca="1"/>
        <v>4685027886.36842</v>
      </c>
      <c r="O43" s="18" t="b">
        <f ca="1"/>
        <v>1</v>
      </c>
      <c r="P43" s="18" t="b">
        <f ca="1"/>
        <v>1</v>
      </c>
    </row>
    <row r="44" spans="2:16" x14ac:dyDescent="0.45">
      <c r="B44" s="32" t="s">
        <v>73</v>
      </c>
      <c r="C44" s="32">
        <v>441627</v>
      </c>
      <c r="G44" s="34" t="str">
        <f ca="1"/>
        <v>541482,"2045-Jul-20"</v>
      </c>
      <c r="I44" s="32" t="str">
        <f ca="1"/>
        <v>1988-Feb-28</v>
      </c>
      <c r="J44" s="32" t="str">
        <f ca="1"/>
        <v>441627</v>
      </c>
      <c r="L44" s="32" t="str">
        <f ca="1"/>
        <v>1988-Feb-28</v>
      </c>
      <c r="M44" s="32">
        <f ca="1"/>
        <v>441627</v>
      </c>
      <c r="O44" s="18" t="b">
        <f ca="1"/>
        <v>1</v>
      </c>
      <c r="P44" s="18" t="b">
        <f ca="1"/>
        <v>1</v>
      </c>
    </row>
    <row r="45" spans="2:16" x14ac:dyDescent="0.45">
      <c r="B45" s="32" t="s">
        <v>58</v>
      </c>
      <c r="C45" s="32">
        <v>-896137</v>
      </c>
      <c r="G45" s="34" t="str">
        <f ca="1"/>
        <v>0,#NAME?</v>
      </c>
      <c r="I45" s="32" t="str">
        <f ca="1"/>
        <v>False</v>
      </c>
      <c r="J45" s="32" t="str">
        <f ca="1"/>
        <v>-896137</v>
      </c>
      <c r="L45" s="32" t="str">
        <f ca="1"/>
        <v>False</v>
      </c>
      <c r="M45" s="32">
        <f ca="1"/>
        <v>-896137</v>
      </c>
      <c r="O45" s="18" t="b">
        <f ca="1"/>
        <v>1</v>
      </c>
      <c r="P45" s="18" t="b">
        <f ca="1"/>
        <v>1</v>
      </c>
    </row>
    <row r="46" spans="2:16" x14ac:dyDescent="0.45">
      <c r="B46" s="32" t="s">
        <v>59</v>
      </c>
      <c r="C46" s="32" t="s">
        <v>74</v>
      </c>
      <c r="G46" s="34" t="str">
        <f ca="1"/>
        <v>#NAME?,2254223750.83129</v>
      </c>
      <c r="I46" s="32" t="str">
        <f ca="1"/>
        <v/>
      </c>
      <c r="J46" s="32" t="str">
        <f ca="1"/>
        <v>1990-Oct-20</v>
      </c>
      <c r="L46" s="32" t="str">
        <f ca="1"/>
        <v/>
      </c>
      <c r="M46" s="32" t="str">
        <f ca="1"/>
        <v>1990-Oct-20</v>
      </c>
      <c r="O46" s="18" t="b">
        <f ca="1"/>
        <v>1</v>
      </c>
      <c r="P46" s="18" t="b">
        <f ca="1"/>
        <v>1</v>
      </c>
    </row>
    <row r="47" spans="2:16" x14ac:dyDescent="0.45">
      <c r="B47" s="32">
        <v>-793749</v>
      </c>
      <c r="C47" s="32" t="s">
        <v>75</v>
      </c>
      <c r="G47" s="34" t="str">
        <f ca="1"/>
        <v>6.53566028793577E-02,"4685027886.36842"</v>
      </c>
      <c r="I47" s="32" t="str">
        <f ca="1"/>
        <v>-793749</v>
      </c>
      <c r="J47" s="32" t="str">
        <f ca="1"/>
        <v>ĥĖ</v>
      </c>
      <c r="L47" s="32">
        <f ca="1"/>
        <v>-793749</v>
      </c>
      <c r="M47" s="32" t="str">
        <f ca="1"/>
        <v>ĥĖ</v>
      </c>
      <c r="O47" s="18" t="b">
        <f ca="1"/>
        <v>1</v>
      </c>
      <c r="P47" s="18" t="b">
        <f ca="1"/>
        <v>1</v>
      </c>
    </row>
    <row r="48" spans="2:16" x14ac:dyDescent="0.45">
      <c r="B48" s="32">
        <v>-510.26325564602701</v>
      </c>
      <c r="C48" s="32">
        <v>0</v>
      </c>
      <c r="G48" s="34" t="str">
        <f ca="1"/>
        <v>"1988-Feb-28",441627</v>
      </c>
      <c r="I48" s="32" t="str">
        <f ca="1"/>
        <v>-510.263255646027</v>
      </c>
      <c r="J48" s="32" t="str">
        <f ca="1"/>
        <v>0</v>
      </c>
      <c r="L48" s="32">
        <f ca="1"/>
        <v>-510.26325564602701</v>
      </c>
      <c r="M48" s="32">
        <f ca="1"/>
        <v>0</v>
      </c>
      <c r="O48" s="18" t="b">
        <f ca="1"/>
        <v>1</v>
      </c>
      <c r="P48" s="18" t="b">
        <f ca="1"/>
        <v>1</v>
      </c>
    </row>
    <row r="49" spans="2:16" x14ac:dyDescent="0.45">
      <c r="B49" s="32">
        <v>642154</v>
      </c>
      <c r="C49" s="32" t="s">
        <v>76</v>
      </c>
      <c r="G49" s="34" t="str">
        <f ca="1"/>
        <v>"False",-896137</v>
      </c>
      <c r="I49" s="32" t="str">
        <f ca="1"/>
        <v>642154</v>
      </c>
      <c r="J49" s="32" t="str">
        <f ca="1"/>
        <v>ïJ$œŬ8ĨĴ¹0</v>
      </c>
      <c r="L49" s="32">
        <f ca="1"/>
        <v>642154</v>
      </c>
      <c r="M49" s="32" t="str">
        <f ca="1"/>
        <v>ïJ$œŬ8ĨĴ¹0</v>
      </c>
      <c r="O49" s="18" t="b">
        <f ca="1"/>
        <v>1</v>
      </c>
      <c r="P49" s="18" t="b">
        <f ca="1"/>
        <v>1</v>
      </c>
    </row>
    <row r="50" spans="2:16" x14ac:dyDescent="0.45">
      <c r="B50" s="32">
        <v>0</v>
      </c>
      <c r="C50" s="32" t="s">
        <v>77</v>
      </c>
      <c r="G50" s="34" t="str">
        <f ca="1"/>
        <v>"","1990-Oct-20"</v>
      </c>
      <c r="I50" s="32" t="str">
        <f ca="1"/>
        <v>0</v>
      </c>
      <c r="J50" s="32" t="str">
        <f ca="1"/>
        <v>-24.1065284489367</v>
      </c>
      <c r="L50" s="32">
        <f ca="1"/>
        <v>0</v>
      </c>
      <c r="M50" s="32" t="str">
        <f ca="1"/>
        <v>-24.1065284489367</v>
      </c>
      <c r="O50" s="18" t="b">
        <f ca="1"/>
        <v>1</v>
      </c>
      <c r="P50" s="18" t="b">
        <f ca="1"/>
        <v>1</v>
      </c>
    </row>
    <row r="51" spans="2:16" x14ac:dyDescent="0.45">
      <c r="B51" s="32"/>
      <c r="C51" s="32" t="s">
        <v>59</v>
      </c>
      <c r="G51" s="34" t="str">
        <f ca="1"/>
        <v>-793749,"ĥĖ"</v>
      </c>
      <c r="I51" s="32" t="str">
        <f ca="1"/>
        <v/>
      </c>
      <c r="J51" s="32" t="str">
        <f ca="1"/>
        <v/>
      </c>
      <c r="L51" s="32" t="str">
        <f ca="1"/>
        <v/>
      </c>
      <c r="M51" s="32" t="str">
        <f ca="1"/>
        <v/>
      </c>
      <c r="O51" s="18" t="b">
        <f ca="1"/>
        <v>0</v>
      </c>
      <c r="P51" s="18" t="b">
        <f ca="1"/>
        <v>1</v>
      </c>
    </row>
    <row r="52" spans="2:16" x14ac:dyDescent="0.45">
      <c r="B52" s="32">
        <v>28191</v>
      </c>
      <c r="C52" s="32" t="s">
        <v>59</v>
      </c>
      <c r="G52" s="34" t="str">
        <f ca="1"/>
        <v>-510.263255646027,0</v>
      </c>
      <c r="I52" s="32" t="str">
        <f ca="1"/>
        <v>28191</v>
      </c>
      <c r="J52" s="32" t="str">
        <f ca="1"/>
        <v/>
      </c>
      <c r="L52" s="32">
        <f ca="1"/>
        <v>28191</v>
      </c>
      <c r="M52" s="32" t="str">
        <f ca="1"/>
        <v/>
      </c>
      <c r="O52" s="18" t="b">
        <f ca="1"/>
        <v>1</v>
      </c>
      <c r="P52" s="18" t="b">
        <f ca="1"/>
        <v>1</v>
      </c>
    </row>
    <row r="53" spans="2:16" x14ac:dyDescent="0.45">
      <c r="G53" s="34" t="str">
        <f ca="1"/>
        <v>642154,"ïJ$œŬ8ĨĴ¹0"</v>
      </c>
      <c r="I53" t="str">
        <f ca="1"/>
        <v/>
      </c>
      <c r="J53" t="str">
        <f ca="1"/>
        <v/>
      </c>
      <c r="L53" t="str">
        <f ca="1"/>
        <v/>
      </c>
      <c r="M53" t="str">
        <f ca="1"/>
        <v/>
      </c>
      <c r="O53" t="e">
        <f ca="1"/>
        <v>#N/A</v>
      </c>
      <c r="P53" t="e">
        <f ca="1"/>
        <v>#N/A</v>
      </c>
    </row>
    <row r="54" spans="2:16" x14ac:dyDescent="0.45">
      <c r="G54" s="34" t="str">
        <f ca="1"/>
        <v>0,"-24.1065284489367"</v>
      </c>
    </row>
    <row r="55" spans="2:16" x14ac:dyDescent="0.45">
      <c r="G55" s="34" t="str">
        <f ca="1"/>
        <v>,""</v>
      </c>
    </row>
    <row r="56" spans="2:16" x14ac:dyDescent="0.45">
      <c r="G56" s="34" t="str">
        <f ca="1"/>
        <v>28191,""</v>
      </c>
    </row>
    <row r="57" spans="2:16" x14ac:dyDescent="0.45">
      <c r="G57" s="34"/>
    </row>
    <row r="58" spans="2:16" x14ac:dyDescent="0.45">
      <c r="G58" s="34"/>
    </row>
    <row r="59" spans="2:16" x14ac:dyDescent="0.45">
      <c r="G59" s="34"/>
    </row>
    <row r="60" spans="2:16" x14ac:dyDescent="0.45">
      <c r="G60" s="34"/>
    </row>
    <row r="61" spans="2:16" x14ac:dyDescent="0.45">
      <c r="G61" s="34"/>
    </row>
    <row r="62" spans="2:16" x14ac:dyDescent="0.45">
      <c r="G62" s="34"/>
    </row>
    <row r="63" spans="2:16" x14ac:dyDescent="0.45">
      <c r="G63" s="34"/>
    </row>
    <row r="64" spans="2:16" x14ac:dyDescent="0.45">
      <c r="G64" s="34"/>
    </row>
    <row r="65" spans="7:7" x14ac:dyDescent="0.45">
      <c r="G65" s="34"/>
    </row>
    <row r="66" spans="7:7" x14ac:dyDescent="0.45">
      <c r="G66" s="34"/>
    </row>
    <row r="67" spans="7:7" x14ac:dyDescent="0.45">
      <c r="G67" s="34"/>
    </row>
    <row r="68" spans="7:7" x14ac:dyDescent="0.45">
      <c r="G68" s="34"/>
    </row>
    <row r="69" spans="7:7" x14ac:dyDescent="0.45">
      <c r="G69" s="34"/>
    </row>
    <row r="70" spans="7:7" x14ac:dyDescent="0.45">
      <c r="G70" s="34"/>
    </row>
    <row r="71" spans="7:7" x14ac:dyDescent="0.45">
      <c r="G71" s="34"/>
    </row>
    <row r="72" spans="7:7" x14ac:dyDescent="0.45">
      <c r="G72" s="34"/>
    </row>
    <row r="73" spans="7:7" x14ac:dyDescent="0.45">
      <c r="G73" s="34"/>
    </row>
    <row r="74" spans="7:7" x14ac:dyDescent="0.45">
      <c r="G74" s="34"/>
    </row>
    <row r="75" spans="7:7" x14ac:dyDescent="0.45">
      <c r="G75" s="34"/>
    </row>
    <row r="76" spans="7:7" x14ac:dyDescent="0.45">
      <c r="G76" s="34"/>
    </row>
    <row r="77" spans="7:7" x14ac:dyDescent="0.45">
      <c r="G77" s="34"/>
    </row>
    <row r="78" spans="7:7" x14ac:dyDescent="0.45">
      <c r="G78" s="34"/>
    </row>
    <row r="79" spans="7:7" x14ac:dyDescent="0.45">
      <c r="G79" s="34"/>
    </row>
    <row r="80" spans="7:7" x14ac:dyDescent="0.45">
      <c r="G80" s="34"/>
    </row>
    <row r="81" spans="7:7" x14ac:dyDescent="0.45">
      <c r="G81" s="34"/>
    </row>
    <row r="82" spans="7:7" x14ac:dyDescent="0.45">
      <c r="G82" s="34"/>
    </row>
    <row r="83" spans="7:7" x14ac:dyDescent="0.45">
      <c r="G83" s="34"/>
    </row>
    <row r="84" spans="7:7" x14ac:dyDescent="0.45">
      <c r="G84" s="34"/>
    </row>
  </sheetData>
  <sheetProtection sheet="1" objects="1" scenarios="1"/>
  <conditionalFormatting sqref="H13:H62 B13:C52">
    <cfRule type="expression" dxfId="16" priority="26">
      <formula>ISLOGICAL(B13)</formula>
    </cfRule>
    <cfRule type="expression" dxfId="15" priority="27">
      <formula>ISTEXT(B13)</formula>
    </cfRule>
    <cfRule type="expression" dxfId="14" priority="28">
      <formula>ISNUMBER(B13)</formula>
    </cfRule>
  </conditionalFormatting>
  <conditionalFormatting sqref="O13:P52">
    <cfRule type="expression" dxfId="13" priority="14">
      <formula>IF(ISLOGICAL(O13),NOT(O13),FALSE)</formula>
    </cfRule>
  </conditionalFormatting>
  <conditionalFormatting sqref="B13:C52">
    <cfRule type="expression" dxfId="12" priority="13">
      <formula>ISERROR(B13)</formula>
    </cfRule>
  </conditionalFormatting>
  <conditionalFormatting sqref="G13:G84">
    <cfRule type="expression" dxfId="11" priority="10">
      <formula>ISLOGICAL(G13)</formula>
    </cfRule>
    <cfRule type="expression" dxfId="10" priority="11">
      <formula>ISTEXT(G13)</formula>
    </cfRule>
    <cfRule type="expression" dxfId="9" priority="12">
      <formula>ISNUMBER(G13)</formula>
    </cfRule>
  </conditionalFormatting>
  <conditionalFormatting sqref="G13:G84">
    <cfRule type="expression" dxfId="8" priority="9">
      <formula>ISERROR(G13)</formula>
    </cfRule>
  </conditionalFormatting>
  <conditionalFormatting sqref="I13:J52">
    <cfRule type="expression" dxfId="7" priority="6">
      <formula>ISLOGICAL(I13)</formula>
    </cfRule>
    <cfRule type="expression" dxfId="6" priority="7">
      <formula>ISTEXT(I13)</formula>
    </cfRule>
    <cfRule type="expression" dxfId="5" priority="8">
      <formula>ISNUMBER(I13)</formula>
    </cfRule>
  </conditionalFormatting>
  <conditionalFormatting sqref="I13:J52">
    <cfRule type="expression" dxfId="4" priority="5">
      <formula>ISERROR(I13)</formula>
    </cfRule>
  </conditionalFormatting>
  <conditionalFormatting sqref="L13:M52">
    <cfRule type="expression" dxfId="3" priority="2">
      <formula>ISLOGICAL(L13)</formula>
    </cfRule>
    <cfRule type="expression" dxfId="2" priority="3">
      <formula>ISTEXT(L13)</formula>
    </cfRule>
    <cfRule type="expression" dxfId="1" priority="4">
      <formula>ISNUMBER(L13)</formula>
    </cfRule>
  </conditionalFormatting>
  <conditionalFormatting sqref="L13:M52">
    <cfRule type="expression" dxfId="0" priority="1">
      <formula>ISERROR(L13)</formula>
    </cfRule>
  </conditionalFormatting>
  <dataValidations count="2">
    <dataValidation type="list" allowBlank="1" showInputMessage="1" showErrorMessage="1" sqref="C9" xr:uid="{683938C4-3C2D-44AA-AE22-D132A9196EE7}">
      <formula1>"Windows,Unix,Mac"</formula1>
    </dataValidation>
    <dataValidation type="list" allowBlank="1" showInputMessage="1" showErrorMessage="1" sqref="C8 C5" xr:uid="{3B83FDCB-6F13-4D0F-9E1E-0413FA4ACE76}">
      <formula1>"TRUE,FALSE"</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75EB8-C53B-4AB8-B060-6DE5BD845543}">
  <sheetPr codeName="shHelp"/>
  <dimension ref="B1:I97"/>
  <sheetViews>
    <sheetView showGridLines="0" showRowColHeaders="0" zoomScaleNormal="100" workbookViewId="0"/>
  </sheetViews>
  <sheetFormatPr defaultRowHeight="14.25" x14ac:dyDescent="0.45"/>
  <cols>
    <col min="1" max="1" width="4.59765625" customWidth="1"/>
    <col min="2" max="2" width="14.796875" bestFit="1" customWidth="1"/>
    <col min="3" max="3" width="69.59765625" bestFit="1" customWidth="1"/>
    <col min="8" max="8" width="14.796875" bestFit="1" customWidth="1"/>
    <col min="9" max="9" width="69.59765625" bestFit="1" customWidth="1"/>
  </cols>
  <sheetData>
    <row r="1" spans="2:9" ht="28.5" x14ac:dyDescent="0.85">
      <c r="B1" s="1" t="s">
        <v>50</v>
      </c>
    </row>
    <row r="3" spans="2:9" x14ac:dyDescent="0.45">
      <c r="B3" s="19" t="s">
        <v>45</v>
      </c>
      <c r="C3" s="19" t="s">
        <v>46</v>
      </c>
      <c r="H3" s="19" t="s">
        <v>45</v>
      </c>
      <c r="I3" s="19" t="s">
        <v>46</v>
      </c>
    </row>
    <row r="4" spans="2:9" ht="42.75" x14ac:dyDescent="0.45">
      <c r="B4" s="38" t="s">
        <v>44</v>
      </c>
      <c r="C4" s="38" t="s">
        <v>30</v>
      </c>
      <c r="H4" s="38" t="s">
        <v>85</v>
      </c>
      <c r="I4" s="37" t="s">
        <v>92</v>
      </c>
    </row>
    <row r="5" spans="2:9" x14ac:dyDescent="0.45">
      <c r="B5" s="19" t="s">
        <v>43</v>
      </c>
      <c r="C5" s="19" t="s">
        <v>47</v>
      </c>
      <c r="H5" s="19" t="s">
        <v>43</v>
      </c>
      <c r="I5" s="19" t="s">
        <v>47</v>
      </c>
    </row>
    <row r="6" spans="2:9" x14ac:dyDescent="0.45">
      <c r="B6" s="23" t="s">
        <v>0</v>
      </c>
      <c r="C6" s="23" t="s" cm="1">
        <v>31</v>
      </c>
      <c r="H6" s="23" t="s">
        <v>0</v>
      </c>
      <c r="I6" s="37" t="s">
        <v>31</v>
      </c>
    </row>
    <row r="7" spans="2:9" ht="42.75" x14ac:dyDescent="0.45">
      <c r="B7" s="23" t="s">
        <v>20</v>
      </c>
      <c r="C7" s="23" t="s">
        <v>42</v>
      </c>
      <c r="H7" s="23" t="s">
        <v>90</v>
      </c>
      <c r="I7" s="37" t="s">
        <v>97</v>
      </c>
    </row>
    <row r="8" spans="2:9" ht="57" x14ac:dyDescent="0.45">
      <c r="B8" s="24" t="s">
        <v>21</v>
      </c>
      <c r="C8" s="23" t="s">
        <v>32</v>
      </c>
      <c r="H8" s="23" t="s">
        <v>12</v>
      </c>
      <c r="I8" s="23" t="s">
        <v>93</v>
      </c>
    </row>
    <row r="9" spans="2:9" ht="42.75" x14ac:dyDescent="0.45">
      <c r="B9" s="24" t="s">
        <v>1</v>
      </c>
      <c r="C9" s="23" t="s">
        <v>34</v>
      </c>
      <c r="H9" s="23" t="s">
        <v>1</v>
      </c>
      <c r="I9" s="23" t="s">
        <v>94</v>
      </c>
    </row>
    <row r="10" spans="2:9" ht="42.75" x14ac:dyDescent="0.45">
      <c r="B10" s="23" t="s">
        <v>22</v>
      </c>
      <c r="C10" s="23" t="s">
        <v>36</v>
      </c>
      <c r="H10" s="23" t="s">
        <v>13</v>
      </c>
      <c r="I10" s="37" t="s">
        <v>102</v>
      </c>
    </row>
    <row r="11" spans="2:9" ht="28.5" x14ac:dyDescent="0.45">
      <c r="B11" s="23" t="s">
        <v>23</v>
      </c>
      <c r="C11" s="23" t="s">
        <v>37</v>
      </c>
      <c r="H11" s="23" t="s">
        <v>21</v>
      </c>
      <c r="I11" s="23" t="s">
        <v>95</v>
      </c>
    </row>
    <row r="12" spans="2:9" ht="28.5" x14ac:dyDescent="0.45">
      <c r="B12" s="23" t="s">
        <v>24</v>
      </c>
      <c r="C12" s="23" t="s">
        <v>38</v>
      </c>
      <c r="H12" s="23" t="s">
        <v>14</v>
      </c>
      <c r="I12" s="23" t="s">
        <v>98</v>
      </c>
    </row>
    <row r="13" spans="2:9" ht="28.5" x14ac:dyDescent="0.45">
      <c r="B13" s="23" t="s">
        <v>25</v>
      </c>
      <c r="C13" s="23" t="s">
        <v>39</v>
      </c>
      <c r="H13" s="23" t="s">
        <v>15</v>
      </c>
      <c r="I13" s="23" t="s">
        <v>96</v>
      </c>
    </row>
    <row r="14" spans="2:9" ht="42.75" x14ac:dyDescent="0.45">
      <c r="B14" s="23" t="s">
        <v>26</v>
      </c>
      <c r="C14" s="23" t="s">
        <v>33</v>
      </c>
      <c r="H14" s="23" t="s">
        <v>91</v>
      </c>
      <c r="I14" s="23" t="s">
        <v>101</v>
      </c>
    </row>
    <row r="15" spans="2:9" ht="57" x14ac:dyDescent="0.45">
      <c r="B15" s="23" t="s">
        <v>14</v>
      </c>
      <c r="C15" s="23" t="s">
        <v>40</v>
      </c>
      <c r="H15" s="23" t="s">
        <v>51</v>
      </c>
      <c r="I15" s="39" t="s">
        <v>100</v>
      </c>
    </row>
    <row r="16" spans="2:9" ht="28.5" x14ac:dyDescent="0.45">
      <c r="B16" s="23" t="s">
        <v>27</v>
      </c>
      <c r="C16" s="23" t="s">
        <v>41</v>
      </c>
    </row>
    <row r="17" spans="2:8" ht="28.5" x14ac:dyDescent="0.45">
      <c r="B17" s="23" t="s">
        <v>28</v>
      </c>
      <c r="C17" s="23" t="s">
        <v>35</v>
      </c>
    </row>
    <row r="18" spans="2:8" ht="28.5" x14ac:dyDescent="0.45">
      <c r="B18" s="23" t="s">
        <v>29</v>
      </c>
      <c r="C18" s="25" t="s">
        <v>52</v>
      </c>
    </row>
    <row r="19" spans="2:8" ht="185.25" x14ac:dyDescent="0.45">
      <c r="B19" s="23" t="s">
        <v>51</v>
      </c>
      <c r="C19" s="37" t="s">
        <v>99</v>
      </c>
    </row>
    <row r="20" spans="2:8" x14ac:dyDescent="0.45">
      <c r="C20" s="10"/>
    </row>
    <row r="21" spans="2:8" x14ac:dyDescent="0.45">
      <c r="C21" s="10"/>
    </row>
    <row r="23" spans="2:8" x14ac:dyDescent="0.45">
      <c r="B23" s="20" t="s">
        <v>48</v>
      </c>
    </row>
    <row r="24" spans="2:8" x14ac:dyDescent="0.45">
      <c r="B24" s="21" t="str" cm="1">
        <f t="array" aca="1" ref="B24:B42" ca="1">CodeToRegister(B4,C4,C6:C18)</f>
        <v>Sub RegisterCSVRead()</v>
      </c>
      <c r="H24" s="21" t="str" cm="1">
        <f t="array" aca="1" ref="H24:H38" ca="1">CodeToRegister(H4,I4,I6:I14)</f>
        <v>Sub RegisterCSVWrite()</v>
      </c>
    </row>
    <row r="25" spans="2:8" x14ac:dyDescent="0.45">
      <c r="B25" s="21" t="str">
        <f ca="1"/>
        <v xml:space="preserve">    Const FnDesc = "Returns the contents of a comma-separated file on disk as an array."</v>
      </c>
      <c r="H25" s="21" t="str">
        <f ca="1"/>
        <v xml:space="preserve">    Const FnDesc = "Creates a csv file on disk containing the data in the array Data. Any existing file of the same name is overwritten. If successful, the function returns the name of the file written, otherwise an error string. "</v>
      </c>
    </row>
    <row r="26" spans="2:8" x14ac:dyDescent="0.45">
      <c r="B26" s="21" t="str">
        <f ca="1"/>
        <v xml:space="preserve">    Dim ArgDescs() As String</v>
      </c>
      <c r="H26" s="21" t="str">
        <f ca="1"/>
        <v xml:space="preserve">    Dim ArgDescs() As String</v>
      </c>
    </row>
    <row r="27" spans="2:8" x14ac:dyDescent="0.45">
      <c r="B27" s="21" t="str">
        <f ca="1"/>
        <v xml:space="preserve">    ReDim ArgDescs(1 To 13)</v>
      </c>
      <c r="H27" s="21" t="str">
        <f ca="1"/>
        <v xml:space="preserve">    ReDim ArgDescs(1 To 9)</v>
      </c>
    </row>
    <row r="28" spans="2:8" x14ac:dyDescent="0.45">
      <c r="B28" s="22" t="str">
        <f ca="1"/>
        <v xml:space="preserve">    ArgDescs(1) = "The full name of the file, including the path."</v>
      </c>
      <c r="H28" s="21" t="str">
        <f ca="1"/>
        <v xml:space="preserve">    ArgDescs(1) = "The full name of the file, including the path."</v>
      </c>
    </row>
    <row r="29" spans="2:8" x14ac:dyDescent="0.45">
      <c r="B29" s="21" t="str">
        <f ca="1"/>
        <v xml:space="preserve">    ArgDescs(2) = "TRUE to convert Numbers, Dates, Logicals and Excel Errors into their typed values, or FALSE to leave as strings. For more control enter a string containing the letters N,D,L, and E eg ""NL"" to convert just numbers and logicals, not dates or errors."</v>
      </c>
      <c r="H29" s="21" t="str">
        <f ca="1"/>
        <v xml:space="preserve">    ArgDescs(2) = "An array of arbitrary data. Elements may be strings, numbers, dates, Booleans, empty, Excel errors or null values."</v>
      </c>
    </row>
    <row r="30" spans="2:8" x14ac:dyDescent="0.45">
      <c r="B30" s="21" t="str">
        <f ca="1"/>
        <v xml:space="preserve">    ArgDescs(3) = "Delimiter character. Defaults to the first instance of comma, tab, semi-colon, colon or vertical bar found in the file outside quoted regions. Enter FALSE to to see the file's raw contents as would be displayed in a text editor."</v>
      </c>
      <c r="H30" s="21" t="str">
        <f ca="1"/>
        <v xml:space="preserve">    ArgDescs(3) = "If TRUE (the default) then ALL strings are quoted before being written to file. Otherwise (FALSE) only strings containing characters comma, line feed, carriage return or double quote are quoted. Double quotes are always escaped by a second double quote."</v>
      </c>
    </row>
    <row r="31" spans="2:8" x14ac:dyDescent="0.45">
      <c r="B31" s="21" t="str">
        <f ca="1"/>
        <v xml:space="preserve">    ArgDescs(4) = "The format of dates in the file such as D-M-Y, M-D-Y or Y/M/D. If omitted a value is read from Windows regional settings. Repeated D's (or M's or Y's) are equivalent to single instances, so that d-m-y and DD-MMM-YYYY are equivalent."</v>
      </c>
      <c r="H31" s="21" t="str">
        <f ca="1"/>
        <v xml:space="preserve">    ArgDescs(4) = "A format string, such as 'yyyy-mm-dd' that determine how dates (e.g. cells formatted as dates) appear in the file."</v>
      </c>
    </row>
    <row r="32" spans="2:8" x14ac:dyDescent="0.45">
      <c r="B32" s="21" t="str">
        <f ca="1"/>
        <v xml:space="preserve">    ArgDescs(5) = "The ""row"" in the file at which reading starts. Optional and defaults to 1 to read from the first row."</v>
      </c>
      <c r="H32" s="21" t="str">
        <f ca="1"/>
        <v xml:space="preserve">    ArgDescs(5) = "A format string, such as 'yyyy-mm-dd hh:mm:ss' that determine how elements of dates with time appear in the file. Currently the companion function CVSRead is not capable of interpreting fields written in DateTime format."</v>
      </c>
    </row>
    <row r="33" spans="2:8" x14ac:dyDescent="0.45">
      <c r="B33" s="21" t="str">
        <f ca="1"/>
        <v xml:space="preserve">    ArgDescs(6) = "The ""column"" in the file at which reading starts. Optional and defaults to 1 to read from the first column."</v>
      </c>
      <c r="H33" s="21" t="str">
        <f ca="1"/>
        <v xml:space="preserve">    ArgDescs(6) = "If TRUE then the file written is encoded as unicode. Defaults to FALSE for an ascii file."</v>
      </c>
    </row>
    <row r="34" spans="2:8" x14ac:dyDescent="0.45">
      <c r="B34" s="21" t="str">
        <f ca="1"/>
        <v xml:space="preserve">    ArgDescs(7) = "The number of rows to read from the file. If omitted (or zero), all rows from StartRow to the end of the file are read."</v>
      </c>
      <c r="H34" s="21" t="str">
        <f ca="1"/>
        <v xml:space="preserve">    ArgDescs(7) = "If FALSE (the default) the file written will be ascii. If TRUE the file written will be Unicode."</v>
      </c>
    </row>
    <row r="35" spans="2:8" x14ac:dyDescent="0.45">
      <c r="B35" s="21" t="str">
        <f ca="1"/>
        <v xml:space="preserve">    ArgDescs(8) = "The number of columns to read from the file. If omitted (or zero), all columns from StartColumn are read."</v>
      </c>
      <c r="H35" s="21" t="str">
        <f ca="1"/>
        <v xml:space="preserve">    ArgDescs(8) = "Enter the required line ending character as ""Windows"" (or ascii 13 plus ascii 10), or ""Unix"" (or ascii 10) or ""Mac"" (or ascii 13). If omitted defaults to ""Windows""."</v>
      </c>
    </row>
    <row r="36" spans="2:8" x14ac:dyDescent="0.45">
      <c r="B36" s="21" t="str">
        <f ca="1"/>
        <v xml:space="preserve">    ArgDescs(9) = """Windows"" (or ascii 13 + 10, or FALSE), ""Unix"" (or ascii 10, or TRUE) or ""Mac"" (or ascii 13)  to specify line-endings, or ""Mixed"" for inconsistent line endings. Omit to infer from the first line ending found outside quoted regions."</v>
      </c>
      <c r="H36" s="21" t="str">
        <f ca="1"/>
        <v xml:space="preserve">    ArgDescs(9) = "This argument is for develop purposes only, it will soon be removed."</v>
      </c>
    </row>
    <row r="37" spans="2:8" x14ac:dyDescent="0.45">
      <c r="B37" s="21" t="str">
        <f ca="1"/>
        <v xml:space="preserve">    ArgDescs(10) = "Enter TRUE if the file is unicode, FALSE if the file is ascii. Omit to guess (via function sFileIsUnicode)."</v>
      </c>
      <c r="H37" s="21" t="str">
        <f ca="1"/>
        <v xml:space="preserve">    Application.MacroOptions "CSVWrite", FnDesc, , , , , , , , , ArgDescs</v>
      </c>
    </row>
    <row r="38" spans="2:8" x14ac:dyDescent="0.45">
      <c r="B38" s="21" t="str">
        <f ca="1"/>
        <v xml:space="preserve">    ArgDescs(11) = "Value to represent empty fields (successive delimiters) in the file. May be a string or an Empty value. Optional and defaults to the zero-length string."</v>
      </c>
      <c r="H38" s="21" t="str">
        <f ca="1"/>
        <v>End Sub</v>
      </c>
    </row>
    <row r="39" spans="2:8" x14ac:dyDescent="0.45">
      <c r="B39" s="21" t="str">
        <f ca="1"/>
        <v xml:space="preserve">    ArgDescs(12) = "The character that represents a decimal point. If omitted, then the value from Windows regional settings is used."</v>
      </c>
    </row>
    <row r="40" spans="2:8" x14ac:dyDescent="0.45">
      <c r="B40" s="21" t="str">
        <f ca="1"/>
        <v xml:space="preserve">    ArgDescs(13) = "For use from VBA, sets the lower bound for indexing into the returned array and must be 1 or 0. Optional, defaults to 1."</v>
      </c>
    </row>
    <row r="41" spans="2:8" x14ac:dyDescent="0.45">
      <c r="B41" s="21" t="str">
        <f ca="1"/>
        <v xml:space="preserve">    Application.MacroOptions "CSVRead", FnDesc, , , , , , , , , ArgDescs</v>
      </c>
    </row>
    <row r="42" spans="2:8" x14ac:dyDescent="0.45">
      <c r="B42" s="21" t="str">
        <f ca="1"/>
        <v>End Sub</v>
      </c>
    </row>
    <row r="44" spans="2:8" x14ac:dyDescent="0.45">
      <c r="B44" s="19" t="s">
        <v>49</v>
      </c>
      <c r="H44" s="19" t="s">
        <v>49</v>
      </c>
    </row>
    <row r="45" spans="2:8" x14ac:dyDescent="0.45">
      <c r="B45" s="21" t="str" cm="1">
        <f t="array" aca="1" ref="B45:B97" ca="1">HelpForVBE(B4,C4,"Philip Swannell",TODAY(),B6:B18,C6:C18,C19)</f>
        <v>'---------------------------------------------------------------------------------------------------------</v>
      </c>
      <c r="H45" s="21" t="str" cm="1">
        <f t="array" aca="1" ref="H45:H77" ca="1">HelpForVBE(H4,I4,"Philip Swannell",TODAY(),H6:H14,I6:I14,I15)</f>
        <v>'---------------------------------------------------------------------------------------------------------</v>
      </c>
    </row>
    <row r="46" spans="2:8" x14ac:dyDescent="0.45">
      <c r="B46" s="21" t="str">
        <f ca="1"/>
        <v>' Procedure : CSVRead</v>
      </c>
      <c r="H46" s="21" t="str">
        <f ca="1"/>
        <v>' Procedure : CSVWrite</v>
      </c>
    </row>
    <row r="47" spans="2:8" x14ac:dyDescent="0.45">
      <c r="B47" s="21" t="str">
        <f ca="1"/>
        <v>' Author    : Philip Swannell</v>
      </c>
      <c r="H47" s="21" t="str">
        <f ca="1"/>
        <v>' Author    : Philip Swannell</v>
      </c>
    </row>
    <row r="48" spans="2:8" x14ac:dyDescent="0.45">
      <c r="B48" s="21" t="str">
        <f ca="1"/>
        <v>' Date      : 02-Aug-2021</v>
      </c>
      <c r="H48" s="21" t="str">
        <f ca="1"/>
        <v>' Date      : 02-Aug-2021</v>
      </c>
    </row>
    <row r="49" spans="2:8" x14ac:dyDescent="0.45">
      <c r="B49" s="21" t="str">
        <f ca="1"/>
        <v>' Purpose   : Returns the contents of a comma-separated file on disk as an array.</v>
      </c>
      <c r="H49" s="21" t="str">
        <f ca="1"/>
        <v>' Purpose   : Creates a csv file on disk containing the data in the array Data. Any existing file of the</v>
      </c>
    </row>
    <row r="50" spans="2:8" x14ac:dyDescent="0.45">
      <c r="B50" s="21" t="str">
        <f ca="1"/>
        <v>' Arguments</v>
      </c>
      <c r="H50" s="21" t="str">
        <f ca="1"/>
        <v>'             same name is overwritten. If successful, the function returns the name of the</v>
      </c>
    </row>
    <row r="51" spans="2:8" x14ac:dyDescent="0.45">
      <c r="B51" s="21" t="str">
        <f ca="1"/>
        <v>' FileName  : The full name of the file, including the path.</v>
      </c>
      <c r="H51" s="21" t="str">
        <f ca="1"/>
        <v xml:space="preserve">'             file written, otherwise an error string. </v>
      </c>
    </row>
    <row r="52" spans="2:8" x14ac:dyDescent="0.45">
      <c r="B52" s="21" t="str">
        <f ca="1"/>
        <v>' TypeConversion: TRUE to convert Numbers, Dates, Logicals and Excel Errors into their typed values, or</v>
      </c>
      <c r="H52" s="21" t="str">
        <f ca="1"/>
        <v>' Arguments</v>
      </c>
    </row>
    <row r="53" spans="2:8" x14ac:dyDescent="0.45">
      <c r="B53" s="21" t="str">
        <f ca="1"/>
        <v>'             FALSE to leave as strings. For more control enter a string containing the</v>
      </c>
      <c r="H53" s="21" t="str">
        <f ca="1"/>
        <v>' FileName  : The full name of the file, including the path.</v>
      </c>
    </row>
    <row r="54" spans="2:8" x14ac:dyDescent="0.45">
      <c r="B54" s="21" t="str">
        <f ca="1"/>
        <v>'             letters N,D,L, and E eg "NL" to convert just numbers and logicals, not dates</v>
      </c>
      <c r="H54" s="21" t="str">
        <f ca="1"/>
        <v>' Data      : An array of arbitrary data. Elements may be strings, numbers, dates, Booleans, empty,</v>
      </c>
    </row>
    <row r="55" spans="2:8" x14ac:dyDescent="0.45">
      <c r="B55" s="21" t="str">
        <f ca="1"/>
        <v>'             or errors.</v>
      </c>
      <c r="H55" s="21" t="str">
        <f ca="1"/>
        <v>'             Excel errors or null values.</v>
      </c>
    </row>
    <row r="56" spans="2:8" x14ac:dyDescent="0.45">
      <c r="B56" s="21" t="str">
        <f ca="1"/>
        <v>' Delimiter : Delimiter character. Defaults to the first instance of comma, tab, semi-colon, colon or</v>
      </c>
      <c r="H56" s="21" t="str">
        <f ca="1"/>
        <v>' QuoteAllStrings: If TRUE (the default) then ALL strings are quoted before being written to file. Otherwise</v>
      </c>
    </row>
    <row r="57" spans="2:8" x14ac:dyDescent="0.45">
      <c r="B57" s="21" t="str">
        <f ca="1"/>
        <v>'             vertical bar found in the file outside quoted regions. Enter FALSE to to see</v>
      </c>
      <c r="H57" s="21" t="str">
        <f ca="1"/>
        <v>'             (FALSE) only strings containing characters comma, line feed, carriage return</v>
      </c>
    </row>
    <row r="58" spans="2:8" x14ac:dyDescent="0.45">
      <c r="B58" s="21" t="str">
        <f ca="1"/>
        <v>'             the file's raw contents as would be displayed in a text editor.</v>
      </c>
      <c r="H58" s="21" t="str">
        <f ca="1"/>
        <v>'             or double quote are quoted. Double quotes are always escaped by a second</v>
      </c>
    </row>
    <row r="59" spans="2:8" x14ac:dyDescent="0.45">
      <c r="B59" s="21" t="str">
        <f ca="1"/>
        <v>' DateFormat: The format of dates in the file such as D-M-Y, M-D-Y or Y/M/D. If omitted a value is read</v>
      </c>
      <c r="H59" s="21" t="str">
        <f ca="1"/>
        <v>'             double quote.</v>
      </c>
    </row>
    <row r="60" spans="2:8" x14ac:dyDescent="0.45">
      <c r="B60" s="21" t="str">
        <f ca="1"/>
        <v>'             from Windows regional settings. Repeated D's (or M's or Y's) are equivalent</v>
      </c>
      <c r="H60" s="21" t="str">
        <f ca="1"/>
        <v>' DateFormat: A format string, such as 'yyyy-mm-dd' that determine how dates (e.g. cells formatted as</v>
      </c>
    </row>
    <row r="61" spans="2:8" x14ac:dyDescent="0.45">
      <c r="B61" s="21" t="str">
        <f ca="1"/>
        <v>'             to single instances, so that d-m-y and DD-MMM-YYYY are equivalent.</v>
      </c>
      <c r="H61" s="21" t="str">
        <f ca="1"/>
        <v>'             dates) appear in the file.</v>
      </c>
    </row>
    <row r="62" spans="2:8" x14ac:dyDescent="0.45">
      <c r="B62" s="21" t="str">
        <f ca="1"/>
        <v>' StartRow  : The "row" in the file at which reading starts. Optional and defaults to 1 to read from the</v>
      </c>
      <c r="H62" s="21" t="str">
        <f ca="1"/>
        <v>' DateTimeFormat: A format string, such as 'yyyy-mm-dd hh:mm:ss' that determine how elements of dates with</v>
      </c>
    </row>
    <row r="63" spans="2:8" x14ac:dyDescent="0.45">
      <c r="B63" s="21" t="str">
        <f ca="1"/>
        <v>'             first row.</v>
      </c>
      <c r="H63" s="21" t="str">
        <f ca="1"/>
        <v>'             time appear in the file. Currently the companion function CVSRead is not</v>
      </c>
    </row>
    <row r="64" spans="2:8" x14ac:dyDescent="0.45">
      <c r="B64" s="21" t="str">
        <f ca="1"/>
        <v>' StartCol  : The "column" in the file at which reading starts. Optional and defaults to 1 to read from</v>
      </c>
      <c r="H64" s="21" t="str">
        <f ca="1"/>
        <v>'             capable of interpreting fields written in DateTime format.</v>
      </c>
    </row>
    <row r="65" spans="2:8" x14ac:dyDescent="0.45">
      <c r="B65" s="21" t="str">
        <f ca="1"/>
        <v>'             the first column.</v>
      </c>
      <c r="H65" s="21" t="str">
        <f ca="1"/>
        <v>' Delimiter : If TRUE then the file written is encoded as unicode. Defaults to FALSE for an ascii file.</v>
      </c>
    </row>
    <row r="66" spans="2:8" x14ac:dyDescent="0.45">
      <c r="B66" s="21" t="str">
        <f ca="1"/>
        <v>' NumRows   : The number of rows to read from the file. If omitted (or zero), all rows from StartRow to</v>
      </c>
      <c r="H66" s="21" t="str">
        <f ca="1"/>
        <v>' Unicode   : If FALSE (the default) the file written will be ascii. If TRUE the file written will be</v>
      </c>
    </row>
    <row r="67" spans="2:8" x14ac:dyDescent="0.45">
      <c r="B67" s="21" t="str">
        <f ca="1"/>
        <v>'             the end of the file are read.</v>
      </c>
      <c r="H67" s="21" t="str">
        <f ca="1"/>
        <v>'             Unicode.</v>
      </c>
    </row>
    <row r="68" spans="2:8" x14ac:dyDescent="0.45">
      <c r="B68" s="21" t="str">
        <f ca="1"/>
        <v>' NumCols   : The number of columns to read from the file. If omitted (or zero), all columns from</v>
      </c>
      <c r="H68" s="21" t="str">
        <f ca="1"/>
        <v>' EOL       : Enter the required line ending character as "Windows" (or ascii 13 plus ascii 10), or</v>
      </c>
    </row>
    <row r="69" spans="2:8" x14ac:dyDescent="0.45">
      <c r="B69" s="21" t="str">
        <f ca="1"/>
        <v>'             StartColumn are read.</v>
      </c>
      <c r="H69" s="21" t="str">
        <f ca="1"/>
        <v>'             "Unix" (or ascii 10) or "Mac" (or ascii 13). If omitted defaults to</v>
      </c>
    </row>
    <row r="70" spans="2:8" x14ac:dyDescent="0.45">
      <c r="B70" s="21" t="str">
        <f ca="1"/>
        <v>' LineEndings: "Windows" (or ascii 13 + 10, or FALSE), "Unix" (or ascii 10, or TRUE) or "Mac" (or ascii</v>
      </c>
      <c r="H70" s="21" t="str">
        <f ca="1"/>
        <v>'             "Windows".</v>
      </c>
    </row>
    <row r="71" spans="2:8" x14ac:dyDescent="0.45">
      <c r="B71" s="21" t="str">
        <f ca="1"/>
        <v>'             13)  to specify line-endings, or "Mixed" for inconsistent line endings. Omit</v>
      </c>
      <c r="H71" s="21" t="str">
        <f ca="1"/>
        <v>' Ragged    : This argument is for develop purposes only, it will soon be removed.</v>
      </c>
    </row>
    <row r="72" spans="2:8" x14ac:dyDescent="0.45">
      <c r="B72" s="21" t="str">
        <f ca="1"/>
        <v>'             to infer from the first line ending found outside quoted regions.</v>
      </c>
      <c r="H72" s="21" t="str">
        <f ca="1"/>
        <v>'</v>
      </c>
    </row>
    <row r="73" spans="2:8" x14ac:dyDescent="0.45">
      <c r="B73" s="21" t="str">
        <f ca="1"/>
        <v>' Unicode   : Enter TRUE if the file is unicode, FALSE if the file is ascii. Omit to guess (via function</v>
      </c>
      <c r="H73" s="21" t="str">
        <f ca="1"/>
        <v>' Notes     : See also CSVRead which is the inverse of this function.</v>
      </c>
    </row>
    <row r="74" spans="2:8" x14ac:dyDescent="0.45">
      <c r="B74" s="21" t="str">
        <f ca="1"/>
        <v>'             sFileIsUnicode).</v>
      </c>
      <c r="H74" s="21" t="str">
        <f ca="1"/>
        <v xml:space="preserve">'             </v>
      </c>
    </row>
    <row r="75" spans="2:8" x14ac:dyDescent="0.45">
      <c r="B75" s="21" t="str">
        <f ca="1"/>
        <v>' ShowMissingsAs: Value to represent empty fields (successive delimiters) in the file. May be a string or an</v>
      </c>
      <c r="H75" s="21" t="str">
        <f ca="1"/>
        <v>'             For definition of the CSV format see</v>
      </c>
    </row>
    <row r="76" spans="2:8" x14ac:dyDescent="0.45">
      <c r="B76" s="21" t="str">
        <f ca="1"/>
        <v>'             Empty value. Optional and defaults to the zero-length string.</v>
      </c>
      <c r="H76" s="21" t="str">
        <f ca="1"/>
        <v>'             https://tools.ietf.org/html/rfc4180#section-2</v>
      </c>
    </row>
    <row r="77" spans="2:8" x14ac:dyDescent="0.45">
      <c r="B77" s="21" t="str">
        <f ca="1"/>
        <v>' DecimalSeparator: The character that represents a decimal point. If omitted, then the value from Windows</v>
      </c>
      <c r="H77" s="21" t="str">
        <f ca="1"/>
        <v>'---------------------------------------------------------------------------------------------------------</v>
      </c>
    </row>
    <row r="78" spans="2:8" x14ac:dyDescent="0.45">
      <c r="B78" s="21" t="str">
        <f ca="1"/>
        <v>'             regional settings is used.</v>
      </c>
      <c r="H78" s="21"/>
    </row>
    <row r="79" spans="2:8" x14ac:dyDescent="0.45">
      <c r="B79" s="21" t="str">
        <f ca="1"/>
        <v>' LowerBounds: For use from VBA, sets the lower bound for indexing into the returned array and must be 1</v>
      </c>
      <c r="H79" s="21"/>
    </row>
    <row r="80" spans="2:8" x14ac:dyDescent="0.45">
      <c r="B80" s="21" t="str">
        <f ca="1"/>
        <v>'             or 0. Optional, defaults to 1.</v>
      </c>
      <c r="H80" s="21"/>
    </row>
    <row r="81" spans="2:8" x14ac:dyDescent="0.45">
      <c r="B81" s="21" t="str">
        <f ca="1"/>
        <v>'</v>
      </c>
      <c r="H81" s="21"/>
    </row>
    <row r="82" spans="2:8" x14ac:dyDescent="0.45">
      <c r="B82" s="21" t="str">
        <f ca="1"/>
        <v>' Notes     : See also CSVWrite for which this function is the inverse.</v>
      </c>
      <c r="H82" s="21"/>
    </row>
    <row r="83" spans="2:8" x14ac:dyDescent="0.45">
      <c r="B83" s="21" t="str">
        <f ca="1"/>
        <v xml:space="preserve">'             </v>
      </c>
      <c r="H83" s="21"/>
    </row>
    <row r="84" spans="2:8" x14ac:dyDescent="0.45">
      <c r="B84" s="21" t="str">
        <f ca="1"/>
        <v>'             The function handles all csv files that conform to the standards described in</v>
      </c>
      <c r="H84" s="21"/>
    </row>
    <row r="85" spans="2:8" x14ac:dyDescent="0.45">
      <c r="B85" s="21" t="str">
        <f ca="1"/>
        <v>'             RFC4180  https://www.rfc-editor.org/rfc/rfc4180.txt including files with</v>
      </c>
      <c r="H85" s="21"/>
    </row>
    <row r="86" spans="2:8" x14ac:dyDescent="0.45">
      <c r="B86" s="21" t="str">
        <f ca="1"/>
        <v>'             quoted fields.</v>
      </c>
      <c r="H86" s="21"/>
    </row>
    <row r="87" spans="2:8" x14ac:dyDescent="0.45">
      <c r="B87" s="21" t="str">
        <f ca="1"/>
        <v xml:space="preserve">'             </v>
      </c>
      <c r="H87" s="21"/>
    </row>
    <row r="88" spans="2:8" x14ac:dyDescent="0.45">
      <c r="B88" s="21" t="str">
        <f ca="1"/>
        <v>'             In addition the function handles files which break some of those standards:</v>
      </c>
      <c r="H88" s="21"/>
    </row>
    <row r="89" spans="2:8" x14ac:dyDescent="0.45">
      <c r="B89" s="21" t="str">
        <f ca="1"/>
        <v>'             * Not all lines of the file need have the same number of fields. The function</v>
      </c>
      <c r="H89" s="21"/>
    </row>
    <row r="90" spans="2:8" x14ac:dyDescent="0.45">
      <c r="B90" s="21" t="str">
        <f ca="1"/>
        <v>'             "pads" with the value given by ShowMissingsAs.</v>
      </c>
      <c r="H90" s="21"/>
    </row>
    <row r="91" spans="2:8" x14ac:dyDescent="0.45">
      <c r="B91" s="21" t="str">
        <f ca="1"/>
        <v>'             * Fields which start with a double quote but do not end with a double quote</v>
      </c>
      <c r="H91" s="21"/>
    </row>
    <row r="92" spans="2:8" x14ac:dyDescent="0.45">
      <c r="B92" s="21" t="str">
        <f ca="1"/>
        <v>'             are handled by being returned unchanged. Necessarily such fields have an even</v>
      </c>
      <c r="H92" s="21"/>
    </row>
    <row r="93" spans="2:8" x14ac:dyDescent="0.45">
      <c r="B93" s="21" t="str">
        <f ca="1"/>
        <v>'             number of double quotes, or otherwise the field will be treated as the last</v>
      </c>
      <c r="H93" s="21"/>
    </row>
    <row r="94" spans="2:8" x14ac:dyDescent="0.45">
      <c r="B94" s="21" t="str">
        <f ca="1"/>
        <v>'             field in the file.</v>
      </c>
      <c r="H94" s="21"/>
    </row>
    <row r="95" spans="2:8" x14ac:dyDescent="0.45">
      <c r="B95" s="21" t="str">
        <f ca="1"/>
        <v>'             * The standard states that csv files should have Windows-style line endings,</v>
      </c>
      <c r="H95" s="21"/>
    </row>
    <row r="96" spans="2:8" x14ac:dyDescent="0.45">
      <c r="B96" s="21" t="str">
        <f ca="1"/>
        <v>'             but the function supports Windows, Unix and (old) Mac line endings.</v>
      </c>
      <c r="H96" s="21"/>
    </row>
    <row r="97" spans="2:8" x14ac:dyDescent="0.45">
      <c r="B97" s="21" t="str">
        <f ca="1"/>
        <v>'---------------------------------------------------------------------------------------------------------</v>
      </c>
      <c r="H97" s="21"/>
    </row>
  </sheetData>
  <sheetProtection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21C20-73F6-48B9-91D2-6B6823820FCB}">
  <sheetPr codeName="shAudit"/>
  <dimension ref="B1:I16"/>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9" ht="28.5" x14ac:dyDescent="0.85">
      <c r="B1" s="1" t="s">
        <v>2</v>
      </c>
    </row>
    <row r="4" spans="2:9" x14ac:dyDescent="0.45">
      <c r="I4" s="19" t="s">
        <v>78</v>
      </c>
    </row>
    <row r="5" spans="2:9" x14ac:dyDescent="0.45">
      <c r="B5" s="2" t="s">
        <v>3</v>
      </c>
      <c r="C5" s="6" t="s">
        <v>4</v>
      </c>
      <c r="D5" s="41" t="s">
        <v>5</v>
      </c>
      <c r="E5" s="3" t="s">
        <v>6</v>
      </c>
      <c r="F5" s="8" t="s">
        <v>7</v>
      </c>
      <c r="I5" t="s">
        <v>79</v>
      </c>
    </row>
    <row r="6" spans="2:9" x14ac:dyDescent="0.45">
      <c r="B6" s="40">
        <v>4</v>
      </c>
      <c r="C6" s="12">
        <v>44411</v>
      </c>
      <c r="D6" s="42">
        <v>0.37682870370190358</v>
      </c>
      <c r="E6" s="13" t="s">
        <v>8</v>
      </c>
      <c r="F6" s="14" t="s">
        <v>108</v>
      </c>
      <c r="I6" t="s">
        <v>80</v>
      </c>
    </row>
    <row r="7" spans="2:9" x14ac:dyDescent="0.45">
      <c r="B7" s="11">
        <v>3</v>
      </c>
      <c r="C7" s="12">
        <v>44406</v>
      </c>
      <c r="D7" s="42">
        <v>0.59842592592758592</v>
      </c>
      <c r="E7" s="13" t="s">
        <v>8</v>
      </c>
      <c r="F7" s="14" t="s">
        <v>11</v>
      </c>
      <c r="I7" t="s">
        <v>81</v>
      </c>
    </row>
    <row r="8" spans="2:9" x14ac:dyDescent="0.45">
      <c r="B8" s="11">
        <v>2</v>
      </c>
      <c r="C8" s="12">
        <v>44406</v>
      </c>
      <c r="D8" s="42">
        <v>0.57677083333692281</v>
      </c>
      <c r="E8" s="13" t="s">
        <v>8</v>
      </c>
      <c r="F8" s="15" t="s">
        <v>10</v>
      </c>
      <c r="I8" t="s">
        <v>87</v>
      </c>
    </row>
    <row r="9" spans="2:9" x14ac:dyDescent="0.45">
      <c r="B9" s="4">
        <v>1</v>
      </c>
      <c r="C9" s="7">
        <v>44400</v>
      </c>
      <c r="D9" s="43">
        <v>0.58872685184906004</v>
      </c>
      <c r="E9" s="5" t="s">
        <v>8</v>
      </c>
      <c r="F9" s="9" t="s">
        <v>9</v>
      </c>
      <c r="I9" t="s">
        <v>88</v>
      </c>
    </row>
    <row r="10" spans="2:9" x14ac:dyDescent="0.45">
      <c r="I10" t="s">
        <v>89</v>
      </c>
    </row>
    <row r="11" spans="2:9" x14ac:dyDescent="0.45">
      <c r="I11" t="s">
        <v>105</v>
      </c>
    </row>
    <row r="12" spans="2:9" x14ac:dyDescent="0.45">
      <c r="I12" t="s">
        <v>106</v>
      </c>
    </row>
    <row r="13" spans="2:9" x14ac:dyDescent="0.45">
      <c r="I13" t="s">
        <v>107</v>
      </c>
    </row>
    <row r="16" spans="2:9" x14ac:dyDescent="0.45">
      <c r="I16" s="19" t="s">
        <v>109</v>
      </c>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Demo</vt:lpstr>
      <vt:lpstr>Help</vt:lpstr>
      <vt:lpstr>Audit</vt:lpstr>
      <vt:lpstr>DateFormat</vt:lpstr>
      <vt:lpstr>DateTimeFormat</vt:lpstr>
      <vt:lpstr>EOL</vt:lpstr>
      <vt:lpstr>FileName</vt:lpstr>
      <vt:lpstr>Audit!Headers</vt:lpstr>
      <vt:lpstr>QuoteAllStrings</vt:lpstr>
      <vt:lpstr>Unicode</vt:lpstr>
      <vt:lpstr>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2021-07-23T12:48:08Z</dcterms:created>
  <dcterms:modified xsi:type="dcterms:W3CDTF">2021-08-03T08:21:02Z</dcterms:modified>
</cp:coreProperties>
</file>