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
    </mc:Choice>
  </mc:AlternateContent>
  <xr:revisionPtr revIDLastSave="0" documentId="13_ncr:1_{85A683A3-FAAB-4259-B870-89E845C094E9}" xr6:coauthVersionLast="47" xr6:coauthVersionMax="47" xr10:uidLastSave="{00000000-0000-0000-0000-000000000000}"/>
  <bookViews>
    <workbookView xWindow="48503" yWindow="-98" windowWidth="38595" windowHeight="20580" xr2:uid="{86175985-054A-431D-8A4E-01C3A835BC9D}"/>
  </bookViews>
  <sheets>
    <sheet name="Sheet1" sheetId="1" r:id="rId1"/>
    <sheet name="Help" sheetId="3" r:id="rId2"/>
    <sheet name="Audit" sheetId="2" r:id="rId3"/>
  </sheets>
  <functionGroups builtInGroupCount="19"/>
  <definedNames>
    <definedName name="AllowLineFeed">Sheet1!$C$12</definedName>
    <definedName name="DateFormat">Sheet1!$C$6</definedName>
    <definedName name="DateTimeFormat">Sheet1!$C$7</definedName>
    <definedName name="EOL">Sheet1!$C$9</definedName>
    <definedName name="FileName">Sheet1!$C$4</definedName>
    <definedName name="Headers" localSheetId="2">Audit!$B$5:$F$5</definedName>
    <definedName name="NCols">Sheet1!$C$11</definedName>
    <definedName name="NRows">Sheet1!$C$10</definedName>
    <definedName name="QuoteAllStrings">Sheet1!$C$5</definedName>
    <definedName name="Unicode">Sheet1!$C$13</definedName>
    <definedName name="Windows">Sheet1!$C$5:$C$8</definedName>
  </definedNames>
  <calcPr calcId="191029" calcMode="manual" calcCompleted="0" calcOnSave="0"/>
  <fileRecoveryPr repairLoad="1"/>
  <extLst>
    <ext xmlns:x14="http://schemas.microsoft.com/office/spreadsheetml/2009/9/main" uri="{8193D73E-4604-4355-AFF4-8A2333D13BE4}">
      <x14:definedNames>
        <x14:definedName name="CSVRead">
          <x14:argumentDescriptions count="13">
            <x14:argumentDescription index="0">The full name of the file, including the path.</x14:argumentDescription>
            <x14:argumentDescription index="1">TRUE to convert Numbers, Dates, Logicals and Excel Errors into their typed values, or FALSE to leave as strings. For more control enter a string containing the letters N,D,L, and E eg "NL" to convert just numbers and logicals, not dates or errors.</x14:argumentDescription>
            <x14:argumentDescription index="2">Delimiter character. Defaults to the first instance of comma, tab, semi-colon, colon or vertical bar found in the file outside quoted regions. Enter FALSE to to see the file's raw contents as would be displayed in a text editor.</x14:argumentDescription>
            <x14:argumentDescription index="3">The format of dates in the file such as D-M-Y, M-D-Y or Y/M/D. If omitted a value is read from Windows regional settings. Repeated D's (or M's or Y's) are equivalent to single instances, so that d-m-y and DD-MMM-YYYY are equivalent.</x14:argumentDescription>
            <x14:argumentDescription index="4">The "row" in the file at which reading starts. Optional and defaults to 1 to read from the first row.</x14:argumentDescription>
            <x14:argumentDescription index="5">The "column" in the file at which reading starts. Optional and defaults to 1 to read from the first column.</x14:argumentDescription>
            <x14:argumentDescription index="6">The number of rows to read from the file. If omitted (or zero), all rows from StartRow to the end of the file are read.</x14:argumentDescription>
            <x14:argumentDescription index="7">The number of columns to read from the file. If omitted (or zero), all columns from StartColumn are read.</x14:argumentDescription>
            <x14:argumentDescription index="8">"Windows" (or ascii 13 + 10, or FALSE), "Unix" (or ascii 10, or TRUE) or "Mac" (or ascii 13)  to specify line-endings, or "Mixed" for inconsistent line endings. Omit to infer from the first line ending found outside quoted regions.</x14:argumentDescription>
            <x14:argumentDescription index="9">Enter TRUE if the file is unicode, FALSE if the file is ascii. Omit to guess (via function sFileIsUnicode).</x14:argumentDescription>
            <x14:argumentDescription index="10">Value to represent empty fields (successive delimiters) in the file. May be a string or an Empty value. Optional and defaults to the zero-length string.</x14:argumentDescription>
            <x14:argumentDescription index="11">The character that represents a decimal point. If omitted, then the value from Windows regional settings is used.</x14:argumentDescription>
            <x14:argumentDescription index="12">For use from VBA, sets the lower bound for indexing into the array and must be 1 or 0.</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4" i="3" l="1" a="1"/>
  <c r="B24" i="3"/>
  <c r="B19" i="1" a="1"/>
  <c r="B45" i="3" a="1"/>
  <c r="B19" i="1" l="1"/>
  <c r="B45" i="3"/>
  <c r="B16" i="1" a="1"/>
  <c r="B16" i="1" l="1"/>
  <c r="G19" i="1" a="1"/>
  <c r="G19" i="1" l="1"/>
  <c r="L19" i="1" a="1"/>
  <c r="L19" i="1" s="1"/>
  <c r="L16" i="1"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<sst xmlns="http://schemas.openxmlformats.org/spreadsheetml/2006/main" count="72" uniqueCount="66">
  <si>
    <t>FileName</t>
  </si>
  <si>
    <t>DateFormat</t>
  </si>
  <si>
    <t>Audit</t>
  </si>
  <si>
    <t>Version</t>
  </si>
  <si>
    <t>Date</t>
  </si>
  <si>
    <t>Time</t>
  </si>
  <si>
    <t>Author</t>
  </si>
  <si>
    <t>Comment</t>
  </si>
  <si>
    <t>Philip Swannell</t>
  </si>
  <si>
    <t>First version. Start with SolumAddin's sFileShow to create CSVParse.</t>
  </si>
  <si>
    <t>Reimported sFileSaveCSV and sFileShow from SolumAddin verison 2199. Code does not yet compile</t>
  </si>
  <si>
    <t>Code now compiles.</t>
  </si>
  <si>
    <t>QuoteAllStrings</t>
  </si>
  <si>
    <t>DateTimeFormat</t>
  </si>
  <si>
    <t>Unicode</t>
  </si>
  <si>
    <t>EOL</t>
  </si>
  <si>
    <t>Windows</t>
  </si>
  <si>
    <t>yyyy-mmm-dd</t>
  </si>
  <si>
    <t>yyyy-mmm-dd hh:mm:ss</t>
  </si>
  <si>
    <t>NRows</t>
  </si>
  <si>
    <t>NCols</t>
  </si>
  <si>
    <t>AllowLineFeed</t>
  </si>
  <si>
    <t>Inputs</t>
  </si>
  <si>
    <t>Call CSVRead</t>
  </si>
  <si>
    <t>Random Data to write to via CSVWrite</t>
  </si>
  <si>
    <t>Equal?</t>
  </si>
  <si>
    <t>VBA-CSV</t>
  </si>
  <si>
    <t>TypeConversion</t>
  </si>
  <si>
    <t>Delimiter</t>
  </si>
  <si>
    <t>StartRow</t>
  </si>
  <si>
    <t>StartCol</t>
  </si>
  <si>
    <t>NumRows</t>
  </si>
  <si>
    <t>NumCols</t>
  </si>
  <si>
    <t>LineEndings</t>
  </si>
  <si>
    <t>ShowMissingsAs</t>
  </si>
  <si>
    <t>DecimalSeparator</t>
  </si>
  <si>
    <t>LowerBounds</t>
  </si>
  <si>
    <t>Returns the contents of a comma-separated file on disk as an array.</t>
  </si>
  <si>
    <t>The full name of the file, including the path.</t>
  </si>
  <si>
    <t>Delimiter character. Defaults to the first instance of comma, tab, semi-colon, colon or vertical bar found in the file outside quoted regions. Enter FALSE to to see the file's raw contents as would be displayed in a text editor.</t>
  </si>
  <si>
    <t>"Windows" (or ascii 13 + 10, or FALSE), "Unix" (or ascii 10, or TRUE) or "Mac" (or ascii 13)  to specify line-endings, or "Mixed" for inconsistent line endings. Omit to infer from the first line ending found outside quoted regions.</t>
  </si>
  <si>
    <t>The format of dates in the file such as D-M-Y, M-D-Y or Y/M/D. If omitted a value is read from Windows regional settings. Repeated D's (or M's or Y's) are equivalent to single instances, so that d-m-y and DD-MMM-YYYY are equivalent.</t>
  </si>
  <si>
    <t>The character that represents a decimal point. If omitted, then the value from Windows regional settings is used.</t>
  </si>
  <si>
    <t>The "row" in the file at which reading starts. Optional and defaults to 1 to read from the first row.</t>
  </si>
  <si>
    <t>The "column" in the file at which reading starts. Optional and defaults to 1 to read from the first column.</t>
  </si>
  <si>
    <t>The number of rows to read from the file. If omitted (or zero), all rows from StartRow to the end of the file are read.</t>
  </si>
  <si>
    <t>The number of columns to read from the file. If omitted (or zero), all columns from StartColumn are read.</t>
  </si>
  <si>
    <t>Enter TRUE if the file is unicode, FALSE if the file is ascii. Omit to guess (via function sFileIsUnicode).</t>
  </si>
  <si>
    <t>Value to represent empty fields (successive delimiters) in the file. May be a string or an Empty value. Optional and defaults to the zero-length string.</t>
  </si>
  <si>
    <t>TRUE to convert Numbers, Dates, Logicals and Excel Errors into their typed values, or FALSE to leave as strings. For more control enter a string containing the letters N,D,L, and E eg "NL" to convert just numbers and logicals, not dates or errors.</t>
  </si>
  <si>
    <t>Argument</t>
  </si>
  <si>
    <t>CSVRead</t>
  </si>
  <si>
    <t>FunctionName</t>
  </si>
  <si>
    <t>FunctionDescription</t>
  </si>
  <si>
    <t>Description</t>
  </si>
  <si>
    <t>VBA Code to register with Excel function Wizard. Function description and argument descriptions must be 255 characters or less.</t>
  </si>
  <si>
    <t>Header for VBA code</t>
  </si>
  <si>
    <t>Keeping the help in sync</t>
  </si>
  <si>
    <t>ExtraHelp</t>
  </si>
  <si>
    <t>See also sFileSaveCSV for which this function is the inverse.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the value given by ShowMissingsAs.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Windows, Unix and (old) Mac line endings.</t>
  </si>
  <si>
    <t>For use from VBA, sets the lower bound for indexing into the returned array and must be 1 or 0. Optional, defaults to 1.</t>
  </si>
  <si>
    <t>C:\Temp\TestFile.CSV</t>
  </si>
  <si>
    <t>Call CSVWrite, passing in the result of a call to RandomVariants</t>
  </si>
  <si>
    <t>Read back the file just written</t>
  </si>
  <si>
    <t>RoundTripped correctly?</t>
  </si>
  <si>
    <t>&lt;- If TRUE, then round-tripping will work, if false then not since can't distinguish between numbers and strings that look like numbers (and dates and strings that look like dates etc)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</si>
</sst>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yy"/>
  </numFmts>
  <fonts count="6" x14ac:knownFonts="1">
    <font>
      <sz val="11"/>
      <color theme="1"/>
      <name val="Calibri"/>
      <family val="2"/>
      <scheme val="minor"/>
    </font>
    <font>
      <sz val="22"/>
      <color theme="1"/>
      <name val="Calibri"/>
      <family val="2"/>
      <scheme val="minor"/>
    </font>
    <font>
      <sz val="11"/>
      <name val="Calibri"/>
      <family val="2"/>
      <scheme val="minor"/>
    </font>
    <font>
      <b/>
      <sz val="11"/>
      <color theme="1"/>
      <name val="Calibri"/>
      <family val="2"/>
      <scheme val="minor"/>
    </font>
    <font>
      <sz val="11"/>
      <color rgb="FF0000FF"/>
      <name val="Calibri"/>
      <family val="2"/>
      <scheme val="minor"/>
    </font>
    <font>
      <sz val="10"/>
      <color theme="1"/>
      <name val="Courier New"/>
      <family val="3"/>
    </font>
  </fonts>
  <fills count="3">
    <fill>
      <patternFill patternType="none"/>
    </fill>
    <fill>
      <patternFill patternType="gray125"/>
    </fill>
    <fill>
      <patternFill patternType="solid">
        <fgColor indexed="65"/>
        <bgColor indexed="64"/>
      </patternFill>
    </fill>
  </fills>
  <borders count="11">
    <border>
      <left/>
      <right/>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s>
  <cellStyleXfs count="1">
    <xf numFmtId="0" fontId="0" fillId="0" borderId="0"/>
  </cellStyleXfs>
  <cellXfs count="30">
    <xf numFmtId="0" fontId="0" fillId="0" borderId="0" xfId="0"/>
    <xf numFmtId="0" fontId="1" fillId="0" borderId="0" xfId="0" applyFont="1"/>
    <xf numFmtId="0" fontId="0" fillId="0" borderId="1" xfId="0" applyBorder="1" applyAlignment="1">
      <alignment horizontal="center" vertical="center"/>
    </xf>
    <xf numFmtId="0" fontId="0" fillId="0" borderId="2" xfId="0" applyBorder="1" applyAlignment="1">
      <alignment horizontal="left" vertical="center"/>
    </xf>
    <xf numFmtId="38" fontId="2" fillId="2" borderId="4" xfId="0" applyNumberFormat="1" applyFont="1" applyFill="1" applyBorder="1" applyAlignment="1">
      <alignment horizontal="center" vertical="center"/>
    </xf>
    <xf numFmtId="0" fontId="2" fillId="2" borderId="5" xfId="0" applyFont="1" applyFill="1" applyBorder="1" applyAlignment="1">
      <alignment horizontal="left" vertical="center"/>
    </xf>
    <xf numFmtId="164" fontId="0" fillId="0" borderId="2" xfId="0" applyNumberFormat="1" applyBorder="1" applyAlignment="1">
      <alignment horizontal="left" vertical="center"/>
    </xf>
    <xf numFmtId="164" fontId="2" fillId="2" borderId="5" xfId="0" applyNumberFormat="1" applyFont="1" applyFill="1" applyBorder="1" applyAlignment="1">
      <alignment horizontal="left" vertical="center"/>
    </xf>
    <xf numFmtId="0" fontId="0" fillId="0" borderId="3" xfId="0" applyBorder="1" applyAlignment="1">
      <alignment horizontal="left" vertical="center" wrapText="1"/>
    </xf>
    <xf numFmtId="0" fontId="2" fillId="2" borderId="6" xfId="0" quotePrefix="1" applyFont="1" applyFill="1" applyBorder="1" applyAlignment="1">
      <alignment horizontal="left" vertical="center" wrapText="1"/>
    </xf>
    <xf numFmtId="0" fontId="0" fillId="0" borderId="0" xfId="0" quotePrefix="1" applyAlignment="1">
      <alignment horizontal="left"/>
    </xf>
    <xf numFmtId="38" fontId="2" fillId="2" borderId="7" xfId="0" applyNumberFormat="1" applyFont="1" applyFill="1" applyBorder="1" applyAlignment="1">
      <alignment horizontal="center" vertical="center"/>
    </xf>
    <xf numFmtId="164" fontId="2" fillId="2" borderId="8" xfId="0" applyNumberFormat="1" applyFont="1" applyFill="1" applyBorder="1" applyAlignment="1">
      <alignment horizontal="left" vertical="center"/>
    </xf>
    <xf numFmtId="0" fontId="2" fillId="2" borderId="8" xfId="0" applyFont="1" applyFill="1" applyBorder="1" applyAlignment="1">
      <alignment horizontal="left" vertical="center"/>
    </xf>
    <xf numFmtId="0" fontId="2" fillId="2" borderId="9" xfId="0" applyFont="1" applyFill="1" applyBorder="1" applyAlignment="1">
      <alignment horizontal="left" vertical="center" wrapText="1"/>
    </xf>
    <xf numFmtId="20" fontId="0" fillId="0" borderId="2" xfId="0" applyNumberFormat="1" applyBorder="1" applyAlignment="1">
      <alignment horizontal="left" vertical="center"/>
    </xf>
    <xf numFmtId="20" fontId="2" fillId="2" borderId="8" xfId="0" applyNumberFormat="1" applyFont="1" applyFill="1" applyBorder="1" applyAlignment="1">
      <alignment horizontal="left" vertical="center"/>
    </xf>
    <xf numFmtId="20" fontId="2" fillId="2" borderId="5" xfId="0" applyNumberFormat="1" applyFont="1" applyFill="1" applyBorder="1" applyAlignment="1">
      <alignment horizontal="left" vertical="center"/>
    </xf>
    <xf numFmtId="0" fontId="2" fillId="2" borderId="9" xfId="0" quotePrefix="1" applyFont="1" applyFill="1" applyBorder="1" applyAlignment="1">
      <alignment horizontal="left" vertical="center" wrapText="1"/>
    </xf>
    <xf numFmtId="0" fontId="4" fillId="0" borderId="0" xfId="0" quotePrefix="1" applyFont="1" applyAlignment="1" applyProtection="1">
      <alignment horizontal="left"/>
      <protection locked="0"/>
    </xf>
    <xf numFmtId="0" fontId="4" fillId="0" borderId="0" xfId="0" applyFont="1" applyAlignment="1" applyProtection="1">
      <alignment horizontal="left"/>
      <protection locked="0"/>
    </xf>
    <xf numFmtId="0" fontId="0" fillId="0" borderId="10" xfId="0" applyBorder="1"/>
    <xf numFmtId="0" fontId="0" fillId="0" borderId="10" xfId="0" quotePrefix="1" applyBorder="1" applyAlignment="1">
      <alignment horizontal="left"/>
    </xf>
    <xf numFmtId="0" fontId="3" fillId="0" borderId="0" xfId="0" applyFont="1"/>
    <xf numFmtId="0" fontId="3" fillId="0" borderId="0" xfId="0" quotePrefix="1" applyFont="1" applyAlignment="1">
      <alignment horizontal="left"/>
    </xf>
    <xf numFmtId="0" fontId="5" fillId="0" borderId="0" xfId="0" applyFont="1"/>
    <xf numFmtId="0" fontId="5" fillId="0" borderId="0" xfId="0" quotePrefix="1" applyFont="1" applyAlignment="1">
      <alignment horizontal="left"/>
    </xf>
    <xf numFmtId="0" fontId="0" fillId="0" borderId="0" xfId="0" applyAlignment="1">
      <alignment vertical="center" wrapText="1"/>
    </xf>
    <xf numFmtId="14" fontId="0" fillId="0" borderId="0" xfId="0" applyNumberFormat="1" applyAlignment="1">
      <alignment vertical="center" wrapText="1"/>
    </xf>
    <xf numFmtId="0" fontId="0" fillId="0" borderId="0" xfId="0" quotePrefix="1" applyAlignment="1">
      <alignment vertical="center" wrapText="1"/>
    </xf>
  </cellXfs>
  <cellStyles count="1">
    <cellStyle name="Normal" xfId="0" builtinId="0"/>
  </cellStyles>
  <dxfs count="14">
    <dxf>
      <fill>
        <patternFill>
          <bgColor rgb="FFFF0000"/>
        </patternFill>
      </fill>
    </dxf>
    <dxf>
      <fill>
        <patternFill>
          <bgColor rgb="FFFF0000"/>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A321A-91F7-472A-A62A-D780A9D4A49B}">
  <sheetPr codeName="Sheet1"/>
  <dimension ref="A1:O68"/>
  <sheetViews>
    <sheetView showGridLines="0" showRowColHeaders="0" tabSelected="1" workbookViewId="0">
      <selection activeCell="B5" sqref="B5"/>
    </sheetView>
  </sheetViews>
  <sheetFormatPr defaultRowHeight="14.25" x14ac:dyDescent="0.45"/>
  <cols>
    <col min="1" max="1" width="3.59765625" customWidth="1"/>
    <col min="2" max="5" width="23.59765625" customWidth="1"/>
    <col min="7" max="10" width="23.59765625" customWidth="1"/>
    <col min="18" max="18" width="13.19921875" bestFit="1" customWidth="1"/>
  </cols>
  <sheetData>
    <row r="1" spans="1:12" ht="28.5" x14ac:dyDescent="0.85">
      <c r="A1" s="1" t="s">
        <v>26</v>
      </c>
    </row>
    <row r="3" spans="1:12" x14ac:dyDescent="0.45">
      <c r="B3" s="23" t="s">
        <v>22</v>
      </c>
    </row>
    <row r="4" spans="1:12" x14ac:dyDescent="0.45">
      <c r="B4" t="s">
        <v>0</v>
      </c>
      <c r="C4" s="19" t="s">
        <v>61</v>
      </c>
    </row>
    <row r="5" spans="1:12" x14ac:dyDescent="0.45">
      <c r="B5" t="s">
        <v>12</v>
      </c>
      <c r="C5" s="20" t="b">
        <v>1</v>
      </c>
      <c r="D5" t="s">
        <v>65</v>
      </c>
    </row>
    <row r="6" spans="1:12" x14ac:dyDescent="0.45">
      <c r="B6" t="s">
        <v>1</v>
      </c>
      <c r="C6" s="19" t="s">
        <v>17</v>
      </c>
    </row>
    <row r="7" spans="1:12" x14ac:dyDescent="0.45">
      <c r="B7" t="s">
        <v>13</v>
      </c>
      <c r="C7" s="19" t="s">
        <v>18</v>
      </c>
    </row>
    <row r="8" spans="1:12" x14ac:dyDescent="0.45">
      <c r="B8" t="s">
        <v>14</v>
      </c>
      <c r="C8" s="20" t="b">
        <v>1</v>
      </c>
    </row>
    <row r="9" spans="1:12" x14ac:dyDescent="0.45">
      <c r="B9" t="s">
        <v>15</v>
      </c>
      <c r="C9" s="20" t="s">
        <v>16</v>
      </c>
    </row>
    <row r="10" spans="1:12" x14ac:dyDescent="0.45">
      <c r="B10" t="s">
        <v>19</v>
      </c>
      <c r="C10" s="20">
        <v>50</v>
      </c>
    </row>
    <row r="11" spans="1:12" x14ac:dyDescent="0.45">
      <c r="B11" t="s">
        <v>20</v>
      </c>
      <c r="C11" s="20">
        <v>4</v>
      </c>
    </row>
    <row r="12" spans="1:12" x14ac:dyDescent="0.45">
      <c r="B12" t="s">
        <v>21</v>
      </c>
      <c r="C12" s="20" t="b">
        <v>1</v>
      </c>
    </row>
    <row r="13" spans="1:12" x14ac:dyDescent="0.45">
      <c r="B13" t="s">
        <v>14</v>
      </c>
      <c r="C13" s="20" t="b">
        <v>1</v>
      </c>
    </row>
    <row r="14" spans="1:12" x14ac:dyDescent="0.45">
      <c r="C14" s="20"/>
    </row>
    <row r="15" spans="1:12" x14ac:dyDescent="0.45">
      <c r="B15" s="24" t="s">
        <v>62</v>
      </c>
      <c r="C15" s="20"/>
      <c r="G15" s="23" t="s">
        <v>63</v>
      </c>
      <c r="L15" s="23" t="s">
        <v>64</v>
      </c>
    </row>
    <row r="16" spans="1:12" x14ac:dyDescent="0.45">
      <c r="B16" t="str" cm="1">
        <f t="array" aca="1" ref="B16" ca="1">CSVWrite(FileName,_xlfn.ANCHORARRAY(B19),QuoteAllStrings,DateFormat,DateTimeFormat,,Unicode,EOL,FALSE)</f>
        <v>C:\Temp\TestFile.CSV</v>
      </c>
      <c r="C16" s="20"/>
      <c r="L16" s="21" t="b">
        <f ca="1">AND(ROWS(_xlfn.ANCHORARRAY(B19))=ROWS(_xlfn.ANCHORARRAY(G19)),COLUMNS(_xlfn.ANCHORARRAY(B19))=COLUMNS(_xlfn.ANCHORARRAY(G19)),AND(_xlfn.ANCHORARRAY(L19)))</f>
        <v>0</v>
      </c>
    </row>
    <row r="18" spans="2:15" x14ac:dyDescent="0.45">
      <c r="B18" s="10" t="s">
        <v>24</v>
      </c>
      <c r="G18" s="10" t="s">
        <v>23</v>
      </c>
      <c r="L18" t="s">
        <v>25</v>
      </c>
    </row>
    <row r="19" spans="2:15" x14ac:dyDescent="0.45">
      <c r="B19" s="21" t="str" cm="1">
        <f t="array" aca="1" ref="B19:E68" ca="1">RandomVariants(NRows,NCols,AllowLineFeed,Unicode)</f>
        <v>this
definitely_x000D_has_x000D_
line feeds</v>
      </c>
      <c r="C19" s="21" t="str">
        <f ca="1"/>
        <v/>
      </c>
      <c r="D19" s="21" t="str">
        <f ca="1"/>
        <v>ÂâÇĴ7p°Sàeĝŧċ'Ŭ©:ÿ</v>
      </c>
      <c r="E19" s="21" t="e">
        <f ca="1"/>
        <v>#NUM!</v>
      </c>
      <c r="G19" s="21" t="str" cm="1">
        <f t="array" aca="1" ref="G19:J68" ca="1">CSVRead(B16,TRUE)</f>
        <v>this
definitely_x000D_has_x000D_
line feeds</v>
      </c>
      <c r="H19" s="21" t="str">
        <f ca="1"/>
        <v/>
      </c>
      <c r="I19" s="21" t="str">
        <f ca="1"/>
        <v>ÂâÇĴ7p°Sàeĝŧċ'Ŭ©:ÿ</v>
      </c>
      <c r="J19" s="21" t="e">
        <f ca="1"/>
        <v>#NUM!</v>
      </c>
      <c r="L19" s="21" t="b" cm="1">
        <f t="array" aca="1" ref="L19:O68" ca="1">IFERROR(_xlfn.ANCHORARRAY(B19),"An Error")=IFERROR(_xlfn.ANCHORARRAY(G19),"An Error")</f>
        <v>1</v>
      </c>
      <c r="M19" s="21" t="b">
        <f ca="1"/>
        <v>1</v>
      </c>
      <c r="N19" s="21" t="b">
        <f ca="1"/>
        <v>1</v>
      </c>
      <c r="O19" s="21" t="b">
        <f ca="1"/>
        <v>1</v>
      </c>
    </row>
    <row r="20" spans="2:15" x14ac:dyDescent="0.45">
      <c r="B20" s="21" t="b">
        <f ca="1"/>
        <v>1</v>
      </c>
      <c r="C20" s="21">
        <f ca="1"/>
        <v>0</v>
      </c>
      <c r="D20" s="21">
        <f ca="1"/>
        <v>-9.4867322505863706E-3</v>
      </c>
      <c r="E20" s="21">
        <f ca="1"/>
        <v>0</v>
      </c>
      <c r="G20" s="21" t="b">
        <f ca="1"/>
        <v>1</v>
      </c>
      <c r="H20" s="21">
        <f ca="1"/>
        <v>0</v>
      </c>
      <c r="I20" s="21">
        <f ca="1"/>
        <v>-9.4867322505863706E-3</v>
      </c>
      <c r="J20" s="21">
        <f ca="1"/>
        <v>0</v>
      </c>
      <c r="L20" s="21" t="b">
        <f ca="1"/>
        <v>1</v>
      </c>
      <c r="M20" s="21" t="b">
        <f ca="1"/>
        <v>1</v>
      </c>
      <c r="N20" s="21" t="b">
        <f ca="1"/>
        <v>1</v>
      </c>
      <c r="O20" s="21" t="b">
        <f ca="1"/>
        <v>1</v>
      </c>
    </row>
    <row r="21" spans="2:15" x14ac:dyDescent="0.45">
      <c r="B21" s="21" t="str">
        <f ca="1"/>
        <v/>
      </c>
      <c r="C21" s="21" t="str">
        <f ca="1"/>
        <v>1971-Aug-03</v>
      </c>
      <c r="D21" s="21" t="str">
        <f ca="1"/>
        <v>-8.99617118061153E-02</v>
      </c>
      <c r="E21" s="21" t="str">
        <f ca="1"/>
        <v>3.2911485008423E-03</v>
      </c>
      <c r="G21" s="21" t="str">
        <f ca="1"/>
        <v/>
      </c>
      <c r="H21" s="21" t="str">
        <f ca="1"/>
        <v>1971-Aug-03</v>
      </c>
      <c r="I21" s="21">
        <f ca="1"/>
        <v>-8.9961711806115299E-2</v>
      </c>
      <c r="J21" s="21">
        <f ca="1"/>
        <v>3.2911485008423002E-3</v>
      </c>
      <c r="L21" s="21" t="b">
        <f ca="1"/>
        <v>1</v>
      </c>
      <c r="M21" s="21" t="b">
        <f ca="1"/>
        <v>1</v>
      </c>
      <c r="N21" s="21" t="b">
        <f ca="1"/>
        <v>0</v>
      </c>
      <c r="O21" s="21" t="b">
        <f ca="1"/>
        <v>0</v>
      </c>
    </row>
    <row r="22" spans="2:15" x14ac:dyDescent="0.45">
      <c r="B22" s="21" t="b">
        <f ca="1"/>
        <v>1</v>
      </c>
      <c r="C22" s="21">
        <f ca="1"/>
        <v>30350</v>
      </c>
      <c r="D22" s="21" t="str">
        <f ca="1"/>
        <v>ƁņÁƆeât</v>
      </c>
      <c r="E22" s="21">
        <f ca="1"/>
        <v>0</v>
      </c>
      <c r="G22" s="21" t="b">
        <f ca="1"/>
        <v>1</v>
      </c>
      <c r="H22" s="21">
        <f ca="1"/>
        <v>30350</v>
      </c>
      <c r="I22" s="21" t="str">
        <f ca="1"/>
        <v>ƁņÁƆeât</v>
      </c>
      <c r="J22" s="21">
        <f ca="1"/>
        <v>0</v>
      </c>
      <c r="L22" s="21" t="b">
        <f ca="1"/>
        <v>1</v>
      </c>
      <c r="M22" s="21" t="b">
        <f ca="1"/>
        <v>1</v>
      </c>
      <c r="N22" s="21" t="b">
        <f ca="1"/>
        <v>1</v>
      </c>
      <c r="O22" s="21" t="b">
        <f ca="1"/>
        <v>1</v>
      </c>
    </row>
    <row r="23" spans="2:15" x14ac:dyDescent="0.45">
      <c r="B23" s="21" t="str">
        <f ca="1"/>
        <v>1990-Jul-07</v>
      </c>
      <c r="C23" s="21" t="str">
        <f ca="1"/>
        <v>2032.78362034898</v>
      </c>
      <c r="D23" s="21" t="str">
        <f ca="1"/>
        <v>True</v>
      </c>
      <c r="E23" s="21" t="str">
        <f ca="1"/>
        <v>-66489.9692258206</v>
      </c>
      <c r="G23" s="21" t="str">
        <f ca="1"/>
        <v>1990-Jul-07</v>
      </c>
      <c r="H23" s="21">
        <f ca="1"/>
        <v>2032.7836203489801</v>
      </c>
      <c r="I23" s="21" t="b">
        <f ca="1"/>
        <v>1</v>
      </c>
      <c r="J23" s="21">
        <f ca="1"/>
        <v>-66489.969225820605</v>
      </c>
      <c r="L23" s="21" t="b">
        <f ca="1"/>
        <v>1</v>
      </c>
      <c r="M23" s="21" t="b">
        <f ca="1"/>
        <v>0</v>
      </c>
      <c r="N23" s="21" t="b">
        <f ca="1"/>
        <v>0</v>
      </c>
      <c r="O23" s="21" t="b">
        <f ca="1"/>
        <v>0</v>
      </c>
    </row>
    <row r="24" spans="2:15" x14ac:dyDescent="0.45">
      <c r="B24" s="21" t="str">
        <f ca="1"/>
        <v>-360.68281120595</v>
      </c>
      <c r="C24" s="21" t="str">
        <f ca="1"/>
        <v>zķŬJÍþ6Ńo§šzĎÆû÷Ņk</v>
      </c>
      <c r="D24" s="21" t="str">
        <f ca="1"/>
        <v>ĖŐĹZ+SŏhÝ`ãŪpŵƁŔƂzú¬</v>
      </c>
      <c r="E24" s="21">
        <f ca="1"/>
        <v>7917896349.3435402</v>
      </c>
      <c r="G24" s="21">
        <f ca="1"/>
        <v>-360.68281120594997</v>
      </c>
      <c r="H24" s="21" t="str">
        <f ca="1"/>
        <v>zķŬJÍþ6Ńo§šzĎÆû÷Ņk</v>
      </c>
      <c r="I24" s="21" t="str">
        <f ca="1"/>
        <v>ĖŐĹZ+SŏhÝ`ãŪpŵƁŔƂzú¬</v>
      </c>
      <c r="J24" s="21">
        <f ca="1"/>
        <v>7917896349.3435402</v>
      </c>
      <c r="L24" s="21" t="b">
        <f ca="1"/>
        <v>0</v>
      </c>
      <c r="M24" s="21" t="b">
        <f ca="1"/>
        <v>1</v>
      </c>
      <c r="N24" s="21" t="b">
        <f ca="1"/>
        <v>1</v>
      </c>
      <c r="O24" s="21" t="b">
        <f ca="1"/>
        <v>1</v>
      </c>
    </row>
    <row r="25" spans="2:15" x14ac:dyDescent="0.45">
      <c r="B25" s="21" t="e">
        <f ca="1"/>
        <v>#N/A</v>
      </c>
      <c r="C25" s="21" t="str">
        <f ca="1"/>
        <v/>
      </c>
      <c r="D25" s="21">
        <f ca="1"/>
        <v>-102764</v>
      </c>
      <c r="E25" s="21" t="b">
        <f ca="1"/>
        <v>0</v>
      </c>
      <c r="G25" s="21" t="e">
        <f ca="1"/>
        <v>#N/A</v>
      </c>
      <c r="H25" s="21" t="str">
        <f ca="1"/>
        <v/>
      </c>
      <c r="I25" s="21">
        <f ca="1"/>
        <v>-102764</v>
      </c>
      <c r="J25" s="21" t="b">
        <f ca="1"/>
        <v>0</v>
      </c>
      <c r="L25" s="21" t="b">
        <f ca="1"/>
        <v>1</v>
      </c>
      <c r="M25" s="21" t="b">
        <f ca="1"/>
        <v>1</v>
      </c>
      <c r="N25" s="21" t="b">
        <f ca="1"/>
        <v>1</v>
      </c>
      <c r="O25" s="21" t="b">
        <f ca="1"/>
        <v>1</v>
      </c>
    </row>
    <row r="26" spans="2:15" x14ac:dyDescent="0.45">
      <c r="B26" s="21" t="str">
        <f ca="1"/>
        <v>3.7456514866995E-06</v>
      </c>
      <c r="C26" s="21" t="str">
        <f ca="1"/>
        <v>1.00673459029171</v>
      </c>
      <c r="D26" s="21" t="str">
        <f ca="1"/>
        <v>False</v>
      </c>
      <c r="E26" s="21">
        <f ca="1"/>
        <v>390516</v>
      </c>
      <c r="G26" s="21">
        <f ca="1"/>
        <v>3.7456514866995001E-6</v>
      </c>
      <c r="H26" s="21">
        <f ca="1"/>
        <v>1.00673459029171</v>
      </c>
      <c r="I26" s="21" t="b">
        <f ca="1"/>
        <v>0</v>
      </c>
      <c r="J26" s="21">
        <f ca="1"/>
        <v>390516</v>
      </c>
      <c r="L26" s="21" t="b">
        <f ca="1"/>
        <v>0</v>
      </c>
      <c r="M26" s="21" t="b">
        <f ca="1"/>
        <v>0</v>
      </c>
      <c r="N26" s="21" t="b">
        <f ca="1"/>
        <v>0</v>
      </c>
      <c r="O26" s="21" t="b">
        <f ca="1"/>
        <v>1</v>
      </c>
    </row>
    <row r="27" spans="2:15" x14ac:dyDescent="0.45">
      <c r="B27" s="21">
        <f ca="1"/>
        <v>31694</v>
      </c>
      <c r="C27" s="21" t="str">
        <f ca="1"/>
        <v>ĢÿƋ|[ÍŠ¶ãJż©Upģ;ĚU</v>
      </c>
      <c r="D27" s="21" t="str">
        <f ca="1"/>
        <v>32.2088825772502</v>
      </c>
      <c r="E27" s="21" t="str">
        <f ca="1"/>
        <v>12559320.320391</v>
      </c>
      <c r="G27" s="21">
        <f ca="1"/>
        <v>31694</v>
      </c>
      <c r="H27" s="21" t="str">
        <f ca="1"/>
        <v>ĢÿƋ|[ÍŠ¶ãJż©Upģ;ĚU</v>
      </c>
      <c r="I27" s="21">
        <f ca="1"/>
        <v>32.208882577250201</v>
      </c>
      <c r="J27" s="21">
        <f ca="1"/>
        <v>12559320.320390999</v>
      </c>
      <c r="L27" s="21" t="b">
        <f ca="1"/>
        <v>1</v>
      </c>
      <c r="M27" s="21" t="b">
        <f ca="1"/>
        <v>1</v>
      </c>
      <c r="N27" s="21" t="b">
        <f ca="1"/>
        <v>0</v>
      </c>
      <c r="O27" s="21" t="b">
        <f ca="1"/>
        <v>0</v>
      </c>
    </row>
    <row r="28" spans="2:15" x14ac:dyDescent="0.45">
      <c r="B28" s="21" t="str">
        <f ca="1"/>
        <v/>
      </c>
      <c r="C28" s="21" t="str">
        <f ca="1"/>
        <v>%ŧc~</v>
      </c>
      <c r="D28" s="21" t="b">
        <f ca="1"/>
        <v>0</v>
      </c>
      <c r="E28" s="21" t="b">
        <f ca="1"/>
        <v>1</v>
      </c>
      <c r="G28" s="21" t="str">
        <f ca="1"/>
        <v/>
      </c>
      <c r="H28" s="21" t="str">
        <f ca="1"/>
        <v>%ŧc~</v>
      </c>
      <c r="I28" s="21" t="b">
        <f ca="1"/>
        <v>0</v>
      </c>
      <c r="J28" s="21" t="b">
        <f ca="1"/>
        <v>1</v>
      </c>
      <c r="L28" s="21" t="b">
        <f ca="1"/>
        <v>1</v>
      </c>
      <c r="M28" s="21" t="b">
        <f ca="1"/>
        <v>1</v>
      </c>
      <c r="N28" s="21" t="b">
        <f ca="1"/>
        <v>1</v>
      </c>
      <c r="O28" s="21" t="b">
        <f ca="1"/>
        <v>1</v>
      </c>
    </row>
    <row r="29" spans="2:15" x14ac:dyDescent="0.45">
      <c r="B29" s="21" t="str">
        <f ca="1"/>
        <v>False</v>
      </c>
      <c r="C29" s="21">
        <f ca="1"/>
        <v>0</v>
      </c>
      <c r="D29" s="21" t="str">
        <f ca="1"/>
        <v>ÂŢŨ</v>
      </c>
      <c r="E29" s="21">
        <f ca="1"/>
        <v>0</v>
      </c>
      <c r="G29" s="21" t="b">
        <f ca="1"/>
        <v>0</v>
      </c>
      <c r="H29" s="21">
        <f ca="1"/>
        <v>0</v>
      </c>
      <c r="I29" s="21" t="str">
        <f ca="1"/>
        <v>ÂŢŨ</v>
      </c>
      <c r="J29" s="21">
        <f ca="1"/>
        <v>0</v>
      </c>
      <c r="L29" s="21" t="b">
        <f ca="1"/>
        <v>0</v>
      </c>
      <c r="M29" s="21" t="b">
        <f ca="1"/>
        <v>1</v>
      </c>
      <c r="N29" s="21" t="b">
        <f ca="1"/>
        <v>1</v>
      </c>
      <c r="O29" s="21" t="b">
        <f ca="1"/>
        <v>1</v>
      </c>
    </row>
    <row r="30" spans="2:15" x14ac:dyDescent="0.45">
      <c r="B30" s="21">
        <f ca="1"/>
        <v>-762241</v>
      </c>
      <c r="C30" s="21">
        <f ca="1"/>
        <v>2069810907.6271</v>
      </c>
      <c r="D30" s="21">
        <f ca="1"/>
        <v>494091936.27699602</v>
      </c>
      <c r="E30" s="21" t="e">
        <f ca="1"/>
        <v>#N/A</v>
      </c>
      <c r="G30" s="21">
        <f ca="1"/>
        <v>-762241</v>
      </c>
      <c r="H30" s="21">
        <f ca="1"/>
        <v>2069810907.6271</v>
      </c>
      <c r="I30" s="21">
        <f ca="1"/>
        <v>494091936.27699602</v>
      </c>
      <c r="J30" s="21" t="e">
        <f ca="1"/>
        <v>#N/A</v>
      </c>
      <c r="L30" s="21" t="b">
        <f ca="1"/>
        <v>1</v>
      </c>
      <c r="M30" s="21" t="b">
        <f ca="1"/>
        <v>1</v>
      </c>
      <c r="N30" s="21" t="b">
        <f ca="1"/>
        <v>1</v>
      </c>
      <c r="O30" s="21" t="b">
        <f ca="1"/>
        <v>1</v>
      </c>
    </row>
    <row r="31" spans="2:15" x14ac:dyDescent="0.45">
      <c r="B31" s="21">
        <f ca="1"/>
        <v>-96191</v>
      </c>
      <c r="C31" s="21">
        <f ca="1"/>
        <v>368612</v>
      </c>
      <c r="D31" s="21" t="b">
        <f ca="1"/>
        <v>1</v>
      </c>
      <c r="E31" s="21" t="str">
        <f ca="1"/>
        <v>False</v>
      </c>
      <c r="G31" s="21">
        <f ca="1"/>
        <v>-96191</v>
      </c>
      <c r="H31" s="21">
        <f ca="1"/>
        <v>368612</v>
      </c>
      <c r="I31" s="21" t="b">
        <f ca="1"/>
        <v>1</v>
      </c>
      <c r="J31" s="21" t="b">
        <f ca="1"/>
        <v>0</v>
      </c>
      <c r="L31" s="21" t="b">
        <f ca="1"/>
        <v>1</v>
      </c>
      <c r="M31" s="21" t="b">
        <f ca="1"/>
        <v>1</v>
      </c>
      <c r="N31" s="21" t="b">
        <f ca="1"/>
        <v>1</v>
      </c>
      <c r="O31" s="21" t="b">
        <f ca="1"/>
        <v>0</v>
      </c>
    </row>
    <row r="32" spans="2:15" x14ac:dyDescent="0.45">
      <c r="B32" s="21" t="b">
        <f ca="1"/>
        <v>1</v>
      </c>
      <c r="C32" s="21">
        <f ca="1"/>
        <v>44872</v>
      </c>
      <c r="D32" s="21">
        <f ca="1"/>
        <v>0</v>
      </c>
      <c r="E32" s="21" t="str">
        <f ca="1"/>
        <v>False</v>
      </c>
      <c r="G32" s="21" t="b">
        <f ca="1"/>
        <v>1</v>
      </c>
      <c r="H32" s="21">
        <f ca="1"/>
        <v>44872</v>
      </c>
      <c r="I32" s="21">
        <f ca="1"/>
        <v>0</v>
      </c>
      <c r="J32" s="21" t="b">
        <f ca="1"/>
        <v>0</v>
      </c>
      <c r="L32" s="21" t="b">
        <f ca="1"/>
        <v>1</v>
      </c>
      <c r="M32" s="21" t="b">
        <f ca="1"/>
        <v>1</v>
      </c>
      <c r="N32" s="21" t="b">
        <f ca="1"/>
        <v>1</v>
      </c>
      <c r="O32" s="21" t="b">
        <f ca="1"/>
        <v>0</v>
      </c>
    </row>
    <row r="33" spans="2:15" x14ac:dyDescent="0.45">
      <c r="B33" s="21">
        <f ca="1"/>
        <v>57676</v>
      </c>
      <c r="C33" s="21" t="e">
        <f ca="1"/>
      </c>
      <c r="D33" s="21">
        <f ca="1"/>
        <v>1.20537843523506E-4</v>
      </c>
      <c r="E33" s="21">
        <f ca="1"/>
        <v>0</v>
      </c>
      <c r="G33" s="21">
        <f ca="1"/>
        <v>57676</v>
      </c>
      <c r="H33" s="21" t="e">
        <f ca="1"/>
      </c>
      <c r="I33" s="21">
        <f ca="1"/>
        <v>1.20537843523506E-4</v>
      </c>
      <c r="J33" s="21">
        <f ca="1"/>
        <v>0</v>
      </c>
      <c r="L33" s="21" t="b">
        <f ca="1"/>
        <v>1</v>
      </c>
      <c r="M33" s="21" t="b">
        <f ca="1"/>
        <v>1</v>
      </c>
      <c r="N33" s="21" t="b">
        <f ca="1"/>
        <v>1</v>
      </c>
      <c r="O33" s="21" t="b">
        <f ca="1"/>
        <v>1</v>
      </c>
    </row>
    <row r="34" spans="2:15" x14ac:dyDescent="0.45">
      <c r="B34" s="21">
        <f ca="1"/>
        <v>2.7085679937978301E-2</v>
      </c>
      <c r="C34" s="21">
        <f ca="1"/>
        <v>-974975</v>
      </c>
      <c r="D34" s="22">
        <f ca="1"/>
        <v>47774</v>
      </c>
      <c r="E34" s="21">
        <f ca="1"/>
        <v>0</v>
      </c>
      <c r="G34" s="21">
        <f ca="1"/>
        <v>2.7085679937978301E-2</v>
      </c>
      <c r="H34" s="21">
        <f ca="1"/>
        <v>-974975</v>
      </c>
      <c r="I34" s="22">
        <f ca="1"/>
        <v>47774</v>
      </c>
      <c r="J34" s="21">
        <f ca="1"/>
        <v>0</v>
      </c>
      <c r="L34" s="21" t="b">
        <f ca="1"/>
        <v>1</v>
      </c>
      <c r="M34" s="21" t="b">
        <f ca="1"/>
        <v>1</v>
      </c>
      <c r="N34" s="21" t="b">
        <f ca="1"/>
        <v>1</v>
      </c>
      <c r="O34" s="21" t="b">
        <f ca="1"/>
        <v>1</v>
      </c>
    </row>
    <row r="35" spans="2:15" x14ac:dyDescent="0.45">
      <c r="B35" s="21">
        <f ca="1"/>
        <v>-0.13913101813488299</v>
      </c>
      <c r="C35" s="21" t="b">
        <f ca="1"/>
        <v>1</v>
      </c>
      <c r="D35" s="22" t="str">
        <f ca="1"/>
        <v>7.80933503133375E-04</v>
      </c>
      <c r="E35" s="21" t="b">
        <f ca="1"/>
        <v>1</v>
      </c>
      <c r="G35" s="21">
        <f ca="1"/>
        <v>-0.13913101813488299</v>
      </c>
      <c r="H35" s="21" t="b">
        <f ca="1"/>
        <v>1</v>
      </c>
      <c r="I35" s="22">
        <f ca="1"/>
        <v>7.8093350313337495E-4</v>
      </c>
      <c r="J35" s="21" t="b">
        <f ca="1"/>
        <v>1</v>
      </c>
      <c r="L35" s="21" t="b">
        <f ca="1"/>
        <v>1</v>
      </c>
      <c r="M35" s="21" t="b">
        <f ca="1"/>
        <v>1</v>
      </c>
      <c r="N35" s="21" t="b">
        <f ca="1"/>
        <v>0</v>
      </c>
      <c r="O35" s="21" t="b">
        <f ca="1"/>
        <v>1</v>
      </c>
    </row>
    <row r="36" spans="2:15" x14ac:dyDescent="0.45">
      <c r="B36" s="21" t="str">
        <f ca="1"/>
        <v>False</v>
      </c>
      <c r="C36" s="21" t="e">
        <f ca="1"/>
      </c>
      <c r="D36" s="22" t="b">
        <f ca="1"/>
        <v>1</v>
      </c>
      <c r="E36" s="21" t="str">
        <f ca="1"/>
        <v/>
      </c>
      <c r="G36" s="21" t="b">
        <f ca="1"/>
        <v>0</v>
      </c>
      <c r="H36" s="21" t="e">
        <f ca="1"/>
      </c>
      <c r="I36" s="22" t="b">
        <f ca="1"/>
        <v>1</v>
      </c>
      <c r="J36" s="21" t="str">
        <f ca="1"/>
        <v/>
      </c>
      <c r="L36" s="21" t="b">
        <f ca="1"/>
        <v>0</v>
      </c>
      <c r="M36" s="21" t="b">
        <f ca="1"/>
        <v>1</v>
      </c>
      <c r="N36" s="21" t="b">
        <f ca="1"/>
        <v>1</v>
      </c>
      <c r="O36" s="21" t="b">
        <f ca="1"/>
        <v>1</v>
      </c>
    </row>
    <row r="37" spans="2:15" x14ac:dyDescent="0.45">
      <c r="B37" s="21" t="e">
        <f ca="1"/>
        <v>#N/A</v>
      </c>
      <c r="C37" s="21" t="b">
        <f ca="1"/>
        <v>0</v>
      </c>
      <c r="D37" s="22" t="b">
        <f ca="1"/>
        <v>1</v>
      </c>
      <c r="E37" s="21">
        <f ca="1"/>
        <v>0</v>
      </c>
      <c r="G37" s="21" t="e">
        <f ca="1"/>
        <v>#N/A</v>
      </c>
      <c r="H37" s="21" t="b">
        <f ca="1"/>
        <v>0</v>
      </c>
      <c r="I37" s="22" t="b">
        <f ca="1"/>
        <v>1</v>
      </c>
      <c r="J37" s="21">
        <f ca="1"/>
        <v>0</v>
      </c>
      <c r="L37" s="21" t="b">
        <f ca="1"/>
        <v>1</v>
      </c>
      <c r="M37" s="21" t="b">
        <f ca="1"/>
        <v>1</v>
      </c>
      <c r="N37" s="21" t="b">
        <f ca="1"/>
        <v>1</v>
      </c>
      <c r="O37" s="21" t="b">
        <f ca="1"/>
        <v>1</v>
      </c>
    </row>
    <row r="38" spans="2:15" x14ac:dyDescent="0.45">
      <c r="B38" s="21" t="str">
        <f ca="1"/>
        <v/>
      </c>
      <c r="C38" s="21" t="str">
        <f ca="1"/>
        <v>ĸ.ØZ</v>
      </c>
      <c r="D38" s="22">
        <f ca="1"/>
        <v>4.0179585968423704E-9</v>
      </c>
      <c r="E38" s="21" t="b">
        <f ca="1"/>
        <v>1</v>
      </c>
      <c r="G38" s="21" t="str">
        <f ca="1"/>
        <v/>
      </c>
      <c r="H38" s="21" t="str">
        <f ca="1"/>
        <v>ĸ.ØZ</v>
      </c>
      <c r="I38" s="22">
        <f ca="1"/>
        <v>4.0179585968423704E-9</v>
      </c>
      <c r="J38" s="21" t="b">
        <f ca="1"/>
        <v>1</v>
      </c>
      <c r="L38" s="21" t="b">
        <f ca="1"/>
        <v>1</v>
      </c>
      <c r="M38" s="21" t="b">
        <f ca="1"/>
        <v>1</v>
      </c>
      <c r="N38" s="21" t="b">
        <f ca="1"/>
        <v>1</v>
      </c>
      <c r="O38" s="21" t="b">
        <f ca="1"/>
        <v>1</v>
      </c>
    </row>
    <row r="39" spans="2:15" x14ac:dyDescent="0.45">
      <c r="B39" s="21" t="str">
        <f ca="1"/>
        <v/>
      </c>
      <c r="C39" s="21">
        <f ca="1"/>
        <v>-127230</v>
      </c>
      <c r="D39" s="22" t="str">
        <f ca="1"/>
        <v>ÙĄsƄķ)`êūĎÊßĹƆƈĶƃ</v>
      </c>
      <c r="E39" s="21">
        <f ca="1"/>
        <v>0</v>
      </c>
      <c r="G39" s="21" t="str">
        <f ca="1"/>
        <v/>
      </c>
      <c r="H39" s="21">
        <f ca="1"/>
        <v>-127230</v>
      </c>
      <c r="I39" s="22" t="str">
        <f ca="1"/>
        <v>ÙĄsƄķ)`êūĎÊßĹƆƈĶƃ</v>
      </c>
      <c r="J39" s="21">
        <f ca="1"/>
        <v>0</v>
      </c>
      <c r="L39" s="21" t="b">
        <f ca="1"/>
        <v>1</v>
      </c>
      <c r="M39" s="21" t="b">
        <f ca="1"/>
        <v>1</v>
      </c>
      <c r="N39" s="21" t="b">
        <f ca="1"/>
        <v>1</v>
      </c>
      <c r="O39" s="21" t="b">
        <f ca="1"/>
        <v>1</v>
      </c>
    </row>
    <row r="40" spans="2:15" x14ac:dyDescent="0.45">
      <c r="B40" s="21">
        <f ca="1"/>
        <v>0</v>
      </c>
      <c r="C40" s="21" t="str">
        <f ca="1"/>
        <v/>
      </c>
      <c r="D40" s="21">
        <f ca="1"/>
        <v>359672</v>
      </c>
      <c r="E40" s="21">
        <f ca="1"/>
        <v>-885311</v>
      </c>
      <c r="G40" s="21">
        <f ca="1"/>
        <v>0</v>
      </c>
      <c r="H40" s="21" t="str">
        <f ca="1"/>
        <v/>
      </c>
      <c r="I40" s="21">
        <f ca="1"/>
        <v>359672</v>
      </c>
      <c r="J40" s="21">
        <f ca="1"/>
        <v>-885311</v>
      </c>
      <c r="L40" s="21" t="b">
        <f ca="1"/>
        <v>1</v>
      </c>
      <c r="M40" s="21" t="b">
        <f ca="1"/>
        <v>1</v>
      </c>
      <c r="N40" s="21" t="b">
        <f ca="1"/>
        <v>1</v>
      </c>
      <c r="O40" s="21" t="b">
        <f ca="1"/>
        <v>1</v>
      </c>
    </row>
    <row r="41" spans="2:15" x14ac:dyDescent="0.45">
      <c r="B41" s="21" t="str">
        <f ca="1"/>
        <v/>
      </c>
      <c r="C41" s="21" t="str">
        <f ca="1"/>
        <v/>
      </c>
      <c r="D41" s="21" t="b">
        <f ca="1"/>
        <v>1</v>
      </c>
      <c r="E41" s="21" t="str">
        <f ca="1"/>
        <v/>
      </c>
      <c r="G41" s="21" t="str">
        <f ca="1"/>
        <v/>
      </c>
      <c r="H41" s="21" t="str">
        <f ca="1"/>
        <v/>
      </c>
      <c r="I41" s="21" t="b">
        <f ca="1"/>
        <v>1</v>
      </c>
      <c r="J41" s="21" t="str">
        <f ca="1"/>
        <v/>
      </c>
      <c r="L41" s="21" t="b">
        <f ca="1"/>
        <v>1</v>
      </c>
      <c r="M41" s="21" t="b">
        <f ca="1"/>
        <v>1</v>
      </c>
      <c r="N41" s="21" t="b">
        <f ca="1"/>
        <v>1</v>
      </c>
      <c r="O41" s="21" t="b">
        <f ca="1"/>
        <v>1</v>
      </c>
    </row>
    <row r="42" spans="2:15" x14ac:dyDescent="0.45">
      <c r="B42" s="21">
        <f ca="1"/>
        <v>-9761913.3804540392</v>
      </c>
      <c r="C42" s="21">
        <f ca="1"/>
        <v>2197.9020617405299</v>
      </c>
      <c r="D42" s="21" t="str">
        <f ca="1"/>
        <v>True</v>
      </c>
      <c r="E42" s="21" t="str">
        <f ca="1"/>
        <v>2019-Aug-02</v>
      </c>
      <c r="G42" s="21">
        <f ca="1"/>
        <v>-9761913.3804540392</v>
      </c>
      <c r="H42" s="21">
        <f ca="1"/>
        <v>2197.9020617405299</v>
      </c>
      <c r="I42" s="21" t="b">
        <f ca="1"/>
        <v>1</v>
      </c>
      <c r="J42" s="21" t="str">
        <f ca="1"/>
        <v>2019-Aug-02</v>
      </c>
      <c r="L42" s="21" t="b">
        <f ca="1"/>
        <v>1</v>
      </c>
      <c r="M42" s="21" t="b">
        <f ca="1"/>
        <v>1</v>
      </c>
      <c r="N42" s="21" t="b">
        <f ca="1"/>
        <v>0</v>
      </c>
      <c r="O42" s="21" t="b">
        <f ca="1"/>
        <v>1</v>
      </c>
    </row>
    <row r="43" spans="2:15" x14ac:dyDescent="0.45">
      <c r="B43" s="21" t="str">
        <f ca="1"/>
        <v/>
      </c>
      <c r="C43" s="21" t="str">
        <f ca="1"/>
        <v/>
      </c>
      <c r="D43" s="21" t="e">
        <f ca="1"/>
        <v>#N/A</v>
      </c>
      <c r="E43" s="21">
        <f ca="1"/>
        <v>-840939</v>
      </c>
      <c r="G43" s="21" t="str">
        <f ca="1"/>
        <v/>
      </c>
      <c r="H43" s="21" t="str">
        <f ca="1"/>
        <v/>
      </c>
      <c r="I43" s="21" t="e">
        <f ca="1"/>
        <v>#N/A</v>
      </c>
      <c r="J43" s="21">
        <f ca="1"/>
        <v>-840939</v>
      </c>
      <c r="L43" s="21" t="b">
        <f ca="1"/>
        <v>1</v>
      </c>
      <c r="M43" s="21" t="b">
        <f ca="1"/>
        <v>1</v>
      </c>
      <c r="N43" s="21" t="b">
        <f ca="1"/>
        <v>1</v>
      </c>
      <c r="O43" s="21" t="b">
        <f ca="1"/>
        <v>1</v>
      </c>
    </row>
    <row r="44" spans="2:15" x14ac:dyDescent="0.45">
      <c r="B44" s="21" t="str">
        <f ca="1"/>
        <v>2043-Dec-21</v>
      </c>
      <c r="C44" s="21" t="str">
        <f ca="1"/>
        <v>2034-Mar-21</v>
      </c>
      <c r="D44" s="21" t="str">
        <f ca="1"/>
        <v>2061-Jul-10</v>
      </c>
      <c r="E44" s="21">
        <f ca="1"/>
        <v>0</v>
      </c>
      <c r="G44" s="21" t="str">
        <f ca="1"/>
        <v>2043-Dec-21</v>
      </c>
      <c r="H44" s="21" t="str">
        <f ca="1"/>
        <v>2034-Mar-21</v>
      </c>
      <c r="I44" s="21" t="str">
        <f ca="1"/>
        <v>2061-Jul-10</v>
      </c>
      <c r="J44" s="21">
        <f ca="1"/>
        <v>0</v>
      </c>
      <c r="L44" s="21" t="b">
        <f ca="1"/>
        <v>1</v>
      </c>
      <c r="M44" s="21" t="b">
        <f ca="1"/>
        <v>1</v>
      </c>
      <c r="N44" s="21" t="b">
        <f ca="1"/>
        <v>1</v>
      </c>
      <c r="O44" s="21" t="b">
        <f ca="1"/>
        <v>1</v>
      </c>
    </row>
    <row r="45" spans="2:15" x14ac:dyDescent="0.45">
      <c r="B45" s="21">
        <f ca="1"/>
        <v>-383345.71823467698</v>
      </c>
      <c r="C45" s="21">
        <f ca="1"/>
        <v>475114</v>
      </c>
      <c r="D45" s="21">
        <f ca="1"/>
        <v>42308</v>
      </c>
      <c r="E45" s="21" t="e">
        <f ca="1"/>
        <v>#DIV/0!</v>
      </c>
      <c r="G45" s="21">
        <f ca="1"/>
        <v>-383345.71823467698</v>
      </c>
      <c r="H45" s="21">
        <f ca="1"/>
        <v>475114</v>
      </c>
      <c r="I45" s="21">
        <f ca="1"/>
        <v>42308</v>
      </c>
      <c r="J45" s="21" t="e">
        <f ca="1"/>
        <v>#DIV/0!</v>
      </c>
      <c r="L45" s="21" t="b">
        <f ca="1"/>
        <v>1</v>
      </c>
      <c r="M45" s="21" t="b">
        <f ca="1"/>
        <v>1</v>
      </c>
      <c r="N45" s="21" t="b">
        <f ca="1"/>
        <v>1</v>
      </c>
      <c r="O45" s="21" t="b">
        <f ca="1"/>
        <v>1</v>
      </c>
    </row>
    <row r="46" spans="2:15" x14ac:dyDescent="0.45">
      <c r="B46" s="21">
        <f ca="1"/>
        <v>-723054</v>
      </c>
      <c r="C46" s="21" t="b">
        <f ca="1"/>
        <v>0</v>
      </c>
      <c r="D46" s="21" t="str">
        <f ca="1"/>
        <v>%ųÓĐÒjŔx2ĭ</v>
      </c>
      <c r="E46" s="21" t="str">
        <f ca="1"/>
        <v>False</v>
      </c>
      <c r="G46" s="21">
        <f ca="1"/>
        <v>-723054</v>
      </c>
      <c r="H46" s="21" t="b">
        <f ca="1"/>
        <v>0</v>
      </c>
      <c r="I46" s="21" t="str">
        <f ca="1"/>
        <v>%ųÓĐÒjŔx2ĭ</v>
      </c>
      <c r="J46" s="21" t="b">
        <f ca="1"/>
        <v>0</v>
      </c>
      <c r="L46" s="21" t="b">
        <f ca="1"/>
        <v>1</v>
      </c>
      <c r="M46" s="21" t="b">
        <f ca="1"/>
        <v>1</v>
      </c>
      <c r="N46" s="21" t="b">
        <f ca="1"/>
        <v>1</v>
      </c>
      <c r="O46" s="21" t="b">
        <f ca="1"/>
        <v>0</v>
      </c>
    </row>
    <row r="47" spans="2:15" x14ac:dyDescent="0.45">
      <c r="B47" s="21" t="str">
        <f ca="1"/>
        <v/>
      </c>
      <c r="C47" s="21" t="str">
        <f ca="1"/>
        <v>żöůBu_ƉĂĮıĠ·bō#</v>
      </c>
      <c r="D47" s="21" t="str">
        <f ca="1"/>
        <v>"vÐ¸</v>
      </c>
      <c r="E47" s="21" t="str">
        <f ca="1"/>
        <v>ĳgÊıŚJp\ķK</v>
      </c>
      <c r="G47" s="21" t="str">
        <f ca="1"/>
        <v/>
      </c>
      <c r="H47" s="21" t="str">
        <f ca="1"/>
        <v>żöůBu_ƉĂĮıĠ·bō#</v>
      </c>
      <c r="I47" s="21" t="str">
        <f ca="1"/>
        <v>"vÐ¸</v>
      </c>
      <c r="J47" s="21" t="str">
        <f ca="1"/>
        <v>ĳgÊıŚJp\ķK</v>
      </c>
      <c r="L47" s="21" t="b">
        <f ca="1"/>
        <v>1</v>
      </c>
      <c r="M47" s="21" t="b">
        <f ca="1"/>
        <v>1</v>
      </c>
      <c r="N47" s="21" t="b">
        <f ca="1"/>
        <v>1</v>
      </c>
      <c r="O47" s="21" t="b">
        <f ca="1"/>
        <v>1</v>
      </c>
    </row>
    <row r="48" spans="2:15" x14ac:dyDescent="0.45">
      <c r="B48" s="21" t="str">
        <f ca="1"/>
        <v>nĴĘÿĚŕW#ËģSìñÃƒƂ</v>
      </c>
      <c r="C48" s="21" t="str">
        <f ca="1"/>
        <v>-30227.8163901222</v>
      </c>
      <c r="D48" s="21">
        <f ca="1"/>
        <v>59716</v>
      </c>
      <c r="E48" s="21">
        <f ca="1"/>
        <v>415325</v>
      </c>
      <c r="G48" s="21" t="str">
        <f ca="1"/>
        <v>nĴĘÿĚŕW#ËģSìñÃƒƂ</v>
      </c>
      <c r="H48" s="21">
        <f ca="1"/>
        <v>-30227.8163901222</v>
      </c>
      <c r="I48" s="21">
        <f ca="1"/>
        <v>59716</v>
      </c>
      <c r="J48" s="21">
        <f ca="1"/>
        <v>415325</v>
      </c>
      <c r="L48" s="21" t="b">
        <f ca="1"/>
        <v>1</v>
      </c>
      <c r="M48" s="21" t="b">
        <f ca="1"/>
        <v>0</v>
      </c>
      <c r="N48" s="21" t="b">
        <f ca="1"/>
        <v>1</v>
      </c>
      <c r="O48" s="21" t="b">
        <f ca="1"/>
        <v>1</v>
      </c>
    </row>
    <row r="49" spans="2:15" x14ac:dyDescent="0.45">
      <c r="B49" s="21" t="str">
        <f ca="1"/>
        <v/>
      </c>
      <c r="C49" s="21" t="str">
        <f ca="1"/>
        <v>äű</v>
      </c>
      <c r="D49" s="21">
        <f ca="1"/>
        <v>0</v>
      </c>
      <c r="E49" s="21">
        <f ca="1"/>
        <v>-3.78701363854864E-8</v>
      </c>
      <c r="G49" s="21" t="str">
        <f ca="1"/>
        <v/>
      </c>
      <c r="H49" s="21" t="str">
        <f ca="1"/>
        <v>äű</v>
      </c>
      <c r="I49" s="21">
        <f ca="1"/>
        <v>0</v>
      </c>
      <c r="J49" s="21">
        <f ca="1"/>
        <v>-3.78701363854864E-8</v>
      </c>
      <c r="L49" s="21" t="b">
        <f ca="1"/>
        <v>1</v>
      </c>
      <c r="M49" s="21" t="b">
        <f ca="1"/>
        <v>1</v>
      </c>
      <c r="N49" s="21" t="b">
        <f ca="1"/>
        <v>1</v>
      </c>
      <c r="O49" s="21" t="b">
        <f ca="1"/>
        <v>1</v>
      </c>
    </row>
    <row r="50" spans="2:15" x14ac:dyDescent="0.45">
      <c r="B50" s="21" t="str">
        <f ca="1"/>
        <v>2011-Feb-09</v>
      </c>
      <c r="C50" s="21" t="e">
        <f ca="1"/>
        <v>#N/A</v>
      </c>
      <c r="D50" s="21" t="e">
        <f ca="1"/>
        <v>#N/A</v>
      </c>
      <c r="E50" s="21">
        <f ca="1"/>
        <v>36728</v>
      </c>
      <c r="G50" s="21" t="str">
        <f ca="1"/>
        <v>2011-Feb-09</v>
      </c>
      <c r="H50" s="21" t="e">
        <f ca="1"/>
        <v>#N/A</v>
      </c>
      <c r="I50" s="21" t="e">
        <f ca="1"/>
        <v>#N/A</v>
      </c>
      <c r="J50" s="21">
        <f ca="1"/>
        <v>36728</v>
      </c>
      <c r="L50" s="21" t="b">
        <f ca="1"/>
        <v>1</v>
      </c>
      <c r="M50" s="21" t="b">
        <f ca="1"/>
        <v>1</v>
      </c>
      <c r="N50" s="21" t="b">
        <f ca="1"/>
        <v>1</v>
      </c>
      <c r="O50" s="21" t="b">
        <f ca="1"/>
        <v>1</v>
      </c>
    </row>
    <row r="51" spans="2:15" x14ac:dyDescent="0.45">
      <c r="B51" s="21">
        <f ca="1"/>
        <v>0</v>
      </c>
      <c r="C51" s="21" t="str">
        <f ca="1"/>
        <v>ĬŞ8Ň</v>
      </c>
      <c r="D51" s="21" t="e">
        <f ca="1"/>
      </c>
      <c r="E51" s="21" t="str">
        <f ca="1"/>
        <v>-2.00470759964033E-04</v>
      </c>
      <c r="G51" s="21">
        <f ca="1"/>
        <v>0</v>
      </c>
      <c r="H51" s="21" t="str">
        <f ca="1"/>
        <v>ĬŞ8Ň</v>
      </c>
      <c r="I51" s="21" t="e">
        <f ca="1"/>
      </c>
      <c r="J51" s="21">
        <f ca="1"/>
        <v>-2.0047075996403301E-4</v>
      </c>
      <c r="L51" s="21" t="b">
        <f ca="1"/>
        <v>1</v>
      </c>
      <c r="M51" s="21" t="b">
        <f ca="1"/>
        <v>1</v>
      </c>
      <c r="N51" s="21" t="b">
        <f ca="1"/>
        <v>1</v>
      </c>
      <c r="O51" s="21" t="b">
        <f ca="1"/>
        <v>0</v>
      </c>
    </row>
    <row r="52" spans="2:15" x14ac:dyDescent="0.45">
      <c r="B52" s="21" t="e">
        <f ca="1"/>
        <v>#NUM!</v>
      </c>
      <c r="C52" s="21" t="str">
        <f ca="1"/>
        <v/>
      </c>
      <c r="D52" s="21">
        <f ca="1"/>
        <v>0</v>
      </c>
      <c r="E52" s="21">
        <f ca="1"/>
        <v>0</v>
      </c>
      <c r="G52" s="21" t="e">
        <f ca="1"/>
        <v>#NUM!</v>
      </c>
      <c r="H52" s="21" t="str">
        <f ca="1"/>
        <v/>
      </c>
      <c r="I52" s="21">
        <f ca="1"/>
        <v>0</v>
      </c>
      <c r="J52" s="21">
        <f ca="1"/>
        <v>0</v>
      </c>
      <c r="L52" s="21" t="b">
        <f ca="1"/>
        <v>1</v>
      </c>
      <c r="M52" s="21" t="b">
        <f ca="1"/>
        <v>1</v>
      </c>
      <c r="N52" s="21" t="b">
        <f ca="1"/>
        <v>1</v>
      </c>
      <c r="O52" s="21" t="b">
        <f ca="1"/>
        <v>1</v>
      </c>
    </row>
    <row r="53" spans="2:15" x14ac:dyDescent="0.45">
      <c r="B53" s="21">
        <f ca="1"/>
        <v>5.53370741750649E-3</v>
      </c>
      <c r="C53" s="21" t="str">
        <f ca="1"/>
        <v>-1.08228343888772</v>
      </c>
      <c r="D53" s="21" t="str">
        <f ca="1"/>
        <v>44.7641888598456</v>
      </c>
      <c r="E53" s="21">
        <f ca="1"/>
        <v>0</v>
      </c>
      <c r="G53" s="21">
        <f ca="1"/>
        <v>5.53370741750649E-3</v>
      </c>
      <c r="H53" s="21">
        <f ca="1"/>
        <v>-1.0822834388877201</v>
      </c>
      <c r="I53" s="21">
        <f ca="1"/>
        <v>44.764188859845603</v>
      </c>
      <c r="J53" s="21">
        <f ca="1"/>
        <v>0</v>
      </c>
      <c r="L53" s="21" t="b">
        <f ca="1"/>
        <v>1</v>
      </c>
      <c r="M53" s="21" t="b">
        <f ca="1"/>
        <v>0</v>
      </c>
      <c r="N53" s="21" t="b">
        <f ca="1"/>
        <v>0</v>
      </c>
      <c r="O53" s="21" t="b">
        <f ca="1"/>
        <v>1</v>
      </c>
    </row>
    <row r="54" spans="2:15" x14ac:dyDescent="0.45">
      <c r="B54" s="21" t="str">
        <f ca="1"/>
        <v>1987-May-12</v>
      </c>
      <c r="C54" s="21">
        <f ca="1"/>
        <v>0</v>
      </c>
      <c r="D54" s="21" t="str">
        <f ca="1"/>
        <v/>
      </c>
      <c r="E54" s="21" t="b">
        <f ca="1"/>
        <v>1</v>
      </c>
      <c r="G54" s="21" t="str">
        <f ca="1"/>
        <v>1987-May-12</v>
      </c>
      <c r="H54" s="21">
        <f ca="1"/>
        <v>0</v>
      </c>
      <c r="I54" s="21" t="str">
        <f ca="1"/>
        <v/>
      </c>
      <c r="J54" s="21" t="b">
        <f ca="1"/>
        <v>1</v>
      </c>
      <c r="L54" s="21" t="b">
        <f ca="1"/>
        <v>1</v>
      </c>
      <c r="M54" s="21" t="b">
        <f ca="1"/>
        <v>1</v>
      </c>
      <c r="N54" s="21" t="b">
        <f ca="1"/>
        <v>1</v>
      </c>
      <c r="O54" s="21" t="b">
        <f ca="1"/>
        <v>1</v>
      </c>
    </row>
    <row r="55" spans="2:15" x14ac:dyDescent="0.45">
      <c r="B55" s="21" t="e">
        <f ca="1"/>
      </c>
      <c r="C55" s="21" t="str">
        <f ca="1"/>
        <v>1986-Sep-30</v>
      </c>
      <c r="D55" s="21" t="str">
        <f ca="1"/>
        <v>1985-Jun-03</v>
      </c>
      <c r="E55" s="21" t="b">
        <f ca="1"/>
        <v>1</v>
      </c>
      <c r="G55" s="21" t="e">
        <f ca="1"/>
      </c>
      <c r="H55" s="21" t="str">
        <f ca="1"/>
        <v>1986-Sep-30</v>
      </c>
      <c r="I55" s="21" t="str">
        <f ca="1"/>
        <v>1985-Jun-03</v>
      </c>
      <c r="J55" s="21" t="b">
        <f ca="1"/>
        <v>1</v>
      </c>
      <c r="L55" s="21" t="b">
        <f ca="1"/>
        <v>1</v>
      </c>
      <c r="M55" s="21" t="b">
        <f ca="1"/>
        <v>1</v>
      </c>
      <c r="N55" s="21" t="b">
        <f ca="1"/>
        <v>1</v>
      </c>
      <c r="O55" s="21" t="b">
        <f ca="1"/>
        <v>1</v>
      </c>
    </row>
    <row r="56" spans="2:15" x14ac:dyDescent="0.45">
      <c r="B56" s="21" t="e">
        <f ca="1"/>
      </c>
      <c r="C56" s="21" t="str">
        <f ca="1"/>
        <v>414401.278719927</v>
      </c>
      <c r="D56" s="21">
        <f ca="1"/>
        <v>0</v>
      </c>
      <c r="E56" s="21">
        <f ca="1"/>
        <v>29657</v>
      </c>
      <c r="G56" s="21" t="e">
        <f ca="1"/>
      </c>
      <c r="H56" s="21">
        <f ca="1"/>
        <v>414401.27871992701</v>
      </c>
      <c r="I56" s="21">
        <f ca="1"/>
        <v>0</v>
      </c>
      <c r="J56" s="21">
        <f ca="1"/>
        <v>29657</v>
      </c>
      <c r="L56" s="21" t="b">
        <f ca="1"/>
        <v>1</v>
      </c>
      <c r="M56" s="21" t="b">
        <f ca="1"/>
        <v>0</v>
      </c>
      <c r="N56" s="21" t="b">
        <f ca="1"/>
        <v>1</v>
      </c>
      <c r="O56" s="21" t="b">
        <f ca="1"/>
        <v>1</v>
      </c>
    </row>
    <row r="57" spans="2:15" x14ac:dyDescent="0.45">
      <c r="B57" s="21" t="e">
        <f ca="1"/>
      </c>
      <c r="C57" s="21" t="str">
        <f ca="1"/>
        <v>2ÔƒĜůþřŌ</v>
      </c>
      <c r="D57" s="21" t="str">
        <f ca="1"/>
        <v>False</v>
      </c>
      <c r="E57" s="21">
        <f ca="1"/>
        <v>49281</v>
      </c>
      <c r="G57" s="21" t="e">
        <f ca="1"/>
      </c>
      <c r="H57" s="21" t="str">
        <f ca="1"/>
        <v>2ÔƒĜůþřŌ</v>
      </c>
      <c r="I57" s="21" t="b">
        <f ca="1"/>
        <v>0</v>
      </c>
      <c r="J57" s="21">
        <f ca="1"/>
        <v>49281</v>
      </c>
      <c r="L57" s="21" t="b">
        <f ca="1"/>
        <v>1</v>
      </c>
      <c r="M57" s="21" t="b">
        <f ca="1"/>
        <v>1</v>
      </c>
      <c r="N57" s="21" t="b">
        <f ca="1"/>
        <v>0</v>
      </c>
      <c r="O57" s="21" t="b">
        <f ca="1"/>
        <v>1</v>
      </c>
    </row>
    <row r="58" spans="2:15" x14ac:dyDescent="0.45">
      <c r="B58" s="21">
        <f ca="1"/>
        <v>760019</v>
      </c>
      <c r="C58" s="21">
        <f ca="1"/>
        <v>35610</v>
      </c>
      <c r="D58" s="21">
        <f ca="1"/>
        <v>-1.5480430227274699E-7</v>
      </c>
      <c r="E58" s="21">
        <f ca="1"/>
        <v>759547</v>
      </c>
      <c r="G58" s="21">
        <f ca="1"/>
        <v>760019</v>
      </c>
      <c r="H58" s="21">
        <f ca="1"/>
        <v>35610</v>
      </c>
      <c r="I58" s="21">
        <f ca="1"/>
        <v>-1.5480430227274699E-7</v>
      </c>
      <c r="J58" s="21">
        <f ca="1"/>
        <v>759547</v>
      </c>
      <c r="L58" s="21" t="b">
        <f ca="1"/>
        <v>1</v>
      </c>
      <c r="M58" s="21" t="b">
        <f ca="1"/>
        <v>1</v>
      </c>
      <c r="N58" s="21" t="b">
        <f ca="1"/>
        <v>1</v>
      </c>
      <c r="O58" s="21" t="b">
        <f ca="1"/>
        <v>1</v>
      </c>
    </row>
    <row r="59" spans="2:15" x14ac:dyDescent="0.45">
      <c r="B59" s="21" t="str">
        <f ca="1"/>
        <v>2032-Feb-27</v>
      </c>
      <c r="C59" s="21" t="str">
        <f ca="1"/>
        <v/>
      </c>
      <c r="D59" s="21" t="str">
        <f ca="1"/>
        <v>2054-Nov-29</v>
      </c>
      <c r="E59" s="21" t="str">
        <f ca="1"/>
        <v/>
      </c>
      <c r="G59" s="21" t="str">
        <f ca="1"/>
        <v>2032-Feb-27</v>
      </c>
      <c r="H59" s="21" t="str">
        <f ca="1"/>
        <v/>
      </c>
      <c r="I59" s="21" t="str">
        <f ca="1"/>
        <v>2054-Nov-29</v>
      </c>
      <c r="J59" s="21" t="str">
        <f ca="1"/>
        <v/>
      </c>
      <c r="L59" s="21" t="b">
        <f ca="1"/>
        <v>1</v>
      </c>
      <c r="M59" s="21" t="b">
        <f ca="1"/>
        <v>1</v>
      </c>
      <c r="N59" s="21" t="b">
        <f ca="1"/>
        <v>1</v>
      </c>
      <c r="O59" s="21" t="b">
        <f ca="1"/>
        <v>1</v>
      </c>
    </row>
    <row r="60" spans="2:15" x14ac:dyDescent="0.45">
      <c r="B60" s="21">
        <f ca="1"/>
        <v>187802</v>
      </c>
      <c r="C60" s="21" t="e">
        <f ca="1"/>
        <v>#VALUE!</v>
      </c>
      <c r="D60" s="21" t="str">
        <f ca="1"/>
        <v>è¦&amp;</v>
      </c>
      <c r="E60" s="21" t="str">
        <f ca="1"/>
        <v>-6.99876945354653E-07</v>
      </c>
      <c r="G60" s="21">
        <f ca="1"/>
        <v>187802</v>
      </c>
      <c r="H60" s="21" t="e">
        <f ca="1"/>
        <v>#VALUE!</v>
      </c>
      <c r="I60" s="21" t="str">
        <f ca="1"/>
        <v>è¦&amp;</v>
      </c>
      <c r="J60" s="21">
        <f ca="1"/>
        <v>-6.9987694535465299E-7</v>
      </c>
      <c r="L60" s="21" t="b">
        <f ca="1"/>
        <v>1</v>
      </c>
      <c r="M60" s="21" t="b">
        <f ca="1"/>
        <v>1</v>
      </c>
      <c r="N60" s="21" t="b">
        <f ca="1"/>
        <v>1</v>
      </c>
      <c r="O60" s="21" t="b">
        <f ca="1"/>
        <v>0</v>
      </c>
    </row>
    <row r="61" spans="2:15" x14ac:dyDescent="0.45">
      <c r="B61" s="21" t="str">
        <f ca="1"/>
        <v>ƁÒ@č3/A</v>
      </c>
      <c r="C61" s="21">
        <f ca="1"/>
        <v>0</v>
      </c>
      <c r="D61" s="21" t="b">
        <f ca="1"/>
        <v>1</v>
      </c>
      <c r="E61" s="21" t="b">
        <f ca="1"/>
        <v>1</v>
      </c>
      <c r="G61" s="21" t="str">
        <f ca="1"/>
        <v>ƁÒ@č3/A</v>
      </c>
      <c r="H61" s="21">
        <f ca="1"/>
        <v>0</v>
      </c>
      <c r="I61" s="21" t="b">
        <f ca="1"/>
        <v>1</v>
      </c>
      <c r="J61" s="21" t="b">
        <f ca="1"/>
        <v>1</v>
      </c>
      <c r="L61" s="21" t="b">
        <f ca="1"/>
        <v>1</v>
      </c>
      <c r="M61" s="21" t="b">
        <f ca="1"/>
        <v>1</v>
      </c>
      <c r="N61" s="21" t="b">
        <f ca="1"/>
        <v>1</v>
      </c>
      <c r="O61" s="21" t="b">
        <f ca="1"/>
        <v>1</v>
      </c>
    </row>
    <row r="62" spans="2:15" x14ac:dyDescent="0.45">
      <c r="B62" s="21">
        <f ca="1"/>
        <v>29422</v>
      </c>
      <c r="C62" s="21" t="e">
        <f ca="1"/>
      </c>
      <c r="D62" s="21" t="str">
        <f ca="1"/>
        <v>-0.458184249440798</v>
      </c>
      <c r="E62" s="21">
        <f ca="1"/>
        <v>0</v>
      </c>
      <c r="G62" s="21">
        <f ca="1"/>
        <v>29422</v>
      </c>
      <c r="H62" s="21" t="e">
        <f ca="1"/>
      </c>
      <c r="I62" s="21">
        <f ca="1"/>
        <v>-0.458184249440798</v>
      </c>
      <c r="J62" s="21">
        <f ca="1"/>
        <v>0</v>
      </c>
      <c r="L62" s="21" t="b">
        <f ca="1"/>
        <v>1</v>
      </c>
      <c r="M62" s="21" t="b">
        <f ca="1"/>
        <v>1</v>
      </c>
      <c r="N62" s="21" t="b">
        <f ca="1"/>
        <v>0</v>
      </c>
      <c r="O62" s="21" t="b">
        <f ca="1"/>
        <v>1</v>
      </c>
    </row>
    <row r="63" spans="2:15" x14ac:dyDescent="0.45">
      <c r="B63" s="21" t="str">
        <f ca="1"/>
        <v>Å</v>
      </c>
      <c r="C63" s="21">
        <f ca="1"/>
        <v>0</v>
      </c>
      <c r="D63" s="21" t="str">
        <f ca="1"/>
        <v/>
      </c>
      <c r="E63" s="21">
        <f ca="1"/>
        <v>4.5730894172515198E-11</v>
      </c>
      <c r="G63" s="21" t="str">
        <f ca="1"/>
        <v>Å</v>
      </c>
      <c r="H63" s="21">
        <f ca="1"/>
        <v>0</v>
      </c>
      <c r="I63" s="21" t="str">
        <f ca="1"/>
        <v/>
      </c>
      <c r="J63" s="21">
        <f ca="1"/>
        <v>4.5730894172515198E-11</v>
      </c>
      <c r="L63" s="21" t="b">
        <f ca="1"/>
        <v>1</v>
      </c>
      <c r="M63" s="21" t="b">
        <f ca="1"/>
        <v>1</v>
      </c>
      <c r="N63" s="21" t="b">
        <f ca="1"/>
        <v>1</v>
      </c>
      <c r="O63" s="21" t="b">
        <f ca="1"/>
        <v>1</v>
      </c>
    </row>
    <row r="64" spans="2:15" x14ac:dyDescent="0.45">
      <c r="B64" s="21" t="str">
        <f ca="1"/>
        <v/>
      </c>
      <c r="C64" s="21" t="str">
        <f ca="1"/>
        <v>4.45863581148182</v>
      </c>
      <c r="D64" s="21" t="str">
        <f ca="1"/>
        <v>13783249.2228596</v>
      </c>
      <c r="E64" s="21">
        <f ca="1"/>
        <v>-315321</v>
      </c>
      <c r="G64" s="21" t="str">
        <f ca="1"/>
        <v/>
      </c>
      <c r="H64" s="21">
        <f ca="1"/>
        <v>4.4586358114818196</v>
      </c>
      <c r="I64" s="21">
        <f ca="1"/>
        <v>13783249.222859601</v>
      </c>
      <c r="J64" s="21">
        <f ca="1"/>
        <v>-315321</v>
      </c>
      <c r="L64" s="21" t="b">
        <f ca="1"/>
        <v>1</v>
      </c>
      <c r="M64" s="21" t="b">
        <f ca="1"/>
        <v>0</v>
      </c>
      <c r="N64" s="21" t="b">
        <f ca="1"/>
        <v>0</v>
      </c>
      <c r="O64" s="21" t="b">
        <f ca="1"/>
        <v>1</v>
      </c>
    </row>
    <row r="65" spans="2:15" x14ac:dyDescent="0.45">
      <c r="B65" s="21" t="str">
        <f ca="1"/>
        <v/>
      </c>
      <c r="C65" s="21" t="str">
        <f ca="1"/>
        <v/>
      </c>
      <c r="D65" s="21">
        <f ca="1"/>
        <v>0</v>
      </c>
      <c r="E65" s="21">
        <f ca="1"/>
        <v>0</v>
      </c>
      <c r="G65" s="21" t="str">
        <f ca="1"/>
        <v/>
      </c>
      <c r="H65" s="21" t="str">
        <f ca="1"/>
        <v/>
      </c>
      <c r="I65" s="21">
        <f ca="1"/>
        <v>0</v>
      </c>
      <c r="J65" s="21">
        <f ca="1"/>
        <v>0</v>
      </c>
      <c r="L65" s="21" t="b">
        <f ca="1"/>
        <v>1</v>
      </c>
      <c r="M65" s="21" t="b">
        <f ca="1"/>
        <v>1</v>
      </c>
      <c r="N65" s="21" t="b">
        <f ca="1"/>
        <v>1</v>
      </c>
      <c r="O65" s="21" t="b">
        <f ca="1"/>
        <v>1</v>
      </c>
    </row>
    <row r="66" spans="2:15" x14ac:dyDescent="0.45">
      <c r="B66" s="21" t="str">
        <f ca="1"/>
        <v>True</v>
      </c>
      <c r="C66" s="21" t="str">
        <f ca="1"/>
        <v/>
      </c>
      <c r="D66" s="21" t="b">
        <f ca="1"/>
        <v>1</v>
      </c>
      <c r="E66" s="21">
        <f ca="1"/>
        <v>-1.10190212988708E-9</v>
      </c>
      <c r="G66" s="21" t="b">
        <f ca="1"/>
        <v>1</v>
      </c>
      <c r="H66" s="21" t="str">
        <f ca="1"/>
        <v/>
      </c>
      <c r="I66" s="21" t="b">
        <f ca="1"/>
        <v>1</v>
      </c>
      <c r="J66" s="21">
        <f ca="1"/>
        <v>-1.10190212988708E-9</v>
      </c>
      <c r="L66" s="21" t="b">
        <f ca="1"/>
        <v>0</v>
      </c>
      <c r="M66" s="21" t="b">
        <f ca="1"/>
        <v>1</v>
      </c>
      <c r="N66" s="21" t="b">
        <f ca="1"/>
        <v>1</v>
      </c>
      <c r="O66" s="21" t="b">
        <f ca="1"/>
        <v>1</v>
      </c>
    </row>
    <row r="67" spans="2:15" x14ac:dyDescent="0.45">
      <c r="B67" s="21">
        <f ca="1"/>
        <v>-700148</v>
      </c>
      <c r="C67" s="21" t="str">
        <f ca="1"/>
        <v>-1293.92439387894</v>
      </c>
      <c r="D67" s="21" t="str">
        <f ca="1"/>
        <v>16312.3513069362</v>
      </c>
      <c r="E67" s="21">
        <f ca="1"/>
        <v>8.6395139092798197E-10</v>
      </c>
      <c r="G67" s="21">
        <f ca="1"/>
        <v>-700148</v>
      </c>
      <c r="H67" s="21">
        <f ca="1"/>
        <v>-1293.92439387894</v>
      </c>
      <c r="I67" s="21">
        <f ca="1"/>
        <v>16312.3513069362</v>
      </c>
      <c r="J67" s="21">
        <f ca="1"/>
        <v>8.6395139092798197E-10</v>
      </c>
      <c r="L67" s="21" t="b">
        <f ca="1"/>
        <v>1</v>
      </c>
      <c r="M67" s="21" t="b">
        <f ca="1"/>
        <v>0</v>
      </c>
      <c r="N67" s="21" t="b">
        <f ca="1"/>
        <v>0</v>
      </c>
      <c r="O67" s="21" t="b">
        <f ca="1"/>
        <v>1</v>
      </c>
    </row>
    <row r="68" spans="2:15" x14ac:dyDescent="0.45">
      <c r="B68" s="21" t="e">
        <f ca="1"/>
      </c>
      <c r="C68" s="21">
        <f ca="1"/>
        <v>47342</v>
      </c>
      <c r="D68" s="21" t="str">
        <f ca="1"/>
        <v>True</v>
      </c>
      <c r="E68" s="21" t="str">
        <f ca="1"/>
        <v>-0.366278630503004</v>
      </c>
      <c r="G68" s="21" t="e">
        <f ca="1"/>
      </c>
      <c r="H68" s="21">
        <f ca="1"/>
        <v>47342</v>
      </c>
      <c r="I68" s="21" t="b">
        <f ca="1"/>
        <v>1</v>
      </c>
      <c r="J68" s="21">
        <f ca="1"/>
        <v>-0.36627863050300402</v>
      </c>
      <c r="L68" s="21" t="b">
        <f ca="1"/>
        <v>1</v>
      </c>
      <c r="M68" s="21" t="b">
        <f ca="1"/>
        <v>1</v>
      </c>
      <c r="N68" s="21" t="b">
        <f ca="1"/>
        <v>0</v>
      </c>
      <c r="O68" s="21" t="b">
        <f ca="1"/>
        <v>0</v>
      </c>
    </row>
  </sheetData>
  <conditionalFormatting sqref="B19:E68">
    <cfRule type="expression" dxfId="7" priority="6">
      <formula>ISLOGICAL(B19)</formula>
    </cfRule>
    <cfRule type="expression" dxfId="6" priority="7">
      <formula>ISTEXT(B19)</formula>
    </cfRule>
    <cfRule type="expression" dxfId="5" priority="8">
      <formula>ISNUMBER(B19)</formula>
    </cfRule>
  </conditionalFormatting>
  <conditionalFormatting sqref="G19:J68">
    <cfRule type="expression" dxfId="4" priority="3">
      <formula>ISLOGICAL(G19)</formula>
    </cfRule>
    <cfRule type="expression" dxfId="3" priority="4">
      <formula>ISTEXT(G19)</formula>
    </cfRule>
    <cfRule type="expression" dxfId="2" priority="5">
      <formula>ISNUMBER(G19)</formula>
    </cfRule>
  </conditionalFormatting>
  <conditionalFormatting sqref="L16">
    <cfRule type="expression" dxfId="1" priority="2">
      <formula>L16&lt;&gt;TRUE</formula>
    </cfRule>
  </conditionalFormatting>
  <conditionalFormatting sqref="L19:O68">
    <cfRule type="expression" dxfId="0" priority="1">
      <formula>L19&lt;&gt;TRUE</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975EB8-C53B-4AB8-B060-6DE5BD845543}">
  <sheetPr codeName="Sheet3"/>
  <dimension ref="B1:C97"/>
  <sheetViews>
    <sheetView topLeftCell="A41" workbookViewId="0">
      <selection activeCell="B45" sqref="B45:B97"/>
    </sheetView>
  </sheetViews>
  <sheetFormatPr defaultRowHeight="14.25" x14ac:dyDescent="0.45"/>
  <cols>
    <col min="1" max="1" width="4.59765625" customWidth="1"/>
    <col min="2" max="2" width="14.796875" bestFit="1" customWidth="1"/>
    <col min="3" max="3" width="69.59765625" bestFit="1" customWidth="1"/>
  </cols>
  <sheetData>
    <row r="1" spans="2:3" ht="28.5" x14ac:dyDescent="0.85">
      <c r="B1" s="1" t="s">
        <v>57</v>
      </c>
    </row>
    <row r="3" spans="2:3" x14ac:dyDescent="0.45">
      <c r="B3" s="23" t="s">
        <v>52</v>
      </c>
      <c r="C3" s="23" t="s">
        <v>53</v>
      </c>
    </row>
    <row r="4" spans="2:3" x14ac:dyDescent="0.45">
      <c r="B4" t="s">
        <v>51</v>
      </c>
      <c r="C4" t="s">
        <v>37</v>
      </c>
    </row>
    <row r="5" spans="2:3" x14ac:dyDescent="0.45">
      <c r="B5" s="23" t="s">
        <v>50</v>
      </c>
      <c r="C5" s="23" t="s">
        <v>54</v>
      </c>
    </row>
    <row r="6" spans="2:3" x14ac:dyDescent="0.45">
      <c r="B6" s="27" t="s">
        <v>0</v>
      </c>
      <c r="C6" s="27" t="s" cm="1">
        <v>38</v>
      </c>
    </row>
    <row r="7" spans="2:3" ht="42.75" x14ac:dyDescent="0.45">
      <c r="B7" s="27" t="s">
        <v>27</v>
      </c>
      <c r="C7" s="27" t="s">
        <v>49</v>
      </c>
    </row>
    <row r="8" spans="2:3" ht="42.75" x14ac:dyDescent="0.45">
      <c r="B8" s="28" t="s">
        <v>28</v>
      </c>
      <c r="C8" s="27" t="s">
        <v>39</v>
      </c>
    </row>
    <row r="9" spans="2:3" ht="42.75" x14ac:dyDescent="0.45">
      <c r="B9" s="28" t="s">
        <v>1</v>
      </c>
      <c r="C9" s="27" t="s">
        <v>41</v>
      </c>
    </row>
    <row r="10" spans="2:3" ht="28.5" x14ac:dyDescent="0.45">
      <c r="B10" s="27" t="s">
        <v>29</v>
      </c>
      <c r="C10" s="27" t="s">
        <v>43</v>
      </c>
    </row>
    <row r="11" spans="2:3" ht="28.5" x14ac:dyDescent="0.45">
      <c r="B11" s="27" t="s">
        <v>30</v>
      </c>
      <c r="C11" s="27" t="s">
        <v>44</v>
      </c>
    </row>
    <row r="12" spans="2:3" ht="28.5" x14ac:dyDescent="0.45">
      <c r="B12" s="27" t="s">
        <v>31</v>
      </c>
      <c r="C12" s="27" t="s">
        <v>45</v>
      </c>
    </row>
    <row r="13" spans="2:3" ht="28.5" x14ac:dyDescent="0.45">
      <c r="B13" s="27" t="s">
        <v>32</v>
      </c>
      <c r="C13" s="27" t="s">
        <v>46</v>
      </c>
    </row>
    <row r="14" spans="2:3" ht="42.75" x14ac:dyDescent="0.45">
      <c r="B14" s="27" t="s">
        <v>33</v>
      </c>
      <c r="C14" s="27" t="s">
        <v>40</v>
      </c>
    </row>
    <row r="15" spans="2:3" ht="28.5" x14ac:dyDescent="0.45">
      <c r="B15" s="27" t="s">
        <v>14</v>
      </c>
      <c r="C15" s="27" t="s">
        <v>47</v>
      </c>
    </row>
    <row r="16" spans="2:3" ht="28.5" x14ac:dyDescent="0.45">
      <c r="B16" s="27" t="s">
        <v>34</v>
      </c>
      <c r="C16" s="27" t="s">
        <v>48</v>
      </c>
    </row>
    <row r="17" spans="2:3" ht="28.5" x14ac:dyDescent="0.45">
      <c r="B17" s="27" t="s">
        <v>35</v>
      </c>
      <c r="C17" s="27" t="s">
        <v>42</v>
      </c>
    </row>
    <row r="18" spans="2:3" ht="28.5" x14ac:dyDescent="0.45">
      <c r="B18" s="27" t="s">
        <v>36</v>
      </c>
      <c r="C18" s="29" t="s">
        <v>60</v>
      </c>
    </row>
    <row r="19" spans="2:3" ht="185.25" x14ac:dyDescent="0.45">
      <c r="B19" s="27" t="s">
        <v>58</v>
      </c>
      <c r="C19" s="29" t="s">
        <v>59</v>
      </c>
    </row>
    <row r="20" spans="2:3" x14ac:dyDescent="0.45">
      <c r="C20" s="10"/>
    </row>
    <row r="21" spans="2:3" x14ac:dyDescent="0.45">
      <c r="C21" s="10"/>
    </row>
    <row r="23" spans="2:3" x14ac:dyDescent="0.45">
      <c r="B23" s="24" t="s">
        <v>55</v>
      </c>
    </row>
    <row r="24" spans="2:3" x14ac:dyDescent="0.45">
      <c r="B24" s="25" t="str" cm="1">
        <f t="array" aca="1" ref="B24:B42" ca="1">CodeToRegister(B4,C4,C6:C18)</f>
        <v>Sub RegisterCSVRead()</v>
      </c>
    </row>
    <row r="25" spans="2:3" x14ac:dyDescent="0.45">
      <c r="B25" s="25" t="str">
        <f ca="1"/>
        <v xml:space="preserve">    Const FnDesc = "Returns the contents of a comma-separated file on disk as an array."</v>
      </c>
    </row>
    <row r="26" spans="2:3" x14ac:dyDescent="0.45">
      <c r="B26" s="25" t="str">
        <f ca="1"/>
        <v xml:space="preserve">    Dim ArgDescs() As String</v>
      </c>
    </row>
    <row r="27" spans="2:3" x14ac:dyDescent="0.45">
      <c r="B27" s="25" t="str">
        <f ca="1"/>
        <v xml:space="preserve">    ReDim ArgDescs(1 To 13)</v>
      </c>
    </row>
    <row r="28" spans="2:3" x14ac:dyDescent="0.45">
      <c r="B28" s="26" t="str">
        <f ca="1"/>
        <v xml:space="preserve">    ArgDescs(1) = "The full name of the file, including the path."</v>
      </c>
    </row>
    <row r="29" spans="2:3" x14ac:dyDescent="0.45">
      <c r="B29" s="25" t="str">
        <f ca="1"/>
        <v xml:space="preserve">    ArgDescs(2) = "TRUE to convert Numbers, Dates, Logicals and Excel Errors into their typed values, or FALSE to leave as strings. For more control enter a string containing the letters N,D,L, and E eg ""NL"" to convert just numbers and logicals, not dates or errors."</v>
      </c>
    </row>
    <row r="30" spans="2:3" x14ac:dyDescent="0.45">
      <c r="B30" s="25" t="str">
        <f ca="1"/>
        <v xml:space="preserve">    ArgDescs(3) = "Delimiter character. Defaults to the first instance of comma, tab, semi-colon, colon or vertical bar found in the file outside quoted regions. Enter FALSE to to see the file's raw contents as would be displayed in a text editor."</v>
      </c>
    </row>
    <row r="31" spans="2:3" x14ac:dyDescent="0.45">
      <c r="B31" s="25" t="str">
        <f ca="1"/>
        <v xml:space="preserve">    ArgDescs(4) = "The format of dates in the file such as D-M-Y, M-D-Y or Y/M/D. If omitted a value is read from Windows regional settings. Repeated D's (or M's or Y's) are equivalent to single instances, so that d-m-y and DD-MMM-YYYY are equivalent."</v>
      </c>
    </row>
    <row r="32" spans="2:3" x14ac:dyDescent="0.45">
      <c r="B32" s="25" t="str">
        <f ca="1"/>
        <v xml:space="preserve">    ArgDescs(5) = "The ""row"" in the file at which reading starts. Optional and defaults to 1 to read from the first row."</v>
      </c>
    </row>
    <row r="33" spans="2:2" x14ac:dyDescent="0.45">
      <c r="B33" s="25" t="str">
        <f ca="1"/>
        <v xml:space="preserve">    ArgDescs(6) = "The ""column"" in the file at which reading starts. Optional and defaults to 1 to read from the first column."</v>
      </c>
    </row>
    <row r="34" spans="2:2" x14ac:dyDescent="0.45">
      <c r="B34" s="25" t="str">
        <f ca="1"/>
        <v xml:space="preserve">    ArgDescs(7) = "The number of rows to read from the file. If omitted (or zero), all rows from StartRow to the end of the file are read."</v>
      </c>
    </row>
    <row r="35" spans="2:2" x14ac:dyDescent="0.45">
      <c r="B35" s="25" t="str">
        <f ca="1"/>
        <v xml:space="preserve">    ArgDescs(8) = "The number of columns to read from the file. If omitted (or zero), all columns from StartColumn are read."</v>
      </c>
    </row>
    <row r="36" spans="2:2" x14ac:dyDescent="0.45">
      <c r="B36" s="25" t="str">
        <f ca="1"/>
        <v xml:space="preserve">    ArgDescs(9) = """Windows"" (or ascii 13 + 10, or FALSE), ""Unix"" (or ascii 10, or TRUE) or ""Mac"" (or ascii 13)  to specify line-endings, or ""Mixed"" for inconsistent line endings. Omit to infer from the first line ending found outside quoted regions."</v>
      </c>
    </row>
    <row r="37" spans="2:2" x14ac:dyDescent="0.45">
      <c r="B37" s="25" t="str">
        <f ca="1"/>
        <v xml:space="preserve">    ArgDescs(10) = "Enter TRUE if the file is unicode, FALSE if the file is ascii. Omit to guess (via function sFileIsUnicode)."</v>
      </c>
    </row>
    <row r="38" spans="2:2" x14ac:dyDescent="0.45">
      <c r="B38" s="25" t="str">
        <f ca="1"/>
        <v xml:space="preserve">    ArgDescs(11) = "Value to represent empty fields (successive delimiters) in the file. May be a string or an Empty value. Optional and defaults to the zero-length string."</v>
      </c>
    </row>
    <row r="39" spans="2:2" x14ac:dyDescent="0.45">
      <c r="B39" s="25" t="str">
        <f ca="1"/>
        <v xml:space="preserve">    ArgDescs(12) = "The character that represents a decimal point. If omitted, then the value from Windows regional settings is used."</v>
      </c>
    </row>
    <row r="40" spans="2:2" x14ac:dyDescent="0.45">
      <c r="B40" s="25" t="str">
        <f ca="1"/>
        <v xml:space="preserve">    ArgDescs(13) = "For use from VBA, sets the lower bound for indexing into the returned array and must be 1 or 0. Optional, defaults to 1."</v>
      </c>
    </row>
    <row r="41" spans="2:2" x14ac:dyDescent="0.45">
      <c r="B41" s="25" t="str">
        <f ca="1"/>
        <v xml:space="preserve">    Application.MacroOptions "CSVRead", FnDesc, , , , , , , , , ArgDescs</v>
      </c>
    </row>
    <row r="42" spans="2:2" x14ac:dyDescent="0.45">
      <c r="B42" s="25" t="str">
        <f ca="1"/>
        <v>End Sub</v>
      </c>
    </row>
    <row r="44" spans="2:2" x14ac:dyDescent="0.45">
      <c r="B44" s="23" t="s">
        <v>56</v>
      </c>
    </row>
    <row r="45" spans="2:2" x14ac:dyDescent="0.45">
      <c r="B45" s="25" t="str" cm="1">
        <f t="array" aca="1" ref="B45:B97" ca="1">HelpForVBE(B4,C4,"Philip Swannell",TODAY(),B6:B18,C6:C18,C19)</f>
        <v>'---------------------------------------------------------------------------------------------------------</v>
      </c>
    </row>
    <row r="46" spans="2:2" x14ac:dyDescent="0.45">
      <c r="B46" s="25" t="str">
        <f ca="1"/>
        <v>' Procedure : CSVRead</v>
      </c>
    </row>
    <row r="47" spans="2:2" x14ac:dyDescent="0.45">
      <c r="B47" s="25" t="str">
        <f ca="1"/>
        <v>' Author    : Philip Swannell</v>
      </c>
    </row>
    <row r="48" spans="2:2" x14ac:dyDescent="0.45">
      <c r="B48" s="25" t="str">
        <f ca="1"/>
        <v>' Date      : 30-Jul-2021</v>
      </c>
    </row>
    <row r="49" spans="2:2" x14ac:dyDescent="0.45">
      <c r="B49" s="25" t="str">
        <f ca="1"/>
        <v>' Purpose   : Returns the contents of a comma-separated file on disk as an array.</v>
      </c>
    </row>
    <row r="50" spans="2:2" x14ac:dyDescent="0.45">
      <c r="B50" s="25" t="str">
        <f ca="1"/>
        <v>' Arguments</v>
      </c>
    </row>
    <row r="51" spans="2:2" x14ac:dyDescent="0.45">
      <c r="B51" s="25" t="str">
        <f ca="1"/>
        <v>' FileName  : The full name of the file, including the path.</v>
      </c>
    </row>
    <row r="52" spans="2:2" x14ac:dyDescent="0.45">
      <c r="B52" s="25" t="str">
        <f ca="1"/>
        <v>' TypeConversion: TRUE to convert Numbers, Dates, Logicals and Excel Errors into their typed values, or</v>
      </c>
    </row>
    <row r="53" spans="2:2" x14ac:dyDescent="0.45">
      <c r="B53" s="25" t="str">
        <f ca="1"/>
        <v>'             FALSE to leave as strings. For more control enter a string containing the</v>
      </c>
    </row>
    <row r="54" spans="2:2" x14ac:dyDescent="0.45">
      <c r="B54" s="25" t="str">
        <f ca="1"/>
        <v>'             letters N,D,L, and E eg "NL" to convert just numbers and logicals, not dates</v>
      </c>
    </row>
    <row r="55" spans="2:2" x14ac:dyDescent="0.45">
      <c r="B55" s="25" t="str">
        <f ca="1"/>
        <v>'             or errors.</v>
      </c>
    </row>
    <row r="56" spans="2:2" x14ac:dyDescent="0.45">
      <c r="B56" s="25" t="str">
        <f ca="1"/>
        <v>' Delimiter : Delimiter character. Defaults to the first instance of comma, tab, semi-colon, colon or</v>
      </c>
    </row>
    <row r="57" spans="2:2" x14ac:dyDescent="0.45">
      <c r="B57" s="25" t="str">
        <f ca="1"/>
        <v>'             vertical bar found in the file outside quoted regions. Enter FALSE to to see</v>
      </c>
    </row>
    <row r="58" spans="2:2" x14ac:dyDescent="0.45">
      <c r="B58" s="25" t="str">
        <f ca="1"/>
        <v>'             the file's raw contents as would be displayed in a text editor.</v>
      </c>
    </row>
    <row r="59" spans="2:2" x14ac:dyDescent="0.45">
      <c r="B59" s="25" t="str">
        <f ca="1"/>
        <v>' DateFormat: The format of dates in the file such as D-M-Y, M-D-Y or Y/M/D. If omitted a value is read</v>
      </c>
    </row>
    <row r="60" spans="2:2" x14ac:dyDescent="0.45">
      <c r="B60" s="25" t="str">
        <f ca="1"/>
        <v>'             from Windows regional settings. Repeated D's (or M's or Y's) are equivalent</v>
      </c>
    </row>
    <row r="61" spans="2:2" x14ac:dyDescent="0.45">
      <c r="B61" s="25" t="str">
        <f ca="1"/>
        <v>'             to single instances, so that d-m-y and DD-MMM-YYYY are equivalent.</v>
      </c>
    </row>
    <row r="62" spans="2:2" x14ac:dyDescent="0.45">
      <c r="B62" s="25" t="str">
        <f ca="1"/>
        <v>' StartRow  : The "row" in the file at which reading starts. Optional and defaults to 1 to read from the</v>
      </c>
    </row>
    <row r="63" spans="2:2" x14ac:dyDescent="0.45">
      <c r="B63" s="25" t="str">
        <f ca="1"/>
        <v>'             first row.</v>
      </c>
    </row>
    <row r="64" spans="2:2" x14ac:dyDescent="0.45">
      <c r="B64" s="25" t="str">
        <f ca="1"/>
        <v>' StartCol  : The "column" in the file at which reading starts. Optional and defaults to 1 to read from</v>
      </c>
    </row>
    <row r="65" spans="2:2" x14ac:dyDescent="0.45">
      <c r="B65" s="25" t="str">
        <f ca="1"/>
        <v>'             the first column.</v>
      </c>
    </row>
    <row r="66" spans="2:2" x14ac:dyDescent="0.45">
      <c r="B66" s="25" t="str">
        <f ca="1"/>
        <v>' NumRows   : The number of rows to read from the file. If omitted (or zero), all rows from StartRow to</v>
      </c>
    </row>
    <row r="67" spans="2:2" x14ac:dyDescent="0.45">
      <c r="B67" s="25" t="str">
        <f ca="1"/>
        <v>'             the end of the file are read.</v>
      </c>
    </row>
    <row r="68" spans="2:2" x14ac:dyDescent="0.45">
      <c r="B68" s="25" t="str">
        <f ca="1"/>
        <v>' NumCols   : The number of columns to read from the file. If omitted (or zero), all columns from</v>
      </c>
    </row>
    <row r="69" spans="2:2" x14ac:dyDescent="0.45">
      <c r="B69" s="25" t="str">
        <f ca="1"/>
        <v>'             StartColumn are read.</v>
      </c>
    </row>
    <row r="70" spans="2:2" x14ac:dyDescent="0.45">
      <c r="B70" s="25" t="str">
        <f ca="1"/>
        <v>' LineEndings: "Windows" (or ascii 13 + 10, or FALSE), "Unix" (or ascii 10, or TRUE) or "Mac" (or ascii</v>
      </c>
    </row>
    <row r="71" spans="2:2" x14ac:dyDescent="0.45">
      <c r="B71" s="25" t="str">
        <f ca="1"/>
        <v>'             13)  to specify line-endings, or "Mixed" for inconsistent line endings. Omit</v>
      </c>
    </row>
    <row r="72" spans="2:2" x14ac:dyDescent="0.45">
      <c r="B72" s="25" t="str">
        <f ca="1"/>
        <v>'             to infer from the first line ending found outside quoted regions.</v>
      </c>
    </row>
    <row r="73" spans="2:2" x14ac:dyDescent="0.45">
      <c r="B73" s="25" t="str">
        <f ca="1"/>
        <v>' Unicode   : Enter TRUE if the file is unicode, FALSE if the file is ascii. Omit to guess (via function</v>
      </c>
    </row>
    <row r="74" spans="2:2" x14ac:dyDescent="0.45">
      <c r="B74" s="25" t="str">
        <f ca="1"/>
        <v>'             sFileIsUnicode).</v>
      </c>
    </row>
    <row r="75" spans="2:2" x14ac:dyDescent="0.45">
      <c r="B75" s="25" t="str">
        <f ca="1"/>
        <v>' ShowMissingsAs: Value to represent empty fields (successive delimiters) in the file. May be a string or an</v>
      </c>
    </row>
    <row r="76" spans="2:2" x14ac:dyDescent="0.45">
      <c r="B76" s="25" t="str">
        <f ca="1"/>
        <v>'             Empty value. Optional and defaults to the zero-length string.</v>
      </c>
    </row>
    <row r="77" spans="2:2" x14ac:dyDescent="0.45">
      <c r="B77" s="25" t="str">
        <f ca="1"/>
        <v>' DecimalSeparator: The character that represents a decimal point. If omitted, then the value from Windows</v>
      </c>
    </row>
    <row r="78" spans="2:2" x14ac:dyDescent="0.45">
      <c r="B78" s="25" t="str">
        <f ca="1"/>
        <v>'             regional settings is used.</v>
      </c>
    </row>
    <row r="79" spans="2:2" x14ac:dyDescent="0.45">
      <c r="B79" s="25" t="str">
        <f ca="1"/>
        <v>' LowerBounds: For use from VBA, sets the lower bound for indexing into the returned array and must be 1</v>
      </c>
    </row>
    <row r="80" spans="2:2" x14ac:dyDescent="0.45">
      <c r="B80" s="25" t="str">
        <f ca="1"/>
        <v>'             or 0. Optional, defaults to 1.</v>
      </c>
    </row>
    <row r="81" spans="2:2" x14ac:dyDescent="0.45">
      <c r="B81" s="25" t="str">
        <f ca="1"/>
        <v>'</v>
      </c>
    </row>
    <row r="82" spans="2:2" x14ac:dyDescent="0.45">
      <c r="B82" s="25" t="str">
        <f ca="1"/>
        <v>' Notes     : See also sFileSaveCSV for which this function is the inverse.</v>
      </c>
    </row>
    <row r="83" spans="2:2" x14ac:dyDescent="0.45">
      <c r="B83" s="25" t="str">
        <f ca="1"/>
        <v xml:space="preserve">'             </v>
      </c>
    </row>
    <row r="84" spans="2:2" x14ac:dyDescent="0.45">
      <c r="B84" s="25" t="str">
        <f ca="1"/>
        <v>'             The function handles all csv files that conform to the standards described in</v>
      </c>
    </row>
    <row r="85" spans="2:2" x14ac:dyDescent="0.45">
      <c r="B85" s="25" t="str">
        <f ca="1"/>
        <v>'             RFC4180  https://www.rfc-editor.org/rfc/rfc4180.txt including files with</v>
      </c>
    </row>
    <row r="86" spans="2:2" x14ac:dyDescent="0.45">
      <c r="B86" s="25" t="str">
        <f ca="1"/>
        <v>'             quoted fields.</v>
      </c>
    </row>
    <row r="87" spans="2:2" x14ac:dyDescent="0.45">
      <c r="B87" s="25" t="str">
        <f ca="1"/>
        <v xml:space="preserve">'             </v>
      </c>
    </row>
    <row r="88" spans="2:2" x14ac:dyDescent="0.45">
      <c r="B88" s="25" t="str">
        <f ca="1"/>
        <v>'             In addition the function handles files which break some of those standards:</v>
      </c>
    </row>
    <row r="89" spans="2:2" x14ac:dyDescent="0.45">
      <c r="B89" s="25" t="str">
        <f ca="1"/>
        <v>'             * Not all lines of the file need have the same number of fields. The function</v>
      </c>
    </row>
    <row r="90" spans="2:2" x14ac:dyDescent="0.45">
      <c r="B90" s="25" t="str">
        <f ca="1"/>
        <v>'             "pads" with the value given by ShowMissingsAs.</v>
      </c>
    </row>
    <row r="91" spans="2:2" x14ac:dyDescent="0.45">
      <c r="B91" s="25" t="str">
        <f ca="1"/>
        <v>'             * Fields which start with a double quote but do not end with a double quote</v>
      </c>
    </row>
    <row r="92" spans="2:2" x14ac:dyDescent="0.45">
      <c r="B92" s="25" t="str">
        <f ca="1"/>
        <v>'             are handled by being returned unchanged. Necessarily such fields have an even</v>
      </c>
    </row>
    <row r="93" spans="2:2" x14ac:dyDescent="0.45">
      <c r="B93" s="25" t="str">
        <f ca="1"/>
        <v>'             number of double quotes, or otherwise the field will be treated as the last</v>
      </c>
    </row>
    <row r="94" spans="2:2" x14ac:dyDescent="0.45">
      <c r="B94" s="25" t="str">
        <f ca="1"/>
        <v>'             field in the file.</v>
      </c>
    </row>
    <row r="95" spans="2:2" x14ac:dyDescent="0.45">
      <c r="B95" s="25" t="str">
        <f ca="1"/>
        <v>'             * The standard states that csv files should have Windows-style line endings,</v>
      </c>
    </row>
    <row r="96" spans="2:2" x14ac:dyDescent="0.45">
      <c r="B96" s="25" t="str">
        <f ca="1"/>
        <v>'             but the function supports Windows, Unix and (old) Mac line endings.</v>
      </c>
    </row>
    <row r="97" spans="2:2" x14ac:dyDescent="0.45">
      <c r="B97" s="25" t="str">
        <f ca="1"/>
        <v>'---------------------------------------------------------------------------------------------------------</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21C20-73F6-48B9-91D2-6B6823820FCB}">
  <sheetPr codeName="Sheet2"/>
  <dimension ref="B1:F8"/>
  <sheetViews>
    <sheetView showGridLines="0" showRowColHeaders="0" workbookViewId="0">
      <selection activeCell="F22" sqref="F22"/>
    </sheetView>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s>
  <sheetData>
    <row r="1" spans="2:6" ht="28.5" x14ac:dyDescent="0.85">
      <c r="B1" s="1" t="s">
        <v>2</v>
      </c>
    </row>
    <row r="5" spans="2:6" x14ac:dyDescent="0.45">
      <c r="B5" s="2" t="s">
        <v>3</v>
      </c>
      <c r="C5" s="6" t="s">
        <v>4</v>
      </c>
      <c r="D5" s="15" t="s">
        <v>5</v>
      </c>
      <c r="E5" s="3" t="s">
        <v>6</v>
      </c>
      <c r="F5" s="8" t="s">
        <v>7</v>
      </c>
    </row>
    <row r="6" spans="2:6" x14ac:dyDescent="0.45">
      <c r="B6" s="11">
        <v>3</v>
      </c>
      <c r="C6" s="12">
        <v>44406</v>
      </c>
      <c r="D6" s="16">
        <v>0.59842592592758592</v>
      </c>
      <c r="E6" s="13" t="s">
        <v>8</v>
      </c>
      <c r="F6" s="14" t="s">
        <v>11</v>
      </c>
    </row>
    <row r="7" spans="2:6" x14ac:dyDescent="0.45">
      <c r="B7" s="11">
        <v>2</v>
      </c>
      <c r="C7" s="12">
        <v>44406</v>
      </c>
      <c r="D7" s="16">
        <v>0.57677083333692281</v>
      </c>
      <c r="E7" s="13" t="s">
        <v>8</v>
      </c>
      <c r="F7" s="18" t="s">
        <v>10</v>
      </c>
    </row>
    <row r="8" spans="2:6" x14ac:dyDescent="0.45">
      <c r="B8" s="4">
        <v>1</v>
      </c>
      <c r="C8" s="7">
        <v>44400</v>
      </c>
      <c r="D8" s="17">
        <v>0.58872685184906004</v>
      </c>
      <c r="E8" s="5" t="s">
        <v>8</v>
      </c>
      <c r="F8" s="9" t="s">
        <v>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11</vt:i4>
      </vt:variant>
    </vt:vector>
  </HeadingPairs>
  <TitlesOfParts>
    <vt:vector size="14" baseType="lpstr">
      <vt:lpstr>Sheet1</vt:lpstr>
      <vt:lpstr>Help</vt:lpstr>
      <vt:lpstr>Audit</vt:lpstr>
      <vt:lpstr>AllowLineFeed</vt:lpstr>
      <vt:lpstr>DateFormat</vt:lpstr>
      <vt:lpstr>DateTimeFormat</vt:lpstr>
      <vt:lpstr>EOL</vt:lpstr>
      <vt:lpstr>FileName</vt:lpstr>
      <vt:lpstr>Audit!Headers</vt:lpstr>
      <vt:lpstr>NCols</vt:lpstr>
      <vt:lpstr>NRows</vt:lpstr>
      <vt:lpstr>QuoteAllStrings</vt:lpstr>
      <vt:lpstr>Unicode</vt:lpstr>
      <vt:lpstr>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2021-07-23T12:48:08Z</dcterms:created>
  <dcterms:modified xsi:type="dcterms:W3CDTF">2021-07-30T17:51:27Z</dcterms:modified>
</cp:coreProperties>
</file>