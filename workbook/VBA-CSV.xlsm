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82DE0B7A-9995-4AD6-B591-BE6E501B2E60}" xr6:coauthVersionLast="47" xr6:coauthVersionMax="47" xr10:uidLastSave="{00000000-0000-0000-0000-000000000000}"/>
  <bookViews>
    <workbookView xWindow="38782" yWindow="-98" windowWidth="46275" windowHeight="25515" xr2:uid="{86175985-054A-431D-8A4E-01C3A835BC9D}"/>
  </bookViews>
  <sheets>
    <sheet name="Demo" sheetId="1" r:id="rId1"/>
    <sheet name="Help" sheetId="3" r:id="rId2"/>
    <sheet name="Timing" sheetId="10" r:id="rId3"/>
    <sheet name="Audit" sheetId="2" r:id="rId4"/>
    <sheet name="Sheet1" sheetId="7" r:id="rId5"/>
    <sheet name="Sheet2" sheetId="8" r:id="rId6"/>
  </sheets>
  <functionGroups builtInGroupCount="19"/>
  <externalReferences>
    <externalReference r:id="rId7"/>
  </externalReferences>
  <definedNames>
    <definedName name="AllowLineFeed">Demo!#REF!</definedName>
    <definedName name="DateFormat">Demo!$C$6</definedName>
    <definedName name="DateTimeFormat">Demo!$C$7</definedName>
    <definedName name="EOL">Demo!$C$9</definedName>
    <definedName name="FileName">Demo!$C$4</definedName>
    <definedName name="Headers" localSheetId="3">Audit!$B$5:$F$5</definedName>
    <definedName name="NCols">Demo!#REF!</definedName>
    <definedName name="NRows">Demo!#REF!</definedName>
    <definedName name="PutFormulasHere1" localSheetId="2">Timing!$E$6:$E$27</definedName>
    <definedName name="PutFormulasHere2" localSheetId="2">Timing!$E$33:$E$53</definedName>
    <definedName name="PutFormulasHere3" localSheetId="2">Timing!$E$60:$E$80</definedName>
    <definedName name="PutFormulasHere4" localSheetId="2">Timing!$E$87:$E$105</definedName>
    <definedName name="PutFormulasHere5" localSheetId="2">Timing!$E$114:$E$127</definedName>
    <definedName name="PutFormulasHere6" localSheetId="2">Timing!$E$141:$E$155</definedName>
    <definedName name="PutFormulasHere7" localSheetId="2">Timing!$E$168:$E$182</definedName>
    <definedName name="QuoteAllStrings">Demo!$C$5</definedName>
    <definedName name="Unicode">Demo!$C$8</definedName>
    <definedName name="Windows">Demo!$C$5:$C$8</definedName>
  </definedNames>
  <calcPr calcId="191029" calcMode="manual" calcCompleted="0" calcOnSave="0"/>
  <extLst>
    <ext xmlns:x14="http://schemas.microsoft.com/office/spreadsheetml/2009/9/main" uri="{8193D73E-4604-4355-AFF4-8A2333D13BE4}">
      <x14:definedNames>
        <x14:definedName name="csvread">
          <x14:argumentDescriptions count="10">
            <x14:argumentDescription index="0">The full name of the file, including the path.</x14:argumentDescription>
            <x14:argumentDescription index="1">TRUE to convert Numbers, Dates, Booleans and Excel Errors into their typed values, or FALSE to leave as strings. For more control enter a string containing the letters N, D, B, E e.g. "NB" to convert just numbers and Booleans, not dates or errors.</x14:argumentDescription>
            <x14:argumentDescription index="2">Delimiter string. Defaults to the first instance of comma, tab, semi-colon, colon or pipe found outside quoted regions. Enter FALSE to  see the file's raw contents as would be displayed in a text editor. Delimiter may have more than one character.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SkipToRow to the end of the file are read.</x14:argumentDescription>
            <x14:argumentDescription index="7">The number of columns to read from the file. If omitted (or zero), all columns from SkipToCol are read.</x14:argumentDescription>
            <x14:argumentDescription index="8">Enter TRUE if the file is unicode, FALSE if the file is ascii. Omit to infer from the file's contents.</x14:argumentDescription>
            <x14:argumentDescription index="9">The character that represents a decimal point. If omitted, then the value from Windows regional settings is used.</x14:argumentDescription>
          </x14:argumentDescriptions>
        </x14:definedName>
        <x14:definedName name="CSVRead_V1">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Read_V2">
          <x14:argumentDescriptions count="11">
            <x14:argumentDescription index="0">The full name of the file, including the path.</x14:argumentDescription>
            <x14:argumentDescription index="1">TRUE to convert Numbers, Dates, Booleans and Excel Errors into their typed values, or FALSE to leave as strings. For more control enter a string containing the letters N,D,B, and E eg "NB" to convert just numbers and Booleans,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SkipToRow to the end of the file are read.</x14:argumentDescription>
            <x14:argumentDescription index="7">The number of columns to read from the file. If omitted (or zero), all columns from SkipToCol are read.</x14:argumentDescription>
            <x14:argumentDescription index="8">Enter TRUE if the file is unicode, FALSE if the file is ascii. Omit to infer from the file's contents.</x14:argumentDescription>
            <x14:argumentDescription index="9">Value to represent empty fields (successive delimiters) in the file. May be a string or an Empty value. Optional and defaults to the zero-length string.</x14:argumentDescription>
            <x14:argumentDescription index="10">The character that represents a decimal point. If omitted, then the value from Windows regional settings is used.</x14:argumentDescription>
          </x14:argumentDescriptions>
        </x14:definedName>
        <x14:definedName name="CSVWrite">
          <x14:argumentDescriptions count="8">
            <x14:argumentDescription index="0">The full name of the file, including the path.</x14:argumentDescription>
            <x14:argumentDescription index="1">An array of data. Elements may be strings, numbers, dates, Booleans, empty, Excel errors or null values.</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such as 'yyyy-mm-dd' that determine how dates, including cells formatted as dates, appear in the file.</x14:argumentDescription>
            <x14:argumentDescription index="4">A format string, such as 'yyyy-mm-dd hh:mm:ss' that determines how elements of Data that are dates with non-zero time part appear in the file. Currently the companion function CVSRead is not capable of interpreting fields written in DateTime format.</x14:argumentDescription>
            <x14:argumentDescription index="5">The delimiter string, if omitted defaults to a comma. Delimiter may have more than one character.</x14:argumentDescription>
            <x14:argumentDescription index="6">If FALSE (the default) the file written will be ascii. If TRUE the file written will be unicode. An error will result if Unicode is FALSE but Data contains strings with unicode characters.</x14:argumentDescription>
            <x14:argumentDescription index="7">Enter the required line ending character as "Windows" (or ascii 13 plus ascii 10), or "Unix" (or ascii 10) or "Mac" (or ascii 13). If omitted defaults to "Windows".</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 i="3" l="1" a="1"/>
  <c r="J6" i="3" s="1"/>
  <c r="Q12" i="8" a="1"/>
  <c r="Q12" i="8"/>
  <c r="Q11" i="8" a="1"/>
  <c r="Q11" i="8"/>
  <c r="A141" i="10" a="1"/>
  <c r="A141" i="10" s="1"/>
  <c r="B127" i="10"/>
  <c r="A127" i="10" s="1"/>
  <c r="B126" i="10"/>
  <c r="A126" i="10" s="1"/>
  <c r="B125" i="10"/>
  <c r="A125" i="10" s="1"/>
  <c r="B124" i="10"/>
  <c r="A124" i="10" s="1"/>
  <c r="B123" i="10"/>
  <c r="A123" i="10" s="1"/>
  <c r="B122" i="10"/>
  <c r="A122" i="10" s="1"/>
  <c r="B121" i="10"/>
  <c r="A121" i="10" s="1"/>
  <c r="B120" i="10"/>
  <c r="A120" i="10" s="1"/>
  <c r="B119" i="10"/>
  <c r="A119" i="10" s="1"/>
  <c r="B118" i="10"/>
  <c r="A118" i="10" s="1"/>
  <c r="B117" i="10"/>
  <c r="A117" i="10" s="1"/>
  <c r="B116" i="10"/>
  <c r="A116" i="10" s="1"/>
  <c r="B115" i="10"/>
  <c r="A115" i="10" s="1"/>
  <c r="B114" i="10"/>
  <c r="A114" i="10" s="1"/>
  <c r="A105" i="10"/>
  <c r="A104" i="10"/>
  <c r="A103" i="10"/>
  <c r="A102" i="10"/>
  <c r="A101" i="10"/>
  <c r="A100" i="10"/>
  <c r="A99" i="10"/>
  <c r="A98" i="10"/>
  <c r="A97" i="10"/>
  <c r="A96" i="10"/>
  <c r="A95" i="10"/>
  <c r="A94" i="10"/>
  <c r="A93" i="10"/>
  <c r="A92" i="10"/>
  <c r="A91" i="10"/>
  <c r="A90" i="10"/>
  <c r="A89" i="10"/>
  <c r="A88" i="10"/>
  <c r="A87" i="10"/>
  <c r="B80" i="10"/>
  <c r="A80" i="10" s="1"/>
  <c r="B79" i="10"/>
  <c r="A79" i="10" s="1"/>
  <c r="B78" i="10"/>
  <c r="A78" i="10" s="1"/>
  <c r="B77" i="10"/>
  <c r="A77" i="10" s="1"/>
  <c r="B76" i="10"/>
  <c r="A76" i="10" s="1"/>
  <c r="B75" i="10"/>
  <c r="A75" i="10" s="1"/>
  <c r="B74" i="10"/>
  <c r="A74" i="10" s="1"/>
  <c r="B73" i="10"/>
  <c r="A73" i="10" s="1"/>
  <c r="B72" i="10"/>
  <c r="A72" i="10" s="1"/>
  <c r="B71" i="10"/>
  <c r="A71" i="10" s="1"/>
  <c r="B70" i="10"/>
  <c r="A70" i="10" s="1"/>
  <c r="B69" i="10"/>
  <c r="A69" i="10" s="1"/>
  <c r="B68" i="10"/>
  <c r="A68" i="10" s="1"/>
  <c r="B67" i="10"/>
  <c r="A67" i="10" s="1"/>
  <c r="B66" i="10"/>
  <c r="A66" i="10" s="1"/>
  <c r="B65" i="10"/>
  <c r="A65" i="10" s="1"/>
  <c r="B64" i="10"/>
  <c r="A64" i="10" s="1"/>
  <c r="B63" i="10"/>
  <c r="A63" i="10" s="1"/>
  <c r="B62" i="10"/>
  <c r="A62" i="10" s="1"/>
  <c r="B61" i="10"/>
  <c r="A61" i="10" s="1"/>
  <c r="B60" i="10"/>
  <c r="A60" i="10" s="1"/>
  <c r="B53" i="10"/>
  <c r="A53" i="10" s="1"/>
  <c r="B52" i="10"/>
  <c r="A52" i="10" s="1"/>
  <c r="B51" i="10"/>
  <c r="A51" i="10" s="1"/>
  <c r="B50" i="10"/>
  <c r="A50" i="10" s="1"/>
  <c r="B49" i="10"/>
  <c r="A49" i="10" s="1"/>
  <c r="B48" i="10"/>
  <c r="A48" i="10" s="1"/>
  <c r="B47" i="10"/>
  <c r="A47" i="10" s="1"/>
  <c r="B46" i="10"/>
  <c r="A46" i="10" s="1"/>
  <c r="B45" i="10"/>
  <c r="A45" i="10" s="1"/>
  <c r="B44" i="10"/>
  <c r="A44" i="10" s="1"/>
  <c r="B43" i="10"/>
  <c r="A43" i="10" s="1"/>
  <c r="B42" i="10"/>
  <c r="A42" i="10" s="1"/>
  <c r="B41" i="10"/>
  <c r="A41" i="10" s="1"/>
  <c r="B40" i="10"/>
  <c r="A40" i="10" s="1"/>
  <c r="B39" i="10"/>
  <c r="A39" i="10" s="1"/>
  <c r="B38" i="10"/>
  <c r="A38" i="10" s="1"/>
  <c r="B37" i="10"/>
  <c r="A37" i="10" s="1"/>
  <c r="B36" i="10"/>
  <c r="A36" i="10" s="1"/>
  <c r="B35" i="10"/>
  <c r="A35" i="10" s="1"/>
  <c r="B34" i="10"/>
  <c r="A34" i="10" s="1"/>
  <c r="B33" i="10"/>
  <c r="A33" i="10" s="1"/>
  <c r="A27" i="10"/>
  <c r="A26" i="10"/>
  <c r="A25" i="10"/>
  <c r="A24" i="10"/>
  <c r="A23" i="10"/>
  <c r="A22" i="10"/>
  <c r="A21" i="10"/>
  <c r="A20" i="10"/>
  <c r="A19" i="10"/>
  <c r="A18" i="10"/>
  <c r="A17" i="10"/>
  <c r="A16" i="10"/>
  <c r="A15" i="10"/>
  <c r="A14" i="10"/>
  <c r="A13" i="10"/>
  <c r="A12" i="10"/>
  <c r="A11" i="10"/>
  <c r="A10" i="10"/>
  <c r="A9" i="10"/>
  <c r="A8" i="10"/>
  <c r="A7" i="10"/>
  <c r="A6" i="10"/>
  <c r="J4" i="3"/>
  <c r="D6" i="3" a="1"/>
  <c r="D6" i="3" s="1"/>
  <c r="D4" i="3"/>
  <c r="D48" i="7"/>
  <c r="D49" i="7" a="1"/>
  <c r="D49" i="7"/>
  <c r="D16" i="7" a="1"/>
  <c r="D16" i="7"/>
  <c r="D26" i="7" a="1"/>
  <c r="D26" i="7"/>
  <c r="D35" i="7" a="1"/>
  <c r="D35" i="7"/>
  <c r="D43" i="7" a="1"/>
  <c r="D43" i="7"/>
  <c r="Q18" i="7" a="1"/>
  <c r="Q18" i="7"/>
  <c r="A7" i="7" a="1"/>
  <c r="A7" i="7"/>
  <c r="A4" i="7" a="1"/>
  <c r="A4" i="7"/>
  <c r="A5" i="7" a="1"/>
  <c r="A5" i="7"/>
  <c r="A6" i="7" a="1"/>
  <c r="A6" i="7"/>
  <c r="A8" i="7" a="1"/>
  <c r="A8" i="7"/>
  <c r="A9" i="7" a="1"/>
  <c r="A9" i="7"/>
  <c r="A10" i="7" a="1"/>
  <c r="A10" i="7"/>
  <c r="A11" i="7" a="1"/>
  <c r="A11" i="7"/>
  <c r="A12" i="7" a="1"/>
  <c r="A12" i="7"/>
  <c r="A13" i="7" a="1"/>
  <c r="A13" i="7"/>
  <c r="A14" i="7" a="1"/>
  <c r="A14" i="7"/>
  <c r="A15" i="7" a="1"/>
  <c r="A15" i="7"/>
  <c r="A16" i="7" a="1"/>
  <c r="A16" i="7"/>
  <c r="A17" i="7" a="1"/>
  <c r="A17" i="7"/>
  <c r="A18" i="7" a="1"/>
  <c r="A18" i="7"/>
  <c r="A19" i="7" a="1"/>
  <c r="A19" i="7"/>
  <c r="A20" i="7" a="1"/>
  <c r="A20" i="7"/>
  <c r="A21" i="7" a="1"/>
  <c r="A21" i="7"/>
  <c r="A22" i="7" a="1"/>
  <c r="A22" i="7"/>
  <c r="A23" i="7" a="1"/>
  <c r="A23" i="7"/>
  <c r="A24" i="7" a="1"/>
  <c r="A24" i="7"/>
  <c r="A25" i="7" a="1"/>
  <c r="A25" i="7"/>
  <c r="A26" i="7" a="1"/>
  <c r="A26" i="7"/>
  <c r="A27" i="7" a="1"/>
  <c r="A27" i="7"/>
  <c r="A28" i="7" a="1"/>
  <c r="A28" i="7"/>
  <c r="A29" i="7" a="1"/>
  <c r="A29" i="7"/>
  <c r="A30" i="7" a="1"/>
  <c r="A30" i="7"/>
  <c r="A31" i="7" a="1"/>
  <c r="A31" i="7"/>
  <c r="A32" i="7" a="1"/>
  <c r="A32" i="7"/>
  <c r="A33" i="7" a="1"/>
  <c r="A33" i="7"/>
  <c r="A34" i="7" a="1"/>
  <c r="A34" i="7"/>
  <c r="A35" i="7" a="1"/>
  <c r="A35" i="7"/>
  <c r="A36" i="7" a="1"/>
  <c r="A36" i="7"/>
  <c r="A37" i="7" a="1"/>
  <c r="A37" i="7"/>
  <c r="A38" i="7" a="1"/>
  <c r="A38" i="7"/>
  <c r="A39" i="7" a="1"/>
  <c r="A39" i="7"/>
  <c r="A40" i="7" a="1"/>
  <c r="A40" i="7"/>
  <c r="A41" i="7" a="1"/>
  <c r="A41" i="7"/>
  <c r="A42" i="7" a="1"/>
  <c r="A42" i="7"/>
  <c r="A43" i="7" a="1"/>
  <c r="A43" i="7"/>
  <c r="A44" i="7" a="1"/>
  <c r="A44" i="7"/>
  <c r="A45" i="7" a="1"/>
  <c r="A45" i="7"/>
  <c r="A46" i="7" a="1"/>
  <c r="A46" i="7"/>
  <c r="A47" i="7" a="1"/>
  <c r="A47" i="7"/>
  <c r="A48" i="7" a="1"/>
  <c r="A48" i="7"/>
  <c r="A49" i="7" a="1"/>
  <c r="A49" i="7"/>
  <c r="A50" i="7" a="1"/>
  <c r="A50" i="7"/>
  <c r="A51" i="7" a="1"/>
  <c r="A51" i="7"/>
  <c r="A52" i="7" a="1"/>
  <c r="A52" i="7"/>
  <c r="A53" i="7" a="1"/>
  <c r="A53" i="7"/>
  <c r="A54" i="7" a="1"/>
  <c r="A54" i="7"/>
  <c r="K11" i="7" a="1"/>
  <c r="K11" i="7" s="1"/>
  <c r="B4" i="7" a="1"/>
  <c r="B4" i="7" s="1"/>
  <c r="C2" i="7" a="1"/>
  <c r="C2" i="7" s="1"/>
  <c r="E2" i="7" a="1"/>
  <c r="F2" i="7" a="1"/>
  <c r="D42" i="7"/>
  <c r="D7" i="7" a="1"/>
  <c r="D25" i="7"/>
  <c r="D15" i="7"/>
  <c r="D34" i="7"/>
  <c r="D6" i="7"/>
  <c r="B18" i="8" a="1"/>
  <c r="B13" i="1" a="1"/>
  <c r="H22" i="3" a="1"/>
  <c r="B43" i="3" a="1"/>
  <c r="H43" i="3" a="1"/>
  <c r="B18" i="8" l="1"/>
  <c r="H43" i="3"/>
  <c r="H22" i="3"/>
  <c r="D7" i="7"/>
  <c r="F2" i="7"/>
  <c r="E2" i="7"/>
  <c r="B13" i="1"/>
  <c r="B43" i="3"/>
  <c r="G2" i="7" a="1"/>
  <c r="K32" i="8" a="1"/>
  <c r="B20" i="8" a="1"/>
  <c r="E13" i="1" a="1"/>
  <c r="B20" i="8" l="1"/>
  <c r="K32" i="8"/>
  <c r="E13" i="1"/>
  <c r="P35" i="8"/>
  <c r="G2" i="7"/>
  <c r="L10" i="7" s="1" a="1"/>
  <c r="L10" i="7" s="1"/>
  <c r="O47" i="8" a="1"/>
  <c r="M13" i="1" a="1"/>
  <c r="G13" i="1" a="1"/>
  <c r="J13" i="1" a="1"/>
  <c r="B22" i="3" a="1"/>
  <c r="O47" i="8" l="1"/>
  <c r="K34" i="8" a="1"/>
  <c r="K34" i="8" s="1"/>
  <c r="L34" i="8" a="1"/>
  <c r="L34" i="8" s="1"/>
  <c r="J13" i="1"/>
  <c r="G13" i="1"/>
  <c r="M13" i="1"/>
  <c r="B22" i="3"/>
  <c r="P13" i="1" a="1"/>
  <c r="P13" i="1" l="1"/>
  <c r="P11"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<sst xmlns="http://schemas.openxmlformats.org/spreadsheetml/2006/main" count="612" uniqueCount="446">
  <si>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</si>
  <si>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</si>
  <si>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</si>
  <si>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</si>
  <si>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</si>
  <si>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</si>
  <si>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</si>
  <si>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</si>
  <si>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</si>
  <si>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</si>
  <si>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</si>
  <si>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</si>
  <si>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</si>
  <si>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</si>
  <si>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</si>
  <si>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</si>
  <si>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</si>
  <si>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</si>
  <si>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</si>
  <si>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</si>
  <si>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Delimiter</t>
  </si>
  <si>
    <t>NumRows</t>
  </si>
  <si>
    <t>NumCols</t>
  </si>
  <si>
    <t>DecimalSeparator</t>
  </si>
  <si>
    <t>Returns the contents of a comma-separated file on disk as an array.</t>
  </si>
  <si>
    <t>The full name of the file, including the path.</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</si>
  <si>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</si>
  <si>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</si>
  <si>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Argument</t>
  </si>
  <si>
    <t>FunctionName</t>
  </si>
  <si>
    <t>FunctionDescription</t>
  </si>
  <si>
    <t>Description</t>
  </si>
  <si>
    <t>Header for VBA code</t>
  </si>
  <si>
    <t>ExtraHelp</t>
  </si>
  <si>
    <t>C:\Temp\TestFile.CSV</t>
  </si>
  <si>
    <t>Inputs to CSVWrite</t>
  </si>
  <si>
    <t>Call CSVRead, TypeConversion = TRUE</t>
  </si>
  <si>
    <t>VBA-CSV functions CSVWrite and CSVRead</t>
  </si>
  <si>
    <t>String</t>
  </si>
  <si>
    <t>Logical</t>
  </si>
  <si>
    <t>Error</t>
  </si>
  <si>
    <t>TODO</t>
  </si>
  <si>
    <t>Help for CSVWrite</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</si>
  <si>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</si>
  <si>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</si>
  <si>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</si>
  <si>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</si>
  <si>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</si>
  <si>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</si>
  <si>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</si>
  <si>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Need to think about International settings and date parsing.</t>
  </si>
  <si>
    <t>Drop LowerBounds argument from CSVRead - make a constant instead</t>
  </si>
  <si>
    <t>Drop Ragged argument from CSVWrite and have a second verson of the function for round-trip testing only.</t>
  </si>
  <si>
    <t>Data</t>
  </si>
  <si>
    <t>Enter the required line ending character as "Windows" (or ascii 13 plus ascii 10), or "Unix" (or ascii 10) or "Mac" (or ascii 13). If omitted defaults to "Windows".</t>
  </si>
  <si>
    <t>Colour key</t>
  </si>
  <si>
    <t>Number (or Date, according to cell's NumberFormat)</t>
  </si>
  <si>
    <t>SplitNew idea - rather than the VBA code examine every character of the input to check for double quotes and EOLs we repeatedly use InStr, thus pushing the character examination down to C.</t>
  </si>
  <si>
    <t>Rewrote code to split a string, rather than examining each character in VBA code, use InStr in a while loop to push the character examination down to C code.</t>
  </si>
  <si>
    <t>Release checklist</t>
  </si>
  <si>
    <t>Alternatives to test against</t>
  </si>
  <si>
    <t>https://github.com/sdkn104/VBA-CSV</t>
  </si>
  <si>
    <t>https://github.com/ws-garcia/VBA-CSV-interface</t>
  </si>
  <si>
    <t>Measure speed against both other open source CSV parsers.</t>
  </si>
  <si>
    <t>ReadAll method of the class?</t>
  </si>
  <si>
    <t>Maybe stop using a class module at all. Advantage - makes it easier to import the code.</t>
  </si>
  <si>
    <t>SplitNew seems to work well. Need to rewrite method ReadLine using the same approach.</t>
  </si>
  <si>
    <t>VBA Code to register with Excel function Wizard. Function description and argument descriptions must be no longer than 255 characters.</t>
  </si>
  <si>
    <t>Add copyright, licence and documentation info to each file</t>
  </si>
  <si>
    <t>Added code to compare against https://github.com/sdkn104/VBA-CSV</t>
  </si>
  <si>
    <t>x</t>
  </si>
  <si>
    <t>Figure out how sdkn copes with unicode. Answer - it doesn't.</t>
  </si>
  <si>
    <t>C:\Temp\CSVTest\CompareAgainstAlternatives\Windows_0001_x_001_Strings_length_1_Ascii_NotRagged.csv</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</si>
  <si>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</si>
  <si>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</si>
  <si>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</si>
  <si>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</si>
  <si>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</si>
  <si>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</si>
  <si>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</si>
  <si>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</si>
  <si>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</si>
  <si>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</si>
  <si>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</si>
  <si>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</si>
  <si>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</si>
  <si>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</si>
  <si>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</si>
  <si>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</si>
  <si>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</si>
  <si>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</si>
  <si>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</si>
  <si>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</si>
  <si>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</si>
  <si>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</si>
  <si>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</si>
  <si>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</si>
  <si>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</si>
  <si>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</si>
  <si>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</si>
  <si>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</si>
  <si>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</si>
  <si>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</si>
  <si>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</si>
  <si>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</si>
  <si>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</si>
  <si>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</si>
  <si>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</si>
  <si>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</si>
  <si>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</si>
  <si>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</si>
  <si>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</si>
  <si>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</si>
  <si>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</si>
  <si>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</si>
  <si>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</si>
  <si>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</si>
  <si>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</si>
  <si>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</si>
  <si>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</si>
  <si>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</si>
  <si>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</si>
  <si>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</si>
  <si>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</si>
  <si>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</si>
  <si>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</si>
  <si>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</si>
  <si>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C:\Temp\CSVTest\CompareAgainstAlternatives\Windows_1024_x_008_Strings_length_1_Ascii_NotRagged.csv</t>
  </si>
  <si>
    <t>C:\Temp\CSVTest\CompareAgainstAlternatives\Windows_1024_x_008_Strings_length_2_Ascii_NotRagged.csv</t>
  </si>
  <si>
    <t>C:\Temp\CSVTest\CompareAgainstAlternatives\Windows_1024_x_008_Strings_length_4_Ascii_NotRagged.csv</t>
  </si>
  <si>
    <t>C:\Temp\CSVTest\CompareAgainstAlternatives\Windows_1024_x_008_Strings_length_8_Ascii_NotRagged.csv</t>
  </si>
  <si>
    <t>C:\Temp\CSVTest\CompareAgainstAlternatives\Windows_1024_x_008_Strings_length_16_Ascii_NotRagged.csv</t>
  </si>
  <si>
    <t>C:\Temp\CSVTest\CompareAgainstAlternatives\Windows_1024_x_008_Strings_length_32_Ascii_NotRagged.csv</t>
  </si>
  <si>
    <t>C:\Temp\CSVTest\CompareAgainstAlternatives\Windows_1024_x_008_Strings_length_64_Ascii_NotRagged.csv</t>
  </si>
  <si>
    <t>C:\Temp\CSVTest\CompareAgainstAlternatives\Windows_1024_x_008_Strings_length_128_Ascii_NotRagged.csv</t>
  </si>
  <si>
    <t>C:\Temp\CSVTest\CompareAgainstAlternatives\Windows_1024_x_008_Strings_length_256_Ascii_NotRagged.csv</t>
  </si>
  <si>
    <t>C:\Temp\CSVTest\CompareAgainstAlternatives\Windows_1024_x_008_Strings_length_512_Ascii_NotRagged.csv</t>
  </si>
  <si>
    <t>C:\Temp\CSVTest\CompareAgainstAlternatives\Windows_1024_x_008_Strings_length_1024_Ascii_NotRagged.csv</t>
  </si>
  <si>
    <t>C:\Temp\CSVTest\CompareAgainstAlternatives\Windows_1024_x_008_Strings_length_2048_Ascii_NotRagged.csv</t>
  </si>
  <si>
    <t>C:\Temp\CSVTest\CompareAgainstAlternatives\Windows_1024_x_008_Strings_length_4096_Ascii_NotRagged.csv</t>
  </si>
  <si>
    <t>C:\Temp\CSVTest\CompareAgainstAlternatives\Windows_1024_x_008_Strings_length_8192_Ascii_NotRagged.csv</t>
  </si>
  <si>
    <t>C:\Temp\CSVTest\CompareAgainstAlternatives\Windows_1024_x_008_Strings_length_16384_Ascii_NotRagged.csv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</si>
  <si>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</si>
  <si>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</si>
  <si>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</si>
  <si>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</si>
  <si>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</si>
  <si>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</si>
  <si>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</si>
  <si>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</si>
  <si>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</si>
  <si>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</si>
  <si>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</si>
  <si>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</si>
  <si>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</si>
  <si>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</si>
  <si>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String with embedded line-feeds, commas or quotes</t>
  </si>
  <si>
    <t>Addd sheet "TimingResults" and module modCompareAgainstAlternatives.</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</si>
  <si>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</si>
  <si>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</si>
  <si>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</si>
  <si>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</si>
  <si>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</si>
  <si>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</si>
  <si>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</si>
  <si>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</si>
  <si>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</si>
  <si>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</si>
  <si>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</si>
  <si>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</si>
  <si>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</si>
  <si>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</si>
  <si>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</si>
  <si>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</si>
  <si>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</si>
  <si>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</si>
  <si>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</si>
  <si>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</si>
  <si>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</si>
  <si>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</si>
  <si>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</si>
  <si>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</si>
  <si>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</si>
  <si>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</si>
  <si>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</si>
  <si>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</si>
  <si>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</si>
  <si>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</si>
  <si>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</si>
  <si>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</si>
  <si>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</si>
  <si>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</si>
  <si>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</si>
  <si>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</si>
  <si>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</si>
  <si>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</si>
  <si>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</si>
  <si>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</si>
  <si>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</si>
  <si>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Timing</t>
  </si>
  <si>
    <t>C:\Temp\CSVTest\CompareAgainstAlternatives\Windows_1024_x_008_Strings_length_3_Ascii_NotRagged.csv</t>
  </si>
  <si>
    <t>C:\Temp\CSVTest\CompareAgainstAlternatives\Windows_1024_x_008_Strings_length_6_Ascii_NotRagged.csv</t>
  </si>
  <si>
    <t>C:\Temp\CSVTest\CompareAgainstAlternatives\Windows_1024_x_008_Strings_length_10_Ascii_NotRagged.csv</t>
  </si>
  <si>
    <t>C:\Temp\CSVTest\CompareAgainstAlternatives\Windows_1024_x_008_Strings_length_18_Ascii_NotRagged.csv</t>
  </si>
  <si>
    <t>C:\Temp\CSVTest\CompareAgainstAlternatives\Windows_1024_x_008_Strings_length_34_Ascii_NotRagged.csv</t>
  </si>
  <si>
    <t>C:\Temp\CSVTest\CompareAgainstAlternatives\Windows_1024_x_008_Strings_length_66_Ascii_NotRagged.csv</t>
  </si>
  <si>
    <t>C:\Temp\CSVTest\CompareAgainstAlternatives\Windows_1024_x_008_Strings_length_130_Ascii_NotRagged.csv</t>
  </si>
  <si>
    <t>C:\Temp\CSVTest\CompareAgainstAlternatives\Windows_1024_x_008_Strings_length_258_Ascii_NotRagged.csv</t>
  </si>
  <si>
    <t>C:\Temp\CSVTest\CompareAgainstAlternatives\Windows_1024_x_008_Strings_length_514_Ascii_NotRagged.csv</t>
  </si>
  <si>
    <t>C:\Temp\CSVTest\CompareAgainstAlternatives\Windows_1024_x_008_Strings_length_1026_Ascii_NotRagged.csv</t>
  </si>
  <si>
    <t>C:\Temp\CSVTest\CompareAgainstAlternatives\Windows_1024_x_008_Strings_length_2050_Ascii_NotRagged.csv</t>
  </si>
  <si>
    <t>C:\Temp\CSVTest\CompareAgainstAlternatives\Windows_1024_x_008_Strings_length_4098_Ascii_NotRagged.csv</t>
  </si>
  <si>
    <t>C:\Temp\CSVTest\CompareAgainstAlternatives\Windows_1024_x_008_Strings_length_8194_Ascii_NotRagged.csv</t>
  </si>
  <si>
    <t>C:\Temp\CSVTest\CompareAgainstAlternatives\Windows_1024_x_008_Strings_length_16386_Ascii_NotRagged.csv</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</si>
  <si>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</si>
  <si>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</si>
  <si>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</si>
  <si>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</si>
  <si>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</si>
  <si>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</si>
  <si>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</si>
  <si>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</si>
  <si>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</si>
  <si>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</si>
  <si>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</si>
  <si>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</si>
  <si>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</si>
  <si>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</si>
  <si>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</si>
  <si>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C:\Temp\CSVTest\CompareAgainstAlternatives\Windows_0001_x_001_Strings_length_32_Ascii_NotRagged.csv</t>
  </si>
  <si>
    <t>Settled on fastest algo.</t>
  </si>
  <si>
    <t>ConvertTypes</t>
  </si>
  <si>
    <t>SkipToCol</t>
  </si>
  <si>
    <t>The column in the file at which reading starts. Optional and defaults to 1 to read from the first column.</t>
  </si>
  <si>
    <t>The number of columns to read from the file. If omitted (or zero), all columns from SkipToCol are read.</t>
  </si>
  <si>
    <t>Enter TRUE if the file is unicode, FALSE if the file is ascii. Omit to infer from the file's contents.</t>
  </si>
  <si>
    <t>SkipToRow</t>
  </si>
  <si>
    <t>The row in the file at which reading starts. Optional and defaults to 1 to read from the first row.</t>
  </si>
  <si>
    <t>The number of rows to read from the file. If omitted (or zero), all rows from SkipToRow to the end of the file are read.</t>
  </si>
  <si>
    <t>Now have two functions CSVRead_V1 and CSVRead_V2</t>
  </si>
  <si>
    <t>In method CSVRead_V2 handle arguments SkipToCol and NumCols</t>
  </si>
  <si>
    <t>Partial reading of files</t>
  </si>
  <si>
    <t>C:\Users\phili\Downloads\VBA-CSV-interface\testing\tests\Bad comments value specified.csv</t>
  </si>
  <si>
    <t>C:\Users\phili\Downloads\VBA-CSV-interface\testing\tests\Comment with non-default character.csv</t>
  </si>
  <si>
    <t>C:\Users\phili\Downloads\VBA-CSV-interface\testing\tests\Commented line at beginning.csv</t>
  </si>
  <si>
    <t>C:\Users\phili\Downloads\VBA-CSV-interface\testing\tests\Commented line at end.csv</t>
  </si>
  <si>
    <t>C:\Users\phili\Downloads\VBA-CSV-interface\testing\tests\Commented line in middle.csv</t>
  </si>
  <si>
    <t>C:\Users\phili\Downloads\VBA-CSV-interface\testing\tests\Complex CSV syntax.csv</t>
  </si>
  <si>
    <t>C:\Users\phili\Downloads\VBA-CSV-interface\testing\tests\Entire file is comment lines.csv</t>
  </si>
  <si>
    <t>C:\Users\phili\Downloads\VBA-CSV-interface\testing\tests\Input is just a string (a single field).csv</t>
  </si>
  <si>
    <t>C:\Users\phili\Downloads\VBA-CSV-interface\testing\tests\Input is just empty fields.csv</t>
  </si>
  <si>
    <t>C:\Users\phili\Downloads\VBA-CSV-interface\testing\tests\Input is just the delimiter (2 empty fields).csv</t>
  </si>
  <si>
    <t>C:\Users\phili\Downloads\VBA-CSV-interface\testing\tests\Input with only a commented line and blank line after.csv</t>
  </si>
  <si>
    <t>C:\Users\phili\Downloads\VBA-CSV-interface\testing\tests\Input with only a commented line, without comments enabled.csv</t>
  </si>
  <si>
    <t>C:\Users\phili\Downloads\VBA-CSV-interface\testing\tests\Input without comments with line starting with whitespace.csv</t>
  </si>
  <si>
    <t>C:\Users\phili\Downloads\VBA-CSV-interface\testing\tests\Line ends with quoted field.csv</t>
  </si>
  <si>
    <t>C:\Users\phili\Downloads\VBA-CSV-interface\testing\tests\Line starts with quoted field.csv</t>
  </si>
  <si>
    <t>C:\Users\phili\Downloads\VBA-CSV-interface\testing\tests\Misplaced quotes in data, not as opening quotes.csv</t>
  </si>
  <si>
    <t>C:\Users\phili\Downloads\VBA-CSV-interface\testing\tests\Multiple consecutive empty fields.csv</t>
  </si>
  <si>
    <t>C:\Users\phili\Downloads\VBA-CSV-interface\testing\tests\Multiple rows, one column (no delimiter found).csv</t>
  </si>
  <si>
    <t>C:\Users\phili\Downloads\VBA-CSV-interface\testing\tests\One column input with empty fields.csv</t>
  </si>
  <si>
    <t>C:\Users\phili\Downloads\VBA-CSV-interface\testing\tests\One row.csv</t>
  </si>
  <si>
    <t>C:\Users\phili\Downloads\VBA-CSV-interface\testing\tests\Pipe delimiter.csv</t>
  </si>
  <si>
    <t>C:\Users\phili\Downloads\VBA-CSV-interface\testing\tests\Quoted field at end of row (but not at EOF) has quotes.csv</t>
  </si>
  <si>
    <t>C:\Users\phili\Downloads\VBA-CSV-interface\testing\tests\Quoted field has no closing quote.csv</t>
  </si>
  <si>
    <t>C:\Users\phili\Downloads\VBA-CSV-interface\testing\tests\Quoted field with 5 quotes in a row and a delimiter.csv</t>
  </si>
  <si>
    <t>C:\Users\phili\Downloads\VBA-CSV-interface\testing\tests\Quoted field with delimiter.csv</t>
  </si>
  <si>
    <t>C:\Users\phili\Downloads\VBA-CSV-interface\testing\tests\Quoted field with escaped quotes at boundaries.csv</t>
  </si>
  <si>
    <t>C:\Users\phili\Downloads\VBA-CSV-interface\testing\tests\Quoted field with escaped quotes.csv</t>
  </si>
  <si>
    <t>C:\Users\phili\Downloads\VBA-CSV-interface\testing\tests\Quoted field with extra whitespace on edges.csv</t>
  </si>
  <si>
    <t>C:\Users\phili\Downloads\VBA-CSV-interface\testing\tests\Quoted field with line break.csv</t>
  </si>
  <si>
    <t>C:\Users\phili\Downloads\VBA-CSV-interface\testing\tests\Quoted field with quotes around delimiter.csv</t>
  </si>
  <si>
    <t>C:\Users\phili\Downloads\VBA-CSV-interface\testing\tests\Quoted field with quotes on left side of delimiter.csv</t>
  </si>
  <si>
    <t>C:\Users\phili\Downloads\VBA-CSV-interface\testing\tests\Quoted field with quotes on right side of delimiter.csv</t>
  </si>
  <si>
    <t>C:\Users\phili\Downloads\VBA-CSV-interface\testing\tests\Quoted field with unix escaped quotes at boundaries.csv</t>
  </si>
  <si>
    <t>C:\Users\phili\Downloads\VBA-CSV-interface\testing\tests\Quoted field with whitespace around quotes.csv</t>
  </si>
  <si>
    <t>C:\Users\phili\Downloads\VBA-CSV-interface\testing\tests\Quoted field.csv</t>
  </si>
  <si>
    <t>C:\Users\phili\Downloads\VBA-CSV-interface\testing\tests\Quoted fields at end of row with delimiter and line break.csv</t>
  </si>
  <si>
    <t>C:\Users\phili\Downloads\VBA-CSV-interface\testing\tests\Quoted fields with line breaks.csv</t>
  </si>
  <si>
    <t>C:\Users\phili\Downloads\VBA-CSV-interface\testing\tests\Row with enough fields but blank field at end.csv</t>
  </si>
  <si>
    <t>C:\Users\phili\Downloads\VBA-CSV-interface\testing\tests\Row with too few fields.csv</t>
  </si>
  <si>
    <t>C:\Users\phili\Downloads\VBA-CSV-interface\testing\tests\Row with too many fields.csv</t>
  </si>
  <si>
    <t>C:\Users\phili\Downloads\VBA-CSV-interface\testing\tests\Skip empty lines, with empty input.csv</t>
  </si>
  <si>
    <t>C:\Users\phili\Downloads\VBA-CSV-interface\testing\tests\Skip empty lines, with first line only whitespace.csv</t>
  </si>
  <si>
    <t>C:\Users\phili\Downloads\VBA-CSV-interface\testing\tests\Skip empty lines, with newline at end of input.csv</t>
  </si>
  <si>
    <t>C:\Users\phili\Downloads\VBA-CSV-interface\testing\tests\Tab delimiter.csv</t>
  </si>
  <si>
    <t>C:\Users\phili\Downloads\VBA-CSV-interface\testing\tests\Test runner [CSVinterface-TDD].xlsm</t>
  </si>
  <si>
    <t>C:\Users\phili\Downloads\VBA-CSV-interface\testing\tests\Three comment lines consecutively at beginning of file.csv</t>
  </si>
  <si>
    <t>C:\Users\phili\Downloads\VBA-CSV-interface\testing\tests\Two comment lines consecutively at end of file.csv</t>
  </si>
  <si>
    <t>C:\Users\phili\Downloads\VBA-CSV-interface\testing\tests\Two comment lines consecutively.csv</t>
  </si>
  <si>
    <t>C:\Users\phili\Downloads\VBA-CSV-interface\testing\tests\Two rows.csv</t>
  </si>
  <si>
    <t>C:\Users\phili\Downloads\VBA-CSV-interface\testing\tests\Unquoted field with quotes at end of field.csv</t>
  </si>
  <si>
    <t>C:\Users\phili\Downloads\VBA-CSV-interface\testing\tests\Whitespace at edges of unquoted field.csv</t>
  </si>
  <si>
    <t>CSVRead_V1=CSVRead_V2</t>
  </si>
  <si>
    <t>CSVRead_V2=CSVRead_sdkn104</t>
  </si>
  <si>
    <t>CSVRead_V2=CSVRead_ws_garcia</t>
  </si>
  <si>
    <t>a</t>
  </si>
  <si>
    <t>b</t>
  </si>
  <si>
    <t>c</t>
  </si>
  <si>
    <t>d</t>
  </si>
  <si>
    <t>e</t>
  </si>
  <si>
    <t>f</t>
  </si>
  <si>
    <t>g</t>
  </si>
  <si>
    <t>h</t>
  </si>
  <si>
    <t>i</t>
  </si>
  <si>
    <t>j</t>
  </si>
  <si>
    <t>k</t>
  </si>
  <si>
    <t>l</t>
  </si>
  <si>
    <t>,</t>
  </si>
  <si>
    <t>c:\temp\anothertest.csv</t>
  </si>
  <si>
    <t>!</t>
  </si>
  <si>
    <t>"</t>
  </si>
  <si>
    <t>#</t>
  </si>
  <si>
    <t>$</t>
  </si>
  <si>
    <t>%</t>
  </si>
  <si>
    <t>&amp;</t>
  </si>
  <si>
    <t>'</t>
  </si>
  <si>
    <t>(</t>
  </si>
  <si>
    <t>)</t>
  </si>
  <si>
    <t>*</t>
  </si>
  <si>
    <t>+</t>
  </si>
  <si>
    <t>-</t>
  </si>
  <si>
    <t>.</t>
  </si>
  <si>
    <t>/</t>
  </si>
  <si>
    <t>0</t>
  </si>
  <si>
    <t>1</t>
  </si>
  <si>
    <t>2</t>
  </si>
  <si>
    <t>3</t>
  </si>
  <si>
    <t>4</t>
  </si>
  <si>
    <t>5</t>
  </si>
  <si>
    <t>7</t>
  </si>
  <si>
    <t>8</t>
  </si>
  <si>
    <t>9</t>
  </si>
  <si>
    <t>:</t>
  </si>
  <si>
    <t>;</t>
  </si>
  <si>
    <t>&lt;</t>
  </si>
  <si>
    <t>=</t>
  </si>
  <si>
    <t>&gt;</t>
  </si>
  <si>
    <t>?</t>
  </si>
  <si>
    <t>@</t>
  </si>
  <si>
    <t>A</t>
  </si>
  <si>
    <t>B</t>
  </si>
  <si>
    <t>C</t>
  </si>
  <si>
    <t>D</t>
  </si>
  <si>
    <t>E</t>
  </si>
  <si>
    <t>F</t>
  </si>
  <si>
    <t>G</t>
  </si>
  <si>
    <t>H</t>
  </si>
  <si>
    <t>J</t>
  </si>
  <si>
    <t>K</t>
  </si>
  <si>
    <t>L</t>
  </si>
  <si>
    <t>M</t>
  </si>
  <si>
    <t>N</t>
  </si>
  <si>
    <t>O</t>
  </si>
  <si>
    <t>P</t>
  </si>
  <si>
    <t>Q</t>
  </si>
  <si>
    <t>R</t>
  </si>
  <si>
    <t>S</t>
  </si>
  <si>
    <t>T</t>
  </si>
  <si>
    <t>U</t>
  </si>
  <si>
    <t>V</t>
  </si>
  <si>
    <t>W</t>
  </si>
  <si>
    <t>X</t>
  </si>
  <si>
    <t>Y</t>
  </si>
  <si>
    <t>Z</t>
  </si>
  <si>
    <t>[</t>
  </si>
  <si>
    <t>\</t>
  </si>
  <si>
    <t>]</t>
  </si>
  <si>
    <t>^</t>
  </si>
  <si>
    <t>_</t>
  </si>
  <si>
    <t>`</t>
  </si>
  <si>
    <t>m</t>
  </si>
  <si>
    <t>n</t>
  </si>
  <si>
    <t>o</t>
  </si>
  <si>
    <t>p</t>
  </si>
  <si>
    <t>q</t>
  </si>
  <si>
    <t>r</t>
  </si>
  <si>
    <t>s</t>
  </si>
  <si>
    <t>t</t>
  </si>
  <si>
    <t>u</t>
  </si>
  <si>
    <t>v</t>
  </si>
  <si>
    <t>w</t>
  </si>
  <si>
    <t>y</t>
  </si>
  <si>
    <t>z</t>
  </si>
  <si>
    <t>|</t>
  </si>
  <si>
    <t>}</t>
  </si>
  <si>
    <t>~</t>
  </si>
  <si>
    <t></t>
  </si>
  <si>
    <t>€</t>
  </si>
  <si>
    <t></t>
  </si>
  <si>
    <t>‚</t>
  </si>
  <si>
    <t>ƒ</t>
  </si>
  <si>
    <t>„</t>
  </si>
  <si>
    <t>CSVRead_V2 now supports SkipToCol and NumCols, not yet SkipToRow and NumRows though.</t>
  </si>
  <si>
    <t>::::</t>
  </si>
  <si>
    <t>CSVRead_V3 now supports SkipToRow and NumRows.</t>
  </si>
  <si>
    <t>ToDo</t>
  </si>
  <si>
    <t>Speed tests on V3</t>
  </si>
  <si>
    <t>Drop V1 and V2</t>
  </si>
  <si>
    <t>Document all sub-routines</t>
  </si>
  <si>
    <t>CSVRead_sdkn104</t>
  </si>
  <si>
    <t>CSVRead_ws_garcia</t>
  </si>
  <si>
    <t>1 = 2?</t>
  </si>
  <si>
    <t>1 = 3?</t>
  </si>
  <si>
    <t>File</t>
  </si>
  <si>
    <t>Size</t>
  </si>
  <si>
    <t>One column of 1-char fields.</t>
  </si>
  <si>
    <t>One column of 32-char fields.</t>
  </si>
  <si>
    <t>One column of 20-char fields with embedded breaks.</t>
  </si>
  <si>
    <t>10 columns of 17-char numeric fields (no quotes).</t>
  </si>
  <si>
    <t>1024 rows, 8 columns. Fields not quoted.</t>
  </si>
  <si>
    <t>1024 rows, 8 columns. Fields quoted.</t>
  </si>
  <si>
    <t>Added sheet `TimingResults (3)`</t>
  </si>
  <si>
    <t>Remove Ragged argument from CSVWrite</t>
  </si>
  <si>
    <t>CSVRead_V3 -&gt; CSVRead</t>
  </si>
  <si>
    <t>Field Length</t>
  </si>
  <si>
    <t>Each Field Contains</t>
  </si>
  <si>
    <t>Num Rows</t>
  </si>
  <si>
    <t>Num Cols</t>
  </si>
  <si>
    <t>Bug fixes to handling of SkipNumRows etc.</t>
  </si>
  <si>
    <t>Changed method SaveWorkbookAndExportModules to also save a backup to OneDrive.</t>
  </si>
  <si>
    <t>Deleted 2 of the 3 sheets with timing results.</t>
  </si>
  <si>
    <t>Deleted functions CSVRead_V1 and CSVRead_V2</t>
  </si>
  <si>
    <t>Removed redundant modules. CSVWrite no longer has Ragged argument.</t>
  </si>
  <si>
    <t>The delimiter string, if omitted defaults to a comma. Delimiter may have more than one character.</t>
  </si>
  <si>
    <t>If FALSE (the default) the file written will be ascii. If TRUE the file written will be unicode. An error will result if Unicode is FALSE but Data contains strings with unicode characters.</t>
  </si>
  <si>
    <t>Delimiter string. Defaults to the first instance of comma, tab, semi-colon, colon or pipe found outside quoted regions. Enter FALSE to  see the file's raw contents as would be displayed in a text editor. Delimiter may have more than one character.</t>
  </si>
  <si>
    <t>CSVRead</t>
  </si>
  <si>
    <t>An array of data. Elements may be strings, numbers, dates, Booleans, empty, Excel errors or null values.</t>
  </si>
  <si>
    <t>If TRUE (the default) then all strings in Data are quoted before being written to file. If FALSE only strings containing Delimiter, line feed, carriage return or double quote are quoted. Double quotes are always escaped by another double quote.</t>
  </si>
  <si>
    <t>Creates a comma-separated file on disk containing Data. Any existing file of the same name is overwritten. If successful, the function returns FileName, otherwise an "error string" (starts with #, ends with !) describing what went wrong.</t>
  </si>
  <si>
    <t>TRUE to convert Numbers, Dates, Booleans and Errors into their typed values, or FALSE to leave as strings. Or letters N, D, B, E, Q. E.g. "BN" to convert just Booleans and numbers. Q indicates quoted strings should retain their quotes.</t>
  </si>
  <si>
    <t>Renamed CSVRead_V3 as CSVRead</t>
  </si>
  <si>
    <t>Length (max 255)</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</si>
  <si>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</si>
  <si>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definition of the CSV format see
https://tools.ietf.org/html/rfc4180#section-2</t>
  </si>
  <si>
    <t>Removed reference to SolumAddin.</t>
  </si>
  <si>
    <t>NCalls
CSVRead</t>
  </si>
  <si>
    <t>NCalls
CSVRead_sdkn104</t>
  </si>
  <si>
    <t>NCalls
CSVRead_ws_garcia</t>
  </si>
  <si>
    <t>Method TimeThreeParsers now has TimeOut argument so that time to execute is averaged over the number of calls required to take (in total) the TimeOut value.</t>
  </si>
  <si>
    <t>Help</t>
  </si>
  <si>
    <t>c:\temp\smalltest.csv</t>
  </si>
  <si>
    <t>A format string that determines how dates with non-zero time part appear in the file. If omitted defaults to "yyyy-mm-dd hh:mm:ss".The companion function CVSRead is not currently capable of interpreting fields written in DateTime format.</t>
  </si>
  <si>
    <t>A format string that determine how dates, including cells formatted as dates, appear in the file. If omitted, defaults to "yyyy-mm-dd".</t>
  </si>
  <si>
    <t>Code formatting.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</si>
</sst>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0;[Red]\-#,##0"/>
    <numFmt numFmtId="166" formatCode="#,##0.00;[Red]\-#,##0.00"/>
    <numFmt numFmtId="167" formatCode="hh:mm"/>
  </numFmts>
  <fonts count="10"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
      <u/>
      <sz val="11"/>
      <color theme="10"/>
      <name val="Calibri"/>
      <family val="2"/>
      <scheme val="minor"/>
    </font>
    <font>
      <strike/>
      <sz val="11"/>
      <color theme="1"/>
      <name val="Calibri"/>
      <family val="2"/>
      <scheme val="minor"/>
    </font>
    <font>
      <sz val="11"/>
      <color rgb="FF000000"/>
      <name val="Calibri"/>
      <family val="2"/>
    </font>
  </fonts>
  <fills count="8">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59999389629810485"/>
        <bgColor indexed="64"/>
      </patternFill>
    </fill>
  </fills>
  <borders count="13">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7" fillId="0" borderId="0" applyNumberFormat="0" applyFill="0" applyBorder="0" applyAlignment="0" applyProtection="0"/>
  </cellStyleXfs>
  <cellXfs count="64">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5" fillId="0" borderId="0" xfId="0" quotePrefix="1" applyFont="1" applyAlignment="1">
      <alignment horizontal="left"/>
    </xf>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7" fillId="0" borderId="0" xfId="1"/>
    <xf numFmtId="0" fontId="3" fillId="0" borderId="10" xfId="0" applyFont="1" applyBorder="1"/>
    <xf numFmtId="0" fontId="0" fillId="0" borderId="10" xfId="0" applyBorder="1" applyAlignment="1">
      <alignment vertical="center"/>
    </xf>
    <xf numFmtId="0" fontId="0" fillId="0" borderId="10" xfId="0" applyBorder="1" applyAlignment="1">
      <alignment vertical="center" wrapText="1"/>
    </xf>
    <xf numFmtId="14" fontId="0" fillId="0" borderId="10" xfId="0" applyNumberFormat="1" applyBorder="1" applyAlignment="1">
      <alignment vertical="center" wrapText="1"/>
    </xf>
    <xf numFmtId="0" fontId="0" fillId="0" borderId="10" xfId="0" quotePrefix="1" applyBorder="1" applyAlignment="1">
      <alignment horizontal="left" vertical="center" wrapText="1"/>
    </xf>
    <xf numFmtId="0" fontId="0" fillId="0" borderId="10" xfId="0" quotePrefix="1" applyBorder="1" applyAlignment="1">
      <alignment horizontal="left" wrapText="1"/>
    </xf>
    <xf numFmtId="0" fontId="8" fillId="0" borderId="0" xfId="0" applyFont="1"/>
    <xf numFmtId="0" fontId="0" fillId="0" borderId="10" xfId="0" quotePrefix="1" applyNumberFormat="1" applyBorder="1" applyAlignment="1">
      <alignment horizontal="left"/>
    </xf>
    <xf numFmtId="0" fontId="0" fillId="0" borderId="0" xfId="0" applyAlignment="1">
      <alignment horizontal="left" vertical="center"/>
    </xf>
    <xf numFmtId="0" fontId="6" fillId="7" borderId="0" xfId="0" applyFont="1" applyFill="1"/>
    <xf numFmtId="38" fontId="0" fillId="0" borderId="0" xfId="0" applyNumberFormat="1" applyAlignment="1">
      <alignment horizontal="left" vertical="center"/>
    </xf>
    <xf numFmtId="0" fontId="0" fillId="0" borderId="10" xfId="0" quotePrefix="1" applyBorder="1" applyAlignment="1">
      <alignment horizontal="left" vertical="center"/>
    </xf>
    <xf numFmtId="0" fontId="8" fillId="0" borderId="0" xfId="0" quotePrefix="1" applyFont="1" applyAlignment="1">
      <alignment horizontal="left"/>
    </xf>
    <xf numFmtId="0" fontId="0" fillId="0" borderId="0" xfId="0" quotePrefix="1"/>
    <xf numFmtId="0" fontId="4" fillId="0" borderId="0" xfId="0" applyFont="1" applyProtection="1">
      <protection locked="0"/>
    </xf>
    <xf numFmtId="0" fontId="0" fillId="0" borderId="0" xfId="0" applyAlignment="1">
      <alignment wrapText="1"/>
    </xf>
    <xf numFmtId="38" fontId="0" fillId="0" borderId="0" xfId="0" applyNumberFormat="1"/>
    <xf numFmtId="38" fontId="2" fillId="2" borderId="7" xfId="0" applyNumberFormat="1" applyFont="1" applyFill="1" applyBorder="1" applyAlignment="1">
      <alignment horizontal="center" vertical="center"/>
    </xf>
    <xf numFmtId="0" fontId="0" fillId="0" borderId="11" xfId="0" applyBorder="1" applyAlignment="1">
      <alignment vertical="center"/>
    </xf>
    <xf numFmtId="0" fontId="3" fillId="0" borderId="11" xfId="0" applyFont="1" applyBorder="1"/>
    <xf numFmtId="0" fontId="0" fillId="0" borderId="11" xfId="0" applyBorder="1" applyAlignment="1">
      <alignment vertical="center" wrapText="1"/>
    </xf>
    <xf numFmtId="0" fontId="0" fillId="0" borderId="11" xfId="0" quotePrefix="1" applyBorder="1" applyAlignment="1">
      <alignment horizontal="left"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165" fontId="0" fillId="0" borderId="0" xfId="0" applyNumberFormat="1"/>
    <xf numFmtId="166" fontId="0" fillId="0" borderId="0" xfId="0" applyNumberFormat="1"/>
    <xf numFmtId="0" fontId="0" fillId="0" borderId="0" xfId="0" applyAlignment="1">
      <alignment vertical="center"/>
    </xf>
    <xf numFmtId="0" fontId="0" fillId="0" borderId="0" xfId="0" quotePrefix="1" applyAlignment="1">
      <alignment horizontal="left" vertical="center" wrapText="1"/>
    </xf>
    <xf numFmtId="165" fontId="2" fillId="2" borderId="7" xfId="0" applyNumberFormat="1" applyFont="1" applyFill="1" applyBorder="1" applyAlignment="1">
      <alignment horizontal="center" vertical="center"/>
    </xf>
    <xf numFmtId="167" fontId="0" fillId="0" borderId="2" xfId="0" applyNumberFormat="1" applyBorder="1" applyAlignment="1">
      <alignment horizontal="left" vertical="center"/>
    </xf>
    <xf numFmtId="167" fontId="2" fillId="2" borderId="8" xfId="0" applyNumberFormat="1" applyFont="1" applyFill="1" applyBorder="1" applyAlignment="1">
      <alignment horizontal="left" vertical="center"/>
    </xf>
    <xf numFmtId="167" fontId="2" fillId="2" borderId="5" xfId="0" applyNumberFormat="1" applyFont="1" applyFill="1" applyBorder="1" applyAlignment="1">
      <alignment horizontal="left" vertical="center"/>
    </xf>
  </cellXfs>
  <cellStyles count="2">
    <cellStyle name="Hyperlink" xfId="1" builtinId="8"/>
    <cellStyle name="Normal" xfId="0" builtinId="0"/>
  </cellStyles>
  <dxfs count="25">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Timing!$E$6:$E$27</c:f>
              <c:numCache>
                <c:formatCode>General</c:formatCode>
                <c:ptCount val="22"/>
                <c:pt idx="0">
                  <c:v>1.2643180438956866E-4</c:v>
                </c:pt>
                <c:pt idx="1">
                  <c:v>1.4797941045904668E-4</c:v>
                </c:pt>
                <c:pt idx="2">
                  <c:v>1.292141616704593E-4</c:v>
                </c:pt>
                <c:pt idx="3">
                  <c:v>1.3715430656137051E-4</c:v>
                </c:pt>
                <c:pt idx="4">
                  <c:v>1.4700231081318508E-4</c:v>
                </c:pt>
                <c:pt idx="5">
                  <c:v>1.6461627707910469E-4</c:v>
                </c:pt>
                <c:pt idx="6">
                  <c:v>2.1162555974095501E-4</c:v>
                </c:pt>
                <c:pt idx="7">
                  <c:v>2.8521796817065567E-4</c:v>
                </c:pt>
                <c:pt idx="8">
                  <c:v>4.4585392777531113E-4</c:v>
                </c:pt>
                <c:pt idx="9">
                  <c:v>7.5756594455389363E-4</c:v>
                </c:pt>
                <c:pt idx="10">
                  <c:v>1.4202277193978592E-3</c:v>
                </c:pt>
                <c:pt idx="11">
                  <c:v>2.8257352542366038E-3</c:v>
                </c:pt>
                <c:pt idx="12">
                  <c:v>5.492938748627392E-3</c:v>
                </c:pt>
                <c:pt idx="13">
                  <c:v>1.1117214666668991E-2</c:v>
                </c:pt>
                <c:pt idx="14">
                  <c:v>2.2051429074895268E-2</c:v>
                </c:pt>
                <c:pt idx="15">
                  <c:v>4.4927449107149187E-2</c:v>
                </c:pt>
                <c:pt idx="16">
                  <c:v>0.10542577291668447</c:v>
                </c:pt>
                <c:pt idx="17">
                  <c:v>0.17805527931033857</c:v>
                </c:pt>
                <c:pt idx="18">
                  <c:v>0.36705025000005015</c:v>
                </c:pt>
                <c:pt idx="19">
                  <c:v>0.75120355714300657</c:v>
                </c:pt>
                <c:pt idx="20">
                  <c:v>1.4548350499999287</c:v>
                </c:pt>
                <c:pt idx="21">
                  <c:v>2.977490599999328</c:v>
                </c:pt>
              </c:numCache>
            </c:numRef>
          </c:yVal>
          <c:smooth val="0"/>
          <c:extLst>
            <c:ext xmlns:c16="http://schemas.microsoft.com/office/drawing/2014/chart" uri="{C3380CC4-5D6E-409C-BE32-E72D297353CC}">
              <c16:uniqueId val="{00000000-3B43-4D67-9715-03D23C222E15}"/>
            </c:ext>
          </c:extLst>
        </c:ser>
        <c:ser>
          <c:idx val="1"/>
          <c:order val="1"/>
          <c:tx>
            <c:strRef>
              <c:f>Timing!$F$5</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Timing!$F$6:$F$27</c:f>
              <c:numCache>
                <c:formatCode>General</c:formatCode>
                <c:ptCount val="22"/>
                <c:pt idx="0">
                  <c:v>1.1968546329319686E-4</c:v>
                </c:pt>
                <c:pt idx="1">
                  <c:v>1.2625614221143511E-4</c:v>
                </c:pt>
                <c:pt idx="2">
                  <c:v>1.2471045569053014E-4</c:v>
                </c:pt>
                <c:pt idx="3">
                  <c:v>1.3015298175285137E-4</c:v>
                </c:pt>
                <c:pt idx="4">
                  <c:v>1.4004114665022588E-4</c:v>
                </c:pt>
                <c:pt idx="5">
                  <c:v>1.5876684342552464E-4</c:v>
                </c:pt>
                <c:pt idx="6">
                  <c:v>1.9906098415477263E-4</c:v>
                </c:pt>
                <c:pt idx="7">
                  <c:v>2.8026636959805896E-4</c:v>
                </c:pt>
                <c:pt idx="8">
                  <c:v>4.4391376065339665E-4</c:v>
                </c:pt>
                <c:pt idx="9">
                  <c:v>7.8470524168252893E-4</c:v>
                </c:pt>
                <c:pt idx="10">
                  <c:v>1.450245011600919E-3</c:v>
                </c:pt>
                <c:pt idx="11">
                  <c:v>3.0353459951451777E-3</c:v>
                </c:pt>
                <c:pt idx="12">
                  <c:v>5.5376767441871928E-3</c:v>
                </c:pt>
                <c:pt idx="13">
                  <c:v>1.0839643506494814E-2</c:v>
                </c:pt>
                <c:pt idx="14">
                  <c:v>2.1504316309013165E-2</c:v>
                </c:pt>
                <c:pt idx="15">
                  <c:v>4.3666169565229847E-2</c:v>
                </c:pt>
                <c:pt idx="16">
                  <c:v>0.10038517058823274</c:v>
                </c:pt>
                <c:pt idx="17">
                  <c:v>0.17777406551719871</c:v>
                </c:pt>
                <c:pt idx="18">
                  <c:v>0.34604212666660411</c:v>
                </c:pt>
                <c:pt idx="19">
                  <c:v>0.74830622857137186</c:v>
                </c:pt>
                <c:pt idx="20">
                  <c:v>1.4545715249996647</c:v>
                </c:pt>
                <c:pt idx="21">
                  <c:v>3.0704576999996789</c:v>
                </c:pt>
              </c:numCache>
            </c:numRef>
          </c:yVal>
          <c:smooth val="0"/>
          <c:extLst>
            <c:ext xmlns:c16="http://schemas.microsoft.com/office/drawing/2014/chart" uri="{C3380CC4-5D6E-409C-BE32-E72D297353CC}">
              <c16:uniqueId val="{00000001-3B43-4D67-9715-03D23C222E15}"/>
            </c:ext>
          </c:extLst>
        </c:ser>
        <c:ser>
          <c:idx val="2"/>
          <c:order val="2"/>
          <c:tx>
            <c:strRef>
              <c:f>Timing!$G$5</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Timing!$G$6:$G$27</c:f>
              <c:numCache>
                <c:formatCode>General</c:formatCode>
                <c:ptCount val="22"/>
                <c:pt idx="0">
                  <c:v>1.6876894026323923E-3</c:v>
                </c:pt>
                <c:pt idx="1">
                  <c:v>1.8431641725024123E-3</c:v>
                </c:pt>
                <c:pt idx="2">
                  <c:v>1.8424781503317443E-3</c:v>
                </c:pt>
                <c:pt idx="3">
                  <c:v>1.8824117049306499E-3</c:v>
                </c:pt>
                <c:pt idx="4">
                  <c:v>1.9195820345489028E-3</c:v>
                </c:pt>
                <c:pt idx="5">
                  <c:v>1.9947821300360445E-3</c:v>
                </c:pt>
                <c:pt idx="6">
                  <c:v>2.1753947803391212E-3</c:v>
                </c:pt>
                <c:pt idx="7">
                  <c:v>2.4698897283950052E-3</c:v>
                </c:pt>
                <c:pt idx="8">
                  <c:v>3.1271550343968655E-3</c:v>
                </c:pt>
                <c:pt idx="9">
                  <c:v>4.3505461739123744E-3</c:v>
                </c:pt>
                <c:pt idx="10">
                  <c:v>6.9350496532593316E-3</c:v>
                </c:pt>
                <c:pt idx="11">
                  <c:v>1.2143817475726324E-2</c:v>
                </c:pt>
                <c:pt idx="12">
                  <c:v>2.5072455500003345E-2</c:v>
                </c:pt>
                <c:pt idx="13">
                  <c:v>4.6924121495330581E-2</c:v>
                </c:pt>
                <c:pt idx="14">
                  <c:v>8.8240175438585811E-2</c:v>
                </c:pt>
                <c:pt idx="15">
                  <c:v>0.16928570000000037</c:v>
                </c:pt>
                <c:pt idx="16">
                  <c:v>0.33775663999998262</c:v>
                </c:pt>
                <c:pt idx="17">
                  <c:v>0.65007098750015757</c:v>
                </c:pt>
                <c:pt idx="18">
                  <c:v>1.3880589749996943</c:v>
                </c:pt>
                <c:pt idx="19">
                  <c:v>2.5181865499998821</c:v>
                </c:pt>
                <c:pt idx="20">
                  <c:v>4.9294864499997857</c:v>
                </c:pt>
                <c:pt idx="21">
                  <c:v>10.497115999998641</c:v>
                </c:pt>
              </c:numCache>
            </c:numRef>
          </c:yVal>
          <c:smooth val="0"/>
          <c:extLst>
            <c:ext xmlns:c16="http://schemas.microsoft.com/office/drawing/2014/chart" uri="{C3380CC4-5D6E-409C-BE32-E72D297353CC}">
              <c16:uniqueId val="{00000002-3B43-4D67-9715-03D23C222E15}"/>
            </c:ext>
          </c:extLst>
        </c:ser>
        <c:dLbls>
          <c:showLegendKey val="0"/>
          <c:showVal val="0"/>
          <c:showCatName val="0"/>
          <c:showSerName val="0"/>
          <c:showPercent val="0"/>
          <c:showBubbleSize val="0"/>
        </c:dLbls>
        <c:axId val="380554975"/>
        <c:axId val="380547487"/>
      </c:scatterChart>
      <c:valAx>
        <c:axId val="38055497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47487"/>
        <c:crosses val="autoZero"/>
        <c:crossBetween val="midCat"/>
      </c:valAx>
      <c:valAx>
        <c:axId val="380547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54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Timing!$E$33:$E$53</c:f>
              <c:numCache>
                <c:formatCode>General</c:formatCode>
                <c:ptCount val="21"/>
                <c:pt idx="0">
                  <c:v>1.34479874129294E-4</c:v>
                </c:pt>
                <c:pt idx="1">
                  <c:v>1.4183739645978871E-4</c:v>
                </c:pt>
                <c:pt idx="2">
                  <c:v>1.494449249805769E-4</c:v>
                </c:pt>
                <c:pt idx="3">
                  <c:v>1.6171222509704975E-4</c:v>
                </c:pt>
                <c:pt idx="4">
                  <c:v>2.0189477913267227E-4</c:v>
                </c:pt>
                <c:pt idx="5">
                  <c:v>2.413951385536163E-4</c:v>
                </c:pt>
                <c:pt idx="6">
                  <c:v>3.5599028905026244E-4</c:v>
                </c:pt>
                <c:pt idx="7">
                  <c:v>5.4607597466429841E-4</c:v>
                </c:pt>
                <c:pt idx="8">
                  <c:v>1.0993258298530621E-3</c:v>
                </c:pt>
                <c:pt idx="9">
                  <c:v>1.7651133074481529E-3</c:v>
                </c:pt>
                <c:pt idx="10">
                  <c:v>3.6095994227991839E-3</c:v>
                </c:pt>
                <c:pt idx="11">
                  <c:v>6.6196644179904573E-3</c:v>
                </c:pt>
                <c:pt idx="12">
                  <c:v>1.2783892346941666E-2</c:v>
                </c:pt>
                <c:pt idx="13">
                  <c:v>2.7055212432438764E-2</c:v>
                </c:pt>
                <c:pt idx="14">
                  <c:v>5.6172302222229416E-2</c:v>
                </c:pt>
                <c:pt idx="15">
                  <c:v>0.1080429361702161</c:v>
                </c:pt>
                <c:pt idx="16">
                  <c:v>0.21789429999997714</c:v>
                </c:pt>
                <c:pt idx="17">
                  <c:v>0.42822090833336307</c:v>
                </c:pt>
                <c:pt idx="18">
                  <c:v>0.86779139999998733</c:v>
                </c:pt>
                <c:pt idx="19">
                  <c:v>1.7959464333331805</c:v>
                </c:pt>
                <c:pt idx="20">
                  <c:v>3.582008549999955</c:v>
                </c:pt>
              </c:numCache>
            </c:numRef>
          </c:yVal>
          <c:smooth val="0"/>
          <c:extLst>
            <c:ext xmlns:c16="http://schemas.microsoft.com/office/drawing/2014/chart" uri="{C3380CC4-5D6E-409C-BE32-E72D297353CC}">
              <c16:uniqueId val="{00000000-B26C-4EBC-8EAB-5C3B48F64E8C}"/>
            </c:ext>
          </c:extLst>
        </c:ser>
        <c:ser>
          <c:idx val="1"/>
          <c:order val="1"/>
          <c:tx>
            <c:strRef>
              <c:f>Timing!$F$32</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Timing!$F$33:$F$53</c:f>
              <c:numCache>
                <c:formatCode>General</c:formatCode>
                <c:ptCount val="21"/>
                <c:pt idx="0">
                  <c:v>1.3239526293493193E-4</c:v>
                </c:pt>
                <c:pt idx="1">
                  <c:v>1.3560162991890296E-4</c:v>
                </c:pt>
                <c:pt idx="2">
                  <c:v>1.4331502479289084E-4</c:v>
                </c:pt>
                <c:pt idx="3">
                  <c:v>1.619906761265919E-4</c:v>
                </c:pt>
                <c:pt idx="4">
                  <c:v>1.8643100298283477E-4</c:v>
                </c:pt>
                <c:pt idx="5">
                  <c:v>2.3752324355138786E-4</c:v>
                </c:pt>
                <c:pt idx="6">
                  <c:v>3.2940519138286811E-4</c:v>
                </c:pt>
                <c:pt idx="7">
                  <c:v>5.2124734702384029E-4</c:v>
                </c:pt>
                <c:pt idx="8">
                  <c:v>8.9574706198481649E-4</c:v>
                </c:pt>
                <c:pt idx="9">
                  <c:v>1.6841131020543982E-3</c:v>
                </c:pt>
                <c:pt idx="10">
                  <c:v>3.3403356045416653E-3</c:v>
                </c:pt>
                <c:pt idx="11">
                  <c:v>6.4426679536677776E-3</c:v>
                </c:pt>
                <c:pt idx="12">
                  <c:v>1.2523153749998527E-2</c:v>
                </c:pt>
                <c:pt idx="13">
                  <c:v>2.6463665079361855E-2</c:v>
                </c:pt>
                <c:pt idx="14">
                  <c:v>5.0571818181821861E-2</c:v>
                </c:pt>
                <c:pt idx="15">
                  <c:v>0.10883963404256142</c:v>
                </c:pt>
                <c:pt idx="16">
                  <c:v>0.20836787500002174</c:v>
                </c:pt>
                <c:pt idx="17">
                  <c:v>0.41175323076920622</c:v>
                </c:pt>
                <c:pt idx="18">
                  <c:v>0.8477728499998799</c:v>
                </c:pt>
                <c:pt idx="19">
                  <c:v>1.8226661000001816</c:v>
                </c:pt>
                <c:pt idx="20">
                  <c:v>3.4363585999999486</c:v>
                </c:pt>
              </c:numCache>
            </c:numRef>
          </c:yVal>
          <c:smooth val="0"/>
          <c:extLst>
            <c:ext xmlns:c16="http://schemas.microsoft.com/office/drawing/2014/chart" uri="{C3380CC4-5D6E-409C-BE32-E72D297353CC}">
              <c16:uniqueId val="{00000001-B26C-4EBC-8EAB-5C3B48F64E8C}"/>
            </c:ext>
          </c:extLst>
        </c:ser>
        <c:ser>
          <c:idx val="2"/>
          <c:order val="2"/>
          <c:tx>
            <c:strRef>
              <c:f>Timing!$G$32</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Timing!$G$33:$G$53</c:f>
              <c:numCache>
                <c:formatCode>General</c:formatCode>
                <c:ptCount val="21"/>
                <c:pt idx="0">
                  <c:v>2.0403903304768351E-3</c:v>
                </c:pt>
                <c:pt idx="1">
                  <c:v>2.0671608515911172E-3</c:v>
                </c:pt>
                <c:pt idx="2">
                  <c:v>2.0889627401837886E-3</c:v>
                </c:pt>
                <c:pt idx="3">
                  <c:v>2.1437495499359743E-3</c:v>
                </c:pt>
                <c:pt idx="4">
                  <c:v>2.1701710069442649E-3</c:v>
                </c:pt>
                <c:pt idx="5">
                  <c:v>2.2608000904157507E-3</c:v>
                </c:pt>
                <c:pt idx="6">
                  <c:v>2.4749920336468671E-3</c:v>
                </c:pt>
                <c:pt idx="7">
                  <c:v>2.8558099942885542E-3</c:v>
                </c:pt>
                <c:pt idx="8">
                  <c:v>3.6949522895118789E-3</c:v>
                </c:pt>
                <c:pt idx="9">
                  <c:v>5.2559193277317692E-3</c:v>
                </c:pt>
                <c:pt idx="10">
                  <c:v>8.641772711571901E-3</c:v>
                </c:pt>
                <c:pt idx="11">
                  <c:v>1.5512091950461162E-2</c:v>
                </c:pt>
                <c:pt idx="12">
                  <c:v>3.0566157926819514E-2</c:v>
                </c:pt>
                <c:pt idx="13">
                  <c:v>5.0198493000007144E-2</c:v>
                </c:pt>
                <c:pt idx="14">
                  <c:v>9.6531917307682027E-2</c:v>
                </c:pt>
                <c:pt idx="15">
                  <c:v>0.18798502962959496</c:v>
                </c:pt>
                <c:pt idx="16">
                  <c:v>0.3881295384615861</c:v>
                </c:pt>
                <c:pt idx="17">
                  <c:v>0.75083692857151618</c:v>
                </c:pt>
                <c:pt idx="18">
                  <c:v>1.5137419750003573</c:v>
                </c:pt>
                <c:pt idx="19">
                  <c:v>2.8933888500005196</c:v>
                </c:pt>
                <c:pt idx="20">
                  <c:v>5.8959924000009778</c:v>
                </c:pt>
              </c:numCache>
            </c:numRef>
          </c:yVal>
          <c:smooth val="0"/>
          <c:extLst>
            <c:ext xmlns:c16="http://schemas.microsoft.com/office/drawing/2014/chart" uri="{C3380CC4-5D6E-409C-BE32-E72D297353CC}">
              <c16:uniqueId val="{00000002-B26C-4EBC-8EAB-5C3B48F64E8C}"/>
            </c:ext>
          </c:extLst>
        </c:ser>
        <c:dLbls>
          <c:showLegendKey val="0"/>
          <c:showVal val="0"/>
          <c:showCatName val="0"/>
          <c:showSerName val="0"/>
          <c:showPercent val="0"/>
          <c:showBubbleSize val="0"/>
        </c:dLbls>
        <c:axId val="380563711"/>
        <c:axId val="380565791"/>
      </c:scatterChart>
      <c:valAx>
        <c:axId val="38056371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5791"/>
        <c:crosses val="autoZero"/>
        <c:crossBetween val="midCat"/>
      </c:valAx>
      <c:valAx>
        <c:axId val="38056579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5637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Timing!$E$60:$E$80</c:f>
              <c:numCache>
                <c:formatCode>General</c:formatCode>
                <c:ptCount val="21"/>
                <c:pt idx="0">
                  <c:v>1.3567349812775112E-4</c:v>
                </c:pt>
                <c:pt idx="1">
                  <c:v>1.3225410638238616E-4</c:v>
                </c:pt>
                <c:pt idx="2">
                  <c:v>1.3949159157486467E-4</c:v>
                </c:pt>
                <c:pt idx="3">
                  <c:v>1.7221753117033228E-4</c:v>
                </c:pt>
                <c:pt idx="4">
                  <c:v>1.8136480467190202E-4</c:v>
                </c:pt>
                <c:pt idx="5">
                  <c:v>2.1690347041472587E-4</c:v>
                </c:pt>
                <c:pt idx="6">
                  <c:v>3.0753628759459334E-4</c:v>
                </c:pt>
                <c:pt idx="7">
                  <c:v>4.7192518168947672E-4</c:v>
                </c:pt>
                <c:pt idx="8">
                  <c:v>8.5133971739877223E-4</c:v>
                </c:pt>
                <c:pt idx="9">
                  <c:v>1.5580145794395484E-3</c:v>
                </c:pt>
                <c:pt idx="10">
                  <c:v>2.9377303760288248E-3</c:v>
                </c:pt>
                <c:pt idx="11">
                  <c:v>6.0274114457833233E-3</c:v>
                </c:pt>
                <c:pt idx="12">
                  <c:v>1.1897668408548568E-2</c:v>
                </c:pt>
                <c:pt idx="13">
                  <c:v>2.4520391219514905E-2</c:v>
                </c:pt>
                <c:pt idx="14">
                  <c:v>4.9144540196079216E-2</c:v>
                </c:pt>
                <c:pt idx="15">
                  <c:v>9.8250663461525473E-2</c:v>
                </c:pt>
                <c:pt idx="16">
                  <c:v>0.18622684444441498</c:v>
                </c:pt>
                <c:pt idx="17">
                  <c:v>0.37313579285702353</c:v>
                </c:pt>
                <c:pt idx="18">
                  <c:v>0.75582249999985962</c:v>
                </c:pt>
                <c:pt idx="19">
                  <c:v>1.4738968249998834</c:v>
                </c:pt>
                <c:pt idx="20">
                  <c:v>3.044153599999845</c:v>
                </c:pt>
              </c:numCache>
            </c:numRef>
          </c:yVal>
          <c:smooth val="0"/>
          <c:extLst>
            <c:ext xmlns:c16="http://schemas.microsoft.com/office/drawing/2014/chart" uri="{C3380CC4-5D6E-409C-BE32-E72D297353CC}">
              <c16:uniqueId val="{00000000-9108-47A1-8773-F5C9CAA48EEE}"/>
            </c:ext>
          </c:extLst>
        </c:ser>
        <c:ser>
          <c:idx val="1"/>
          <c:order val="1"/>
          <c:tx>
            <c:strRef>
              <c:f>Timing!$F$59</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Timing!$F$60:$F$80</c:f>
              <c:numCache>
                <c:formatCode>General</c:formatCode>
                <c:ptCount val="21"/>
                <c:pt idx="0">
                  <c:v>1.3170781813871631E-4</c:v>
                </c:pt>
                <c:pt idx="1">
                  <c:v>1.3077067608213924E-4</c:v>
                </c:pt>
                <c:pt idx="2">
                  <c:v>1.3916558768685533E-4</c:v>
                </c:pt>
                <c:pt idx="3">
                  <c:v>1.9038297985759768E-4</c:v>
                </c:pt>
                <c:pt idx="4">
                  <c:v>1.8695294447563797E-4</c:v>
                </c:pt>
                <c:pt idx="5">
                  <c:v>2.4684732424956412E-4</c:v>
                </c:pt>
                <c:pt idx="6">
                  <c:v>3.5893744885506535E-4</c:v>
                </c:pt>
                <c:pt idx="7">
                  <c:v>6.4075115325486686E-4</c:v>
                </c:pt>
                <c:pt idx="8">
                  <c:v>1.0669829528483189E-3</c:v>
                </c:pt>
                <c:pt idx="9">
                  <c:v>2.0273659910822733E-3</c:v>
                </c:pt>
                <c:pt idx="10">
                  <c:v>3.9924034317649817E-3</c:v>
                </c:pt>
                <c:pt idx="11">
                  <c:v>7.977871451356134E-3</c:v>
                </c:pt>
                <c:pt idx="12">
                  <c:v>1.7183045205481355E-2</c:v>
                </c:pt>
                <c:pt idx="13">
                  <c:v>3.929657265625508E-2</c:v>
                </c:pt>
                <c:pt idx="14">
                  <c:v>6.6956312000014201E-2</c:v>
                </c:pt>
                <c:pt idx="15">
                  <c:v>0.12941028205130303</c:v>
                </c:pt>
                <c:pt idx="16">
                  <c:v>0.24686819523811296</c:v>
                </c:pt>
                <c:pt idx="17">
                  <c:v>0.51129760999992868</c:v>
                </c:pt>
                <c:pt idx="18">
                  <c:v>1.0205561999999191</c:v>
                </c:pt>
                <c:pt idx="19">
                  <c:v>1.9751824999996945</c:v>
                </c:pt>
                <c:pt idx="20">
                  <c:v>4.3303928499999529</c:v>
                </c:pt>
              </c:numCache>
            </c:numRef>
          </c:yVal>
          <c:smooth val="0"/>
          <c:extLst>
            <c:ext xmlns:c16="http://schemas.microsoft.com/office/drawing/2014/chart" uri="{C3380CC4-5D6E-409C-BE32-E72D297353CC}">
              <c16:uniqueId val="{00000001-9108-47A1-8773-F5C9CAA48EEE}"/>
            </c:ext>
          </c:extLst>
        </c:ser>
        <c:ser>
          <c:idx val="2"/>
          <c:order val="2"/>
          <c:tx>
            <c:strRef>
              <c:f>Timing!$G$59</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Timing!$G$60:$G$80</c:f>
              <c:numCache>
                <c:formatCode>General</c:formatCode>
                <c:ptCount val="21"/>
                <c:pt idx="0">
                  <c:v>2.1205321882948533E-3</c:v>
                </c:pt>
                <c:pt idx="1">
                  <c:v>2.1399235772357511E-3</c:v>
                </c:pt>
                <c:pt idx="2">
                  <c:v>2.2125548230090002E-3</c:v>
                </c:pt>
                <c:pt idx="3">
                  <c:v>2.4365383341457764E-3</c:v>
                </c:pt>
                <c:pt idx="4">
                  <c:v>2.7876381270908641E-3</c:v>
                </c:pt>
                <c:pt idx="5">
                  <c:v>3.4859562369333442E-3</c:v>
                </c:pt>
                <c:pt idx="6">
                  <c:v>4.9010044074429392E-3</c:v>
                </c:pt>
                <c:pt idx="7">
                  <c:v>7.7835065318822318E-3</c:v>
                </c:pt>
                <c:pt idx="8">
                  <c:v>1.3360757866665759E-2</c:v>
                </c:pt>
                <c:pt idx="9">
                  <c:v>2.465726600984915E-2</c:v>
                </c:pt>
                <c:pt idx="10">
                  <c:v>4.7666095238084724E-2</c:v>
                </c:pt>
                <c:pt idx="11">
                  <c:v>9.0674260714260005E-2</c:v>
                </c:pt>
                <c:pt idx="12">
                  <c:v>0.17943677857140625</c:v>
                </c:pt>
                <c:pt idx="13">
                  <c:v>0.36980856428570924</c:v>
                </c:pt>
                <c:pt idx="14">
                  <c:v>0.68389747499986697</c:v>
                </c:pt>
                <c:pt idx="15">
                  <c:v>1.3799760750002861</c:v>
                </c:pt>
                <c:pt idx="16">
                  <c:v>2.6827184499998111</c:v>
                </c:pt>
                <c:pt idx="17">
                  <c:v>5.3784223999991809</c:v>
                </c:pt>
                <c:pt idx="18">
                  <c:v>10.586581199999273</c:v>
                </c:pt>
                <c:pt idx="19">
                  <c:v>21.460097799999858</c:v>
                </c:pt>
                <c:pt idx="20">
                  <c:v>45.975075800000923</c:v>
                </c:pt>
              </c:numCache>
            </c:numRef>
          </c:yVal>
          <c:smooth val="0"/>
          <c:extLst>
            <c:ext xmlns:c16="http://schemas.microsoft.com/office/drawing/2014/chart" uri="{C3380CC4-5D6E-409C-BE32-E72D297353CC}">
              <c16:uniqueId val="{00000002-9108-47A1-8773-F5C9CAA48EEE}"/>
            </c:ext>
          </c:extLst>
        </c:ser>
        <c:dLbls>
          <c:showLegendKey val="0"/>
          <c:showVal val="0"/>
          <c:showCatName val="0"/>
          <c:showSerName val="0"/>
          <c:showPercent val="0"/>
          <c:showBubbleSize val="0"/>
        </c:dLbls>
        <c:axId val="912126815"/>
        <c:axId val="912119743"/>
      </c:scatterChart>
      <c:valAx>
        <c:axId val="91212681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9743"/>
        <c:crosses val="autoZero"/>
        <c:crossBetween val="midCat"/>
      </c:valAx>
      <c:valAx>
        <c:axId val="912119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6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Timing!$E$87:$E$105</c:f>
              <c:numCache>
                <c:formatCode>General</c:formatCode>
                <c:ptCount val="19"/>
                <c:pt idx="0">
                  <c:v>1.4908748285526142E-4</c:v>
                </c:pt>
                <c:pt idx="1">
                  <c:v>1.716066101520495E-4</c:v>
                </c:pt>
                <c:pt idx="2">
                  <c:v>2.1159209936095759E-4</c:v>
                </c:pt>
                <c:pt idx="3">
                  <c:v>2.9114004891115486E-4</c:v>
                </c:pt>
                <c:pt idx="4">
                  <c:v>4.4315184791271126E-4</c:v>
                </c:pt>
                <c:pt idx="5">
                  <c:v>7.8184856160086165E-4</c:v>
                </c:pt>
                <c:pt idx="6">
                  <c:v>1.3699836712326593E-3</c:v>
                </c:pt>
                <c:pt idx="7">
                  <c:v>2.7140311448727548E-3</c:v>
                </c:pt>
                <c:pt idx="8">
                  <c:v>5.4469502178651008E-3</c:v>
                </c:pt>
                <c:pt idx="9">
                  <c:v>1.16097552204179E-2</c:v>
                </c:pt>
                <c:pt idx="10">
                  <c:v>2.3379114953271388E-2</c:v>
                </c:pt>
                <c:pt idx="11">
                  <c:v>4.2608741525435694E-2</c:v>
                </c:pt>
                <c:pt idx="12">
                  <c:v>8.7385989655182322E-2</c:v>
                </c:pt>
                <c:pt idx="13">
                  <c:v>0.19905589999997084</c:v>
                </c:pt>
                <c:pt idx="14">
                  <c:v>0.36150306428563844</c:v>
                </c:pt>
                <c:pt idx="15">
                  <c:v>0.75963551428581666</c:v>
                </c:pt>
                <c:pt idx="16">
                  <c:v>1.456787175000045</c:v>
                </c:pt>
                <c:pt idx="17">
                  <c:v>2.9693039999992834</c:v>
                </c:pt>
                <c:pt idx="18">
                  <c:v>6.0965317000009236</c:v>
                </c:pt>
              </c:numCache>
            </c:numRef>
          </c:yVal>
          <c:smooth val="0"/>
          <c:extLst>
            <c:ext xmlns:c16="http://schemas.microsoft.com/office/drawing/2014/chart" uri="{C3380CC4-5D6E-409C-BE32-E72D297353CC}">
              <c16:uniqueId val="{00000000-0A43-44D6-8DB0-885395C4DBFA}"/>
            </c:ext>
          </c:extLst>
        </c:ser>
        <c:ser>
          <c:idx val="1"/>
          <c:order val="1"/>
          <c:tx>
            <c:strRef>
              <c:f>Timing!$F$86</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Timing!$F$87:$F$105</c:f>
              <c:numCache>
                <c:formatCode>General</c:formatCode>
                <c:ptCount val="19"/>
                <c:pt idx="0">
                  <c:v>1.4728784906324128E-4</c:v>
                </c:pt>
                <c:pt idx="1">
                  <c:v>1.7214758478225641E-4</c:v>
                </c:pt>
                <c:pt idx="2">
                  <c:v>2.0275161185675589E-4</c:v>
                </c:pt>
                <c:pt idx="3">
                  <c:v>2.8029233701441937E-4</c:v>
                </c:pt>
                <c:pt idx="4">
                  <c:v>4.447645258851006E-4</c:v>
                </c:pt>
                <c:pt idx="5">
                  <c:v>7.591890980869091E-4</c:v>
                </c:pt>
                <c:pt idx="6">
                  <c:v>1.3565876831253055E-3</c:v>
                </c:pt>
                <c:pt idx="7">
                  <c:v>2.7553950413222424E-3</c:v>
                </c:pt>
                <c:pt idx="8">
                  <c:v>5.3792437634402508E-3</c:v>
                </c:pt>
                <c:pt idx="9">
                  <c:v>1.0368268737058567E-2</c:v>
                </c:pt>
                <c:pt idx="10">
                  <c:v>2.1248462711864088E-2</c:v>
                </c:pt>
                <c:pt idx="11">
                  <c:v>4.1864097499986506E-2</c:v>
                </c:pt>
                <c:pt idx="12">
                  <c:v>9.0400624999996834E-2</c:v>
                </c:pt>
                <c:pt idx="13">
                  <c:v>0.17310248620686189</c:v>
                </c:pt>
                <c:pt idx="14">
                  <c:v>0.3449957066666684</c:v>
                </c:pt>
                <c:pt idx="15">
                  <c:v>0.70787203750001026</c:v>
                </c:pt>
                <c:pt idx="16">
                  <c:v>1.4634674750000158</c:v>
                </c:pt>
                <c:pt idx="17">
                  <c:v>2.8707864999996673</c:v>
                </c:pt>
                <c:pt idx="18">
                  <c:v>6.1190550000010262</c:v>
                </c:pt>
              </c:numCache>
            </c:numRef>
          </c:yVal>
          <c:smooth val="0"/>
          <c:extLst>
            <c:ext xmlns:c16="http://schemas.microsoft.com/office/drawing/2014/chart" uri="{C3380CC4-5D6E-409C-BE32-E72D297353CC}">
              <c16:uniqueId val="{00000001-0A43-44D6-8DB0-885395C4DBFA}"/>
            </c:ext>
          </c:extLst>
        </c:ser>
        <c:ser>
          <c:idx val="2"/>
          <c:order val="2"/>
          <c:tx>
            <c:strRef>
              <c:f>Timing!$G$86</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Timing!$G$87:$G$105</c:f>
              <c:numCache>
                <c:formatCode>General</c:formatCode>
                <c:ptCount val="19"/>
                <c:pt idx="0">
                  <c:v>2.2751768425840783E-3</c:v>
                </c:pt>
                <c:pt idx="1">
                  <c:v>2.1500276870164048E-3</c:v>
                </c:pt>
                <c:pt idx="2">
                  <c:v>2.2272576391978893E-3</c:v>
                </c:pt>
                <c:pt idx="3">
                  <c:v>2.3697644549761144E-3</c:v>
                </c:pt>
                <c:pt idx="4">
                  <c:v>2.6333427066884884E-3</c:v>
                </c:pt>
                <c:pt idx="5">
                  <c:v>3.3135860172295488E-3</c:v>
                </c:pt>
                <c:pt idx="6">
                  <c:v>4.5541735883411448E-3</c:v>
                </c:pt>
                <c:pt idx="7">
                  <c:v>7.027487780901078E-3</c:v>
                </c:pt>
                <c:pt idx="8">
                  <c:v>1.2420081141438461E-2</c:v>
                </c:pt>
                <c:pt idx="9">
                  <c:v>2.3272099999997218E-2</c:v>
                </c:pt>
                <c:pt idx="10">
                  <c:v>4.2885149572658779E-2</c:v>
                </c:pt>
                <c:pt idx="11">
                  <c:v>7.7602578461525046E-2</c:v>
                </c:pt>
                <c:pt idx="12">
                  <c:v>0.15297396666667765</c:v>
                </c:pt>
                <c:pt idx="13">
                  <c:v>0.30184307058816023</c:v>
                </c:pt>
                <c:pt idx="14">
                  <c:v>0.63830669999993006</c:v>
                </c:pt>
                <c:pt idx="15">
                  <c:v>1.281009350000204</c:v>
                </c:pt>
                <c:pt idx="16">
                  <c:v>2.3865486666666889</c:v>
                </c:pt>
                <c:pt idx="17">
                  <c:v>5.1312687000008737</c:v>
                </c:pt>
                <c:pt idx="18">
                  <c:v>10.362777500000448</c:v>
                </c:pt>
              </c:numCache>
            </c:numRef>
          </c:yVal>
          <c:smooth val="0"/>
          <c:extLst>
            <c:ext xmlns:c16="http://schemas.microsoft.com/office/drawing/2014/chart" uri="{C3380CC4-5D6E-409C-BE32-E72D297353CC}">
              <c16:uniqueId val="{00000002-0A43-44D6-8DB0-885395C4DBFA}"/>
            </c:ext>
          </c:extLst>
        </c:ser>
        <c:dLbls>
          <c:showLegendKey val="0"/>
          <c:showVal val="0"/>
          <c:showCatName val="0"/>
          <c:showSerName val="0"/>
          <c:showPercent val="0"/>
          <c:showBubbleSize val="0"/>
        </c:dLbls>
        <c:axId val="912125151"/>
        <c:axId val="912114335"/>
      </c:scatterChart>
      <c:valAx>
        <c:axId val="9121251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4335"/>
        <c:crosses val="autoZero"/>
        <c:crossBetween val="midCat"/>
      </c:valAx>
      <c:valAx>
        <c:axId val="912114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25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Timing!$M$112</c:f>
          <c:strCache>
            <c:ptCount val="1"/>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Timing!$E$114:$E$127</c:f>
              <c:numCache>
                <c:formatCode>General</c:formatCode>
                <c:ptCount val="14"/>
                <c:pt idx="0">
                  <c:v>1.4573020022734889E-4</c:v>
                </c:pt>
                <c:pt idx="1">
                  <c:v>1.6701056147505055E-4</c:v>
                </c:pt>
                <c:pt idx="2">
                  <c:v>1.9822696241673961E-4</c:v>
                </c:pt>
                <c:pt idx="3">
                  <c:v>3.7782687018287974E-4</c:v>
                </c:pt>
                <c:pt idx="4">
                  <c:v>3.9033631537868836E-4</c:v>
                </c:pt>
                <c:pt idx="5">
                  <c:v>6.8188388108559456E-4</c:v>
                </c:pt>
                <c:pt idx="6">
                  <c:v>1.1489073759190995E-3</c:v>
                </c:pt>
                <c:pt idx="7">
                  <c:v>2.1573956859359399E-3</c:v>
                </c:pt>
                <c:pt idx="8">
                  <c:v>4.3243195332763025E-3</c:v>
                </c:pt>
                <c:pt idx="9">
                  <c:v>8.0859657512127037E-3</c:v>
                </c:pt>
                <c:pt idx="10">
                  <c:v>1.674072976588847E-2</c:v>
                </c:pt>
                <c:pt idx="11">
                  <c:v>3.3222623178806206E-2</c:v>
                </c:pt>
                <c:pt idx="12">
                  <c:v>6.6979869333323824E-2</c:v>
                </c:pt>
                <c:pt idx="13">
                  <c:v>0.13736128648648643</c:v>
                </c:pt>
              </c:numCache>
            </c:numRef>
          </c:yVal>
          <c:smooth val="0"/>
          <c:extLst>
            <c:ext xmlns:c16="http://schemas.microsoft.com/office/drawing/2014/chart" uri="{C3380CC4-5D6E-409C-BE32-E72D297353CC}">
              <c16:uniqueId val="{00000000-2701-4E77-AAF5-F5E459E2DABE}"/>
            </c:ext>
          </c:extLst>
        </c:ser>
        <c:ser>
          <c:idx val="1"/>
          <c:order val="1"/>
          <c:tx>
            <c:strRef>
              <c:f>Timing!$F$113</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Timing!$F$114:$F$127</c:f>
              <c:numCache>
                <c:formatCode>General</c:formatCode>
                <c:ptCount val="14"/>
                <c:pt idx="0">
                  <c:v>1.4187597820846661E-4</c:v>
                </c:pt>
                <c:pt idx="1">
                  <c:v>1.6037493665198115E-4</c:v>
                </c:pt>
                <c:pt idx="2">
                  <c:v>1.8787608777333709E-4</c:v>
                </c:pt>
                <c:pt idx="3">
                  <c:v>3.1016623658581329E-4</c:v>
                </c:pt>
                <c:pt idx="4">
                  <c:v>3.8011823019610977E-4</c:v>
                </c:pt>
                <c:pt idx="5">
                  <c:v>6.378927924481526E-4</c:v>
                </c:pt>
                <c:pt idx="6">
                  <c:v>1.1395088195079361E-3</c:v>
                </c:pt>
                <c:pt idx="7">
                  <c:v>2.1160725042304361E-3</c:v>
                </c:pt>
                <c:pt idx="8">
                  <c:v>4.1303000825769435E-3</c:v>
                </c:pt>
                <c:pt idx="9">
                  <c:v>7.8943682965301135E-3</c:v>
                </c:pt>
                <c:pt idx="10">
                  <c:v>1.5669506562500147E-2</c:v>
                </c:pt>
                <c:pt idx="11">
                  <c:v>3.1313824999995174E-2</c:v>
                </c:pt>
                <c:pt idx="12">
                  <c:v>6.7954608108118777E-2</c:v>
                </c:pt>
                <c:pt idx="13">
                  <c:v>0.13063880512821086</c:v>
                </c:pt>
              </c:numCache>
            </c:numRef>
          </c:yVal>
          <c:smooth val="0"/>
          <c:extLst>
            <c:ext xmlns:c16="http://schemas.microsoft.com/office/drawing/2014/chart" uri="{C3380CC4-5D6E-409C-BE32-E72D297353CC}">
              <c16:uniqueId val="{00000001-2701-4E77-AAF5-F5E459E2DABE}"/>
            </c:ext>
          </c:extLst>
        </c:ser>
        <c:ser>
          <c:idx val="2"/>
          <c:order val="2"/>
          <c:tx>
            <c:strRef>
              <c:f>Timing!$G$113</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Timing!$G$114:$G$127</c:f>
              <c:numCache>
                <c:formatCode>General</c:formatCode>
                <c:ptCount val="14"/>
                <c:pt idx="0">
                  <c:v>2.0586885137915192E-3</c:v>
                </c:pt>
                <c:pt idx="1">
                  <c:v>2.0618650721652811E-3</c:v>
                </c:pt>
                <c:pt idx="2">
                  <c:v>2.066795289256559E-3</c:v>
                </c:pt>
                <c:pt idx="3">
                  <c:v>2.2343689901694439E-3</c:v>
                </c:pt>
                <c:pt idx="4">
                  <c:v>2.6368918292046118E-3</c:v>
                </c:pt>
                <c:pt idx="5">
                  <c:v>3.7947398330796587E-3</c:v>
                </c:pt>
                <c:pt idx="6">
                  <c:v>7.9031323854674759E-3</c:v>
                </c:pt>
                <c:pt idx="7">
                  <c:v>2.2487971748875266E-2</c:v>
                </c:pt>
                <c:pt idx="8">
                  <c:v>7.9334281249998639E-2</c:v>
                </c:pt>
                <c:pt idx="9">
                  <c:v>0.29469721176471519</c:v>
                </c:pt>
                <c:pt idx="10">
                  <c:v>1.0933015000002342</c:v>
                </c:pt>
                <c:pt idx="11">
                  <c:v>4.0480279499997778</c:v>
                </c:pt>
                <c:pt idx="12">
                  <c:v>16.529796200000419</c:v>
                </c:pt>
                <c:pt idx="13">
                  <c:v>63.28988599999866</c:v>
                </c:pt>
              </c:numCache>
            </c:numRef>
          </c:yVal>
          <c:smooth val="0"/>
          <c:extLst>
            <c:ext xmlns:c16="http://schemas.microsoft.com/office/drawing/2014/chart" uri="{C3380CC4-5D6E-409C-BE32-E72D297353CC}">
              <c16:uniqueId val="{00000002-2701-4E77-AAF5-F5E459E2DABE}"/>
            </c:ext>
          </c:extLst>
        </c:ser>
        <c:dLbls>
          <c:showLegendKey val="0"/>
          <c:showVal val="0"/>
          <c:showCatName val="0"/>
          <c:showSerName val="0"/>
          <c:showPercent val="0"/>
          <c:showBubbleSize val="0"/>
        </c:dLbls>
        <c:axId val="912140959"/>
        <c:axId val="912142207"/>
      </c:scatterChart>
      <c:valAx>
        <c:axId val="9121409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2207"/>
        <c:crosses val="autoZero"/>
        <c:crossBetween val="midCat"/>
      </c:valAx>
      <c:valAx>
        <c:axId val="91214220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9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Timing!$E$141:$E$155</c:f>
              <c:numCache>
                <c:formatCode>General</c:formatCode>
                <c:ptCount val="15"/>
                <c:pt idx="0">
                  <c:v>9.1886755963293473E-3</c:v>
                </c:pt>
                <c:pt idx="1">
                  <c:v>1.0247036809816678E-2</c:v>
                </c:pt>
                <c:pt idx="2">
                  <c:v>1.1837764622639026E-2</c:v>
                </c:pt>
                <c:pt idx="3">
                  <c:v>1.2954919430052107E-2</c:v>
                </c:pt>
                <c:pt idx="4">
                  <c:v>1.6040917891371988E-2</c:v>
                </c:pt>
                <c:pt idx="5">
                  <c:v>2.4064823076925607E-2</c:v>
                </c:pt>
                <c:pt idx="6">
                  <c:v>3.909713643410806E-2</c:v>
                </c:pt>
                <c:pt idx="7">
                  <c:v>6.8527932876711259E-2</c:v>
                </c:pt>
                <c:pt idx="8">
                  <c:v>0.12943471538463386</c:v>
                </c:pt>
                <c:pt idx="9">
                  <c:v>0.25547054999997271</c:v>
                </c:pt>
                <c:pt idx="10">
                  <c:v>0.51128527999990181</c:v>
                </c:pt>
                <c:pt idx="11">
                  <c:v>0.98530250000021624</c:v>
                </c:pt>
                <c:pt idx="12">
                  <c:v>1.9293865666671384</c:v>
                </c:pt>
                <c:pt idx="13">
                  <c:v>4.2776761000004626</c:v>
                </c:pt>
                <c:pt idx="14">
                  <c:v>8.4546872999999323</c:v>
                </c:pt>
              </c:numCache>
            </c:numRef>
          </c:yVal>
          <c:smooth val="0"/>
          <c:extLst>
            <c:ext xmlns:c16="http://schemas.microsoft.com/office/drawing/2014/chart" uri="{C3380CC4-5D6E-409C-BE32-E72D297353CC}">
              <c16:uniqueId val="{00000000-96CE-49AB-9FE1-CA504480A41B}"/>
            </c:ext>
          </c:extLst>
        </c:ser>
        <c:ser>
          <c:idx val="1"/>
          <c:order val="1"/>
          <c:tx>
            <c:strRef>
              <c:f>Timing!$F$140</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Timing!$F$141:$F$155</c:f>
              <c:numCache>
                <c:formatCode>General</c:formatCode>
                <c:ptCount val="15"/>
                <c:pt idx="0">
                  <c:v>1.0550611603374884E-2</c:v>
                </c:pt>
                <c:pt idx="1">
                  <c:v>9.7153322330113152E-3</c:v>
                </c:pt>
                <c:pt idx="2">
                  <c:v>1.1505235402297727E-2</c:v>
                </c:pt>
                <c:pt idx="3">
                  <c:v>1.2973464766841004E-2</c:v>
                </c:pt>
                <c:pt idx="4">
                  <c:v>1.5989127476039141E-2</c:v>
                </c:pt>
                <c:pt idx="5">
                  <c:v>2.3891418095237375E-2</c:v>
                </c:pt>
                <c:pt idx="6">
                  <c:v>3.7652818045119475E-2</c:v>
                </c:pt>
                <c:pt idx="7">
                  <c:v>6.7095161333345463E-2</c:v>
                </c:pt>
                <c:pt idx="8">
                  <c:v>0.12067578333331073</c:v>
                </c:pt>
                <c:pt idx="9">
                  <c:v>0.22876205454543774</c:v>
                </c:pt>
                <c:pt idx="10">
                  <c:v>0.44841162500006249</c:v>
                </c:pt>
                <c:pt idx="11">
                  <c:v>0.8878271166668128</c:v>
                </c:pt>
                <c:pt idx="12">
                  <c:v>1.7982287000001331</c:v>
                </c:pt>
                <c:pt idx="13">
                  <c:v>3.7155519500001901</c:v>
                </c:pt>
                <c:pt idx="14">
                  <c:v>7.8420533999997133</c:v>
                </c:pt>
              </c:numCache>
            </c:numRef>
          </c:yVal>
          <c:smooth val="0"/>
          <c:extLst>
            <c:ext xmlns:c16="http://schemas.microsoft.com/office/drawing/2014/chart" uri="{C3380CC4-5D6E-409C-BE32-E72D297353CC}">
              <c16:uniqueId val="{00000001-96CE-49AB-9FE1-CA504480A41B}"/>
            </c:ext>
          </c:extLst>
        </c:ser>
        <c:ser>
          <c:idx val="2"/>
          <c:order val="2"/>
          <c:tx>
            <c:strRef>
              <c:f>Timing!$G$140</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Timing!$G$141:$G$155</c:f>
              <c:numCache>
                <c:formatCode>General</c:formatCode>
                <c:ptCount val="15"/>
                <c:pt idx="0">
                  <c:v>3.1076334782607452E-2</c:v>
                </c:pt>
                <c:pt idx="1">
                  <c:v>2.8119816292131505E-2</c:v>
                </c:pt>
                <c:pt idx="2">
                  <c:v>2.9976407784423047E-2</c:v>
                </c:pt>
                <c:pt idx="3">
                  <c:v>2.9248878362570969E-2</c:v>
                </c:pt>
                <c:pt idx="4">
                  <c:v>3.1679584177220048E-2</c:v>
                </c:pt>
                <c:pt idx="5">
                  <c:v>3.214446217949584E-2</c:v>
                </c:pt>
                <c:pt idx="6">
                  <c:v>3.328897152317685E-2</c:v>
                </c:pt>
                <c:pt idx="7">
                  <c:v>4.1202611475410614E-2</c:v>
                </c:pt>
                <c:pt idx="8">
                  <c:v>4.8883220388357518E-2</c:v>
                </c:pt>
                <c:pt idx="9">
                  <c:v>8.2865080327866936E-2</c:v>
                </c:pt>
                <c:pt idx="10">
                  <c:v>0.19417215769233456</c:v>
                </c:pt>
                <c:pt idx="11">
                  <c:v>0.58207654444453916</c:v>
                </c:pt>
                <c:pt idx="12">
                  <c:v>2.159546833333176</c:v>
                </c:pt>
                <c:pt idx="13">
                  <c:v>9.0872770999994827</c:v>
                </c:pt>
                <c:pt idx="14">
                  <c:v>53.35228669999924</c:v>
                </c:pt>
              </c:numCache>
            </c:numRef>
          </c:yVal>
          <c:smooth val="0"/>
          <c:extLst>
            <c:ext xmlns:c16="http://schemas.microsoft.com/office/drawing/2014/chart" uri="{C3380CC4-5D6E-409C-BE32-E72D297353CC}">
              <c16:uniqueId val="{00000002-96CE-49AB-9FE1-CA504480A41B}"/>
            </c:ext>
          </c:extLst>
        </c:ser>
        <c:dLbls>
          <c:showLegendKey val="0"/>
          <c:showVal val="0"/>
          <c:showCatName val="0"/>
          <c:showSerName val="0"/>
          <c:showPercent val="0"/>
          <c:showBubbleSize val="0"/>
        </c:dLbls>
        <c:axId val="912117247"/>
        <c:axId val="912115583"/>
      </c:scatterChart>
      <c:valAx>
        <c:axId val="9121172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5583"/>
        <c:crosses val="autoZero"/>
        <c:crossBetween val="midCat"/>
      </c:valAx>
      <c:valAx>
        <c:axId val="91211558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172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Timing!$M$166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Timing!$E$167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Timing!$E$168:$E$182</c:f>
              <c:numCache>
                <c:formatCode>General</c:formatCode>
                <c:ptCount val="15"/>
                <c:pt idx="0">
                  <c:v>1.2717566497462593E-2</c:v>
                </c:pt>
                <c:pt idx="1">
                  <c:v>1.3023545572915888E-2</c:v>
                </c:pt>
                <c:pt idx="2">
                  <c:v>1.4103126197179836E-2</c:v>
                </c:pt>
                <c:pt idx="3">
                  <c:v>1.6223575404533324E-2</c:v>
                </c:pt>
                <c:pt idx="4">
                  <c:v>1.9577109374999679E-2</c:v>
                </c:pt>
                <c:pt idx="5">
                  <c:v>2.7268639130437332E-2</c:v>
                </c:pt>
                <c:pt idx="6">
                  <c:v>4.119479180327125E-2</c:v>
                </c:pt>
                <c:pt idx="7">
                  <c:v>7.354379558824696E-2</c:v>
                </c:pt>
                <c:pt idx="8">
                  <c:v>0.12945027948714993</c:v>
                </c:pt>
                <c:pt idx="9">
                  <c:v>0.24719157142862969</c:v>
                </c:pt>
                <c:pt idx="10">
                  <c:v>0.50626344000011159</c:v>
                </c:pt>
                <c:pt idx="11">
                  <c:v>0.9819684000000658</c:v>
                </c:pt>
                <c:pt idx="12">
                  <c:v>1.9549785666670989</c:v>
                </c:pt>
                <c:pt idx="13">
                  <c:v>4.2433115999992879</c:v>
                </c:pt>
                <c:pt idx="14">
                  <c:v>8.7412566000002698</c:v>
                </c:pt>
              </c:numCache>
            </c:numRef>
          </c:yVal>
          <c:smooth val="0"/>
          <c:extLst>
            <c:ext xmlns:c16="http://schemas.microsoft.com/office/drawing/2014/chart" uri="{C3380CC4-5D6E-409C-BE32-E72D297353CC}">
              <c16:uniqueId val="{00000000-07A5-4BB6-B9C3-6C2E4B926CA1}"/>
            </c:ext>
          </c:extLst>
        </c:ser>
        <c:ser>
          <c:idx val="1"/>
          <c:order val="1"/>
          <c:tx>
            <c:strRef>
              <c:f>Timing!$F$167</c:f>
              <c:strCache>
                <c:ptCount val="1"/>
                <c:pt idx="0">
                  <c:v>CSVRead_sdkn104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Timing!$F$168:$F$182</c:f>
              <c:numCache>
                <c:formatCode>General</c:formatCode>
                <c:ptCount val="15"/>
                <c:pt idx="0">
                  <c:v>1.8777289138577114E-2</c:v>
                </c:pt>
                <c:pt idx="1">
                  <c:v>1.8812364419478426E-2</c:v>
                </c:pt>
                <c:pt idx="2">
                  <c:v>1.7642682746477924E-2</c:v>
                </c:pt>
                <c:pt idx="3">
                  <c:v>2.0175442338709656E-2</c:v>
                </c:pt>
                <c:pt idx="4">
                  <c:v>2.3062459446998727E-2</c:v>
                </c:pt>
                <c:pt idx="5">
                  <c:v>3.0730895705513874E-2</c:v>
                </c:pt>
                <c:pt idx="6">
                  <c:v>4.4471384070796142E-2</c:v>
                </c:pt>
                <c:pt idx="7">
                  <c:v>7.4068232352949376E-2</c:v>
                </c:pt>
                <c:pt idx="8">
                  <c:v>0.130125584615365</c:v>
                </c:pt>
                <c:pt idx="9">
                  <c:v>0.23753377727271899</c:v>
                </c:pt>
                <c:pt idx="10">
                  <c:v>0.45456238181809155</c:v>
                </c:pt>
                <c:pt idx="11">
                  <c:v>0.87966298333321902</c:v>
                </c:pt>
                <c:pt idx="12">
                  <c:v>1.7441486999996414</c:v>
                </c:pt>
                <c:pt idx="13">
                  <c:v>3.8600196500001402</c:v>
                </c:pt>
                <c:pt idx="14">
                  <c:v>8.021360900000218</c:v>
                </c:pt>
              </c:numCache>
            </c:numRef>
          </c:yVal>
          <c:smooth val="0"/>
          <c:extLst>
            <c:ext xmlns:c16="http://schemas.microsoft.com/office/drawing/2014/chart" uri="{C3380CC4-5D6E-409C-BE32-E72D297353CC}">
              <c16:uniqueId val="{00000001-07A5-4BB6-B9C3-6C2E4B926CA1}"/>
            </c:ext>
          </c:extLst>
        </c:ser>
        <c:ser>
          <c:idx val="2"/>
          <c:order val="2"/>
          <c:tx>
            <c:strRef>
              <c:f>Timing!$G$167</c:f>
              <c:strCache>
                <c:ptCount val="1"/>
                <c:pt idx="0">
                  <c:v>CSVRead_ws_garcia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Timing!$G$168:$G$182</c:f>
              <c:numCache>
                <c:formatCode>General</c:formatCode>
                <c:ptCount val="15"/>
                <c:pt idx="0">
                  <c:v>3.6633002189787107E-2</c:v>
                </c:pt>
                <c:pt idx="1">
                  <c:v>3.7049154814815632E-2</c:v>
                </c:pt>
                <c:pt idx="2">
                  <c:v>3.6183048201433955E-2</c:v>
                </c:pt>
                <c:pt idx="3">
                  <c:v>3.9453239370081654E-2</c:v>
                </c:pt>
                <c:pt idx="4">
                  <c:v>4.0353445967749361E-2</c:v>
                </c:pt>
                <c:pt idx="5">
                  <c:v>3.9715022222221057E-2</c:v>
                </c:pt>
                <c:pt idx="6">
                  <c:v>4.0342499999995549E-2</c:v>
                </c:pt>
                <c:pt idx="7">
                  <c:v>4.9613728712873777E-2</c:v>
                </c:pt>
                <c:pt idx="8">
                  <c:v>5.6333715730350661E-2</c:v>
                </c:pt>
                <c:pt idx="9">
                  <c:v>8.3807956666684433E-2</c:v>
                </c:pt>
                <c:pt idx="10">
                  <c:v>0.18886797037042993</c:v>
                </c:pt>
                <c:pt idx="11">
                  <c:v>0.59742733333344711</c:v>
                </c:pt>
                <c:pt idx="12">
                  <c:v>2.0770916666666985</c:v>
                </c:pt>
                <c:pt idx="13">
                  <c:v>9.3040644000011525</c:v>
                </c:pt>
                <c:pt idx="14">
                  <c:v>53.964022800000748</c:v>
                </c:pt>
              </c:numCache>
            </c:numRef>
          </c:yVal>
          <c:smooth val="0"/>
          <c:extLst>
            <c:ext xmlns:c16="http://schemas.microsoft.com/office/drawing/2014/chart" uri="{C3380CC4-5D6E-409C-BE32-E72D297353CC}">
              <c16:uniqueId val="{00000002-07A5-4BB6-B9C3-6C2E4B926CA1}"/>
            </c:ext>
          </c:extLst>
        </c:ser>
        <c:dLbls>
          <c:showLegendKey val="0"/>
          <c:showVal val="0"/>
          <c:showCatName val="0"/>
          <c:showSerName val="0"/>
          <c:showPercent val="0"/>
          <c:showBubbleSize val="0"/>
        </c:dLbls>
        <c:axId val="912150527"/>
        <c:axId val="912140543"/>
      </c:scatterChart>
      <c:valAx>
        <c:axId val="91215052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40543"/>
        <c:crosses val="autoZero"/>
        <c:crossBetween val="midCat"/>
      </c:valAx>
      <c:valAx>
        <c:axId val="9121405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2150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352425</xdr:colOff>
          <xdr:row>0</xdr:row>
          <xdr:rowOff>114300</xdr:rowOff>
        </xdr:from>
        <xdr:to>
          <xdr:col>5</xdr:col>
          <xdr:colOff>647700</xdr:colOff>
          <xdr:row>2</xdr:row>
          <xdr:rowOff>114300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Add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1042987</xdr:colOff>
          <xdr:row>2</xdr:row>
          <xdr:rowOff>123825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xdr:from>
      <xdr:col>15</xdr:col>
      <xdr:colOff>0</xdr:colOff>
      <xdr:row>4</xdr:row>
      <xdr:rowOff>0</xdr:rowOff>
    </xdr:from>
    <xdr:to>
      <xdr:col>26</xdr:col>
      <xdr:colOff>0</xdr:colOff>
      <xdr:row>27</xdr:row>
      <xdr:rowOff>117475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31</xdr:row>
      <xdr:rowOff>0</xdr:rowOff>
    </xdr:from>
    <xdr:to>
      <xdr:col>26</xdr:col>
      <xdr:colOff>0</xdr:colOff>
      <xdr:row>54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58</xdr:row>
      <xdr:rowOff>0</xdr:rowOff>
    </xdr:from>
    <xdr:to>
      <xdr:col>26</xdr:col>
      <xdr:colOff>0</xdr:colOff>
      <xdr:row>81</xdr:row>
      <xdr:rowOff>117475</xdr:rowOff>
    </xdr:to>
    <xdr:graphicFrame macro="">
      <xdr:nvGraphicFramePr>
        <xdr:cNvPr id="4" name="Chart 3">
          <a:extLst>
            <a:ext uri="{FF2B5EF4-FFF2-40B4-BE49-F238E27FC236}">
              <a16:creationId xmlns:a16="http://schemas.microsoft.com/office/drawing/2014/main" id="{F0ACE876-E7A7-44FD-89F3-7B14CE8061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85</xdr:row>
      <xdr:rowOff>0</xdr:rowOff>
    </xdr:from>
    <xdr:to>
      <xdr:col>26</xdr:col>
      <xdr:colOff>0</xdr:colOff>
      <xdr:row>108</xdr:row>
      <xdr:rowOff>117475</xdr:rowOff>
    </xdr:to>
    <xdr:graphicFrame macro="">
      <xdr:nvGraphicFramePr>
        <xdr:cNvPr id="5" name="Chart 4">
          <a:extLst>
            <a:ext uri="{FF2B5EF4-FFF2-40B4-BE49-F238E27FC236}">
              <a16:creationId xmlns:a16="http://schemas.microsoft.com/office/drawing/2014/main" id="{6916BA81-58A2-4935-9543-780144D3D8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112</xdr:row>
      <xdr:rowOff>0</xdr:rowOff>
    </xdr:from>
    <xdr:to>
      <xdr:col>26</xdr:col>
      <xdr:colOff>0</xdr:colOff>
      <xdr:row>135</xdr:row>
      <xdr:rowOff>117475</xdr:rowOff>
    </xdr:to>
    <xdr:graphicFrame macro="">
      <xdr:nvGraphicFramePr>
        <xdr:cNvPr id="6" name="Chart 5">
          <a:extLst>
            <a:ext uri="{FF2B5EF4-FFF2-40B4-BE49-F238E27FC236}">
              <a16:creationId xmlns:a16="http://schemas.microsoft.com/office/drawing/2014/main" id="{16A74337-473E-4D8C-915D-FE387171B8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139</xdr:row>
      <xdr:rowOff>0</xdr:rowOff>
    </xdr:from>
    <xdr:to>
      <xdr:col>26</xdr:col>
      <xdr:colOff>0</xdr:colOff>
      <xdr:row>162</xdr:row>
      <xdr:rowOff>117475</xdr:rowOff>
    </xdr:to>
    <xdr:graphicFrame macro="">
      <xdr:nvGraphicFramePr>
        <xdr:cNvPr id="7" name="Chart 6">
          <a:extLst>
            <a:ext uri="{FF2B5EF4-FFF2-40B4-BE49-F238E27FC236}">
              <a16:creationId xmlns:a16="http://schemas.microsoft.com/office/drawing/2014/main" id="{CC6F221C-423F-430F-A915-C7C46F5F48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0</xdr:colOff>
      <xdr:row>166</xdr:row>
      <xdr:rowOff>0</xdr:rowOff>
    </xdr:from>
    <xdr:to>
      <xdr:col>26</xdr:col>
      <xdr:colOff>0</xdr:colOff>
      <xdr:row>189</xdr:row>
      <xdr:rowOff>117475</xdr:rowOff>
    </xdr:to>
    <xdr:graphicFrame macro="">
      <xdr:nvGraphicFramePr>
        <xdr:cNvPr id="8" name="Chart 7">
          <a:extLst>
            <a:ext uri="{FF2B5EF4-FFF2-40B4-BE49-F238E27FC236}">
              <a16:creationId xmlns:a16="http://schemas.microsoft.com/office/drawing/2014/main" id="{68027E44-776F-4BDE-A18D-48F2FA421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ArrayEquals"/>
      <definedName name="sArraysIdentical"/>
      <definedName name="sFileSho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Demo"/>
  <dimension ref="A1:Q84"/>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9" width="2.59765625" customWidth="1"/>
    <col min="10" max="11" width="30.59765625" customWidth="1"/>
    <col min="12" max="12" width="2.59765625" customWidth="1"/>
    <col min="13" max="14" width="23.59765625" customWidth="1"/>
    <col min="15" max="15" width="2.59765625" customWidth="1"/>
  </cols>
  <sheetData>
    <row r="1" spans="1:17" ht="28.5" x14ac:dyDescent="0.85">
      <c r="A1" s="24" t="s">
        <v>37</v>
      </c>
    </row>
    <row r="3" spans="1:17" x14ac:dyDescent="0.45">
      <c r="B3" s="22" t="s">
        <v>35</v>
      </c>
      <c r="G3" s="23" t="s">
        <v>55</v>
      </c>
    </row>
    <row r="4" spans="1:17" x14ac:dyDescent="0.45">
      <c r="B4" t="s">
        <v>0</v>
      </c>
      <c r="C4" s="15" t="s">
        <v>34</v>
      </c>
      <c r="G4" s="30" t="s">
        <v>56</v>
      </c>
    </row>
    <row r="5" spans="1:17" x14ac:dyDescent="0.45">
      <c r="B5" t="s">
        <v>12</v>
      </c>
      <c r="C5" s="16" t="b">
        <v>1</v>
      </c>
      <c r="G5" s="25" t="s">
        <v>38</v>
      </c>
    </row>
    <row r="6" spans="1:17" x14ac:dyDescent="0.45">
      <c r="B6" t="s">
        <v>1</v>
      </c>
      <c r="C6" s="15" t="s">
        <v>17</v>
      </c>
      <c r="G6" s="41" t="s">
        <v>156</v>
      </c>
    </row>
    <row r="7" spans="1:17" x14ac:dyDescent="0.45">
      <c r="B7" t="s">
        <v>13</v>
      </c>
      <c r="C7" s="15" t="s">
        <v>18</v>
      </c>
      <c r="G7" s="28" t="s">
        <v>40</v>
      </c>
    </row>
    <row r="8" spans="1:17" x14ac:dyDescent="0.45">
      <c r="B8" t="s">
        <v>14</v>
      </c>
      <c r="C8" s="16" t="b">
        <v>0</v>
      </c>
      <c r="G8" s="26" t="s">
        <v>39</v>
      </c>
    </row>
    <row r="9" spans="1:17" x14ac:dyDescent="0.45">
      <c r="B9" t="s">
        <v>15</v>
      </c>
      <c r="C9" s="16" t="s">
        <v>16</v>
      </c>
    </row>
    <row r="10" spans="1:17" x14ac:dyDescent="0.45">
      <c r="C10" s="16"/>
      <c r="P10" s="23" t="s">
        <v>49</v>
      </c>
    </row>
    <row r="11" spans="1:17" x14ac:dyDescent="0.45">
      <c r="B11" s="10"/>
      <c r="C11" s="16"/>
      <c r="P11" s="17" t="b">
        <f ca="1">AND(ROWS(B13:C52)=ROWS(_xlfn.ANCHORARRAY(J13)),COLUMNS(B13:C52)=COLUMNS(_xlfn.ANCHORARRAY(J13)),AND(_xlfn.ANCHORARRAY(P13)))</f>
        <v>1</v>
      </c>
    </row>
    <row r="12" spans="1:17" x14ac:dyDescent="0.45">
      <c r="B12" s="22" t="s">
        <v>45</v>
      </c>
      <c r="E12" s="23" t="s">
        <v>48</v>
      </c>
      <c r="F12" s="23"/>
      <c r="G12" s="22" t="s">
        <v>47</v>
      </c>
      <c r="J12" s="22" t="s">
        <v>46</v>
      </c>
      <c r="M12" s="22" t="s">
        <v>36</v>
      </c>
      <c r="P12" t="s">
        <v>19</v>
      </c>
    </row>
    <row r="13" spans="1:17" x14ac:dyDescent="0.45">
      <c r="B13" s="27" t="b" cm="1">
        <f t="array" aca="1" ref="B13:C52" ca="1">RandomVariants(40,2,TRUE,Unicode,EOL)</f>
        <v>0</v>
      </c>
      <c r="C13" s="27" t="str">
        <f ca="1"/>
        <v>3.21313891092277E-10</v>
      </c>
      <c r="E13" t="str" cm="1">
        <f t="array" aca="1" ref="E13" ca="1">CSVWrite(FileName,B13:C52,QuoteAllStrings,DateFormat,DateTimeFormat,,Unicode,EOL)</f>
        <v>C:\Temp\TestFile.CSV</v>
      </c>
      <c r="G13" s="27" t="str" cm="1">
        <f t="array" aca="1" ref="G13:G56" ca="1">csvread(E13,,FALSE)</f>
        <v>False,"3.21313891092277E-10"</v>
      </c>
      <c r="J13" s="27" t="str" cm="1">
        <f t="array" aca="1" ref="J13:K52" ca="1">csvread(E13,FALSE)</f>
        <v>False</v>
      </c>
      <c r="K13" s="27" t="str">
        <f ca="1"/>
        <v>3.21313891092277E-10</v>
      </c>
      <c r="M13" s="27" t="b" cm="1">
        <f t="array" aca="1" ref="M13:N52" ca="1">csvread(E13,TRUE,,DateFormat)</f>
        <v>0</v>
      </c>
      <c r="N13" s="27" t="str">
        <f ca="1"/>
        <v>3.21313891092277E-10</v>
      </c>
      <c r="P13" s="17" t="b" cm="1">
        <f t="array" aca="1" ref="P13:Q52" ca="1">[1]!sArrayEquals(B13:C52,_xlfn.ANCHORARRAY(M13))</f>
        <v>1</v>
      </c>
      <c r="Q13" s="17" t="b">
        <f ca="1"/>
        <v>1</v>
      </c>
    </row>
    <row r="14" spans="1:17" x14ac:dyDescent="0.45">
      <c r="B14" s="27" t="str">
        <f ca="1"/>
        <v>TRUE</v>
      </c>
      <c r="C14" s="27" t="str">
        <f ca="1"/>
        <v>2062-Aug-23</v>
      </c>
      <c r="G14" s="27" t="str">
        <f ca="1"/>
        <v>"TRUE","2062-Aug-23"</v>
      </c>
      <c r="J14" s="27" t="str">
        <f ca="1"/>
        <v>TRUE</v>
      </c>
      <c r="K14" s="27" t="str">
        <f ca="1"/>
        <v>2062-Aug-23</v>
      </c>
      <c r="M14" s="27" t="str">
        <f ca="1"/>
        <v>TRUE</v>
      </c>
      <c r="N14" s="27" t="str">
        <f ca="1"/>
        <v>2062-Aug-23</v>
      </c>
      <c r="P14" s="17" t="b">
        <f ca="1"/>
        <v>1</v>
      </c>
      <c r="Q14" s="17" t="b">
        <f ca="1"/>
        <v>1</v>
      </c>
    </row>
    <row r="15" spans="1:17" x14ac:dyDescent="0.45">
      <c r="B15" s="27">
        <f ca="1"/>
        <v>40250</v>
      </c>
      <c r="C15" s="27">
        <f ca="1"/>
        <v>432461</v>
      </c>
      <c r="G15" s="27" t="str">
        <f ca="1"/>
        <v>40250,432461</v>
      </c>
      <c r="J15" s="27" t="str">
        <f ca="1"/>
        <v>40250</v>
      </c>
      <c r="K15" s="27" t="str">
        <f ca="1"/>
        <v>432461</v>
      </c>
      <c r="M15" s="27">
        <f ca="1"/>
        <v>40250</v>
      </c>
      <c r="N15" s="27">
        <f ca="1"/>
        <v>432461</v>
      </c>
      <c r="P15" s="17" t="b">
        <f ca="1"/>
        <v>1</v>
      </c>
      <c r="Q15" s="17" t="b">
        <f ca="1"/>
        <v>1</v>
      </c>
    </row>
    <row r="16" spans="1:17" x14ac:dyDescent="0.45">
      <c r="B16" s="39" t="b">
        <f ca="1"/>
        <v>1</v>
      </c>
      <c r="C16" s="27">
        <f ca="1"/>
        <v>58021</v>
      </c>
      <c r="G16" s="27" t="str">
        <f ca="1"/>
        <v>True,58021</v>
      </c>
      <c r="J16" s="39" t="str">
        <f ca="1"/>
        <v>True</v>
      </c>
      <c r="K16" s="27" t="str">
        <f ca="1"/>
        <v>58021</v>
      </c>
      <c r="M16" s="39" t="b">
        <f ca="1"/>
        <v>1</v>
      </c>
      <c r="N16" s="27">
        <f ca="1"/>
        <v>58021</v>
      </c>
      <c r="P16" s="17" t="b">
        <f ca="1"/>
        <v>1</v>
      </c>
      <c r="Q16" s="17" t="b">
        <f ca="1"/>
        <v>1</v>
      </c>
    </row>
    <row r="17" spans="2:17" x14ac:dyDescent="0.45">
      <c r="B17" s="27" t="b">
        <f ca="1"/>
        <v>1</v>
      </c>
      <c r="C17" s="27">
        <f ca="1"/>
        <v>52591</v>
      </c>
      <c r="G17" s="27" t="str">
        <f ca="1"/>
        <v>True,52591</v>
      </c>
      <c r="J17" s="27" t="str">
        <f ca="1"/>
        <v>True</v>
      </c>
      <c r="K17" s="27" t="str">
        <f ca="1"/>
        <v>52591</v>
      </c>
      <c r="M17" s="27" t="b">
        <f ca="1"/>
        <v>1</v>
      </c>
      <c r="N17" s="27">
        <f ca="1"/>
        <v>52591</v>
      </c>
      <c r="P17" s="17" t="b">
        <f ca="1"/>
        <v>1</v>
      </c>
      <c r="Q17" s="17" t="b">
        <f ca="1"/>
        <v>1</v>
      </c>
    </row>
    <row r="18" spans="2:17" x14ac:dyDescent="0.45">
      <c r="B18" s="27">
        <f ca="1"/>
        <v>-7959030721.4370499</v>
      </c>
      <c r="C18" s="27" t="str">
        <f ca="1"/>
        <v>-0.297015155559158</v>
      </c>
      <c r="G18" s="27" t="str">
        <f ca="1"/>
        <v>-7959030721.43705,"-0.297015155559158"</v>
      </c>
      <c r="J18" s="27" t="str">
        <f ca="1"/>
        <v>-7959030721.43705</v>
      </c>
      <c r="K18" s="27" t="str">
        <f ca="1"/>
        <v>-0.297015155559158</v>
      </c>
      <c r="M18" s="27">
        <f ca="1"/>
        <v>-7959030721.4370499</v>
      </c>
      <c r="N18" s="27" t="str">
        <f ca="1"/>
        <v>-0.297015155559158</v>
      </c>
      <c r="P18" s="17" t="b">
        <f ca="1"/>
        <v>1</v>
      </c>
      <c r="Q18" s="17" t="b">
        <f ca="1"/>
        <v>1</v>
      </c>
    </row>
    <row r="19" spans="2:17" x14ac:dyDescent="0.45">
      <c r="B19" s="27" t="str">
        <f ca="1"/>
        <v>TRUE</v>
      </c>
      <c r="C19" s="27" t="str">
        <f ca="1"/>
        <v/>
      </c>
      <c r="G19" s="27" t="str">
        <f ca="1"/>
        <v>"TRUE",""</v>
      </c>
      <c r="J19" s="27" t="str">
        <f ca="1"/>
        <v>TRUE</v>
      </c>
      <c r="K19" s="27" t="str">
        <f ca="1"/>
        <v/>
      </c>
      <c r="M19" s="27" t="str">
        <f ca="1"/>
        <v>TRUE</v>
      </c>
      <c r="N19" s="27" t="str">
        <f ca="1"/>
        <v/>
      </c>
      <c r="P19" s="17" t="b">
        <f ca="1"/>
        <v>1</v>
      </c>
      <c r="Q19" s="17" t="b">
        <f ca="1"/>
        <v>1</v>
      </c>
    </row>
    <row r="20" spans="2:17" x14ac:dyDescent="0.45">
      <c r="B20" s="27" t="str">
        <f ca="1"/>
        <v>2046-Feb-07</v>
      </c>
      <c r="C20" s="27" t="str">
        <f ca="1"/>
        <v>bHN2/+st1T6,TddRNSnt</v>
      </c>
      <c r="G20" s="27" t="str">
        <f ca="1"/>
        <v>"2046-Feb-07","bHN2/+st1T6,TddRNSnt"</v>
      </c>
      <c r="J20" s="27" t="str">
        <f ca="1"/>
        <v>2046-Feb-07</v>
      </c>
      <c r="K20" s="27" t="str">
        <f ca="1"/>
        <v>bHN2/+st1T6,TddRNSnt</v>
      </c>
      <c r="M20" s="27" t="str">
        <f ca="1"/>
        <v>2046-Feb-07</v>
      </c>
      <c r="N20" s="27" t="str">
        <f ca="1"/>
        <v>bHN2/+st1T6,TddRNSnt</v>
      </c>
      <c r="P20" s="17" t="b">
        <f ca="1"/>
        <v>1</v>
      </c>
      <c r="Q20" s="17" t="b">
        <f ca="1"/>
        <v>1</v>
      </c>
    </row>
    <row r="21" spans="2:17" x14ac:dyDescent="0.45">
      <c r="B21" s="27" t="e">
        <f ca="1"/>
        <v>#NAME?</v>
      </c>
      <c r="C21" s="27">
        <f ca="1"/>
        <v>-728798</v>
      </c>
      <c r="G21" s="27" t="str">
        <f ca="1"/>
        <v>#NAME?,-728798</v>
      </c>
      <c r="J21" s="27" t="str">
        <f ca="1"/>
        <v>#NAME?</v>
      </c>
      <c r="K21" s="27" t="str">
        <f ca="1"/>
        <v>-728798</v>
      </c>
      <c r="M21" s="27" t="e">
        <f ca="1"/>
        <v>#NAME?</v>
      </c>
      <c r="N21" s="27">
        <f ca="1"/>
        <v>-728798</v>
      </c>
      <c r="P21" s="17" t="b">
        <f ca="1"/>
        <v>1</v>
      </c>
      <c r="Q21" s="17" t="b">
        <f ca="1"/>
        <v>1</v>
      </c>
    </row>
    <row r="22" spans="2:17" x14ac:dyDescent="0.45">
      <c r="B22" s="27" t="str">
        <f ca="1"/>
        <v>6.06280783478962E-07</v>
      </c>
      <c r="C22" s="27" t="str">
        <f ca="1"/>
        <v>4.69066561673735E-08</v>
      </c>
      <c r="G22" s="27" t="str">
        <f ca="1"/>
        <v>"6.06280783478962E-07","4.69066561673735E-08"</v>
      </c>
      <c r="J22" s="27" t="str">
        <f ca="1"/>
        <v>6.06280783478962E-07</v>
      </c>
      <c r="K22" s="27" t="str">
        <f ca="1"/>
        <v>4.69066561673735E-08</v>
      </c>
      <c r="M22" s="27" t="str">
        <f ca="1"/>
        <v>6.06280783478962E-07</v>
      </c>
      <c r="N22" s="27" t="str">
        <f ca="1"/>
        <v>4.69066561673735E-08</v>
      </c>
      <c r="P22" s="17" t="b">
        <f ca="1"/>
        <v>1</v>
      </c>
      <c r="Q22" s="17" t="b">
        <f ca="1"/>
        <v>1</v>
      </c>
    </row>
    <row r="23" spans="2:17" x14ac:dyDescent="0.45">
      <c r="B23" s="27">
        <f ca="1"/>
        <v>0</v>
      </c>
      <c r="C23" s="27">
        <f ca="1"/>
        <v>37872</v>
      </c>
      <c r="G23" s="27" t="str">
        <f ca="1"/>
        <v>0,37872</v>
      </c>
      <c r="J23" s="27" t="str">
        <f ca="1"/>
        <v>0</v>
      </c>
      <c r="K23" s="27" t="str">
        <f ca="1"/>
        <v>37872</v>
      </c>
      <c r="M23" s="27">
        <f ca="1"/>
        <v>0</v>
      </c>
      <c r="N23" s="27">
        <f ca="1"/>
        <v>37872</v>
      </c>
      <c r="P23" s="17" t="b">
        <f ca="1"/>
        <v>1</v>
      </c>
      <c r="Q23" s="17" t="b">
        <f ca="1"/>
        <v>1</v>
      </c>
    </row>
    <row r="24" spans="2:17" x14ac:dyDescent="0.45">
      <c r="B24" s="27" t="b">
        <f ca="1"/>
        <v>0</v>
      </c>
      <c r="C24" s="27" t="str">
        <f ca="1"/>
        <v/>
      </c>
      <c r="G24" s="27" t="str">
        <f ca="1"/>
        <v>False,""</v>
      </c>
      <c r="J24" s="27" t="str">
        <f ca="1"/>
        <v>False</v>
      </c>
      <c r="K24" s="27" t="str">
        <f ca="1"/>
        <v/>
      </c>
      <c r="M24" s="27" t="b">
        <f ca="1"/>
        <v>0</v>
      </c>
      <c r="N24" s="27" t="str">
        <f ca="1"/>
        <v/>
      </c>
      <c r="P24" s="17" t="b">
        <f ca="1"/>
        <v>1</v>
      </c>
      <c r="Q24" s="17" t="b">
        <f ca="1"/>
        <v>1</v>
      </c>
    </row>
    <row r="25" spans="2:17" x14ac:dyDescent="0.45">
      <c r="B25" s="27">
        <f ca="1"/>
        <v>-617430</v>
      </c>
      <c r="C25" s="27">
        <f ca="1"/>
        <v>0</v>
      </c>
      <c r="G25" s="27" t="str">
        <f ca="1"/>
        <v>-617430,0</v>
      </c>
      <c r="J25" s="27" t="str">
        <f ca="1"/>
        <v>-617430</v>
      </c>
      <c r="K25" s="27" t="str">
        <f ca="1"/>
        <v>0</v>
      </c>
      <c r="M25" s="27">
        <f ca="1"/>
        <v>-617430</v>
      </c>
      <c r="N25" s="27">
        <f ca="1"/>
        <v>0</v>
      </c>
      <c r="P25" s="17" t="b">
        <f ca="1"/>
        <v>1</v>
      </c>
      <c r="Q25" s="17" t="b">
        <f ca="1"/>
        <v>1</v>
      </c>
    </row>
    <row r="26" spans="2:17" x14ac:dyDescent="0.45">
      <c r="B26" s="27" t="str">
        <f ca="1"/>
        <v/>
      </c>
      <c r="C26" s="27" t="str">
        <f ca="1"/>
        <v>2022-Aug-08</v>
      </c>
      <c r="G26" s="27" t="str">
        <f ca="1"/>
        <v>#CALC!,"2022-Aug-08"</v>
      </c>
      <c r="J26" s="27" t="str">
        <f ca="1"/>
        <v>#CALC!</v>
      </c>
      <c r="K26" s="27" t="str">
        <f ca="1"/>
        <v>2022-Aug-08</v>
      </c>
      <c r="M26" s="27" t="str">
        <f ca="1"/>
        <v/>
      </c>
      <c r="N26" s="27" t="str">
        <f ca="1"/>
        <v>2022-Aug-08</v>
      </c>
      <c r="P26" s="17" t="b">
        <f ca="1"/>
        <v>1</v>
      </c>
      <c r="Q26" s="17" t="b">
        <f ca="1"/>
        <v>1</v>
      </c>
    </row>
    <row r="27" spans="2:17" x14ac:dyDescent="0.45">
      <c r="B27" s="27" t="e">
        <f ca="1"/>
        <v>#VALUE!</v>
      </c>
      <c r="C27" s="27" t="str">
        <f ca="1"/>
        <v>LZLIc</v>
      </c>
      <c r="G27" s="27" t="str">
        <f ca="1"/>
        <v>#VALUE!,"LZLIc"</v>
      </c>
      <c r="J27" s="27" t="str">
        <f ca="1"/>
        <v>#VALUE!</v>
      </c>
      <c r="K27" s="27" t="str">
        <f ca="1"/>
        <v>LZLIc</v>
      </c>
      <c r="M27" s="27" t="e">
        <f ca="1"/>
        <v>#VALUE!</v>
      </c>
      <c r="N27" s="27" t="str">
        <f ca="1"/>
        <v>LZLIc</v>
      </c>
      <c r="P27" s="17" t="b">
        <f ca="1"/>
        <v>1</v>
      </c>
      <c r="Q27" s="17" t="b">
        <f ca="1"/>
        <v>1</v>
      </c>
    </row>
    <row r="28" spans="2:17" x14ac:dyDescent="0.45">
      <c r="B28" s="27">
        <f ca="1"/>
        <v>-59871719.731794998</v>
      </c>
      <c r="C28" s="27">
        <f ca="1"/>
        <v>0</v>
      </c>
      <c r="G28" s="27" t="str">
        <f ca="1"/>
        <v>-59871719.731795,0</v>
      </c>
      <c r="J28" s="27" t="str">
        <f ca="1"/>
        <v>-59871719.731795</v>
      </c>
      <c r="K28" s="27" t="str">
        <f ca="1"/>
        <v>0</v>
      </c>
      <c r="M28" s="27">
        <f ca="1"/>
        <v>-59871719.731794998</v>
      </c>
      <c r="N28" s="27">
        <f ca="1"/>
        <v>0</v>
      </c>
      <c r="P28" s="17" t="b">
        <f ca="1"/>
        <v>1</v>
      </c>
      <c r="Q28" s="17" t="b">
        <f ca="1"/>
        <v>1</v>
      </c>
    </row>
    <row r="29" spans="2:17" x14ac:dyDescent="0.45">
      <c r="B29" s="27" t="str">
        <f ca="1"/>
        <v/>
      </c>
      <c r="C29" s="27">
        <f ca="1"/>
        <v>1.5465510104169999</v>
      </c>
      <c r="G29" s="27" t="str">
        <f ca="1"/>
        <v>"",1.546551010417</v>
      </c>
      <c r="J29" s="27" t="str">
        <f ca="1"/>
        <v/>
      </c>
      <c r="K29" s="27" t="str">
        <f ca="1"/>
        <v>1.546551010417</v>
      </c>
      <c r="M29" s="27" t="str">
        <f ca="1"/>
        <v/>
      </c>
      <c r="N29" s="27">
        <f ca="1"/>
        <v>1.5465510104169999</v>
      </c>
      <c r="P29" s="17" t="b">
        <f ca="1"/>
        <v>1</v>
      </c>
      <c r="Q29" s="17" t="b">
        <f ca="1"/>
        <v>1</v>
      </c>
    </row>
    <row r="30" spans="2:17" x14ac:dyDescent="0.45">
      <c r="B30" s="27" t="str">
        <f ca="1"/>
        <v/>
      </c>
      <c r="C30" s="27" t="str">
        <f ca="1"/>
        <v/>
      </c>
      <c r="G30" s="27" t="str">
        <f ca="1"/>
        <v>"",""</v>
      </c>
      <c r="J30" s="27" t="str">
        <f ca="1"/>
        <v/>
      </c>
      <c r="K30" s="27" t="str">
        <f ca="1"/>
        <v/>
      </c>
      <c r="M30" s="27" t="str">
        <f ca="1"/>
        <v/>
      </c>
      <c r="N30" s="27" t="str">
        <f ca="1"/>
        <v/>
      </c>
      <c r="P30" s="17" t="b">
        <f ca="1"/>
        <v>1</v>
      </c>
      <c r="Q30" s="17" t="b">
        <f ca="1"/>
        <v>1</v>
      </c>
    </row>
    <row r="31" spans="2:17" x14ac:dyDescent="0.45">
      <c r="B31" s="27">
        <f ca="1"/>
        <v>-903716</v>
      </c>
      <c r="C31" s="27" t="str">
        <f ca="1"/>
        <v>46952563.2420796</v>
      </c>
      <c r="G31" s="27" t="str">
        <f ca="1"/>
        <v>-903716,"46952563.2420796"</v>
      </c>
      <c r="J31" s="27" t="str">
        <f ca="1"/>
        <v>-903716</v>
      </c>
      <c r="K31" s="27" t="str">
        <f ca="1"/>
        <v>46952563.2420796</v>
      </c>
      <c r="M31" s="27">
        <f ca="1"/>
        <v>-903716</v>
      </c>
      <c r="N31" s="27" t="str">
        <f ca="1"/>
        <v>46952563.2420796</v>
      </c>
      <c r="P31" s="17" t="b">
        <f ca="1"/>
        <v>1</v>
      </c>
      <c r="Q31" s="17" t="b">
        <f ca="1"/>
        <v>1</v>
      </c>
    </row>
    <row r="32" spans="2:17" x14ac:dyDescent="0.45">
      <c r="B32" s="27" t="str">
        <f ca="1"/>
        <v>rf8</v>
      </c>
      <c r="C32" s="27" t="str">
        <f ca="1"/>
        <v/>
      </c>
      <c r="G32" s="27" t="str">
        <f ca="1"/>
        <v>"rf8",""</v>
      </c>
      <c r="J32" s="27" t="str">
        <f ca="1"/>
        <v>rf8</v>
      </c>
      <c r="K32" s="27" t="str">
        <f ca="1"/>
        <v/>
      </c>
      <c r="M32" s="27" t="str">
        <f ca="1"/>
        <v>rf8</v>
      </c>
      <c r="N32" s="27" t="str">
        <f ca="1"/>
        <v/>
      </c>
      <c r="P32" s="17" t="b">
        <f ca="1"/>
        <v>1</v>
      </c>
      <c r="Q32" s="17" t="b">
        <f ca="1"/>
        <v>1</v>
      </c>
    </row>
    <row r="33" spans="2:17" x14ac:dyDescent="0.45">
      <c r="B33" s="27" t="str">
        <f ca="1"/>
        <v>TRUE</v>
      </c>
      <c r="C33" s="27" t="str">
        <f ca="1"/>
        <v>aT[G9cz$</v>
      </c>
      <c r="G33" s="27" t="str">
        <f ca="1"/>
        <v>"TRUE","aT[G9cz$"</v>
      </c>
      <c r="J33" s="27" t="str">
        <f ca="1"/>
        <v>TRUE</v>
      </c>
      <c r="K33" s="27" t="str">
        <f ca="1"/>
        <v>aT[G9cz$</v>
      </c>
      <c r="M33" s="27" t="str">
        <f ca="1"/>
        <v>TRUE</v>
      </c>
      <c r="N33" s="27" t="str">
        <f ca="1"/>
        <v>aT[G9cz$</v>
      </c>
      <c r="P33" s="17" t="b">
        <f ca="1"/>
        <v>1</v>
      </c>
      <c r="Q33" s="17" t="b">
        <f ca="1"/>
        <v>1</v>
      </c>
    </row>
    <row r="34" spans="2:17" x14ac:dyDescent="0.45">
      <c r="B34" s="27" t="str">
        <f ca="1"/>
        <v>-317398.14609815</v>
      </c>
      <c r="C34" s="27" t="str">
        <f ca="1"/>
        <v>Z1ZJ*mdrP&gt;5,DU-</v>
      </c>
      <c r="G34" s="27" t="str">
        <f ca="1"/>
        <v>"-317398.14609815","Z1ZJ*mdrP&gt;5,DU-"</v>
      </c>
      <c r="J34" s="27" t="str">
        <f ca="1"/>
        <v>-317398.14609815</v>
      </c>
      <c r="K34" s="27" t="str">
        <f ca="1"/>
        <v>Z1ZJ*mdrP&gt;5,DU-</v>
      </c>
      <c r="M34" s="27" t="str">
        <f ca="1"/>
        <v>-317398.14609815</v>
      </c>
      <c r="N34" s="27" t="str">
        <f ca="1"/>
        <v>Z1ZJ*mdrP&gt;5,DU-</v>
      </c>
      <c r="P34" s="17" t="b">
        <f ca="1"/>
        <v>1</v>
      </c>
      <c r="Q34" s="17" t="b">
        <f ca="1"/>
        <v>1</v>
      </c>
    </row>
    <row r="35" spans="2:17" x14ac:dyDescent="0.45">
      <c r="B35" s="27" t="str">
        <f ca="1"/>
        <v>-5.77765487181048E-09</v>
      </c>
      <c r="C35" s="27">
        <f ca="1"/>
        <v>-182435</v>
      </c>
      <c r="G35" s="27" t="str">
        <f ca="1"/>
        <v>"-5.77765487181048E-09",-182435</v>
      </c>
      <c r="J35" s="27" t="str">
        <f ca="1"/>
        <v>-5.77765487181048E-09</v>
      </c>
      <c r="K35" s="27" t="str">
        <f ca="1"/>
        <v>-182435</v>
      </c>
      <c r="M35" s="27" t="str">
        <f ca="1"/>
        <v>-5.77765487181048E-09</v>
      </c>
      <c r="N35" s="27">
        <f ca="1"/>
        <v>-182435</v>
      </c>
      <c r="P35" s="17" t="b">
        <f ca="1"/>
        <v>1</v>
      </c>
      <c r="Q35" s="17" t="b">
        <f ca="1"/>
        <v>1</v>
      </c>
    </row>
    <row r="36" spans="2:17" x14ac:dyDescent="0.45">
      <c r="B36" s="27" t="str">
        <f ca="1"/>
        <v>2054-Feb-16</v>
      </c>
      <c r="C36" s="27">
        <f ca="1"/>
        <v>0</v>
      </c>
      <c r="G36" s="27" t="str">
        <f ca="1"/>
        <v>"2054-Feb-16",0</v>
      </c>
      <c r="J36" s="27" t="str">
        <f ca="1"/>
        <v>2054-Feb-16</v>
      </c>
      <c r="K36" s="27" t="str">
        <f ca="1"/>
        <v>0</v>
      </c>
      <c r="M36" s="27" t="str">
        <f ca="1"/>
        <v>2054-Feb-16</v>
      </c>
      <c r="N36" s="27">
        <f ca="1"/>
        <v>0</v>
      </c>
      <c r="P36" s="17" t="b">
        <f ca="1"/>
        <v>1</v>
      </c>
      <c r="Q36" s="17" t="b">
        <f ca="1"/>
        <v>1</v>
      </c>
    </row>
    <row r="37" spans="2:17" x14ac:dyDescent="0.45">
      <c r="B37" s="27" t="b">
        <f ca="1"/>
        <v>0</v>
      </c>
      <c r="C37" s="27" t="str">
        <f ca="1"/>
        <v>8?p&lt;PCB5</v>
      </c>
      <c r="G37" s="27" t="str">
        <f ca="1"/>
        <v>False,"8?p&lt;PCB5"</v>
      </c>
      <c r="J37" s="27" t="str">
        <f ca="1"/>
        <v>False</v>
      </c>
      <c r="K37" s="27" t="str">
        <f ca="1"/>
        <v>8?p&lt;PCB5</v>
      </c>
      <c r="M37" s="27" t="b">
        <f ca="1"/>
        <v>0</v>
      </c>
      <c r="N37" s="27" t="str">
        <f ca="1"/>
        <v>8?p&lt;PCB5</v>
      </c>
      <c r="P37" s="17" t="b">
        <f ca="1"/>
        <v>1</v>
      </c>
      <c r="Q37" s="17" t="b">
        <f ca="1"/>
        <v>1</v>
      </c>
    </row>
    <row r="38" spans="2:17" x14ac:dyDescent="0.45">
      <c r="B38" s="27" t="b">
        <f ca="1"/>
        <v>1</v>
      </c>
      <c r="C38" s="27">
        <f ca="1"/>
        <v>59934</v>
      </c>
      <c r="G38" s="27" t="str">
        <f ca="1"/>
        <v>True,59934</v>
      </c>
      <c r="J38" s="27" t="str">
        <f ca="1"/>
        <v>True</v>
      </c>
      <c r="K38" s="27" t="str">
        <f ca="1"/>
        <v>59934</v>
      </c>
      <c r="M38" s="27" t="b">
        <f ca="1"/>
        <v>1</v>
      </c>
      <c r="N38" s="27">
        <f ca="1"/>
        <v>59934</v>
      </c>
      <c r="P38" s="17" t="b">
        <f ca="1"/>
        <v>1</v>
      </c>
      <c r="Q38" s="17" t="b">
        <f ca="1"/>
        <v>1</v>
      </c>
    </row>
    <row r="39" spans="2:17" x14ac:dyDescent="0.45">
      <c r="B39" s="27" t="b">
        <f ca="1"/>
        <v>1</v>
      </c>
      <c r="C39" s="27" t="str">
        <f ca="1"/>
        <v xml:space="preserve">Here's a carriage return (ascii 13):_x000D_and here's a line feed (ascii 10):
and here's both together:_x000D_
</v>
      </c>
      <c r="G39" s="27" t="str">
        <f ca="1"/>
        <v>True,"Here's a carriage return (ascii 13):</v>
      </c>
      <c r="J39" s="27" t="str">
        <f ca="1"/>
        <v>True</v>
      </c>
      <c r="K39" s="27" t="str">
        <f ca="1"/>
        <v xml:space="preserve">Here's a carriage return (ascii 13):_x000D_and here's a line feed (ascii 10):
and here's both together:_x000D_
</v>
      </c>
      <c r="M39" s="27" t="b">
        <f ca="1"/>
        <v>1</v>
      </c>
      <c r="N39" s="27" t="str">
        <f ca="1"/>
        <v xml:space="preserve">Here's a carriage return (ascii 13):_x000D_and here's a line feed (ascii 10):
and here's both together:_x000D_
</v>
      </c>
      <c r="P39" s="17" t="b">
        <f ca="1"/>
        <v>1</v>
      </c>
      <c r="Q39" s="17" t="b">
        <f ca="1"/>
        <v>1</v>
      </c>
    </row>
    <row r="40" spans="2:17" x14ac:dyDescent="0.45">
      <c r="B40" s="27">
        <f ca="1"/>
        <v>-199127</v>
      </c>
      <c r="C40" s="27" t="str">
        <f ca="1"/>
        <v>SbL04qjiM]o_mdC6G</v>
      </c>
      <c r="G40" s="27" t="str">
        <f ca="1"/>
        <v>and here's a line feed (ascii 10):</v>
      </c>
      <c r="J40" s="27" t="str">
        <f ca="1"/>
        <v>-199127</v>
      </c>
      <c r="K40" s="27" t="str">
        <f ca="1"/>
        <v>SbL04qjiM]o_mdC6G</v>
      </c>
      <c r="M40" s="27">
        <f ca="1"/>
        <v>-199127</v>
      </c>
      <c r="N40" s="27" t="str">
        <f ca="1"/>
        <v>SbL04qjiM]o_mdC6G</v>
      </c>
      <c r="P40" s="17" t="b">
        <f ca="1"/>
        <v>1</v>
      </c>
      <c r="Q40" s="17" t="b">
        <f ca="1"/>
        <v>1</v>
      </c>
    </row>
    <row r="41" spans="2:17" x14ac:dyDescent="0.45">
      <c r="B41" s="27" t="e">
        <f ca="1"/>
        <v>#VALUE!</v>
      </c>
      <c r="C41" s="27">
        <f ca="1"/>
        <v>0</v>
      </c>
      <c r="G41" s="27" t="str">
        <f ca="1"/>
        <v>and here's both together:</v>
      </c>
      <c r="J41" s="27" t="str">
        <f ca="1"/>
        <v>#VALUE!</v>
      </c>
      <c r="K41" s="27" t="str">
        <f ca="1"/>
        <v>0</v>
      </c>
      <c r="M41" s="27" t="e">
        <f ca="1"/>
        <v>#VALUE!</v>
      </c>
      <c r="N41" s="27">
        <f ca="1"/>
        <v>0</v>
      </c>
      <c r="P41" s="17" t="b">
        <f ca="1"/>
        <v>1</v>
      </c>
      <c r="Q41" s="17" t="b">
        <f ca="1"/>
        <v>1</v>
      </c>
    </row>
    <row r="42" spans="2:17" x14ac:dyDescent="0.45">
      <c r="B42" s="27" t="b">
        <f ca="1"/>
        <v>1</v>
      </c>
      <c r="C42" s="27" t="str">
        <f ca="1"/>
        <v/>
      </c>
      <c r="G42" s="27" t="str">
        <f ca="1"/>
        <v>"</v>
      </c>
      <c r="J42" s="27" t="str">
        <f ca="1"/>
        <v>True</v>
      </c>
      <c r="K42" s="27" t="str">
        <f ca="1"/>
        <v/>
      </c>
      <c r="M42" s="27" t="b">
        <f ca="1"/>
        <v>1</v>
      </c>
      <c r="N42" s="27" t="str">
        <f ca="1"/>
        <v/>
      </c>
      <c r="P42" s="17" t="b">
        <f ca="1"/>
        <v>1</v>
      </c>
      <c r="Q42" s="17" t="b">
        <f ca="1"/>
        <v>1</v>
      </c>
    </row>
    <row r="43" spans="2:17" x14ac:dyDescent="0.45">
      <c r="B43" s="27" t="str">
        <f ca="1"/>
        <v/>
      </c>
      <c r="C43" s="27">
        <f ca="1"/>
        <v>1.64039916733396E-4</v>
      </c>
      <c r="G43" s="27" t="str">
        <f ca="1"/>
        <v>-199127,"SbL04qjiM]o_mdC6G"</v>
      </c>
      <c r="J43" s="27" t="str">
        <f ca="1"/>
        <v/>
      </c>
      <c r="K43" s="27" t="str">
        <f ca="1"/>
        <v>1.64039916733396E-04</v>
      </c>
      <c r="M43" s="27" t="str">
        <f ca="1"/>
        <v/>
      </c>
      <c r="N43" s="27">
        <f ca="1"/>
        <v>1.64039916733396E-4</v>
      </c>
      <c r="P43" s="17" t="b">
        <f ca="1"/>
        <v>1</v>
      </c>
      <c r="Q43" s="17" t="b">
        <f ca="1"/>
        <v>1</v>
      </c>
    </row>
    <row r="44" spans="2:17" x14ac:dyDescent="0.45">
      <c r="B44" s="27">
        <f ca="1"/>
        <v>0</v>
      </c>
      <c r="C44" s="27">
        <f ca="1"/>
        <v>1.23977713658565</v>
      </c>
      <c r="G44" s="27" t="str">
        <f ca="1"/>
        <v>#VALUE!,0</v>
      </c>
      <c r="J44" s="27" t="str">
        <f ca="1"/>
        <v>0</v>
      </c>
      <c r="K44" s="27" t="str">
        <f ca="1"/>
        <v>1.23977713658565</v>
      </c>
      <c r="M44" s="27">
        <f ca="1"/>
        <v>0</v>
      </c>
      <c r="N44" s="27">
        <f ca="1"/>
        <v>1.23977713658565</v>
      </c>
      <c r="P44" s="17" t="b">
        <f ca="1"/>
        <v>1</v>
      </c>
      <c r="Q44" s="17" t="b">
        <f ca="1"/>
        <v>1</v>
      </c>
    </row>
    <row r="45" spans="2:17" x14ac:dyDescent="0.45">
      <c r="B45" s="27" t="e">
        <f ca="1"/>
        <v>#NULL!</v>
      </c>
      <c r="C45" s="27" t="b">
        <f ca="1"/>
        <v>1</v>
      </c>
      <c r="G45" s="27" t="str">
        <f ca="1"/>
        <v>True,""</v>
      </c>
      <c r="J45" s="27" t="str">
        <f ca="1"/>
        <v>#NULL!</v>
      </c>
      <c r="K45" s="27" t="str">
        <f ca="1"/>
        <v>True</v>
      </c>
      <c r="M45" s="27" t="e">
        <f ca="1"/>
        <v>#NULL!</v>
      </c>
      <c r="N45" s="27" t="b">
        <f ca="1"/>
        <v>1</v>
      </c>
      <c r="P45" s="17" t="b">
        <f ca="1"/>
        <v>1</v>
      </c>
      <c r="Q45" s="17" t="b">
        <f ca="1"/>
        <v>1</v>
      </c>
    </row>
    <row r="46" spans="2:17" x14ac:dyDescent="0.45">
      <c r="B46" s="27" t="str">
        <f ca="1"/>
        <v>TRUE</v>
      </c>
      <c r="C46" s="27" t="str">
        <f ca="1"/>
        <v>1987-Apr-21</v>
      </c>
      <c r="G46" s="27" t="str">
        <f ca="1"/>
        <v>"",1.64039916733396E-04</v>
      </c>
      <c r="J46" s="27" t="str">
        <f ca="1"/>
        <v>TRUE</v>
      </c>
      <c r="K46" s="27" t="str">
        <f ca="1"/>
        <v>1987-Apr-21</v>
      </c>
      <c r="M46" s="27" t="str">
        <f ca="1"/>
        <v>TRUE</v>
      </c>
      <c r="N46" s="27" t="str">
        <f ca="1"/>
        <v>1987-Apr-21</v>
      </c>
      <c r="P46" s="17" t="b">
        <f ca="1"/>
        <v>1</v>
      </c>
      <c r="Q46" s="17" t="b">
        <f ca="1"/>
        <v>1</v>
      </c>
    </row>
    <row r="47" spans="2:17" x14ac:dyDescent="0.45">
      <c r="B47" s="27" t="str">
        <f ca="1"/>
        <v>1972-Nov-03</v>
      </c>
      <c r="C47" s="27" t="str">
        <f ca="1"/>
        <v>2021-Sep-16</v>
      </c>
      <c r="G47" s="27" t="str">
        <f ca="1"/>
        <v>0,1.23977713658565</v>
      </c>
      <c r="J47" s="27" t="str">
        <f ca="1"/>
        <v>1972-Nov-03</v>
      </c>
      <c r="K47" s="27" t="str">
        <f ca="1"/>
        <v>2021-Sep-16</v>
      </c>
      <c r="M47" s="27" t="str">
        <f ca="1"/>
        <v>1972-Nov-03</v>
      </c>
      <c r="N47" s="27" t="str">
        <f ca="1"/>
        <v>2021-Sep-16</v>
      </c>
      <c r="P47" s="17" t="b">
        <f ca="1"/>
        <v>1</v>
      </c>
      <c r="Q47" s="17" t="b">
        <f ca="1"/>
        <v>1</v>
      </c>
    </row>
    <row r="48" spans="2:17" x14ac:dyDescent="0.45">
      <c r="B48" s="27" t="str">
        <f ca="1"/>
        <v/>
      </c>
      <c r="C48" s="27" t="str">
        <f ca="1"/>
        <v/>
      </c>
      <c r="G48" s="27" t="str">
        <f ca="1"/>
        <v>#NULL!,True</v>
      </c>
      <c r="J48" s="27" t="str">
        <f ca="1"/>
        <v/>
      </c>
      <c r="K48" s="27" t="str">
        <f ca="1"/>
        <v/>
      </c>
      <c r="M48" s="27" t="str">
        <f ca="1"/>
        <v/>
      </c>
      <c r="N48" s="27" t="str">
        <f ca="1"/>
        <v/>
      </c>
      <c r="P48" s="17" t="b">
        <f ca="1"/>
        <v>1</v>
      </c>
      <c r="Q48" s="17" t="b">
        <f ca="1"/>
        <v>1</v>
      </c>
    </row>
    <row r="49" spans="2:17" x14ac:dyDescent="0.45">
      <c r="B49" s="27" t="e">
        <f ca="1"/>
        <v>#NULL!</v>
      </c>
      <c r="C49" s="27" t="str">
        <f ca="1"/>
        <v>-1.22754478489322E-06</v>
      </c>
      <c r="G49" s="27" t="str">
        <f ca="1"/>
        <v>"TRUE","1987-Apr-21"</v>
      </c>
      <c r="J49" s="27" t="str">
        <f ca="1"/>
        <v>#NULL!</v>
      </c>
      <c r="K49" s="27" t="str">
        <f ca="1"/>
        <v>-1.22754478489322E-06</v>
      </c>
      <c r="M49" s="27" t="e">
        <f ca="1"/>
        <v>#NULL!</v>
      </c>
      <c r="N49" s="27" t="str">
        <f ca="1"/>
        <v>-1.22754478489322E-06</v>
      </c>
      <c r="P49" s="17" t="b">
        <f ca="1"/>
        <v>1</v>
      </c>
      <c r="Q49" s="17" t="b">
        <f ca="1"/>
        <v>1</v>
      </c>
    </row>
    <row r="50" spans="2:17" x14ac:dyDescent="0.45">
      <c r="B50" s="27" t="str">
        <f ca="1"/>
        <v>5.45647220406654E-09</v>
      </c>
      <c r="C50" s="27" t="str">
        <f ca="1"/>
        <v>1984-Nov-23</v>
      </c>
      <c r="G50" s="27" t="str">
        <f ca="1"/>
        <v>"1972-Nov-03","2021-Sep-16"</v>
      </c>
      <c r="J50" s="27" t="str">
        <f ca="1"/>
        <v>5.45647220406654E-09</v>
      </c>
      <c r="K50" s="27" t="str">
        <f ca="1"/>
        <v>1984-Nov-23</v>
      </c>
      <c r="M50" s="27" t="str">
        <f ca="1"/>
        <v>5.45647220406654E-09</v>
      </c>
      <c r="N50" s="27" t="str">
        <f ca="1"/>
        <v>1984-Nov-23</v>
      </c>
      <c r="P50" s="17" t="b">
        <f ca="1"/>
        <v>1</v>
      </c>
      <c r="Q50" s="17" t="b">
        <f ca="1"/>
        <v>1</v>
      </c>
    </row>
    <row r="51" spans="2:17" x14ac:dyDescent="0.45">
      <c r="B51" s="27" t="b">
        <f ca="1"/>
        <v>1</v>
      </c>
      <c r="C51" s="27">
        <f ca="1"/>
        <v>8.6091630414904704E-11</v>
      </c>
      <c r="G51" s="27" t="str">
        <f ca="1"/>
        <v>"",""</v>
      </c>
      <c r="J51" s="27" t="str">
        <f ca="1"/>
        <v>True</v>
      </c>
      <c r="K51" s="27" t="str">
        <f ca="1"/>
        <v>8.60916304149047E-11</v>
      </c>
      <c r="M51" s="27" t="b">
        <f ca="1"/>
        <v>1</v>
      </c>
      <c r="N51" s="27">
        <f ca="1"/>
        <v>8.6091630414904704E-11</v>
      </c>
      <c r="P51" s="17" t="b">
        <f ca="1"/>
        <v>1</v>
      </c>
      <c r="Q51" s="17" t="b">
        <f ca="1"/>
        <v>1</v>
      </c>
    </row>
    <row r="52" spans="2:17" x14ac:dyDescent="0.45">
      <c r="B52" s="27">
        <f ca="1"/>
        <v>35101</v>
      </c>
      <c r="C52" s="27" t="str">
        <f ca="1"/>
        <v>$N;1$F'_x000D_
A-$o-\</v>
      </c>
      <c r="G52" s="27" t="str">
        <f ca="1"/>
        <v>#NULL!,"-1.22754478489322E-06"</v>
      </c>
      <c r="J52" s="27" t="str">
        <f ca="1"/>
        <v>35101</v>
      </c>
      <c r="K52" s="27" t="str">
        <f ca="1"/>
        <v>$N;1$F'_x000D_
A-$o-\</v>
      </c>
      <c r="M52" s="27">
        <f ca="1"/>
        <v>35101</v>
      </c>
      <c r="N52" s="27" t="str">
        <f ca="1"/>
        <v>$N;1$F'_x000D_
A-$o-\</v>
      </c>
      <c r="P52" s="17" t="b">
        <f ca="1"/>
        <v>1</v>
      </c>
      <c r="Q52" s="17" t="b">
        <f ca="1"/>
        <v>1</v>
      </c>
    </row>
    <row r="53" spans="2:17" x14ac:dyDescent="0.45">
      <c r="G53" s="27" t="str">
        <f ca="1"/>
        <v>"5.45647220406654E-09","1984-Nov-23"</v>
      </c>
    </row>
    <row r="54" spans="2:17" x14ac:dyDescent="0.45">
      <c r="G54" s="27" t="str">
        <f ca="1"/>
        <v>True,8.60916304149047E-11</v>
      </c>
    </row>
    <row r="55" spans="2:17" x14ac:dyDescent="0.45">
      <c r="G55" s="27" t="str">
        <f ca="1"/>
        <v>35101,"$N;1$F'</v>
      </c>
    </row>
    <row r="56" spans="2:17" x14ac:dyDescent="0.45">
      <c r="G56" s="27" t="str">
        <f ca="1"/>
        <v>A-$o-\"</v>
      </c>
    </row>
    <row r="57" spans="2:17" x14ac:dyDescent="0.45">
      <c r="G57" s="27"/>
    </row>
    <row r="58" spans="2:17" x14ac:dyDescent="0.45">
      <c r="G58" s="27"/>
    </row>
    <row r="59" spans="2:17" x14ac:dyDescent="0.45">
      <c r="G59" s="27"/>
    </row>
    <row r="60" spans="2:17" x14ac:dyDescent="0.45">
      <c r="G60" s="27"/>
    </row>
    <row r="61" spans="2:17" x14ac:dyDescent="0.45">
      <c r="G61" s="27"/>
    </row>
    <row r="62" spans="2:17" x14ac:dyDescent="0.45">
      <c r="G62" s="27"/>
    </row>
    <row r="63" spans="2:17" x14ac:dyDescent="0.45">
      <c r="G63" s="27"/>
    </row>
    <row r="64" spans="2:17" x14ac:dyDescent="0.45">
      <c r="G64" s="27"/>
    </row>
    <row r="65" spans="7:7" x14ac:dyDescent="0.45">
      <c r="G65" s="27"/>
    </row>
    <row r="66" spans="7:7" x14ac:dyDescent="0.45">
      <c r="G66" s="27"/>
    </row>
    <row r="67" spans="7:7" x14ac:dyDescent="0.45">
      <c r="G67" s="27"/>
    </row>
    <row r="68" spans="7:7" x14ac:dyDescent="0.45">
      <c r="G68" s="27"/>
    </row>
    <row r="69" spans="7:7" x14ac:dyDescent="0.45">
      <c r="G69" s="27"/>
    </row>
    <row r="70" spans="7:7" x14ac:dyDescent="0.45">
      <c r="G70" s="27"/>
    </row>
    <row r="71" spans="7:7" x14ac:dyDescent="0.45">
      <c r="G71" s="27"/>
    </row>
    <row r="72" spans="7:7" x14ac:dyDescent="0.45">
      <c r="G72" s="27"/>
    </row>
    <row r="73" spans="7:7" x14ac:dyDescent="0.45">
      <c r="G73" s="27"/>
    </row>
    <row r="74" spans="7:7" x14ac:dyDescent="0.45">
      <c r="G74" s="27"/>
    </row>
    <row r="75" spans="7:7" x14ac:dyDescent="0.45">
      <c r="G75" s="27"/>
    </row>
    <row r="76" spans="7:7" x14ac:dyDescent="0.45">
      <c r="G76" s="27"/>
    </row>
    <row r="77" spans="7:7" x14ac:dyDescent="0.45">
      <c r="G77" s="27"/>
    </row>
    <row r="78" spans="7:7" x14ac:dyDescent="0.45">
      <c r="G78" s="27"/>
    </row>
    <row r="79" spans="7:7" x14ac:dyDescent="0.45">
      <c r="G79" s="27"/>
    </row>
    <row r="80" spans="7:7" x14ac:dyDescent="0.45">
      <c r="G80" s="29"/>
    </row>
    <row r="81" spans="7:7" x14ac:dyDescent="0.45">
      <c r="G81" s="29"/>
    </row>
    <row r="82" spans="7:7" x14ac:dyDescent="0.45">
      <c r="G82" s="29"/>
    </row>
    <row r="83" spans="7:7" x14ac:dyDescent="0.45">
      <c r="G83" s="29"/>
    </row>
    <row r="84" spans="7:7" x14ac:dyDescent="0.45">
      <c r="G84" s="29"/>
    </row>
  </sheetData>
  <sheetProtection sheet="1" objects="1" scenarios="1"/>
  <conditionalFormatting sqref="B13:C52 H13:I62">
    <cfRule type="expression" dxfId="24" priority="51" stopIfTrue="1">
      <formula>ISLOGICAL(B13)</formula>
    </cfRule>
    <cfRule type="expression" dxfId="23" priority="52" stopIfTrue="1">
      <formula>ISTEXT(B13)</formula>
    </cfRule>
    <cfRule type="expression" dxfId="22" priority="53" stopIfTrue="1">
      <formula>ISNUMBER(B13)</formula>
    </cfRule>
  </conditionalFormatting>
  <conditionalFormatting sqref="P13:Q52">
    <cfRule type="expression" dxfId="21" priority="39">
      <formula>IF(ISLOGICAL(P13),NOT(P13),FALSE)</formula>
    </cfRule>
  </conditionalFormatting>
  <conditionalFormatting sqref="B13:C52">
    <cfRule type="expression" dxfId="20" priority="21" stopIfTrue="1">
      <formula>OR(ISNUMBER(FIND(CHAR(10),B13)),ISNUMBER(FIND(CHAR(13),B13)),ISNUMBER(FIND(CHAR(34),B13)),ISNUMBER(FIND(CHAR(44),B13)))</formula>
    </cfRule>
    <cfRule type="expression" dxfId="19" priority="38" stopIfTrue="1">
      <formula>ISERROR(B13)</formula>
    </cfRule>
  </conditionalFormatting>
  <conditionalFormatting sqref="G80:G84">
    <cfRule type="expression" dxfId="18" priority="35">
      <formula>ISLOGICAL(G80)</formula>
    </cfRule>
    <cfRule type="expression" dxfId="17" priority="36">
      <formula>ISTEXT(G80)</formula>
    </cfRule>
    <cfRule type="expression" dxfId="16" priority="37">
      <formula>ISNUMBER(G80)</formula>
    </cfRule>
  </conditionalFormatting>
  <conditionalFormatting sqref="G80:G84">
    <cfRule type="expression" dxfId="15" priority="34">
      <formula>ISERROR(G80)</formula>
    </cfRule>
  </conditionalFormatting>
  <conditionalFormatting sqref="J13:K52">
    <cfRule type="expression" dxfId="14" priority="18" stopIfTrue="1">
      <formula>ISLOGICAL(J13)</formula>
    </cfRule>
    <cfRule type="expression" dxfId="13" priority="19" stopIfTrue="1">
      <formula>ISTEXT(J13)</formula>
    </cfRule>
    <cfRule type="expression" dxfId="12" priority="20" stopIfTrue="1">
      <formula>ISNUMBER(J13)</formula>
    </cfRule>
  </conditionalFormatting>
  <conditionalFormatting sqref="J13:K52">
    <cfRule type="expression" dxfId="11" priority="16" stopIfTrue="1">
      <formula>OR(ISNUMBER(FIND(CHAR(10),J13)),ISNUMBER(FIND(CHAR(13),J13)),ISNUMBER(FIND(CHAR(34),J13)),ISNUMBER(FIND(CHAR(44),J13)))</formula>
    </cfRule>
    <cfRule type="expression" dxfId="10" priority="17" stopIfTrue="1">
      <formula>ISERROR(J13)</formula>
    </cfRule>
  </conditionalFormatting>
  <conditionalFormatting sqref="M13:N52">
    <cfRule type="expression" dxfId="9" priority="13" stopIfTrue="1">
      <formula>ISLOGICAL(M13)</formula>
    </cfRule>
    <cfRule type="expression" dxfId="8" priority="14" stopIfTrue="1">
      <formula>ISTEXT(M13)</formula>
    </cfRule>
    <cfRule type="expression" dxfId="7" priority="15" stopIfTrue="1">
      <formula>ISNUMBER(M13)</formula>
    </cfRule>
  </conditionalFormatting>
  <conditionalFormatting sqref="M13:N52">
    <cfRule type="expression" dxfId="6" priority="11" stopIfTrue="1">
      <formula>OR(ISNUMBER(FIND(CHAR(10),M13)),ISNUMBER(FIND(CHAR(13),M13)),ISNUMBER(FIND(CHAR(34),M13)),ISNUMBER(FIND(CHAR(44),M13)))</formula>
    </cfRule>
    <cfRule type="expression" dxfId="5" priority="12" stopIfTrue="1">
      <formula>ISERROR(M13)</formula>
    </cfRule>
  </conditionalFormatting>
  <conditionalFormatting sqref="G13:G79">
    <cfRule type="expression" dxfId="4" priority="8" stopIfTrue="1">
      <formula>ISLOGICAL(G13)</formula>
    </cfRule>
    <cfRule type="expression" dxfId="3" priority="9" stopIfTrue="1">
      <formula>ISTEXT(G13)</formula>
    </cfRule>
    <cfRule type="expression" dxfId="2" priority="10" stopIfTrue="1">
      <formula>ISNUMBER(G13)</formula>
    </cfRule>
  </conditionalFormatting>
  <conditionalFormatting sqref="G13:G79">
    <cfRule type="expression" dxfId="1" priority="6" stopIfTrue="1">
      <formula>OR(ISNUMBER(FIND(CHAR(10),G13)),ISNUMBER(FIND(CHAR(13),G13)),ISNUMBER(FIND(CHAR(34),G13)),ISNUMBER(FIND(CHAR(44),G13)))</formula>
    </cfRule>
    <cfRule type="expression" dxfId="0" priority="7" stopIfTrue="1">
      <formula>ISERROR(G13)</formula>
    </cfRule>
  </conditionalFormatting>
  <dataValidations disablePrompts="1"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Help"/>
  <dimension ref="B1:J95"/>
  <sheetViews>
    <sheetView showGridLines="0" showRowColHeaders="0" zoomScaleNormal="100" workbookViewId="0"/>
  </sheetViews>
  <sheetFormatPr defaultRowHeight="14.25" x14ac:dyDescent="0.45"/>
  <cols>
    <col min="1" max="1" width="4.59765625" customWidth="1"/>
    <col min="2" max="2" width="14.796875" bestFit="1" customWidth="1"/>
    <col min="3" max="3" width="69.59765625" bestFit="1" customWidth="1"/>
    <col min="8" max="8" width="14.796875" bestFit="1" customWidth="1"/>
    <col min="9" max="9" width="69.59765625" bestFit="1" customWidth="1"/>
  </cols>
  <sheetData>
    <row r="1" spans="2:10" ht="28.5" x14ac:dyDescent="0.85">
      <c r="B1" s="1" t="s">
        <v>441</v>
      </c>
    </row>
    <row r="3" spans="2:10" x14ac:dyDescent="0.45">
      <c r="B3" s="32" t="s">
        <v>29</v>
      </c>
      <c r="C3" s="51" t="s">
        <v>30</v>
      </c>
      <c r="D3" s="17" t="s">
        <v>433</v>
      </c>
      <c r="H3" s="32" t="s">
        <v>29</v>
      </c>
      <c r="I3" s="51" t="s">
        <v>30</v>
      </c>
      <c r="J3" s="17" t="s">
        <v>433</v>
      </c>
    </row>
    <row r="4" spans="2:10" ht="42.75" x14ac:dyDescent="0.45">
      <c r="B4" s="43" t="s">
        <v>427</v>
      </c>
      <c r="C4" s="50" t="s">
        <v>24</v>
      </c>
      <c r="D4" s="54">
        <f ca="1">LEN(C4)</f>
        <v>67</v>
      </c>
      <c r="H4" s="33" t="s">
        <v>48</v>
      </c>
      <c r="I4" s="53" t="s">
        <v>430</v>
      </c>
      <c r="J4" s="54">
        <f ca="1">LEN(I4)</f>
        <v>237</v>
      </c>
    </row>
    <row r="5" spans="2:10" x14ac:dyDescent="0.45">
      <c r="B5" s="32" t="s">
        <v>28</v>
      </c>
      <c r="C5" s="51" t="s">
        <v>31</v>
      </c>
      <c r="D5" s="55"/>
      <c r="H5" s="32" t="s">
        <v>28</v>
      </c>
      <c r="I5" s="51" t="s">
        <v>31</v>
      </c>
      <c r="J5" s="55"/>
    </row>
    <row r="6" spans="2:10" x14ac:dyDescent="0.45">
      <c r="B6" s="34" t="s">
        <v>0</v>
      </c>
      <c r="C6" s="52" t="s" cm="1">
        <v>25</v>
      </c>
      <c r="D6" s="55" cm="1">
        <f t="array" aca="1" ref="D6:D15" ca="1">LEN(C6:C15)</f>
        <v>46</v>
      </c>
      <c r="H6" s="34" t="s">
        <v>0</v>
      </c>
      <c r="I6" s="53" t="s">
        <v>25</v>
      </c>
      <c r="J6" s="55" cm="1">
        <f t="array" aca="1" ref="J6:J13" ca="1">LEN(I6:I13)</f>
        <v>46</v>
      </c>
    </row>
    <row r="7" spans="2:10" ht="42.75" x14ac:dyDescent="0.45">
      <c r="B7" s="34" t="s">
        <v>231</v>
      </c>
      <c r="C7" s="53" t="s">
        <v>431</v>
      </c>
      <c r="D7" s="55">
        <f ca="1"/>
        <v>235</v>
      </c>
      <c r="H7" s="34" t="s">
        <v>53</v>
      </c>
      <c r="I7" s="53" t="s">
        <v>428</v>
      </c>
      <c r="J7" s="55">
        <f ca="1"/>
        <v>104</v>
      </c>
    </row>
    <row r="8" spans="2:10" ht="42.75" x14ac:dyDescent="0.45">
      <c r="B8" s="35" t="s">
        <v>20</v>
      </c>
      <c r="C8" s="53" t="s">
        <v>426</v>
      </c>
      <c r="D8" s="55">
        <f ca="1"/>
        <v>247</v>
      </c>
      <c r="H8" s="34" t="s">
        <v>12</v>
      </c>
      <c r="I8" s="53" t="s">
        <v>429</v>
      </c>
      <c r="J8" s="55">
        <f ca="1"/>
        <v>244</v>
      </c>
    </row>
    <row r="9" spans="2:10" ht="42.75" x14ac:dyDescent="0.45">
      <c r="B9" s="35" t="s">
        <v>1</v>
      </c>
      <c r="C9" s="52" t="s">
        <v>26</v>
      </c>
      <c r="D9" s="55">
        <f ca="1"/>
        <v>232</v>
      </c>
      <c r="H9" s="34" t="s">
        <v>1</v>
      </c>
      <c r="I9" s="53" t="s">
        <v>444</v>
      </c>
      <c r="J9" s="55">
        <f ca="1"/>
        <v>135</v>
      </c>
    </row>
    <row r="10" spans="2:10" ht="42.75" x14ac:dyDescent="0.45">
      <c r="B10" s="36" t="s">
        <v>236</v>
      </c>
      <c r="C10" s="53" t="s">
        <v>237</v>
      </c>
      <c r="D10" s="55">
        <f ca="1"/>
        <v>99</v>
      </c>
      <c r="H10" s="34" t="s">
        <v>13</v>
      </c>
      <c r="I10" s="53" t="s">
        <v>443</v>
      </c>
      <c r="J10" s="55">
        <f ca="1"/>
        <v>237</v>
      </c>
    </row>
    <row r="11" spans="2:10" ht="28.5" x14ac:dyDescent="0.45">
      <c r="B11" s="34" t="s">
        <v>232</v>
      </c>
      <c r="C11" s="53" t="s">
        <v>233</v>
      </c>
      <c r="D11" s="55">
        <f ca="1"/>
        <v>105</v>
      </c>
      <c r="H11" s="34" t="s">
        <v>20</v>
      </c>
      <c r="I11" s="53" t="s">
        <v>424</v>
      </c>
      <c r="J11" s="55">
        <f ca="1"/>
        <v>97</v>
      </c>
    </row>
    <row r="12" spans="2:10" ht="42.75" x14ac:dyDescent="0.45">
      <c r="B12" s="36" t="s">
        <v>21</v>
      </c>
      <c r="C12" s="53" t="s">
        <v>238</v>
      </c>
      <c r="D12" s="55">
        <f ca="1"/>
        <v>120</v>
      </c>
      <c r="H12" s="34" t="s">
        <v>14</v>
      </c>
      <c r="I12" s="53" t="s">
        <v>425</v>
      </c>
      <c r="J12" s="55">
        <f ca="1"/>
        <v>188</v>
      </c>
    </row>
    <row r="13" spans="2:10" ht="28.5" x14ac:dyDescent="0.45">
      <c r="B13" s="34" t="s">
        <v>22</v>
      </c>
      <c r="C13" s="53" t="s">
        <v>234</v>
      </c>
      <c r="D13" s="55">
        <f ca="1"/>
        <v>103</v>
      </c>
      <c r="H13" s="34" t="s">
        <v>15</v>
      </c>
      <c r="I13" s="52" t="s">
        <v>54</v>
      </c>
      <c r="J13" s="55">
        <f ca="1"/>
        <v>164</v>
      </c>
    </row>
    <row r="14" spans="2:10" ht="57" x14ac:dyDescent="0.45">
      <c r="B14" s="34" t="s">
        <v>14</v>
      </c>
      <c r="C14" s="53" t="s">
        <v>235</v>
      </c>
      <c r="D14" s="55">
        <f ca="1"/>
        <v>102</v>
      </c>
      <c r="H14" s="34" t="s">
        <v>33</v>
      </c>
      <c r="I14" s="37" t="s">
        <v>435</v>
      </c>
    </row>
    <row r="15" spans="2:10" ht="28.5" x14ac:dyDescent="0.45">
      <c r="B15" s="34" t="s">
        <v>23</v>
      </c>
      <c r="C15" s="52" t="s">
        <v>27</v>
      </c>
      <c r="D15" s="55">
        <f ca="1"/>
        <v>113</v>
      </c>
    </row>
    <row r="16" spans="2:10" ht="199.5" x14ac:dyDescent="0.45">
      <c r="B16" s="34" t="s">
        <v>33</v>
      </c>
      <c r="C16" s="36" t="s">
        <v>434</v>
      </c>
    </row>
    <row r="19" spans="2:8" x14ac:dyDescent="0.45">
      <c r="C19" s="10"/>
    </row>
    <row r="20" spans="2:8" x14ac:dyDescent="0.45">
      <c r="C20" s="10"/>
    </row>
    <row r="21" spans="2:8" x14ac:dyDescent="0.45">
      <c r="B21" s="19" t="s">
        <v>67</v>
      </c>
    </row>
    <row r="22" spans="2:8" x14ac:dyDescent="0.45">
      <c r="B22" s="20" t="str" cm="1">
        <f t="array" aca="1" ref="B22:B37" ca="1">CodeToRegister(B4,C4,C6:C15)</f>
        <v>Sub RegisterCSVRead()</v>
      </c>
      <c r="H22" s="20" t="str" cm="1">
        <f t="array" aca="1" ref="H22:H35" ca="1">CodeToRegister(H4,I4,I6:I13)</f>
        <v>Sub RegisterCSVWrite()</v>
      </c>
    </row>
    <row r="23" spans="2:8" x14ac:dyDescent="0.45">
      <c r="B23" s="20" t="str">
        <f ca="1"/>
        <v xml:space="preserve">    Const FnDesc = "Returns the contents of a comma-separated file on disk as an array."</v>
      </c>
      <c r="H23" s="20" t="str">
        <f ca="1"/>
        <v xml:space="preserve">    Const FnDesc = "Creates a comma-separated file on disk containing Data. Any existing file of the same name is overwritten. If successful, the function returns FileName, otherwise an ""error string"" (starts with #, ends with !) describing what went wrong."</v>
      </c>
    </row>
    <row r="24" spans="2:8" x14ac:dyDescent="0.45">
      <c r="B24" s="20" t="str">
        <f ca="1"/>
        <v xml:space="preserve">    Dim ArgDescs() As String</v>
      </c>
      <c r="H24" s="20" t="str">
        <f ca="1"/>
        <v xml:space="preserve">    Dim ArgDescs() As String</v>
      </c>
    </row>
    <row r="25" spans="2:8" x14ac:dyDescent="0.45">
      <c r="B25" s="20" t="str">
        <f ca="1"/>
        <v xml:space="preserve">    ReDim ArgDescs(1 To 10)</v>
      </c>
      <c r="H25" s="20" t="str">
        <f ca="1"/>
        <v xml:space="preserve">    ReDim ArgDescs(1 To 8)</v>
      </c>
    </row>
    <row r="26" spans="2:8" x14ac:dyDescent="0.45">
      <c r="B26" s="21" t="str">
        <f ca="1"/>
        <v xml:space="preserve">    ArgDescs(1) = "The full name of the file, including the path."</v>
      </c>
      <c r="H26" s="20" t="str">
        <f ca="1"/>
        <v xml:space="preserve">    ArgDescs(1) = "The full name of the file, including the path."</v>
      </c>
    </row>
    <row r="27" spans="2:8" x14ac:dyDescent="0.45">
      <c r="B27" s="20" t="str">
        <f ca="1"/>
        <v xml:space="preserve">    ArgDescs(2) = "TRUE to convert Numbers, Dates, Booleans and Errors into their typed values, or FALSE to leave as strings. Or letters N, D, B, E, Q. E.g. ""BN"" to convert just Booleans and numbers. Q indicates quoted strings should retain their quotes."</v>
      </c>
      <c r="H27" s="20" t="str">
        <f ca="1"/>
        <v xml:space="preserve">    ArgDescs(2) = "An array of data. Elements may be strings, numbers, dates, Booleans, empty, Excel errors or null values."</v>
      </c>
    </row>
    <row r="28" spans="2:8" x14ac:dyDescent="0.45">
      <c r="B28" s="20" t="str">
        <f ca="1"/>
        <v xml:space="preserve">    ArgDescs(3) = "Delimiter string. Defaults to the first instance of comma, tab, semi-colon, colon or pipe found outside quoted regions. Enter FALSE to  see the file's raw contents as would be displayed in a text editor. Delimiter may have more than one character."</v>
      </c>
      <c r="H28" s="20" t="str">
        <f ca="1"/>
        <v xml:space="preserve">    ArgDescs(3) = "If TRUE (the default) then all strings in Data are quoted before being written to file. If FALSE only strings containing Delimiter, line feed, carriage return or double quote are quoted. Double quotes are always escaped by another double quote."</v>
      </c>
    </row>
    <row r="29" spans="2:8" x14ac:dyDescent="0.45">
      <c r="B29" s="20" t="str">
        <f ca="1"/>
        <v xml:space="preserve">    ArgDescs(4) = "The format of dates in the file such as D-M-Y, M-D-Y or Y/M/D. If omitted a value is read from Windows regional settings. Repeated D's (or M's or Y's) are equivalent to single instances, so that d-m-y and DD-MMM-YYYY are equivalent."</v>
      </c>
      <c r="H29" s="20" t="str">
        <f ca="1"/>
        <v xml:space="preserve">    ArgDescs(4) = "A format string that determine how dates, including cells formatted as dates, appear in the file. If omitted, defaults to ""yyyy-mm-dd""."</v>
      </c>
    </row>
    <row r="30" spans="2:8" x14ac:dyDescent="0.45">
      <c r="B30" s="20" t="str">
        <f ca="1"/>
        <v xml:space="preserve">    ArgDescs(5) = "The row in the file at which reading starts. Optional and defaults to 1 to read from the first row."</v>
      </c>
      <c r="H30" s="20" t="str">
        <f ca="1"/>
        <v xml:space="preserve">    ArgDescs(5) = "A format string that determines how dates with non-zero time part appear in the file. If omitted defaults to ""yyyy-mm-dd hh:mm:ss"".The companion function CVSRead is not currently capable of interpreting fields written in DateTime format."</v>
      </c>
    </row>
    <row r="31" spans="2:8" x14ac:dyDescent="0.45">
      <c r="B31" s="20" t="str">
        <f ca="1"/>
        <v xml:space="preserve">    ArgDescs(6) = "The column in the file at which reading starts. Optional and defaults to 1 to read from the first column."</v>
      </c>
      <c r="H31" s="20" t="str">
        <f ca="1"/>
        <v xml:space="preserve">    ArgDescs(6) = "The delimiter string, if omitted defaults to a comma. Delimiter may have more than one character."</v>
      </c>
    </row>
    <row r="32" spans="2:8" x14ac:dyDescent="0.45">
      <c r="B32" s="20" t="str">
        <f ca="1"/>
        <v xml:space="preserve">    ArgDescs(7) = "The number of rows to read from the file. If omitted (or zero), all rows from SkipToRow to the end of the file are read."</v>
      </c>
      <c r="H32" s="20" t="str">
        <f ca="1"/>
        <v xml:space="preserve">    ArgDescs(7) = "If FALSE (the default) the file written will be ascii. If TRUE the file written will be unicode. An error will result if Unicode is FALSE but Data contains strings with unicode characters."</v>
      </c>
    </row>
    <row r="33" spans="2:8" x14ac:dyDescent="0.45">
      <c r="B33" s="20" t="str">
        <f ca="1"/>
        <v xml:space="preserve">    ArgDescs(8) = "The number of columns to read from the file. If omitted (or zero), all columns from SkipToCol are read."</v>
      </c>
      <c r="H33" s="20" t="str">
        <f ca="1"/>
        <v xml:space="preserve">    ArgDescs(8) = "Enter the required line ending character as ""Windows"" (or ascii 13 plus ascii 10), or ""Unix"" (or ascii 10) or ""Mac"" (or ascii 13). If omitted defaults to ""Windows""."</v>
      </c>
    </row>
    <row r="34" spans="2:8" x14ac:dyDescent="0.45">
      <c r="B34" s="20" t="str">
        <f ca="1"/>
        <v xml:space="preserve">    ArgDescs(9) = "Enter TRUE if the file is unicode, FALSE if the file is ascii. Omit to infer from the file's contents."</v>
      </c>
      <c r="H34" s="20" t="str">
        <f ca="1"/>
        <v xml:space="preserve">    Application.MacroOptions "CSVWrite", FnDesc, , , , , , , , , ArgDescs</v>
      </c>
    </row>
    <row r="35" spans="2:8" x14ac:dyDescent="0.45">
      <c r="B35" s="20" t="str">
        <f ca="1"/>
        <v xml:space="preserve">    ArgDescs(10) = "The character that represents a decimal point. If omitted, then the value from Windows regional settings is used."</v>
      </c>
      <c r="H35" s="20" t="str">
        <f ca="1"/>
        <v>End Sub</v>
      </c>
    </row>
    <row r="36" spans="2:8" x14ac:dyDescent="0.45">
      <c r="B36" s="20" t="str">
        <f ca="1"/>
        <v xml:space="preserve">    Application.MacroOptions "CSVRead", FnDesc, , , , , , , , , ArgDescs</v>
      </c>
      <c r="H36" s="20"/>
    </row>
    <row r="37" spans="2:8" x14ac:dyDescent="0.45">
      <c r="B37" s="20" t="str">
        <f ca="1"/>
        <v>End Sub</v>
      </c>
    </row>
    <row r="38" spans="2:8" x14ac:dyDescent="0.45">
      <c r="B38" s="20"/>
    </row>
    <row r="39" spans="2:8" x14ac:dyDescent="0.45">
      <c r="B39" s="20"/>
    </row>
    <row r="40" spans="2:8" x14ac:dyDescent="0.45">
      <c r="B40" s="20"/>
    </row>
    <row r="42" spans="2:8" x14ac:dyDescent="0.45">
      <c r="B42" s="18" t="s">
        <v>32</v>
      </c>
      <c r="H42" s="18" t="s">
        <v>32</v>
      </c>
    </row>
    <row r="43" spans="2:8" x14ac:dyDescent="0.45">
      <c r="B43" s="20" t="str" cm="1">
        <f t="array" aca="1" ref="B43:B87" ca="1">HelpForVBE(B4,C4,B6:B15,C6:C15,C16)</f>
        <v>'---------------------------------------------------------------------------------------------------------</v>
      </c>
      <c r="H43" s="20" t="str" cm="1">
        <f t="array" aca="1" ref="H43:H73" ca="1">HelpForVBE(H4,I4,H6:H13,I6:I13,I14)</f>
        <v>'---------------------------------------------------------------------------------------------------------</v>
      </c>
    </row>
    <row r="44" spans="2:8" x14ac:dyDescent="0.45">
      <c r="B44" s="20" t="str">
        <f ca="1"/>
        <v>' Procedure : CSVRead</v>
      </c>
      <c r="H44" s="20" t="str">
        <f ca="1"/>
        <v>' Procedure : CSVWrite</v>
      </c>
    </row>
    <row r="45" spans="2:8" x14ac:dyDescent="0.45">
      <c r="B45" s="20" t="str">
        <f ca="1"/>
        <v>' Purpose   : Returns the contents of a comma-separated file on disk as an array.</v>
      </c>
      <c r="H45" s="20" t="str">
        <f ca="1"/>
        <v>' Purpose   : Creates a comma-separated file on disk containing Data. Any existing file of the same name</v>
      </c>
    </row>
    <row r="46" spans="2:8" x14ac:dyDescent="0.45">
      <c r="B46" s="20" t="str">
        <f ca="1"/>
        <v>' Arguments</v>
      </c>
      <c r="H46" s="20" t="str">
        <f ca="1"/>
        <v>'             is overwritten. If successful, the function returns FileName, otherwise an</v>
      </c>
    </row>
    <row r="47" spans="2:8" x14ac:dyDescent="0.45">
      <c r="B47" s="20" t="str">
        <f ca="1"/>
        <v>' FileName  : The full name of the file, including the path.</v>
      </c>
      <c r="H47" s="20" t="str">
        <f ca="1"/>
        <v>'             "error string" (starts with #, ends with !) describing what went wrong.</v>
      </c>
    </row>
    <row r="48" spans="2:8" x14ac:dyDescent="0.45">
      <c r="B48" s="20" t="str">
        <f ca="1"/>
        <v>' ConvertTypes: TRUE to convert Numbers, Dates, Booleans and Errors into their typed values, or FALSE to</v>
      </c>
      <c r="H48" s="20" t="str">
        <f ca="1"/>
        <v>' Arguments</v>
      </c>
    </row>
    <row r="49" spans="2:8" x14ac:dyDescent="0.45">
      <c r="B49" s="20" t="str">
        <f ca="1"/>
        <v>'             leave as strings. Or letters N, D, B, E, Q. E.g. "BN" to convert just</v>
      </c>
      <c r="H49" s="20" t="str">
        <f ca="1"/>
        <v>' FileName  : The full name of the file, including the path.</v>
      </c>
    </row>
    <row r="50" spans="2:8" x14ac:dyDescent="0.45">
      <c r="B50" s="20" t="str">
        <f ca="1"/>
        <v>'             Booleans and numbers. Q indicates quoted strings should retain their quotes.</v>
      </c>
      <c r="H50" s="20" t="str">
        <f ca="1"/>
        <v>' Data      : An array of data. Elements may be strings, numbers, dates, Booleans, empty, Excel errors</v>
      </c>
    </row>
    <row r="51" spans="2:8" x14ac:dyDescent="0.45">
      <c r="B51" s="20" t="str">
        <f ca="1"/>
        <v>' Delimiter : Delimiter string. Defaults to the first instance of comma, tab, semi-colon, colon or pipe</v>
      </c>
      <c r="H51" s="20" t="str">
        <f ca="1"/>
        <v>'             or null values.</v>
      </c>
    </row>
    <row r="52" spans="2:8" x14ac:dyDescent="0.45">
      <c r="B52" s="20" t="str">
        <f ca="1"/>
        <v>'             found outside quoted regions. Enter FALSE to  see the file's raw contents as</v>
      </c>
      <c r="H52" s="20" t="str">
        <f ca="1"/>
        <v>' QuoteAllStrings: If TRUE (the default) then all strings in Data are quoted before being written to file. If</v>
      </c>
    </row>
    <row r="53" spans="2:8" x14ac:dyDescent="0.45">
      <c r="B53" s="20" t="str">
        <f ca="1"/>
        <v>'             would be displayed in a text editor. Delimiter may have more than one</v>
      </c>
      <c r="H53" s="20" t="str">
        <f ca="1"/>
        <v>'             FALSE only strings containing Delimiter, line feed, carriage return or double</v>
      </c>
    </row>
    <row r="54" spans="2:8" x14ac:dyDescent="0.45">
      <c r="B54" s="20" t="str">
        <f ca="1"/>
        <v>'             character.</v>
      </c>
      <c r="H54" s="20" t="str">
        <f ca="1"/>
        <v>'             quote are quoted. Double quotes are always escaped by another double quote.</v>
      </c>
    </row>
    <row r="55" spans="2:8" x14ac:dyDescent="0.45">
      <c r="B55" s="20" t="str">
        <f ca="1"/>
        <v>' DateFormat: The format of dates in the file such as D-M-Y, M-D-Y or Y/M/D. If omitted a value is read</v>
      </c>
      <c r="H55" s="20" t="str">
        <f ca="1"/>
        <v>' DateFormat: A format string that determine how dates, including cells formatted as dates, appear in</v>
      </c>
    </row>
    <row r="56" spans="2:8" x14ac:dyDescent="0.45">
      <c r="B56" s="20" t="str">
        <f ca="1"/>
        <v>'             from Windows regional settings. Repeated D's (or M's or Y's) are equivalent</v>
      </c>
      <c r="H56" s="20" t="str">
        <f ca="1"/>
        <v>'             the file. If omitted, defaults to "yyyy-mm-dd".</v>
      </c>
    </row>
    <row r="57" spans="2:8" x14ac:dyDescent="0.45">
      <c r="B57" s="20" t="str">
        <f ca="1"/>
        <v>'             to single instances, so that d-m-y and DD-MMM-YYYY are equivalent.</v>
      </c>
      <c r="H57" s="20" t="str">
        <f ca="1"/>
        <v>' DateTimeFormat: A format string that determines how dates with non-zero time part appear in the file. If</v>
      </c>
    </row>
    <row r="58" spans="2:8" x14ac:dyDescent="0.45">
      <c r="B58" s="20" t="str">
        <f ca="1"/>
        <v>' SkipToRow : The row in the file at which reading starts. Optional and defaults to 1 to read from the</v>
      </c>
      <c r="H58" s="20" t="str">
        <f ca="1"/>
        <v>'             omitted defaults to "yyyy-mm-dd hh:mm:ss".The companion function CVSRead is</v>
      </c>
    </row>
    <row r="59" spans="2:8" x14ac:dyDescent="0.45">
      <c r="B59" s="20" t="str">
        <f ca="1"/>
        <v>'             first row.</v>
      </c>
      <c r="H59" s="20" t="str">
        <f ca="1"/>
        <v>'             not currently capable of interpreting fields written in DateTime format.</v>
      </c>
    </row>
    <row r="60" spans="2:8" x14ac:dyDescent="0.45">
      <c r="B60" s="20" t="str">
        <f ca="1"/>
        <v>' SkipToCol : The column in the file at which reading starts. Optional and defaults to 1 to read from</v>
      </c>
      <c r="H60" s="20" t="str">
        <f ca="1"/>
        <v>' Delimiter : The delimiter string, if omitted defaults to a comma. Delimiter may have more than one</v>
      </c>
    </row>
    <row r="61" spans="2:8" x14ac:dyDescent="0.45">
      <c r="B61" s="20" t="str">
        <f ca="1"/>
        <v>'             the first column.</v>
      </c>
      <c r="H61" s="20" t="str">
        <f ca="1"/>
        <v>'             character.</v>
      </c>
    </row>
    <row r="62" spans="2:8" x14ac:dyDescent="0.45">
      <c r="B62" s="20" t="str">
        <f ca="1"/>
        <v>' NumRows   : The number of rows to read from the file. If omitted (or zero), all rows from SkipToRow to</v>
      </c>
      <c r="H62" s="20" t="str">
        <f ca="1"/>
        <v>' Unicode   : If FALSE (the default) the file written will be ascii. If TRUE the file written will be</v>
      </c>
    </row>
    <row r="63" spans="2:8" x14ac:dyDescent="0.45">
      <c r="B63" s="20" t="str">
        <f ca="1"/>
        <v>'             the end of the file are read.</v>
      </c>
      <c r="H63" s="20" t="str">
        <f ca="1"/>
        <v>'             unicode. An error will result if Unicode is FALSE but Data contains strings</v>
      </c>
    </row>
    <row r="64" spans="2:8" x14ac:dyDescent="0.45">
      <c r="B64" s="20" t="str">
        <f ca="1"/>
        <v>' NumCols   : The number of columns to read from the file. If omitted (or zero), all columns from</v>
      </c>
      <c r="H64" s="20" t="str">
        <f ca="1"/>
        <v>'             with unicode characters.</v>
      </c>
    </row>
    <row r="65" spans="2:8" x14ac:dyDescent="0.45">
      <c r="B65" s="20" t="str">
        <f ca="1"/>
        <v>'             SkipToCol are read.</v>
      </c>
      <c r="H65" s="20" t="str">
        <f ca="1"/>
        <v>' EOL       : Enter the required line ending character as "Windows" (or ascii 13 plus ascii 10), or</v>
      </c>
    </row>
    <row r="66" spans="2:8" x14ac:dyDescent="0.45">
      <c r="B66" s="20" t="str">
        <f ca="1"/>
        <v>' Unicode   : Enter TRUE if the file is unicode, FALSE if the file is ascii. Omit to infer from the</v>
      </c>
      <c r="H66" s="20" t="str">
        <f ca="1"/>
        <v>'             "Unix" (or ascii 10) or "Mac" (or ascii 13). If omitted defaults to</v>
      </c>
    </row>
    <row r="67" spans="2:8" x14ac:dyDescent="0.45">
      <c r="B67" s="20" t="str">
        <f ca="1"/>
        <v>'             file's contents.</v>
      </c>
      <c r="H67" s="20" t="str">
        <f ca="1"/>
        <v>'             "Windows".</v>
      </c>
    </row>
    <row r="68" spans="2:8" x14ac:dyDescent="0.45">
      <c r="B68" s="20" t="str">
        <f ca="1"/>
        <v>' DecimalSeparator: The character that represents a decimal point. If omitted, then the value from Windows</v>
      </c>
      <c r="H68" s="20" t="str">
        <f ca="1"/>
        <v>'</v>
      </c>
    </row>
    <row r="69" spans="2:8" x14ac:dyDescent="0.45">
      <c r="B69" s="20" t="str">
        <f ca="1"/>
        <v>'             regional settings is used.</v>
      </c>
      <c r="H69" s="20" t="str">
        <f ca="1"/>
        <v>' Notes     : See also companion function CSVRead.</v>
      </c>
    </row>
    <row r="70" spans="2:8" x14ac:dyDescent="0.45">
      <c r="B70" s="20" t="str">
        <f ca="1"/>
        <v>'</v>
      </c>
      <c r="H70" s="20" t="str">
        <f ca="1"/>
        <v xml:space="preserve">'             </v>
      </c>
    </row>
    <row r="71" spans="2:8" x14ac:dyDescent="0.45">
      <c r="B71" s="20" t="str">
        <f ca="1"/>
        <v>' Notes     : See also companion function CSVWrite.</v>
      </c>
      <c r="H71" s="20" t="str">
        <f ca="1"/>
        <v>'             For definition of the CSV format see</v>
      </c>
    </row>
    <row r="72" spans="2:8" x14ac:dyDescent="0.45">
      <c r="B72" s="20" t="str">
        <f ca="1"/>
        <v xml:space="preserve">'             </v>
      </c>
      <c r="H72" s="20" t="str">
        <f ca="1"/>
        <v>'             https://tools.ietf.org/html/rfc4180#section-2</v>
      </c>
    </row>
    <row r="73" spans="2:8" x14ac:dyDescent="0.45">
      <c r="B73" s="20" t="str">
        <f ca="1"/>
        <v>'             The function handles all csv files that conform to the standards described in</v>
      </c>
      <c r="H73" s="20" t="str">
        <f ca="1"/>
        <v>'---------------------------------------------------------------------------------------------------------</v>
      </c>
    </row>
    <row r="74" spans="2:8" x14ac:dyDescent="0.45">
      <c r="B74" s="20" t="str">
        <f ca="1"/>
        <v>'             RFC4180  https://www.rfc-editor.org/rfc/rfc4180.txt including files with</v>
      </c>
      <c r="H74" s="20"/>
    </row>
    <row r="75" spans="2:8" x14ac:dyDescent="0.45">
      <c r="B75" s="20" t="str">
        <f ca="1"/>
        <v>'             quoted fields.</v>
      </c>
      <c r="H75" s="20"/>
    </row>
    <row r="76" spans="2:8" x14ac:dyDescent="0.45">
      <c r="B76" s="20" t="str">
        <f ca="1"/>
        <v xml:space="preserve">'             </v>
      </c>
      <c r="H76" s="20"/>
    </row>
    <row r="77" spans="2:8" x14ac:dyDescent="0.45">
      <c r="B77" s="20" t="str">
        <f ca="1"/>
        <v>'             In addition the function handles files which break some of those standards:</v>
      </c>
      <c r="H77" s="20"/>
    </row>
    <row r="78" spans="2:8" x14ac:dyDescent="0.45">
      <c r="B78" s="20" t="str">
        <f ca="1"/>
        <v>'             * Not all lines of the file need have the same number of fields. The function</v>
      </c>
      <c r="H78" s="20"/>
    </row>
    <row r="79" spans="2:8" x14ac:dyDescent="0.45">
      <c r="B79" s="20" t="str">
        <f ca="1"/>
        <v>'             "pads" with Empty values.</v>
      </c>
      <c r="H79" s="20"/>
    </row>
    <row r="80" spans="2:8" x14ac:dyDescent="0.45">
      <c r="B80" s="20" t="str">
        <f ca="1"/>
        <v>'             * Fields which start with a double quote but do not end with a double quote</v>
      </c>
      <c r="H80" s="20"/>
    </row>
    <row r="81" spans="2:8" x14ac:dyDescent="0.45">
      <c r="B81" s="20" t="str">
        <f ca="1"/>
        <v>'             are handled by being returned unchanged. Necessarily such fields have an even</v>
      </c>
      <c r="H81" s="20"/>
    </row>
    <row r="82" spans="2:8" x14ac:dyDescent="0.45">
      <c r="B82" s="20" t="str">
        <f ca="1"/>
        <v>'             number of double quotes, or otherwise the field will be treated as the last</v>
      </c>
      <c r="H82" s="20"/>
    </row>
    <row r="83" spans="2:8" x14ac:dyDescent="0.45">
      <c r="B83" s="20" t="str">
        <f ca="1"/>
        <v>'             field in the file.</v>
      </c>
      <c r="H83" s="20"/>
    </row>
    <row r="84" spans="2:8" x14ac:dyDescent="0.45">
      <c r="B84" s="20" t="str">
        <f ca="1"/>
        <v>'             * The standard states that csv files should have Windows-style line endings,</v>
      </c>
      <c r="H84" s="20"/>
    </row>
    <row r="85" spans="2:8" x14ac:dyDescent="0.45">
      <c r="B85" s="20" t="str">
        <f ca="1"/>
        <v>'             but the function supports files with Windows, Unix and (old) Mac line</v>
      </c>
      <c r="H85" s="20"/>
    </row>
    <row r="86" spans="2:8" x14ac:dyDescent="0.45">
      <c r="B86" s="20" t="str">
        <f ca="1"/>
        <v>'             endings. Files may also have mixed line endings.</v>
      </c>
      <c r="H86" s="20"/>
    </row>
    <row r="87" spans="2:8" x14ac:dyDescent="0.45">
      <c r="B87" s="20" t="str">
        <f ca="1"/>
        <v>'---------------------------------------------------------------------------------------------------------</v>
      </c>
      <c r="H87" s="20"/>
    </row>
    <row r="88" spans="2:8" x14ac:dyDescent="0.45">
      <c r="B88" s="20"/>
      <c r="H88" s="20"/>
    </row>
    <row r="89" spans="2:8" x14ac:dyDescent="0.45">
      <c r="B89" s="20"/>
      <c r="H89" s="20"/>
    </row>
    <row r="90" spans="2:8" x14ac:dyDescent="0.45">
      <c r="B90" s="20"/>
      <c r="H90" s="20"/>
    </row>
    <row r="91" spans="2:8" x14ac:dyDescent="0.45">
      <c r="B91" s="20"/>
      <c r="H91" s="20"/>
    </row>
    <row r="92" spans="2:8" x14ac:dyDescent="0.45">
      <c r="B92" s="20"/>
      <c r="H92" s="20"/>
    </row>
    <row r="93" spans="2:8" x14ac:dyDescent="0.45">
      <c r="B93" s="20"/>
      <c r="H93" s="20"/>
    </row>
    <row r="94" spans="2:8" x14ac:dyDescent="0.45">
      <c r="B94" s="20"/>
      <c r="H94" s="20"/>
    </row>
    <row r="95" spans="2:8" x14ac:dyDescent="0.45">
      <c r="B95" s="20"/>
      <c r="H95" s="20"/>
    </row>
  </sheetData>
  <sheetProtection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02197-55DE-43D7-950D-76E61F3C495C}">
  <sheetPr codeName="Sheet6"/>
  <dimension ref="A1:N217"/>
  <sheetViews>
    <sheetView showGridLines="0" showRowColHeaders="0" zoomScaleNormal="100" workbookViewId="0">
      <pane ySplit="4" topLeftCell="A50"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7.59765625" bestFit="1" customWidth="1"/>
    <col min="9" max="9" width="15.19921875" bestFit="1" customWidth="1"/>
    <col min="10" max="10" width="16.3984375" bestFit="1" customWidth="1"/>
    <col min="11" max="12" width="5.46484375" bestFit="1" customWidth="1"/>
    <col min="13" max="13" width="91.73046875" bestFit="1" customWidth="1"/>
    <col min="14" max="14" width="10.6640625" bestFit="1" customWidth="1"/>
  </cols>
  <sheetData>
    <row r="1" spans="1:14" ht="28.5" x14ac:dyDescent="0.85">
      <c r="A1" s="1" t="s">
        <v>199</v>
      </c>
    </row>
    <row r="4" spans="1:14" x14ac:dyDescent="0.45">
      <c r="M4" t="s">
        <v>406</v>
      </c>
    </row>
    <row r="5" spans="1:14" ht="28.5" x14ac:dyDescent="0.45">
      <c r="A5" s="58" t="s">
        <v>415</v>
      </c>
      <c r="B5" s="58" t="s">
        <v>416</v>
      </c>
      <c r="C5" s="58" t="s">
        <v>417</v>
      </c>
      <c r="D5" s="58" t="s">
        <v>418</v>
      </c>
      <c r="E5" s="58" t="s">
        <v>427</v>
      </c>
      <c r="F5" s="58" t="s">
        <v>400</v>
      </c>
      <c r="G5" s="58" t="s">
        <v>401</v>
      </c>
      <c r="H5" s="59" t="s">
        <v>437</v>
      </c>
      <c r="I5" s="59" t="s">
        <v>438</v>
      </c>
      <c r="J5" s="59" t="s">
        <v>439</v>
      </c>
      <c r="K5" s="58" t="s">
        <v>402</v>
      </c>
      <c r="L5" s="58" t="s">
        <v>403</v>
      </c>
      <c r="M5" s="58" t="s">
        <v>404</v>
      </c>
      <c r="N5" s="58" t="s">
        <v>405</v>
      </c>
    </row>
    <row r="6" spans="1:14" x14ac:dyDescent="0.45">
      <c r="A6">
        <f ca="1">LEN(B6)</f>
        <v>1</v>
      </c>
      <c r="B6" t="s">
        <v>70</v>
      </c>
      <c r="C6" s="48">
        <v>1</v>
      </c>
      <c r="D6">
        <v>1</v>
      </c>
      <c r="E6">
        <v>1.2643180438956866E-4</v>
      </c>
      <c r="F6">
        <v>1.1968546329319686E-4</v>
      </c>
      <c r="G6">
        <v>1.6876894026323923E-3</v>
      </c>
      <c r="H6" s="56">
        <v>39548</v>
      </c>
      <c r="I6" s="56">
        <v>41777</v>
      </c>
      <c r="J6" s="56">
        <v>2963</v>
      </c>
      <c r="K6" s="57" t="b">
        <v>1</v>
      </c>
      <c r="L6" s="57" t="b">
        <v>1</v>
      </c>
      <c r="M6" s="57" t="s">
        <v>72</v>
      </c>
      <c r="N6" s="48">
        <v>3</v>
      </c>
    </row>
    <row r="7" spans="1:14" x14ac:dyDescent="0.45">
      <c r="A7">
        <f t="shared" ref="A7:A27" ca="1" si="0">LEN(B7)</f>
        <v>1</v>
      </c>
      <c r="B7" t="s">
        <v>70</v>
      </c>
      <c r="C7" s="48">
        <v>2</v>
      </c>
      <c r="D7">
        <v>1</v>
      </c>
      <c r="E7">
        <v>1.4797941045904668E-4</v>
      </c>
      <c r="F7">
        <v>1.2625614221143511E-4</v>
      </c>
      <c r="G7">
        <v>1.8431641725024123E-3</v>
      </c>
      <c r="H7" s="56">
        <v>33789</v>
      </c>
      <c r="I7" s="56">
        <v>39603</v>
      </c>
      <c r="J7" s="56">
        <v>2713</v>
      </c>
      <c r="K7" t="b">
        <v>1</v>
      </c>
      <c r="L7" t="b">
        <v>1</v>
      </c>
      <c r="M7" s="48" t="s">
        <v>73</v>
      </c>
      <c r="N7" s="48">
        <v>6</v>
      </c>
    </row>
    <row r="8" spans="1:14" x14ac:dyDescent="0.45">
      <c r="A8">
        <f t="shared" ca="1" si="0"/>
        <v>1</v>
      </c>
      <c r="B8" t="s">
        <v>70</v>
      </c>
      <c r="C8" s="48">
        <v>4</v>
      </c>
      <c r="D8">
        <v>1</v>
      </c>
      <c r="E8">
        <v>1.292141616704593E-4</v>
      </c>
      <c r="F8">
        <v>1.2471045569053014E-4</v>
      </c>
      <c r="G8">
        <v>1.8424781503317443E-3</v>
      </c>
      <c r="H8" s="56">
        <v>38696</v>
      </c>
      <c r="I8" s="56">
        <v>40093</v>
      </c>
      <c r="J8" s="56">
        <v>2714</v>
      </c>
      <c r="K8" t="b">
        <v>1</v>
      </c>
      <c r="L8" t="b">
        <v>1</v>
      </c>
      <c r="M8" s="48" t="s">
        <v>74</v>
      </c>
      <c r="N8" s="48">
        <v>12</v>
      </c>
    </row>
    <row r="9" spans="1:14" x14ac:dyDescent="0.45">
      <c r="A9">
        <f t="shared" ca="1" si="0"/>
        <v>1</v>
      </c>
      <c r="B9" t="s">
        <v>70</v>
      </c>
      <c r="C9" s="48">
        <v>8</v>
      </c>
      <c r="D9">
        <v>1</v>
      </c>
      <c r="E9">
        <v>1.3715430656137051E-4</v>
      </c>
      <c r="F9">
        <v>1.3015298175285137E-4</v>
      </c>
      <c r="G9">
        <v>1.8824117049306499E-3</v>
      </c>
      <c r="H9" s="56">
        <v>36456</v>
      </c>
      <c r="I9" s="56">
        <v>38417</v>
      </c>
      <c r="J9" s="56">
        <v>2657</v>
      </c>
      <c r="K9" t="b">
        <v>1</v>
      </c>
      <c r="L9" t="b">
        <v>1</v>
      </c>
      <c r="M9" s="48" t="s">
        <v>75</v>
      </c>
      <c r="N9" s="48">
        <v>24</v>
      </c>
    </row>
    <row r="10" spans="1:14" x14ac:dyDescent="0.45">
      <c r="A10">
        <f t="shared" ca="1" si="0"/>
        <v>1</v>
      </c>
      <c r="B10" t="s">
        <v>70</v>
      </c>
      <c r="C10" s="48">
        <v>16</v>
      </c>
      <c r="D10">
        <v>1</v>
      </c>
      <c r="E10">
        <v>1.4700231081318508E-4</v>
      </c>
      <c r="F10">
        <v>1.4004114665022588E-4</v>
      </c>
      <c r="G10">
        <v>1.9195820345489028E-3</v>
      </c>
      <c r="H10" s="56">
        <v>34014</v>
      </c>
      <c r="I10" s="56">
        <v>35704</v>
      </c>
      <c r="J10" s="56">
        <v>2605</v>
      </c>
      <c r="K10" t="b">
        <v>1</v>
      </c>
      <c r="L10" t="b">
        <v>1</v>
      </c>
      <c r="M10" s="48" t="s">
        <v>76</v>
      </c>
      <c r="N10" s="48">
        <v>48</v>
      </c>
    </row>
    <row r="11" spans="1:14" x14ac:dyDescent="0.45">
      <c r="A11">
        <f t="shared" ca="1" si="0"/>
        <v>1</v>
      </c>
      <c r="B11" t="s">
        <v>70</v>
      </c>
      <c r="C11" s="48">
        <v>32</v>
      </c>
      <c r="D11">
        <v>1</v>
      </c>
      <c r="E11">
        <v>1.6461627707910469E-4</v>
      </c>
      <c r="F11">
        <v>1.5876684342552464E-4</v>
      </c>
      <c r="G11">
        <v>1.9947821300360445E-3</v>
      </c>
      <c r="H11" s="56">
        <v>30374</v>
      </c>
      <c r="I11" s="56">
        <v>31493</v>
      </c>
      <c r="J11" s="56">
        <v>2507</v>
      </c>
      <c r="K11" t="b">
        <v>1</v>
      </c>
      <c r="L11" t="b">
        <v>1</v>
      </c>
      <c r="M11" s="48" t="s">
        <v>77</v>
      </c>
      <c r="N11" s="48">
        <v>96</v>
      </c>
    </row>
    <row r="12" spans="1:14" x14ac:dyDescent="0.45">
      <c r="A12">
        <f t="shared" ca="1" si="0"/>
        <v>1</v>
      </c>
      <c r="B12" t="s">
        <v>70</v>
      </c>
      <c r="C12" s="48">
        <v>64</v>
      </c>
      <c r="D12">
        <v>1</v>
      </c>
      <c r="E12">
        <v>2.1162555974095501E-4</v>
      </c>
      <c r="F12">
        <v>1.9906098415477263E-4</v>
      </c>
      <c r="G12">
        <v>2.1753947803391212E-3</v>
      </c>
      <c r="H12" s="56">
        <v>23627</v>
      </c>
      <c r="I12" s="56">
        <v>25118</v>
      </c>
      <c r="J12" s="56">
        <v>2299</v>
      </c>
      <c r="K12" t="b">
        <v>1</v>
      </c>
      <c r="L12" t="b">
        <v>1</v>
      </c>
      <c r="M12" s="48" t="s">
        <v>78</v>
      </c>
      <c r="N12" s="48">
        <v>192</v>
      </c>
    </row>
    <row r="13" spans="1:14" x14ac:dyDescent="0.45">
      <c r="A13">
        <f t="shared" ca="1" si="0"/>
        <v>1</v>
      </c>
      <c r="B13" t="s">
        <v>70</v>
      </c>
      <c r="C13" s="48">
        <v>128</v>
      </c>
      <c r="D13">
        <v>1</v>
      </c>
      <c r="E13">
        <v>2.8521796817065567E-4</v>
      </c>
      <c r="F13">
        <v>2.8026636959805896E-4</v>
      </c>
      <c r="G13">
        <v>2.4698897283950052E-3</v>
      </c>
      <c r="H13" s="56">
        <v>17531</v>
      </c>
      <c r="I13" s="56">
        <v>17841</v>
      </c>
      <c r="J13" s="56">
        <v>2025</v>
      </c>
      <c r="K13" t="b">
        <v>1</v>
      </c>
      <c r="L13" t="b">
        <v>1</v>
      </c>
      <c r="M13" s="48" t="s">
        <v>79</v>
      </c>
      <c r="N13" s="48">
        <v>384</v>
      </c>
    </row>
    <row r="14" spans="1:14" x14ac:dyDescent="0.45">
      <c r="A14">
        <f t="shared" ca="1" si="0"/>
        <v>1</v>
      </c>
      <c r="B14" t="s">
        <v>70</v>
      </c>
      <c r="C14" s="48">
        <v>256</v>
      </c>
      <c r="D14">
        <v>1</v>
      </c>
      <c r="E14">
        <v>4.4585392777531113E-4</v>
      </c>
      <c r="F14">
        <v>4.4391376065339665E-4</v>
      </c>
      <c r="G14">
        <v>3.1271550343968655E-3</v>
      </c>
      <c r="H14" s="56">
        <v>11215</v>
      </c>
      <c r="I14" s="56">
        <v>11264</v>
      </c>
      <c r="J14" s="56">
        <v>1599</v>
      </c>
      <c r="K14" t="b">
        <v>1</v>
      </c>
      <c r="L14" t="b">
        <v>1</v>
      </c>
      <c r="M14" s="48" t="s">
        <v>80</v>
      </c>
      <c r="N14" s="48">
        <v>768</v>
      </c>
    </row>
    <row r="15" spans="1:14" x14ac:dyDescent="0.45">
      <c r="A15">
        <f t="shared" ca="1" si="0"/>
        <v>1</v>
      </c>
      <c r="B15" t="s">
        <v>70</v>
      </c>
      <c r="C15" s="48">
        <v>512</v>
      </c>
      <c r="D15">
        <v>1</v>
      </c>
      <c r="E15">
        <v>7.5756594455389363E-4</v>
      </c>
      <c r="F15">
        <v>7.8470524168252893E-4</v>
      </c>
      <c r="G15">
        <v>4.3505461739123744E-3</v>
      </c>
      <c r="H15" s="56">
        <v>6601</v>
      </c>
      <c r="I15" s="56">
        <v>6372</v>
      </c>
      <c r="J15" s="56">
        <v>1150</v>
      </c>
      <c r="K15" t="b">
        <v>1</v>
      </c>
      <c r="L15" t="b">
        <v>1</v>
      </c>
      <c r="M15" s="48" t="s">
        <v>81</v>
      </c>
      <c r="N15" s="48">
        <v>1536</v>
      </c>
    </row>
    <row r="16" spans="1:14" x14ac:dyDescent="0.45">
      <c r="A16">
        <f t="shared" ca="1" si="0"/>
        <v>1</v>
      </c>
      <c r="B16" t="s">
        <v>70</v>
      </c>
      <c r="C16" s="48">
        <v>1024</v>
      </c>
      <c r="D16">
        <v>1</v>
      </c>
      <c r="E16">
        <v>1.4202277193978592E-3</v>
      </c>
      <c r="F16">
        <v>1.450245011600919E-3</v>
      </c>
      <c r="G16">
        <v>6.9350496532593316E-3</v>
      </c>
      <c r="H16" s="56">
        <v>3521</v>
      </c>
      <c r="I16" s="56">
        <v>3448</v>
      </c>
      <c r="J16" s="56">
        <v>721</v>
      </c>
      <c r="K16" t="b">
        <v>1</v>
      </c>
      <c r="L16" t="b">
        <v>1</v>
      </c>
      <c r="M16" s="48" t="s">
        <v>82</v>
      </c>
      <c r="N16" s="48">
        <v>3072</v>
      </c>
    </row>
    <row r="17" spans="1:14" x14ac:dyDescent="0.45">
      <c r="A17">
        <f t="shared" ca="1" si="0"/>
        <v>1</v>
      </c>
      <c r="B17" t="s">
        <v>70</v>
      </c>
      <c r="C17" s="48">
        <v>2048</v>
      </c>
      <c r="D17">
        <v>1</v>
      </c>
      <c r="E17">
        <v>2.8257352542366038E-3</v>
      </c>
      <c r="F17">
        <v>3.0353459951451777E-3</v>
      </c>
      <c r="G17">
        <v>1.2143817475726324E-2</v>
      </c>
      <c r="H17" s="56">
        <v>1770</v>
      </c>
      <c r="I17" s="56">
        <v>1648</v>
      </c>
      <c r="J17" s="56">
        <v>412</v>
      </c>
      <c r="K17" t="b">
        <v>1</v>
      </c>
      <c r="L17" t="b">
        <v>1</v>
      </c>
      <c r="M17" s="48" t="s">
        <v>83</v>
      </c>
      <c r="N17" s="48">
        <v>6144</v>
      </c>
    </row>
    <row r="18" spans="1:14" x14ac:dyDescent="0.45">
      <c r="A18">
        <f t="shared" ca="1" si="0"/>
        <v>1</v>
      </c>
      <c r="B18" t="s">
        <v>70</v>
      </c>
      <c r="C18" s="48">
        <v>4096</v>
      </c>
      <c r="D18">
        <v>1</v>
      </c>
      <c r="E18">
        <v>5.492938748627392E-3</v>
      </c>
      <c r="F18">
        <v>5.5376767441871928E-3</v>
      </c>
      <c r="G18">
        <v>2.5072455500003345E-2</v>
      </c>
      <c r="H18" s="56">
        <v>911</v>
      </c>
      <c r="I18" s="56">
        <v>903</v>
      </c>
      <c r="J18" s="56">
        <v>200</v>
      </c>
      <c r="K18" t="b">
        <v>1</v>
      </c>
      <c r="L18" t="b">
        <v>1</v>
      </c>
      <c r="M18" s="48" t="s">
        <v>84</v>
      </c>
      <c r="N18" s="48">
        <v>12288</v>
      </c>
    </row>
    <row r="19" spans="1:14" x14ac:dyDescent="0.45">
      <c r="A19">
        <f t="shared" ca="1" si="0"/>
        <v>1</v>
      </c>
      <c r="B19" t="s">
        <v>70</v>
      </c>
      <c r="C19" s="48">
        <v>8192</v>
      </c>
      <c r="D19">
        <v>1</v>
      </c>
      <c r="E19">
        <v>1.1117214666668991E-2</v>
      </c>
      <c r="F19">
        <v>1.0839643506494814E-2</v>
      </c>
      <c r="G19">
        <v>4.6924121495330581E-2</v>
      </c>
      <c r="H19" s="56">
        <v>450</v>
      </c>
      <c r="I19" s="56">
        <v>462</v>
      </c>
      <c r="J19" s="56">
        <v>107</v>
      </c>
      <c r="K19" t="b">
        <v>1</v>
      </c>
      <c r="L19" t="b">
        <v>1</v>
      </c>
      <c r="M19" s="48" t="s">
        <v>85</v>
      </c>
      <c r="N19" s="48">
        <v>24576</v>
      </c>
    </row>
    <row r="20" spans="1:14" x14ac:dyDescent="0.45">
      <c r="A20">
        <f t="shared" ca="1" si="0"/>
        <v>1</v>
      </c>
      <c r="B20" t="s">
        <v>70</v>
      </c>
      <c r="C20" s="48">
        <v>16384</v>
      </c>
      <c r="D20">
        <v>1</v>
      </c>
      <c r="E20">
        <v>2.2051429074895268E-2</v>
      </c>
      <c r="F20">
        <v>2.1504316309013165E-2</v>
      </c>
      <c r="G20">
        <v>8.8240175438585811E-2</v>
      </c>
      <c r="H20" s="56">
        <v>227</v>
      </c>
      <c r="I20" s="56">
        <v>233</v>
      </c>
      <c r="J20" s="56">
        <v>57</v>
      </c>
      <c r="K20" t="b">
        <v>1</v>
      </c>
      <c r="L20" t="b">
        <v>1</v>
      </c>
      <c r="M20" s="48" t="s">
        <v>86</v>
      </c>
      <c r="N20" s="48">
        <v>49152</v>
      </c>
    </row>
    <row r="21" spans="1:14" x14ac:dyDescent="0.45">
      <c r="A21">
        <f t="shared" ca="1" si="0"/>
        <v>1</v>
      </c>
      <c r="B21" t="s">
        <v>70</v>
      </c>
      <c r="C21" s="48">
        <v>32768</v>
      </c>
      <c r="D21">
        <v>1</v>
      </c>
      <c r="E21">
        <v>4.4927449107149187E-2</v>
      </c>
      <c r="F21">
        <v>4.3666169565229847E-2</v>
      </c>
      <c r="G21">
        <v>0.16928570000000037</v>
      </c>
      <c r="H21" s="56">
        <v>112</v>
      </c>
      <c r="I21" s="56">
        <v>115</v>
      </c>
      <c r="J21" s="56">
        <v>30</v>
      </c>
      <c r="K21" t="b">
        <v>1</v>
      </c>
      <c r="L21" t="b">
        <v>1</v>
      </c>
      <c r="M21" s="48" t="s">
        <v>87</v>
      </c>
      <c r="N21" s="48">
        <v>98304</v>
      </c>
    </row>
    <row r="22" spans="1:14" x14ac:dyDescent="0.45">
      <c r="A22">
        <f t="shared" ca="1" si="0"/>
        <v>1</v>
      </c>
      <c r="B22" t="s">
        <v>70</v>
      </c>
      <c r="C22" s="48">
        <v>65536</v>
      </c>
      <c r="D22">
        <v>1</v>
      </c>
      <c r="E22">
        <v>0.10542577291668447</v>
      </c>
      <c r="F22">
        <v>0.10038517058823274</v>
      </c>
      <c r="G22">
        <v>0.33775663999998262</v>
      </c>
      <c r="H22" s="56">
        <v>48</v>
      </c>
      <c r="I22" s="56">
        <v>51</v>
      </c>
      <c r="J22" s="56">
        <v>15</v>
      </c>
      <c r="K22" t="b">
        <v>1</v>
      </c>
      <c r="L22" t="b">
        <v>1</v>
      </c>
      <c r="M22" s="48" t="s">
        <v>88</v>
      </c>
      <c r="N22" s="48">
        <v>196608</v>
      </c>
    </row>
    <row r="23" spans="1:14" x14ac:dyDescent="0.45">
      <c r="A23">
        <f t="shared" ca="1" si="0"/>
        <v>1</v>
      </c>
      <c r="B23" t="s">
        <v>70</v>
      </c>
      <c r="C23" s="48">
        <v>131072</v>
      </c>
      <c r="D23">
        <v>1</v>
      </c>
      <c r="E23">
        <v>0.17805527931033857</v>
      </c>
      <c r="F23">
        <v>0.17777406551719871</v>
      </c>
      <c r="G23">
        <v>0.65007098750015757</v>
      </c>
      <c r="H23" s="56">
        <v>29</v>
      </c>
      <c r="I23" s="56">
        <v>29</v>
      </c>
      <c r="J23" s="56">
        <v>8</v>
      </c>
      <c r="K23" t="b">
        <v>1</v>
      </c>
      <c r="L23" t="b">
        <v>1</v>
      </c>
      <c r="M23" s="48" t="s">
        <v>89</v>
      </c>
      <c r="N23" s="48">
        <v>393216</v>
      </c>
    </row>
    <row r="24" spans="1:14" x14ac:dyDescent="0.45">
      <c r="A24">
        <f t="shared" ca="1" si="0"/>
        <v>1</v>
      </c>
      <c r="B24" t="s">
        <v>70</v>
      </c>
      <c r="C24" s="48">
        <v>262144</v>
      </c>
      <c r="D24">
        <v>1</v>
      </c>
      <c r="E24">
        <v>0.36705025000005015</v>
      </c>
      <c r="F24">
        <v>0.34604212666660411</v>
      </c>
      <c r="G24">
        <v>1.3880589749996943</v>
      </c>
      <c r="H24" s="56">
        <v>14</v>
      </c>
      <c r="I24" s="56">
        <v>15</v>
      </c>
      <c r="J24" s="56">
        <v>4</v>
      </c>
      <c r="K24" t="b">
        <v>1</v>
      </c>
      <c r="L24" t="b">
        <v>1</v>
      </c>
      <c r="M24" s="48" t="s">
        <v>90</v>
      </c>
      <c r="N24" s="48">
        <v>786432</v>
      </c>
    </row>
    <row r="25" spans="1:14" x14ac:dyDescent="0.45">
      <c r="A25">
        <f t="shared" ca="1" si="0"/>
        <v>1</v>
      </c>
      <c r="B25" t="s">
        <v>70</v>
      </c>
      <c r="C25" s="48">
        <v>524288</v>
      </c>
      <c r="D25">
        <v>1</v>
      </c>
      <c r="E25">
        <v>0.75120355714300657</v>
      </c>
      <c r="F25">
        <v>0.74830622857137186</v>
      </c>
      <c r="G25">
        <v>2.5181865499998821</v>
      </c>
      <c r="H25" s="56">
        <v>7</v>
      </c>
      <c r="I25" s="56">
        <v>7</v>
      </c>
      <c r="J25" s="56">
        <v>2</v>
      </c>
      <c r="K25" t="b">
        <v>1</v>
      </c>
      <c r="L25" t="b">
        <v>1</v>
      </c>
      <c r="M25" s="48" t="s">
        <v>91</v>
      </c>
      <c r="N25" s="48">
        <v>1572864</v>
      </c>
    </row>
    <row r="26" spans="1:14" x14ac:dyDescent="0.45">
      <c r="A26">
        <f t="shared" ca="1" si="0"/>
        <v>1</v>
      </c>
      <c r="B26" t="s">
        <v>70</v>
      </c>
      <c r="C26" s="48">
        <v>1048576</v>
      </c>
      <c r="D26">
        <v>1</v>
      </c>
      <c r="E26">
        <v>1.4548350499999287</v>
      </c>
      <c r="F26">
        <v>1.4545715249996647</v>
      </c>
      <c r="G26">
        <v>4.9294864499997857</v>
      </c>
      <c r="H26" s="56">
        <v>4</v>
      </c>
      <c r="I26" s="56">
        <v>4</v>
      </c>
      <c r="J26" s="56">
        <v>2</v>
      </c>
      <c r="K26" t="b">
        <v>1</v>
      </c>
      <c r="L26" t="b">
        <v>1</v>
      </c>
      <c r="M26" s="48" t="s">
        <v>92</v>
      </c>
      <c r="N26" s="48">
        <v>3145728</v>
      </c>
    </row>
    <row r="27" spans="1:14" x14ac:dyDescent="0.45">
      <c r="A27">
        <f t="shared" ca="1" si="0"/>
        <v>1</v>
      </c>
      <c r="B27" t="s">
        <v>70</v>
      </c>
      <c r="C27" s="48">
        <v>2097152</v>
      </c>
      <c r="D27">
        <v>1</v>
      </c>
      <c r="E27">
        <v>2.977490599999328</v>
      </c>
      <c r="F27">
        <v>3.0704576999996789</v>
      </c>
      <c r="G27">
        <v>10.497115999998641</v>
      </c>
      <c r="H27" s="56">
        <v>2</v>
      </c>
      <c r="I27" s="56">
        <v>2</v>
      </c>
      <c r="J27" s="56">
        <v>1</v>
      </c>
      <c r="K27" t="b">
        <v>1</v>
      </c>
      <c r="L27" t="b">
        <v>1</v>
      </c>
      <c r="M27" s="48" t="s">
        <v>93</v>
      </c>
      <c r="N27" s="48">
        <v>6291456</v>
      </c>
    </row>
    <row r="28" spans="1:14" x14ac:dyDescent="0.45">
      <c r="H28" s="56"/>
      <c r="I28" s="56"/>
      <c r="J28" s="56"/>
    </row>
    <row r="29" spans="1:14" x14ac:dyDescent="0.45">
      <c r="C29" s="48"/>
      <c r="H29" s="56"/>
      <c r="I29" s="56"/>
      <c r="J29" s="56"/>
    </row>
    <row r="30" spans="1:14" x14ac:dyDescent="0.45">
      <c r="H30" s="56"/>
      <c r="I30" s="56"/>
      <c r="J30" s="56"/>
    </row>
    <row r="31" spans="1:14" x14ac:dyDescent="0.45">
      <c r="H31" s="56"/>
      <c r="I31" s="56"/>
      <c r="J31" s="56"/>
      <c r="M31" s="10" t="s">
        <v>407</v>
      </c>
    </row>
    <row r="32" spans="1:14" ht="28.5" x14ac:dyDescent="0.45">
      <c r="A32" s="58" t="s">
        <v>415</v>
      </c>
      <c r="B32" s="58" t="s">
        <v>416</v>
      </c>
      <c r="C32" s="58" t="s">
        <v>417</v>
      </c>
      <c r="D32" s="58" t="s">
        <v>418</v>
      </c>
      <c r="E32" s="58" t="s">
        <v>427</v>
      </c>
      <c r="F32" s="58" t="s">
        <v>400</v>
      </c>
      <c r="G32" s="58" t="s">
        <v>401</v>
      </c>
      <c r="H32" s="59" t="s">
        <v>437</v>
      </c>
      <c r="I32" s="59" t="s">
        <v>438</v>
      </c>
      <c r="J32" s="59" t="s">
        <v>439</v>
      </c>
      <c r="K32" s="58" t="s">
        <v>402</v>
      </c>
      <c r="L32" s="58" t="s">
        <v>403</v>
      </c>
      <c r="M32" s="58" t="s">
        <v>404</v>
      </c>
      <c r="N32" s="58" t="s">
        <v>405</v>
      </c>
    </row>
    <row r="33" spans="1:14" x14ac:dyDescent="0.45">
      <c r="A33">
        <f ca="1">LEN(B33)</f>
        <v>32</v>
      </c>
      <c r="B33" t="str">
        <f ca="1">REPT("x",32)</f>
        <v>xxxxxxxxxxxxxxxxxxxxxxxxxxxxxxxx</v>
      </c>
      <c r="C33" s="48">
        <v>1</v>
      </c>
      <c r="D33">
        <v>1</v>
      </c>
      <c r="E33">
        <v>1.34479874129294E-4</v>
      </c>
      <c r="F33">
        <v>1.3239526293493193E-4</v>
      </c>
      <c r="G33">
        <v>2.0403903304768351E-3</v>
      </c>
      <c r="H33" s="56">
        <v>37181</v>
      </c>
      <c r="I33" s="56">
        <v>37766</v>
      </c>
      <c r="J33" s="56">
        <v>2451</v>
      </c>
      <c r="K33" t="b">
        <v>1</v>
      </c>
      <c r="L33" t="b">
        <v>1</v>
      </c>
      <c r="M33" s="48" t="s">
        <v>229</v>
      </c>
      <c r="N33" s="48">
        <v>34</v>
      </c>
    </row>
    <row r="34" spans="1:14" x14ac:dyDescent="0.45">
      <c r="A34">
        <f t="shared" ref="A34:A53" ca="1" si="1">LEN(B34)</f>
        <v>32</v>
      </c>
      <c r="B34" t="str">
        <f t="shared" ref="B34:B53" ca="1" si="2">REPT("x",32)</f>
        <v>xxxxxxxxxxxxxxxxxxxxxxxxxxxxxxxx</v>
      </c>
      <c r="C34" s="48">
        <v>2</v>
      </c>
      <c r="D34">
        <v>1</v>
      </c>
      <c r="E34">
        <v>1.4183739645978871E-4</v>
      </c>
      <c r="F34">
        <v>1.3560162991890296E-4</v>
      </c>
      <c r="G34">
        <v>2.0671608515911172E-3</v>
      </c>
      <c r="H34" s="56">
        <v>35252</v>
      </c>
      <c r="I34" s="56">
        <v>36873</v>
      </c>
      <c r="J34" s="56">
        <v>2419</v>
      </c>
      <c r="K34" t="b">
        <v>1</v>
      </c>
      <c r="L34" t="b">
        <v>1</v>
      </c>
      <c r="M34" s="48" t="s">
        <v>158</v>
      </c>
      <c r="N34" s="48">
        <v>68</v>
      </c>
    </row>
    <row r="35" spans="1:14" x14ac:dyDescent="0.45">
      <c r="A35">
        <f t="shared" ca="1" si="1"/>
        <v>32</v>
      </c>
      <c r="B35" t="str">
        <f t="shared" ca="1" si="2"/>
        <v>xxxxxxxxxxxxxxxxxxxxxxxxxxxxxxxx</v>
      </c>
      <c r="C35" s="48">
        <v>4</v>
      </c>
      <c r="D35">
        <v>1</v>
      </c>
      <c r="E35">
        <v>1.494449249805769E-4</v>
      </c>
      <c r="F35">
        <v>1.4331502479289084E-4</v>
      </c>
      <c r="G35">
        <v>2.0889627401837886E-3</v>
      </c>
      <c r="H35" s="56">
        <v>33458</v>
      </c>
      <c r="I35" s="56">
        <v>34889</v>
      </c>
      <c r="J35" s="56">
        <v>2394</v>
      </c>
      <c r="K35" t="b">
        <v>1</v>
      </c>
      <c r="L35" t="b">
        <v>1</v>
      </c>
      <c r="M35" s="48" t="s">
        <v>159</v>
      </c>
      <c r="N35" s="48">
        <v>136</v>
      </c>
    </row>
    <row r="36" spans="1:14" x14ac:dyDescent="0.45">
      <c r="A36">
        <f t="shared" ca="1" si="1"/>
        <v>32</v>
      </c>
      <c r="B36" t="str">
        <f t="shared" ca="1" si="2"/>
        <v>xxxxxxxxxxxxxxxxxxxxxxxxxxxxxxxx</v>
      </c>
      <c r="C36" s="48">
        <v>8</v>
      </c>
      <c r="D36">
        <v>1</v>
      </c>
      <c r="E36">
        <v>1.6171222509704975E-4</v>
      </c>
      <c r="F36">
        <v>1.619906761265919E-4</v>
      </c>
      <c r="G36">
        <v>2.1437495499359743E-3</v>
      </c>
      <c r="H36" s="56">
        <v>30920</v>
      </c>
      <c r="I36" s="56">
        <v>30867</v>
      </c>
      <c r="J36" s="56">
        <v>2333</v>
      </c>
      <c r="K36" t="b">
        <v>1</v>
      </c>
      <c r="L36" t="b">
        <v>1</v>
      </c>
      <c r="M36" s="48" t="s">
        <v>160</v>
      </c>
      <c r="N36" s="48">
        <v>272</v>
      </c>
    </row>
    <row r="37" spans="1:14" x14ac:dyDescent="0.45">
      <c r="A37">
        <f t="shared" ca="1" si="1"/>
        <v>32</v>
      </c>
      <c r="B37" t="str">
        <f t="shared" ca="1" si="2"/>
        <v>xxxxxxxxxxxxxxxxxxxxxxxxxxxxxxxx</v>
      </c>
      <c r="C37" s="48">
        <v>16</v>
      </c>
      <c r="D37">
        <v>1</v>
      </c>
      <c r="E37">
        <v>2.0189477913267227E-4</v>
      </c>
      <c r="F37">
        <v>1.8643100298283477E-4</v>
      </c>
      <c r="G37">
        <v>2.1701710069442649E-3</v>
      </c>
      <c r="H37" s="56">
        <v>24766</v>
      </c>
      <c r="I37" s="56">
        <v>26820</v>
      </c>
      <c r="J37" s="56">
        <v>2304</v>
      </c>
      <c r="K37" t="b">
        <v>1</v>
      </c>
      <c r="L37" t="b">
        <v>1</v>
      </c>
      <c r="M37" s="48" t="s">
        <v>161</v>
      </c>
      <c r="N37" s="48">
        <v>544</v>
      </c>
    </row>
    <row r="38" spans="1:14" x14ac:dyDescent="0.45">
      <c r="A38">
        <f t="shared" ca="1" si="1"/>
        <v>32</v>
      </c>
      <c r="B38" t="str">
        <f t="shared" ca="1" si="2"/>
        <v>xxxxxxxxxxxxxxxxxxxxxxxxxxxxxxxx</v>
      </c>
      <c r="C38" s="48">
        <v>32</v>
      </c>
      <c r="D38">
        <v>1</v>
      </c>
      <c r="E38">
        <v>2.413951385536163E-4</v>
      </c>
      <c r="F38">
        <v>2.3752324355138786E-4</v>
      </c>
      <c r="G38">
        <v>2.2608000904157507E-3</v>
      </c>
      <c r="H38" s="56">
        <v>20714</v>
      </c>
      <c r="I38" s="56">
        <v>21051</v>
      </c>
      <c r="J38" s="56">
        <v>2212</v>
      </c>
      <c r="K38" t="b">
        <v>1</v>
      </c>
      <c r="L38" t="b">
        <v>1</v>
      </c>
      <c r="M38" s="48" t="s">
        <v>162</v>
      </c>
      <c r="N38" s="48">
        <v>1088</v>
      </c>
    </row>
    <row r="39" spans="1:14" x14ac:dyDescent="0.45">
      <c r="A39">
        <f t="shared" ca="1" si="1"/>
        <v>32</v>
      </c>
      <c r="B39" t="str">
        <f t="shared" ca="1" si="2"/>
        <v>xxxxxxxxxxxxxxxxxxxxxxxxxxxxxxxx</v>
      </c>
      <c r="C39" s="48">
        <v>64</v>
      </c>
      <c r="D39">
        <v>1</v>
      </c>
      <c r="E39">
        <v>3.5599028905026244E-4</v>
      </c>
      <c r="F39">
        <v>3.2940519138286811E-4</v>
      </c>
      <c r="G39">
        <v>2.4749920336468671E-3</v>
      </c>
      <c r="H39" s="56">
        <v>14046</v>
      </c>
      <c r="I39" s="56">
        <v>15179</v>
      </c>
      <c r="J39" s="56">
        <v>2021</v>
      </c>
      <c r="K39" t="b">
        <v>1</v>
      </c>
      <c r="L39" t="b">
        <v>1</v>
      </c>
      <c r="M39" s="48" t="s">
        <v>163</v>
      </c>
      <c r="N39" s="48">
        <v>2176</v>
      </c>
    </row>
    <row r="40" spans="1:14" x14ac:dyDescent="0.45">
      <c r="A40">
        <f t="shared" ca="1" si="1"/>
        <v>32</v>
      </c>
      <c r="B40" t="str">
        <f t="shared" ca="1" si="2"/>
        <v>xxxxxxxxxxxxxxxxxxxxxxxxxxxxxxxx</v>
      </c>
      <c r="C40" s="48">
        <v>128</v>
      </c>
      <c r="D40">
        <v>1</v>
      </c>
      <c r="E40">
        <v>5.4607597466429841E-4</v>
      </c>
      <c r="F40">
        <v>5.2124734702384029E-4</v>
      </c>
      <c r="G40">
        <v>2.8558099942885542E-3</v>
      </c>
      <c r="H40" s="56">
        <v>9157</v>
      </c>
      <c r="I40" s="56">
        <v>9593</v>
      </c>
      <c r="J40" s="56">
        <v>1751</v>
      </c>
      <c r="K40" t="b">
        <v>1</v>
      </c>
      <c r="L40" t="b">
        <v>1</v>
      </c>
      <c r="M40" s="48" t="s">
        <v>164</v>
      </c>
      <c r="N40" s="48">
        <v>4352</v>
      </c>
    </row>
    <row r="41" spans="1:14" x14ac:dyDescent="0.45">
      <c r="A41">
        <f t="shared" ca="1" si="1"/>
        <v>32</v>
      </c>
      <c r="B41" t="str">
        <f t="shared" ca="1" si="2"/>
        <v>xxxxxxxxxxxxxxxxxxxxxxxxxxxxxxxx</v>
      </c>
      <c r="C41" s="48">
        <v>256</v>
      </c>
      <c r="D41">
        <v>1</v>
      </c>
      <c r="E41">
        <v>1.0993258298530621E-3</v>
      </c>
      <c r="F41">
        <v>8.9574706198481649E-4</v>
      </c>
      <c r="G41">
        <v>3.6949522895118789E-3</v>
      </c>
      <c r="H41" s="56">
        <v>4549</v>
      </c>
      <c r="I41" s="56">
        <v>5582</v>
      </c>
      <c r="J41" s="56">
        <v>1354</v>
      </c>
      <c r="K41" t="b">
        <v>1</v>
      </c>
      <c r="L41" t="b">
        <v>1</v>
      </c>
      <c r="M41" s="48" t="s">
        <v>165</v>
      </c>
      <c r="N41" s="48">
        <v>8704</v>
      </c>
    </row>
    <row r="42" spans="1:14" x14ac:dyDescent="0.45">
      <c r="A42">
        <f t="shared" ca="1" si="1"/>
        <v>32</v>
      </c>
      <c r="B42" t="str">
        <f t="shared" ca="1" si="2"/>
        <v>xxxxxxxxxxxxxxxxxxxxxxxxxxxxxxxx</v>
      </c>
      <c r="C42" s="48">
        <v>512</v>
      </c>
      <c r="D42">
        <v>1</v>
      </c>
      <c r="E42">
        <v>1.7651133074481529E-3</v>
      </c>
      <c r="F42">
        <v>1.6841131020543982E-3</v>
      </c>
      <c r="G42">
        <v>5.2559193277317692E-3</v>
      </c>
      <c r="H42" s="56">
        <v>2833</v>
      </c>
      <c r="I42" s="56">
        <v>2969</v>
      </c>
      <c r="J42" s="56">
        <v>952</v>
      </c>
      <c r="K42" t="b">
        <v>1</v>
      </c>
      <c r="L42" t="b">
        <v>1</v>
      </c>
      <c r="M42" s="48" t="s">
        <v>166</v>
      </c>
      <c r="N42" s="48">
        <v>17408</v>
      </c>
    </row>
    <row r="43" spans="1:14" x14ac:dyDescent="0.45">
      <c r="A43">
        <f t="shared" ca="1" si="1"/>
        <v>32</v>
      </c>
      <c r="B43" t="str">
        <f t="shared" ca="1" si="2"/>
        <v>xxxxxxxxxxxxxxxxxxxxxxxxxxxxxxxx</v>
      </c>
      <c r="C43" s="48">
        <v>1024</v>
      </c>
      <c r="D43">
        <v>1</v>
      </c>
      <c r="E43">
        <v>3.6095994227991839E-3</v>
      </c>
      <c r="F43">
        <v>3.3403356045416653E-3</v>
      </c>
      <c r="G43">
        <v>8.641772711571901E-3</v>
      </c>
      <c r="H43" s="56">
        <v>1386</v>
      </c>
      <c r="I43" s="56">
        <v>1497</v>
      </c>
      <c r="J43" s="56">
        <v>579</v>
      </c>
      <c r="K43" t="b">
        <v>1</v>
      </c>
      <c r="L43" t="b">
        <v>1</v>
      </c>
      <c r="M43" s="48" t="s">
        <v>167</v>
      </c>
      <c r="N43" s="48">
        <v>34816</v>
      </c>
    </row>
    <row r="44" spans="1:14" x14ac:dyDescent="0.45">
      <c r="A44">
        <f t="shared" ca="1" si="1"/>
        <v>32</v>
      </c>
      <c r="B44" t="str">
        <f t="shared" ca="1" si="2"/>
        <v>xxxxxxxxxxxxxxxxxxxxxxxxxxxxxxxx</v>
      </c>
      <c r="C44" s="48">
        <v>2048</v>
      </c>
      <c r="D44">
        <v>1</v>
      </c>
      <c r="E44">
        <v>6.6196644179904573E-3</v>
      </c>
      <c r="F44">
        <v>6.4426679536677776E-3</v>
      </c>
      <c r="G44">
        <v>1.5512091950461162E-2</v>
      </c>
      <c r="H44" s="56">
        <v>756</v>
      </c>
      <c r="I44" s="56">
        <v>777</v>
      </c>
      <c r="J44" s="56">
        <v>323</v>
      </c>
      <c r="K44" t="b">
        <v>1</v>
      </c>
      <c r="L44" t="b">
        <v>1</v>
      </c>
      <c r="M44" s="48" t="s">
        <v>168</v>
      </c>
      <c r="N44" s="48">
        <v>69632</v>
      </c>
    </row>
    <row r="45" spans="1:14" x14ac:dyDescent="0.45">
      <c r="A45">
        <f t="shared" ca="1" si="1"/>
        <v>32</v>
      </c>
      <c r="B45" t="str">
        <f t="shared" ca="1" si="2"/>
        <v>xxxxxxxxxxxxxxxxxxxxxxxxxxxxxxxx</v>
      </c>
      <c r="C45" s="48">
        <v>4096</v>
      </c>
      <c r="D45">
        <v>1</v>
      </c>
      <c r="E45">
        <v>1.2783892346941666E-2</v>
      </c>
      <c r="F45">
        <v>1.2523153749998527E-2</v>
      </c>
      <c r="G45">
        <v>3.0566157926819514E-2</v>
      </c>
      <c r="H45" s="56">
        <v>392</v>
      </c>
      <c r="I45" s="56">
        <v>400</v>
      </c>
      <c r="J45" s="56">
        <v>164</v>
      </c>
      <c r="K45" t="b">
        <v>1</v>
      </c>
      <c r="L45" t="b">
        <v>1</v>
      </c>
      <c r="M45" s="48" t="s">
        <v>169</v>
      </c>
      <c r="N45" s="48">
        <v>139264</v>
      </c>
    </row>
    <row r="46" spans="1:14" x14ac:dyDescent="0.45">
      <c r="A46">
        <f t="shared" ca="1" si="1"/>
        <v>32</v>
      </c>
      <c r="B46" t="str">
        <f t="shared" ca="1" si="2"/>
        <v>xxxxxxxxxxxxxxxxxxxxxxxxxxxxxxxx</v>
      </c>
      <c r="C46" s="48">
        <v>8192</v>
      </c>
      <c r="D46">
        <v>1</v>
      </c>
      <c r="E46">
        <v>2.7055212432438764E-2</v>
      </c>
      <c r="F46">
        <v>2.6463665079361855E-2</v>
      </c>
      <c r="G46">
        <v>5.0198493000007144E-2</v>
      </c>
      <c r="H46" s="56">
        <v>185</v>
      </c>
      <c r="I46" s="56">
        <v>189</v>
      </c>
      <c r="J46" s="56">
        <v>100</v>
      </c>
      <c r="K46" t="b">
        <v>1</v>
      </c>
      <c r="L46" t="b">
        <v>1</v>
      </c>
      <c r="M46" s="48" t="s">
        <v>170</v>
      </c>
      <c r="N46" s="48">
        <v>278528</v>
      </c>
    </row>
    <row r="47" spans="1:14" x14ac:dyDescent="0.45">
      <c r="A47">
        <f t="shared" ca="1" si="1"/>
        <v>32</v>
      </c>
      <c r="B47" t="str">
        <f t="shared" ca="1" si="2"/>
        <v>xxxxxxxxxxxxxxxxxxxxxxxxxxxxxxxx</v>
      </c>
      <c r="C47" s="48">
        <v>16384</v>
      </c>
      <c r="D47">
        <v>1</v>
      </c>
      <c r="E47">
        <v>5.6172302222229416E-2</v>
      </c>
      <c r="F47">
        <v>5.0571818181821861E-2</v>
      </c>
      <c r="G47">
        <v>9.6531917307682027E-2</v>
      </c>
      <c r="H47" s="56">
        <v>90</v>
      </c>
      <c r="I47" s="56">
        <v>99</v>
      </c>
      <c r="J47" s="56">
        <v>52</v>
      </c>
      <c r="K47" t="b">
        <v>1</v>
      </c>
      <c r="L47" t="b">
        <v>1</v>
      </c>
      <c r="M47" s="48" t="s">
        <v>171</v>
      </c>
      <c r="N47" s="48">
        <v>557056</v>
      </c>
    </row>
    <row r="48" spans="1:14" x14ac:dyDescent="0.45">
      <c r="A48">
        <f t="shared" ca="1" si="1"/>
        <v>32</v>
      </c>
      <c r="B48" t="str">
        <f t="shared" ca="1" si="2"/>
        <v>xxxxxxxxxxxxxxxxxxxxxxxxxxxxxxxx</v>
      </c>
      <c r="C48" s="48">
        <v>32768</v>
      </c>
      <c r="D48">
        <v>1</v>
      </c>
      <c r="E48">
        <v>0.1080429361702161</v>
      </c>
      <c r="F48">
        <v>0.10883963404256142</v>
      </c>
      <c r="G48">
        <v>0.18798502962959496</v>
      </c>
      <c r="H48" s="56">
        <v>47</v>
      </c>
      <c r="I48" s="56">
        <v>47</v>
      </c>
      <c r="J48" s="56">
        <v>27</v>
      </c>
      <c r="K48" t="b">
        <v>1</v>
      </c>
      <c r="L48" t="b">
        <v>1</v>
      </c>
      <c r="M48" s="48" t="s">
        <v>172</v>
      </c>
      <c r="N48" s="48">
        <v>1114112</v>
      </c>
    </row>
    <row r="49" spans="1:14" x14ac:dyDescent="0.45">
      <c r="A49">
        <f t="shared" ca="1" si="1"/>
        <v>32</v>
      </c>
      <c r="B49" t="str">
        <f t="shared" ca="1" si="2"/>
        <v>xxxxxxxxxxxxxxxxxxxxxxxxxxxxxxxx</v>
      </c>
      <c r="C49" s="48">
        <v>65536</v>
      </c>
      <c r="D49">
        <v>1</v>
      </c>
      <c r="E49">
        <v>0.21789429999997714</v>
      </c>
      <c r="F49">
        <v>0.20836787500002174</v>
      </c>
      <c r="G49">
        <v>0.3881295384615861</v>
      </c>
      <c r="H49" s="56">
        <v>23</v>
      </c>
      <c r="I49" s="56">
        <v>24</v>
      </c>
      <c r="J49" s="56">
        <v>13</v>
      </c>
      <c r="K49" t="b">
        <v>1</v>
      </c>
      <c r="L49" t="b">
        <v>1</v>
      </c>
      <c r="M49" s="48" t="s">
        <v>173</v>
      </c>
      <c r="N49" s="48">
        <v>2228224</v>
      </c>
    </row>
    <row r="50" spans="1:14" x14ac:dyDescent="0.45">
      <c r="A50">
        <f t="shared" ca="1" si="1"/>
        <v>32</v>
      </c>
      <c r="B50" t="str">
        <f t="shared" ca="1" si="2"/>
        <v>xxxxxxxxxxxxxxxxxxxxxxxxxxxxxxxx</v>
      </c>
      <c r="C50" s="48">
        <v>131072</v>
      </c>
      <c r="D50">
        <v>1</v>
      </c>
      <c r="E50">
        <v>0.42822090833336307</v>
      </c>
      <c r="F50">
        <v>0.41175323076920622</v>
      </c>
      <c r="G50">
        <v>0.75083692857151618</v>
      </c>
      <c r="H50" s="56">
        <v>12</v>
      </c>
      <c r="I50" s="56">
        <v>13</v>
      </c>
      <c r="J50" s="56">
        <v>7</v>
      </c>
      <c r="K50" t="b">
        <v>1</v>
      </c>
      <c r="L50" t="b">
        <v>1</v>
      </c>
      <c r="M50" s="48" t="s">
        <v>174</v>
      </c>
      <c r="N50" s="48">
        <v>4456448</v>
      </c>
    </row>
    <row r="51" spans="1:14" x14ac:dyDescent="0.45">
      <c r="A51">
        <f t="shared" ca="1" si="1"/>
        <v>32</v>
      </c>
      <c r="B51" t="str">
        <f t="shared" ca="1" si="2"/>
        <v>xxxxxxxxxxxxxxxxxxxxxxxxxxxxxxxx</v>
      </c>
      <c r="C51" s="48">
        <v>262144</v>
      </c>
      <c r="D51">
        <v>1</v>
      </c>
      <c r="E51">
        <v>0.86779139999998733</v>
      </c>
      <c r="F51">
        <v>0.8477728499998799</v>
      </c>
      <c r="G51">
        <v>1.5137419750003573</v>
      </c>
      <c r="H51" s="56">
        <v>6</v>
      </c>
      <c r="I51" s="56">
        <v>6</v>
      </c>
      <c r="J51" s="56">
        <v>4</v>
      </c>
      <c r="K51" t="b">
        <v>1</v>
      </c>
      <c r="L51" t="b">
        <v>1</v>
      </c>
      <c r="M51" s="48" t="s">
        <v>175</v>
      </c>
      <c r="N51" s="48">
        <v>8912896</v>
      </c>
    </row>
    <row r="52" spans="1:14" x14ac:dyDescent="0.45">
      <c r="A52">
        <f t="shared" ca="1" si="1"/>
        <v>32</v>
      </c>
      <c r="B52" t="str">
        <f t="shared" ca="1" si="2"/>
        <v>xxxxxxxxxxxxxxxxxxxxxxxxxxxxxxxx</v>
      </c>
      <c r="C52" s="48">
        <v>524288</v>
      </c>
      <c r="D52">
        <v>1</v>
      </c>
      <c r="E52">
        <v>1.7959464333331805</v>
      </c>
      <c r="F52">
        <v>1.8226661000001816</v>
      </c>
      <c r="G52">
        <v>2.8933888500005196</v>
      </c>
      <c r="H52" s="56">
        <v>3</v>
      </c>
      <c r="I52" s="56">
        <v>3</v>
      </c>
      <c r="J52" s="56">
        <v>2</v>
      </c>
      <c r="K52" t="b">
        <v>1</v>
      </c>
      <c r="L52" t="b">
        <v>1</v>
      </c>
      <c r="M52" s="48" t="s">
        <v>176</v>
      </c>
      <c r="N52" s="48">
        <v>17825792</v>
      </c>
    </row>
    <row r="53" spans="1:14" x14ac:dyDescent="0.45">
      <c r="A53">
        <f t="shared" ca="1" si="1"/>
        <v>32</v>
      </c>
      <c r="B53" t="str">
        <f t="shared" ca="1" si="2"/>
        <v>xxxxxxxxxxxxxxxxxxxxxxxxxxxxxxxx</v>
      </c>
      <c r="C53" s="48">
        <v>1048576</v>
      </c>
      <c r="D53">
        <v>1</v>
      </c>
      <c r="E53">
        <v>3.582008549999955</v>
      </c>
      <c r="F53">
        <v>3.4363585999999486</v>
      </c>
      <c r="G53">
        <v>5.8959924000009778</v>
      </c>
      <c r="H53" s="56">
        <v>2</v>
      </c>
      <c r="I53" s="56">
        <v>2</v>
      </c>
      <c r="J53" s="56">
        <v>1</v>
      </c>
      <c r="K53" t="b">
        <v>1</v>
      </c>
      <c r="L53" t="b">
        <v>1</v>
      </c>
      <c r="M53" s="48" t="s">
        <v>177</v>
      </c>
      <c r="N53" s="48">
        <v>35651584</v>
      </c>
    </row>
    <row r="54" spans="1:14" x14ac:dyDescent="0.45">
      <c r="C54" s="48"/>
      <c r="H54" s="56"/>
      <c r="I54" s="56"/>
      <c r="J54" s="56"/>
    </row>
    <row r="55" spans="1:14" x14ac:dyDescent="0.45">
      <c r="H55" s="56"/>
      <c r="I55" s="56"/>
      <c r="J55" s="56"/>
    </row>
    <row r="56" spans="1:14" x14ac:dyDescent="0.45">
      <c r="H56" s="56"/>
      <c r="I56" s="56"/>
      <c r="J56" s="56"/>
    </row>
    <row r="57" spans="1:14" x14ac:dyDescent="0.45">
      <c r="H57" s="56"/>
      <c r="I57" s="56"/>
      <c r="J57" s="56"/>
    </row>
    <row r="58" spans="1:14" x14ac:dyDescent="0.45">
      <c r="H58" s="56"/>
      <c r="I58" s="56"/>
      <c r="J58" s="56"/>
      <c r="M58" s="10" t="s">
        <v>408</v>
      </c>
    </row>
    <row r="59" spans="1:14" ht="28.5" x14ac:dyDescent="0.45">
      <c r="A59" s="58" t="s">
        <v>415</v>
      </c>
      <c r="B59" s="58" t="s">
        <v>416</v>
      </c>
      <c r="C59" s="58" t="s">
        <v>417</v>
      </c>
      <c r="D59" s="58" t="s">
        <v>418</v>
      </c>
      <c r="E59" s="58" t="s">
        <v>427</v>
      </c>
      <c r="F59" s="58" t="s">
        <v>400</v>
      </c>
      <c r="G59" s="58" t="s">
        <v>401</v>
      </c>
      <c r="H59" s="59" t="s">
        <v>437</v>
      </c>
      <c r="I59" s="59" t="s">
        <v>438</v>
      </c>
      <c r="J59" s="59" t="s">
        <v>439</v>
      </c>
      <c r="K59" s="58" t="s">
        <v>402</v>
      </c>
      <c r="L59" s="58" t="s">
        <v>403</v>
      </c>
      <c r="M59" s="58" t="s">
        <v>404</v>
      </c>
      <c r="N59" s="58" t="s">
        <v>405</v>
      </c>
    </row>
    <row r="60" spans="1:14" x14ac:dyDescent="0.45">
      <c r="A60">
        <f ca="1">LEN(B60)</f>
        <v>20</v>
      </c>
      <c r="B60" t="str">
        <f ca="1">"""xxxxxxxx"&amp;CHAR(13)&amp;CHAR(10)&amp;"yyyyyyyy"""</f>
        <v>"xxxxxxxx_x000D_
yyyyyyyy"</v>
      </c>
      <c r="C60" s="48">
        <v>1</v>
      </c>
      <c r="D60">
        <v>1</v>
      </c>
      <c r="E60">
        <v>1.3567349812775112E-4</v>
      </c>
      <c r="F60">
        <v>1.3170781813871631E-4</v>
      </c>
      <c r="G60">
        <v>2.1205321882948533E-3</v>
      </c>
      <c r="H60" s="56">
        <v>36854</v>
      </c>
      <c r="I60" s="56">
        <v>37963</v>
      </c>
      <c r="J60" s="56">
        <v>2358</v>
      </c>
      <c r="K60" t="b">
        <v>1</v>
      </c>
      <c r="L60" t="b">
        <v>1</v>
      </c>
      <c r="M60" s="48" t="s">
        <v>178</v>
      </c>
      <c r="N60" s="48">
        <v>22</v>
      </c>
    </row>
    <row r="61" spans="1:14" x14ac:dyDescent="0.45">
      <c r="A61">
        <f t="shared" ref="A61:A80" ca="1" si="3">LEN(B61)</f>
        <v>20</v>
      </c>
      <c r="B61" t="str">
        <f t="shared" ref="B61:B80" ca="1" si="4">"""xxxxxxxx"&amp;CHAR(13)&amp;CHAR(10)&amp;"yyyyyyyy"""</f>
        <v>"xxxxxxxx_x000D_
yyyyyyyy"</v>
      </c>
      <c r="C61" s="48">
        <v>2</v>
      </c>
      <c r="D61">
        <v>1</v>
      </c>
      <c r="E61">
        <v>1.3225410638238616E-4</v>
      </c>
      <c r="F61">
        <v>1.3077067608213924E-4</v>
      </c>
      <c r="G61">
        <v>2.1399235772357511E-3</v>
      </c>
      <c r="H61" s="56">
        <v>37807</v>
      </c>
      <c r="I61" s="56">
        <v>38235</v>
      </c>
      <c r="J61" s="56">
        <v>2337</v>
      </c>
      <c r="K61" t="b">
        <v>1</v>
      </c>
      <c r="L61" t="b">
        <v>1</v>
      </c>
      <c r="M61" s="48" t="s">
        <v>179</v>
      </c>
      <c r="N61" s="48">
        <v>44</v>
      </c>
    </row>
    <row r="62" spans="1:14" x14ac:dyDescent="0.45">
      <c r="A62">
        <f t="shared" ca="1" si="3"/>
        <v>20</v>
      </c>
      <c r="B62" t="str">
        <f t="shared" ca="1" si="4"/>
        <v>"xxxxxxxx_x000D_
yyyyyyyy"</v>
      </c>
      <c r="C62" s="48">
        <v>4</v>
      </c>
      <c r="D62">
        <v>1</v>
      </c>
      <c r="E62">
        <v>1.3949159157486467E-4</v>
      </c>
      <c r="F62">
        <v>1.3916558768685533E-4</v>
      </c>
      <c r="G62">
        <v>2.2125548230090002E-3</v>
      </c>
      <c r="H62" s="56">
        <v>35845</v>
      </c>
      <c r="I62" s="56">
        <v>35929</v>
      </c>
      <c r="J62" s="56">
        <v>2260</v>
      </c>
      <c r="K62" t="b">
        <v>1</v>
      </c>
      <c r="L62" t="b">
        <v>1</v>
      </c>
      <c r="M62" s="48" t="s">
        <v>180</v>
      </c>
      <c r="N62" s="48">
        <v>88</v>
      </c>
    </row>
    <row r="63" spans="1:14" x14ac:dyDescent="0.45">
      <c r="A63">
        <f t="shared" ca="1" si="3"/>
        <v>20</v>
      </c>
      <c r="B63" t="str">
        <f t="shared" ca="1" si="4"/>
        <v>"xxxxxxxx_x000D_
yyyyyyyy"</v>
      </c>
      <c r="C63" s="48">
        <v>8</v>
      </c>
      <c r="D63">
        <v>1</v>
      </c>
      <c r="E63">
        <v>1.7221753117033228E-4</v>
      </c>
      <c r="F63">
        <v>1.9038297985759768E-4</v>
      </c>
      <c r="G63">
        <v>2.4365383341457764E-3</v>
      </c>
      <c r="H63" s="56">
        <v>29034</v>
      </c>
      <c r="I63" s="56">
        <v>26263</v>
      </c>
      <c r="J63" s="56">
        <v>2053</v>
      </c>
      <c r="K63" t="b">
        <v>1</v>
      </c>
      <c r="L63" t="b">
        <v>1</v>
      </c>
      <c r="M63" s="48" t="s">
        <v>181</v>
      </c>
      <c r="N63" s="48">
        <v>176</v>
      </c>
    </row>
    <row r="64" spans="1:14" x14ac:dyDescent="0.45">
      <c r="A64">
        <f t="shared" ca="1" si="3"/>
        <v>20</v>
      </c>
      <c r="B64" t="str">
        <f t="shared" ca="1" si="4"/>
        <v>"xxxxxxxx_x000D_
yyyyyyyy"</v>
      </c>
      <c r="C64" s="48">
        <v>16</v>
      </c>
      <c r="D64">
        <v>1</v>
      </c>
      <c r="E64">
        <v>1.8136480467190202E-4</v>
      </c>
      <c r="F64">
        <v>1.8695294447563797E-4</v>
      </c>
      <c r="G64">
        <v>2.7876381270908641E-3</v>
      </c>
      <c r="H64" s="56">
        <v>27569</v>
      </c>
      <c r="I64" s="56">
        <v>26745</v>
      </c>
      <c r="J64" s="56">
        <v>1794</v>
      </c>
      <c r="K64" t="b">
        <v>1</v>
      </c>
      <c r="L64" t="b">
        <v>1</v>
      </c>
      <c r="M64" s="48" t="s">
        <v>182</v>
      </c>
      <c r="N64" s="48">
        <v>352</v>
      </c>
    </row>
    <row r="65" spans="1:14" x14ac:dyDescent="0.45">
      <c r="A65">
        <f t="shared" ca="1" si="3"/>
        <v>20</v>
      </c>
      <c r="B65" t="str">
        <f t="shared" ca="1" si="4"/>
        <v>"xxxxxxxx_x000D_
yyyyyyyy"</v>
      </c>
      <c r="C65" s="48">
        <v>32</v>
      </c>
      <c r="D65">
        <v>1</v>
      </c>
      <c r="E65">
        <v>2.1690347041472587E-4</v>
      </c>
      <c r="F65">
        <v>2.4684732424956412E-4</v>
      </c>
      <c r="G65">
        <v>3.4859562369333442E-3</v>
      </c>
      <c r="H65" s="56">
        <v>23052</v>
      </c>
      <c r="I65" s="56">
        <v>20256</v>
      </c>
      <c r="J65" s="56">
        <v>1435</v>
      </c>
      <c r="K65" t="b">
        <v>1</v>
      </c>
      <c r="L65" t="b">
        <v>1</v>
      </c>
      <c r="M65" s="48" t="s">
        <v>183</v>
      </c>
      <c r="N65" s="48">
        <v>704</v>
      </c>
    </row>
    <row r="66" spans="1:14" x14ac:dyDescent="0.45">
      <c r="A66">
        <f t="shared" ca="1" si="3"/>
        <v>20</v>
      </c>
      <c r="B66" t="str">
        <f t="shared" ca="1" si="4"/>
        <v>"xxxxxxxx_x000D_
yyyyyyyy"</v>
      </c>
      <c r="C66" s="48">
        <v>64</v>
      </c>
      <c r="D66">
        <v>1</v>
      </c>
      <c r="E66">
        <v>3.0753628759459334E-4</v>
      </c>
      <c r="F66">
        <v>3.5893744885506535E-4</v>
      </c>
      <c r="G66">
        <v>4.9010044074429392E-3</v>
      </c>
      <c r="H66" s="56">
        <v>16259</v>
      </c>
      <c r="I66" s="56">
        <v>13931</v>
      </c>
      <c r="J66" s="56">
        <v>1021</v>
      </c>
      <c r="K66" t="b">
        <v>1</v>
      </c>
      <c r="L66" t="b">
        <v>1</v>
      </c>
      <c r="M66" s="48" t="s">
        <v>184</v>
      </c>
      <c r="N66" s="48">
        <v>1408</v>
      </c>
    </row>
    <row r="67" spans="1:14" x14ac:dyDescent="0.45">
      <c r="A67">
        <f t="shared" ca="1" si="3"/>
        <v>20</v>
      </c>
      <c r="B67" t="str">
        <f t="shared" ca="1" si="4"/>
        <v>"xxxxxxxx_x000D_
yyyyyyyy"</v>
      </c>
      <c r="C67" s="48">
        <v>128</v>
      </c>
      <c r="D67">
        <v>1</v>
      </c>
      <c r="E67">
        <v>4.7192518168947672E-4</v>
      </c>
      <c r="F67">
        <v>6.4075115325486686E-4</v>
      </c>
      <c r="G67">
        <v>7.7835065318822318E-3</v>
      </c>
      <c r="H67" s="56">
        <v>10595</v>
      </c>
      <c r="I67" s="56">
        <v>7804</v>
      </c>
      <c r="J67" s="56">
        <v>643</v>
      </c>
      <c r="K67" t="b">
        <v>1</v>
      </c>
      <c r="L67" t="b">
        <v>1</v>
      </c>
      <c r="M67" s="48" t="s">
        <v>185</v>
      </c>
      <c r="N67" s="48">
        <v>2816</v>
      </c>
    </row>
    <row r="68" spans="1:14" x14ac:dyDescent="0.45">
      <c r="A68">
        <f t="shared" ca="1" si="3"/>
        <v>20</v>
      </c>
      <c r="B68" t="str">
        <f t="shared" ca="1" si="4"/>
        <v>"xxxxxxxx_x000D_
yyyyyyyy"</v>
      </c>
      <c r="C68" s="48">
        <v>256</v>
      </c>
      <c r="D68">
        <v>1</v>
      </c>
      <c r="E68">
        <v>8.5133971739877223E-4</v>
      </c>
      <c r="F68">
        <v>1.0669829528483189E-3</v>
      </c>
      <c r="G68">
        <v>1.3360757866665759E-2</v>
      </c>
      <c r="H68" s="56">
        <v>5874</v>
      </c>
      <c r="I68" s="56">
        <v>4687</v>
      </c>
      <c r="J68" s="56">
        <v>375</v>
      </c>
      <c r="K68" t="b">
        <v>1</v>
      </c>
      <c r="L68" t="b">
        <v>1</v>
      </c>
      <c r="M68" s="48" t="s">
        <v>186</v>
      </c>
      <c r="N68" s="48">
        <v>5632</v>
      </c>
    </row>
    <row r="69" spans="1:14" x14ac:dyDescent="0.45">
      <c r="A69">
        <f t="shared" ca="1" si="3"/>
        <v>20</v>
      </c>
      <c r="B69" t="str">
        <f t="shared" ca="1" si="4"/>
        <v>"xxxxxxxx_x000D_
yyyyyyyy"</v>
      </c>
      <c r="C69" s="48">
        <v>512</v>
      </c>
      <c r="D69">
        <v>1</v>
      </c>
      <c r="E69">
        <v>1.5580145794395484E-3</v>
      </c>
      <c r="F69">
        <v>2.0273659910822733E-3</v>
      </c>
      <c r="G69">
        <v>2.465726600984915E-2</v>
      </c>
      <c r="H69" s="56">
        <v>3210</v>
      </c>
      <c r="I69" s="56">
        <v>2467</v>
      </c>
      <c r="J69" s="56">
        <v>203</v>
      </c>
      <c r="K69" t="b">
        <v>1</v>
      </c>
      <c r="L69" t="b">
        <v>1</v>
      </c>
      <c r="M69" s="48" t="s">
        <v>187</v>
      </c>
      <c r="N69" s="48">
        <v>11264</v>
      </c>
    </row>
    <row r="70" spans="1:14" x14ac:dyDescent="0.45">
      <c r="A70">
        <f t="shared" ca="1" si="3"/>
        <v>20</v>
      </c>
      <c r="B70" t="str">
        <f t="shared" ca="1" si="4"/>
        <v>"xxxxxxxx_x000D_
yyyyyyyy"</v>
      </c>
      <c r="C70" s="48">
        <v>1024</v>
      </c>
      <c r="D70">
        <v>1</v>
      </c>
      <c r="E70">
        <v>2.9377303760288248E-3</v>
      </c>
      <c r="F70">
        <v>3.9924034317649817E-3</v>
      </c>
      <c r="G70">
        <v>4.7666095238084724E-2</v>
      </c>
      <c r="H70" s="56">
        <v>1702</v>
      </c>
      <c r="I70" s="56">
        <v>1253</v>
      </c>
      <c r="J70" s="56">
        <v>105</v>
      </c>
      <c r="K70" t="b">
        <v>1</v>
      </c>
      <c r="L70" t="b">
        <v>1</v>
      </c>
      <c r="M70" s="48" t="s">
        <v>188</v>
      </c>
      <c r="N70" s="48">
        <v>22528</v>
      </c>
    </row>
    <row r="71" spans="1:14" x14ac:dyDescent="0.45">
      <c r="A71">
        <f t="shared" ca="1" si="3"/>
        <v>20</v>
      </c>
      <c r="B71" t="str">
        <f t="shared" ca="1" si="4"/>
        <v>"xxxxxxxx_x000D_
yyyyyyyy"</v>
      </c>
      <c r="C71" s="48">
        <v>2048</v>
      </c>
      <c r="D71">
        <v>1</v>
      </c>
      <c r="E71">
        <v>6.0274114457833233E-3</v>
      </c>
      <c r="F71">
        <v>7.977871451356134E-3</v>
      </c>
      <c r="G71">
        <v>9.0674260714260005E-2</v>
      </c>
      <c r="H71" s="56">
        <v>830</v>
      </c>
      <c r="I71" s="56">
        <v>627</v>
      </c>
      <c r="J71" s="56">
        <v>56</v>
      </c>
      <c r="K71" t="b">
        <v>1</v>
      </c>
      <c r="L71" t="b">
        <v>1</v>
      </c>
      <c r="M71" s="48" t="s">
        <v>189</v>
      </c>
      <c r="N71" s="48">
        <v>45056</v>
      </c>
    </row>
    <row r="72" spans="1:14" x14ac:dyDescent="0.45">
      <c r="A72">
        <f t="shared" ca="1" si="3"/>
        <v>20</v>
      </c>
      <c r="B72" t="str">
        <f t="shared" ca="1" si="4"/>
        <v>"xxxxxxxx_x000D_
yyyyyyyy"</v>
      </c>
      <c r="C72" s="48">
        <v>4096</v>
      </c>
      <c r="D72">
        <v>1</v>
      </c>
      <c r="E72">
        <v>1.1897668408548568E-2</v>
      </c>
      <c r="F72">
        <v>1.7183045205481355E-2</v>
      </c>
      <c r="G72">
        <v>0.17943677857140625</v>
      </c>
      <c r="H72" s="56">
        <v>421</v>
      </c>
      <c r="I72" s="56">
        <v>292</v>
      </c>
      <c r="J72" s="56">
        <v>28</v>
      </c>
      <c r="K72" t="b">
        <v>1</v>
      </c>
      <c r="L72" t="b">
        <v>1</v>
      </c>
      <c r="M72" s="48" t="s">
        <v>190</v>
      </c>
      <c r="N72" s="48">
        <v>90112</v>
      </c>
    </row>
    <row r="73" spans="1:14" x14ac:dyDescent="0.45">
      <c r="A73">
        <f t="shared" ca="1" si="3"/>
        <v>20</v>
      </c>
      <c r="B73" t="str">
        <f t="shared" ca="1" si="4"/>
        <v>"xxxxxxxx_x000D_
yyyyyyyy"</v>
      </c>
      <c r="C73" s="48">
        <v>8192</v>
      </c>
      <c r="D73">
        <v>1</v>
      </c>
      <c r="E73">
        <v>2.4520391219514905E-2</v>
      </c>
      <c r="F73">
        <v>3.929657265625508E-2</v>
      </c>
      <c r="G73">
        <v>0.36980856428570924</v>
      </c>
      <c r="H73" s="56">
        <v>205</v>
      </c>
      <c r="I73" s="56">
        <v>128</v>
      </c>
      <c r="J73" s="56">
        <v>14</v>
      </c>
      <c r="K73" t="b">
        <v>1</v>
      </c>
      <c r="L73" t="b">
        <v>1</v>
      </c>
      <c r="M73" s="48" t="s">
        <v>191</v>
      </c>
      <c r="N73" s="48">
        <v>180224</v>
      </c>
    </row>
    <row r="74" spans="1:14" x14ac:dyDescent="0.45">
      <c r="A74">
        <f t="shared" ca="1" si="3"/>
        <v>20</v>
      </c>
      <c r="B74" t="str">
        <f t="shared" ca="1" si="4"/>
        <v>"xxxxxxxx_x000D_
yyyyyyyy"</v>
      </c>
      <c r="C74" s="48">
        <v>16384</v>
      </c>
      <c r="D74">
        <v>1</v>
      </c>
      <c r="E74">
        <v>4.9144540196079216E-2</v>
      </c>
      <c r="F74">
        <v>6.6956312000014201E-2</v>
      </c>
      <c r="G74">
        <v>0.68389747499986697</v>
      </c>
      <c r="H74" s="56">
        <v>102</v>
      </c>
      <c r="I74" s="56">
        <v>75</v>
      </c>
      <c r="J74" s="56">
        <v>8</v>
      </c>
      <c r="K74" t="b">
        <v>1</v>
      </c>
      <c r="L74" t="b">
        <v>1</v>
      </c>
      <c r="M74" s="48" t="s">
        <v>192</v>
      </c>
      <c r="N74" s="48">
        <v>360448</v>
      </c>
    </row>
    <row r="75" spans="1:14" x14ac:dyDescent="0.45">
      <c r="A75">
        <f t="shared" ca="1" si="3"/>
        <v>20</v>
      </c>
      <c r="B75" t="str">
        <f t="shared" ca="1" si="4"/>
        <v>"xxxxxxxx_x000D_
yyyyyyyy"</v>
      </c>
      <c r="C75" s="48">
        <v>32768</v>
      </c>
      <c r="D75">
        <v>1</v>
      </c>
      <c r="E75">
        <v>9.8250663461525473E-2</v>
      </c>
      <c r="F75">
        <v>0.12941028205130303</v>
      </c>
      <c r="G75">
        <v>1.3799760750002861</v>
      </c>
      <c r="H75" s="56">
        <v>52</v>
      </c>
      <c r="I75" s="56">
        <v>39</v>
      </c>
      <c r="J75" s="56">
        <v>4</v>
      </c>
      <c r="K75" t="b">
        <v>1</v>
      </c>
      <c r="L75" t="b">
        <v>1</v>
      </c>
      <c r="M75" s="48" t="s">
        <v>193</v>
      </c>
      <c r="N75" s="48">
        <v>720896</v>
      </c>
    </row>
    <row r="76" spans="1:14" x14ac:dyDescent="0.45">
      <c r="A76">
        <f t="shared" ca="1" si="3"/>
        <v>20</v>
      </c>
      <c r="B76" t="str">
        <f t="shared" ca="1" si="4"/>
        <v>"xxxxxxxx_x000D_
yyyyyyyy"</v>
      </c>
      <c r="C76" s="48">
        <v>65536</v>
      </c>
      <c r="D76">
        <v>1</v>
      </c>
      <c r="E76">
        <v>0.18622684444441498</v>
      </c>
      <c r="F76">
        <v>0.24686819523811296</v>
      </c>
      <c r="G76">
        <v>2.6827184499998111</v>
      </c>
      <c r="H76" s="56">
        <v>27</v>
      </c>
      <c r="I76" s="56">
        <v>21</v>
      </c>
      <c r="J76" s="56">
        <v>2</v>
      </c>
      <c r="K76" t="b">
        <v>1</v>
      </c>
      <c r="L76" t="b">
        <v>1</v>
      </c>
      <c r="M76" s="48" t="s">
        <v>194</v>
      </c>
      <c r="N76" s="48">
        <v>1441792</v>
      </c>
    </row>
    <row r="77" spans="1:14" x14ac:dyDescent="0.45">
      <c r="A77">
        <f t="shared" ca="1" si="3"/>
        <v>20</v>
      </c>
      <c r="B77" t="str">
        <f t="shared" ca="1" si="4"/>
        <v>"xxxxxxxx_x000D_
yyyyyyyy"</v>
      </c>
      <c r="C77" s="48">
        <v>131072</v>
      </c>
      <c r="D77">
        <v>1</v>
      </c>
      <c r="E77">
        <v>0.37313579285702353</v>
      </c>
      <c r="F77">
        <v>0.51129760999992868</v>
      </c>
      <c r="G77">
        <v>5.3784223999991809</v>
      </c>
      <c r="H77" s="56">
        <v>14</v>
      </c>
      <c r="I77" s="56">
        <v>10</v>
      </c>
      <c r="J77" s="56">
        <v>1</v>
      </c>
      <c r="K77" t="b">
        <v>1</v>
      </c>
      <c r="L77" t="b">
        <v>1</v>
      </c>
      <c r="M77" s="48" t="s">
        <v>195</v>
      </c>
      <c r="N77" s="48">
        <v>2883584</v>
      </c>
    </row>
    <row r="78" spans="1:14" x14ac:dyDescent="0.45">
      <c r="A78">
        <f t="shared" ca="1" si="3"/>
        <v>20</v>
      </c>
      <c r="B78" t="str">
        <f t="shared" ca="1" si="4"/>
        <v>"xxxxxxxx_x000D_
yyyyyyyy"</v>
      </c>
      <c r="C78" s="48">
        <v>262144</v>
      </c>
      <c r="D78">
        <v>1</v>
      </c>
      <c r="E78">
        <v>0.75582249999985962</v>
      </c>
      <c r="F78">
        <v>1.0205561999999191</v>
      </c>
      <c r="G78">
        <v>10.586581199999273</v>
      </c>
      <c r="H78" s="56">
        <v>7</v>
      </c>
      <c r="I78" s="56">
        <v>5</v>
      </c>
      <c r="J78" s="56">
        <v>1</v>
      </c>
      <c r="K78" t="b">
        <v>1</v>
      </c>
      <c r="L78" t="b">
        <v>1</v>
      </c>
      <c r="M78" s="48" t="s">
        <v>196</v>
      </c>
      <c r="N78" s="48">
        <v>5767168</v>
      </c>
    </row>
    <row r="79" spans="1:14" x14ac:dyDescent="0.45">
      <c r="A79">
        <f t="shared" ca="1" si="3"/>
        <v>20</v>
      </c>
      <c r="B79" t="str">
        <f t="shared" ca="1" si="4"/>
        <v>"xxxxxxxx_x000D_
yyyyyyyy"</v>
      </c>
      <c r="C79" s="48">
        <v>524288</v>
      </c>
      <c r="D79">
        <v>1</v>
      </c>
      <c r="E79">
        <v>1.4738968249998834</v>
      </c>
      <c r="F79">
        <v>1.9751824999996945</v>
      </c>
      <c r="G79">
        <v>21.460097799999858</v>
      </c>
      <c r="H79" s="56">
        <v>4</v>
      </c>
      <c r="I79" s="56">
        <v>3</v>
      </c>
      <c r="J79" s="56">
        <v>1</v>
      </c>
      <c r="K79" t="b">
        <v>1</v>
      </c>
      <c r="L79" t="b">
        <v>1</v>
      </c>
      <c r="M79" s="48" t="s">
        <v>197</v>
      </c>
      <c r="N79" s="48">
        <v>11534336</v>
      </c>
    </row>
    <row r="80" spans="1:14" x14ac:dyDescent="0.45">
      <c r="A80">
        <f t="shared" ca="1" si="3"/>
        <v>20</v>
      </c>
      <c r="B80" t="str">
        <f t="shared" ca="1" si="4"/>
        <v>"xxxxxxxx_x000D_
yyyyyyyy"</v>
      </c>
      <c r="C80" s="48">
        <v>1048576</v>
      </c>
      <c r="D80">
        <v>1</v>
      </c>
      <c r="E80">
        <v>3.044153599999845</v>
      </c>
      <c r="F80">
        <v>4.3303928499999529</v>
      </c>
      <c r="G80">
        <v>45.975075800000923</v>
      </c>
      <c r="H80" s="56">
        <v>2</v>
      </c>
      <c r="I80" s="56">
        <v>2</v>
      </c>
      <c r="J80" s="56">
        <v>1</v>
      </c>
      <c r="K80" t="b">
        <v>1</v>
      </c>
      <c r="L80" t="b">
        <v>1</v>
      </c>
      <c r="M80" s="48" t="s">
        <v>198</v>
      </c>
      <c r="N80" s="48">
        <v>23068672</v>
      </c>
    </row>
    <row r="81" spans="1:14" x14ac:dyDescent="0.45">
      <c r="C81" s="48"/>
      <c r="H81" s="56"/>
      <c r="I81" s="56"/>
      <c r="J81" s="56"/>
    </row>
    <row r="82" spans="1:14" x14ac:dyDescent="0.45">
      <c r="H82" s="56"/>
      <c r="I82" s="56"/>
      <c r="J82" s="56"/>
    </row>
    <row r="83" spans="1:14" x14ac:dyDescent="0.45">
      <c r="H83" s="56"/>
      <c r="I83" s="56"/>
      <c r="J83" s="56"/>
    </row>
    <row r="84" spans="1:14" x14ac:dyDescent="0.45">
      <c r="H84" s="56"/>
      <c r="I84" s="56"/>
      <c r="J84" s="56"/>
    </row>
    <row r="85" spans="1:14" x14ac:dyDescent="0.45">
      <c r="H85" s="56"/>
      <c r="I85" s="56"/>
      <c r="J85" s="56"/>
      <c r="M85" s="10" t="s">
        <v>409</v>
      </c>
    </row>
    <row r="86" spans="1:14" ht="28.5" x14ac:dyDescent="0.45">
      <c r="A86" s="58" t="s">
        <v>415</v>
      </c>
      <c r="B86" s="58" t="s">
        <v>416</v>
      </c>
      <c r="C86" s="58" t="s">
        <v>417</v>
      </c>
      <c r="D86" s="58" t="s">
        <v>418</v>
      </c>
      <c r="E86" s="58" t="s">
        <v>427</v>
      </c>
      <c r="F86" s="58" t="s">
        <v>400</v>
      </c>
      <c r="G86" s="58" t="s">
        <v>401</v>
      </c>
      <c r="H86" s="59" t="s">
        <v>437</v>
      </c>
      <c r="I86" s="59" t="s">
        <v>438</v>
      </c>
      <c r="J86" s="59" t="s">
        <v>439</v>
      </c>
      <c r="K86" s="58" t="s">
        <v>402</v>
      </c>
      <c r="L86" s="58" t="s">
        <v>403</v>
      </c>
      <c r="M86" s="58" t="s">
        <v>404</v>
      </c>
      <c r="N86" s="58" t="s">
        <v>405</v>
      </c>
    </row>
    <row r="87" spans="1:14" x14ac:dyDescent="0.45">
      <c r="A87">
        <f ca="1">LEN(B87)</f>
        <v>17</v>
      </c>
      <c r="B87">
        <v>0.71905720709757637</v>
      </c>
      <c r="C87" s="42">
        <v>1</v>
      </c>
      <c r="D87" s="40">
        <v>10</v>
      </c>
      <c r="E87">
        <v>1.4908748285526142E-4</v>
      </c>
      <c r="F87">
        <v>1.4728784906324128E-4</v>
      </c>
      <c r="G87">
        <v>2.2751768425840783E-3</v>
      </c>
      <c r="H87" s="56">
        <v>33538</v>
      </c>
      <c r="I87" s="56">
        <v>33948</v>
      </c>
      <c r="J87" s="56">
        <v>2198</v>
      </c>
      <c r="K87" t="b">
        <v>1</v>
      </c>
      <c r="L87" t="b">
        <v>1</v>
      </c>
      <c r="M87" s="48" t="s">
        <v>94</v>
      </c>
      <c r="N87" s="48">
        <v>181</v>
      </c>
    </row>
    <row r="88" spans="1:14" x14ac:dyDescent="0.45">
      <c r="A88">
        <f t="shared" ref="A88:A105" ca="1" si="5">LEN(B88)</f>
        <v>17</v>
      </c>
      <c r="B88">
        <v>0.71905720709757637</v>
      </c>
      <c r="C88" s="42">
        <v>2</v>
      </c>
      <c r="D88" s="40">
        <v>10</v>
      </c>
      <c r="E88">
        <v>1.716066101520495E-4</v>
      </c>
      <c r="F88">
        <v>1.7214758478225641E-4</v>
      </c>
      <c r="G88">
        <v>2.1500276870164048E-3</v>
      </c>
      <c r="H88" s="56">
        <v>29137</v>
      </c>
      <c r="I88" s="56">
        <v>29045</v>
      </c>
      <c r="J88" s="56">
        <v>2326</v>
      </c>
      <c r="K88" t="b">
        <v>1</v>
      </c>
      <c r="L88" t="b">
        <v>1</v>
      </c>
      <c r="M88" s="48" t="s">
        <v>95</v>
      </c>
      <c r="N88" s="48">
        <v>362</v>
      </c>
    </row>
    <row r="89" spans="1:14" x14ac:dyDescent="0.45">
      <c r="A89">
        <f t="shared" ca="1" si="5"/>
        <v>17</v>
      </c>
      <c r="B89">
        <v>0.71905720709757637</v>
      </c>
      <c r="C89" s="42">
        <v>4</v>
      </c>
      <c r="D89" s="40">
        <v>10</v>
      </c>
      <c r="E89">
        <v>2.1159209936095759E-4</v>
      </c>
      <c r="F89">
        <v>2.0275161185675589E-4</v>
      </c>
      <c r="G89">
        <v>2.2272576391978893E-3</v>
      </c>
      <c r="H89" s="56">
        <v>23631</v>
      </c>
      <c r="I89" s="56">
        <v>24661</v>
      </c>
      <c r="J89" s="56">
        <v>2245</v>
      </c>
      <c r="K89" t="b">
        <v>1</v>
      </c>
      <c r="L89" t="b">
        <v>1</v>
      </c>
      <c r="M89" s="48" t="s">
        <v>96</v>
      </c>
      <c r="N89" s="48">
        <v>724</v>
      </c>
    </row>
    <row r="90" spans="1:14" x14ac:dyDescent="0.45">
      <c r="A90">
        <f t="shared" ca="1" si="5"/>
        <v>17</v>
      </c>
      <c r="B90">
        <v>0.71905720709757637</v>
      </c>
      <c r="C90" s="42">
        <v>8</v>
      </c>
      <c r="D90" s="40">
        <v>10</v>
      </c>
      <c r="E90">
        <v>2.9114004891115486E-4</v>
      </c>
      <c r="F90">
        <v>2.8029233701441937E-4</v>
      </c>
      <c r="G90">
        <v>2.3697644549761144E-3</v>
      </c>
      <c r="H90" s="56">
        <v>17174</v>
      </c>
      <c r="I90" s="56">
        <v>17839</v>
      </c>
      <c r="J90" s="56">
        <v>2110</v>
      </c>
      <c r="K90" t="b">
        <v>1</v>
      </c>
      <c r="L90" t="b">
        <v>1</v>
      </c>
      <c r="M90" s="48" t="s">
        <v>97</v>
      </c>
      <c r="N90" s="48">
        <v>1448</v>
      </c>
    </row>
    <row r="91" spans="1:14" x14ac:dyDescent="0.45">
      <c r="A91">
        <f t="shared" ca="1" si="5"/>
        <v>17</v>
      </c>
      <c r="B91">
        <v>0.71905720709757637</v>
      </c>
      <c r="C91" s="42">
        <v>16</v>
      </c>
      <c r="D91" s="40">
        <v>10</v>
      </c>
      <c r="E91">
        <v>4.4315184791271126E-4</v>
      </c>
      <c r="F91">
        <v>4.447645258851006E-4</v>
      </c>
      <c r="G91">
        <v>2.6333427066884884E-3</v>
      </c>
      <c r="H91" s="56">
        <v>11283</v>
      </c>
      <c r="I91" s="56">
        <v>11242</v>
      </c>
      <c r="J91" s="56">
        <v>1899</v>
      </c>
      <c r="K91" t="b">
        <v>1</v>
      </c>
      <c r="L91" t="b">
        <v>1</v>
      </c>
      <c r="M91" s="48" t="s">
        <v>98</v>
      </c>
      <c r="N91" s="48">
        <v>2896</v>
      </c>
    </row>
    <row r="92" spans="1:14" x14ac:dyDescent="0.45">
      <c r="A92">
        <f t="shared" ca="1" si="5"/>
        <v>17</v>
      </c>
      <c r="B92">
        <v>0.71905720709757637</v>
      </c>
      <c r="C92" s="42">
        <v>32</v>
      </c>
      <c r="D92" s="40">
        <v>10</v>
      </c>
      <c r="E92">
        <v>7.8184856160086165E-4</v>
      </c>
      <c r="F92">
        <v>7.591890980869091E-4</v>
      </c>
      <c r="G92">
        <v>3.3135860172295488E-3</v>
      </c>
      <c r="H92" s="56">
        <v>6396</v>
      </c>
      <c r="I92" s="56">
        <v>6586</v>
      </c>
      <c r="J92" s="56">
        <v>1509</v>
      </c>
      <c r="K92" t="b">
        <v>1</v>
      </c>
      <c r="L92" t="b">
        <v>1</v>
      </c>
      <c r="M92" s="48" t="s">
        <v>99</v>
      </c>
      <c r="N92" s="48">
        <v>5792</v>
      </c>
    </row>
    <row r="93" spans="1:14" x14ac:dyDescent="0.45">
      <c r="A93">
        <f t="shared" ca="1" si="5"/>
        <v>17</v>
      </c>
      <c r="B93">
        <v>0.71905720709757637</v>
      </c>
      <c r="C93" s="42">
        <v>64</v>
      </c>
      <c r="D93" s="40">
        <v>10</v>
      </c>
      <c r="E93">
        <v>1.3699836712326593E-3</v>
      </c>
      <c r="F93">
        <v>1.3565876831253055E-3</v>
      </c>
      <c r="G93">
        <v>4.5541735883411448E-3</v>
      </c>
      <c r="H93" s="56">
        <v>3650</v>
      </c>
      <c r="I93" s="56">
        <v>3686</v>
      </c>
      <c r="J93" s="56">
        <v>1098</v>
      </c>
      <c r="K93" t="b">
        <v>1</v>
      </c>
      <c r="L93" t="b">
        <v>1</v>
      </c>
      <c r="M93" s="48" t="s">
        <v>100</v>
      </c>
      <c r="N93" s="48">
        <v>11584</v>
      </c>
    </row>
    <row r="94" spans="1:14" x14ac:dyDescent="0.45">
      <c r="A94">
        <f t="shared" ca="1" si="5"/>
        <v>17</v>
      </c>
      <c r="B94">
        <v>0.71905720709757637</v>
      </c>
      <c r="C94" s="42">
        <v>128</v>
      </c>
      <c r="D94" s="40">
        <v>10</v>
      </c>
      <c r="E94">
        <v>2.7140311448727548E-3</v>
      </c>
      <c r="F94">
        <v>2.7553950413222424E-3</v>
      </c>
      <c r="G94">
        <v>7.027487780901078E-3</v>
      </c>
      <c r="H94" s="56">
        <v>1843</v>
      </c>
      <c r="I94" s="56">
        <v>1815</v>
      </c>
      <c r="J94" s="56">
        <v>712</v>
      </c>
      <c r="K94" t="b">
        <v>1</v>
      </c>
      <c r="L94" t="b">
        <v>1</v>
      </c>
      <c r="M94" s="48" t="s">
        <v>101</v>
      </c>
      <c r="N94" s="48">
        <v>23168</v>
      </c>
    </row>
    <row r="95" spans="1:14" x14ac:dyDescent="0.45">
      <c r="A95">
        <f t="shared" ca="1" si="5"/>
        <v>17</v>
      </c>
      <c r="B95">
        <v>0.71905720709757637</v>
      </c>
      <c r="C95" s="42">
        <v>256</v>
      </c>
      <c r="D95" s="40">
        <v>10</v>
      </c>
      <c r="E95">
        <v>5.4469502178651008E-3</v>
      </c>
      <c r="F95">
        <v>5.3792437634402508E-3</v>
      </c>
      <c r="G95">
        <v>1.2420081141438461E-2</v>
      </c>
      <c r="H95" s="56">
        <v>918</v>
      </c>
      <c r="I95" s="56">
        <v>930</v>
      </c>
      <c r="J95" s="56">
        <v>403</v>
      </c>
      <c r="K95" t="b">
        <v>1</v>
      </c>
      <c r="L95" t="b">
        <v>1</v>
      </c>
      <c r="M95" s="48" t="s">
        <v>102</v>
      </c>
      <c r="N95" s="48">
        <v>46336</v>
      </c>
    </row>
    <row r="96" spans="1:14" x14ac:dyDescent="0.45">
      <c r="A96">
        <f t="shared" ca="1" si="5"/>
        <v>17</v>
      </c>
      <c r="B96">
        <v>0.71905720709757637</v>
      </c>
      <c r="C96" s="42">
        <v>512</v>
      </c>
      <c r="D96" s="40">
        <v>10</v>
      </c>
      <c r="E96">
        <v>1.16097552204179E-2</v>
      </c>
      <c r="F96">
        <v>1.0368268737058567E-2</v>
      </c>
      <c r="G96">
        <v>2.3272099999997218E-2</v>
      </c>
      <c r="H96" s="56">
        <v>431</v>
      </c>
      <c r="I96" s="56">
        <v>483</v>
      </c>
      <c r="J96" s="56">
        <v>215</v>
      </c>
      <c r="K96" t="b">
        <v>1</v>
      </c>
      <c r="L96" t="b">
        <v>1</v>
      </c>
      <c r="M96" s="48" t="s">
        <v>103</v>
      </c>
      <c r="N96" s="48">
        <v>92672</v>
      </c>
    </row>
    <row r="97" spans="1:14" x14ac:dyDescent="0.45">
      <c r="A97">
        <f t="shared" ca="1" si="5"/>
        <v>17</v>
      </c>
      <c r="B97">
        <v>0.71905720709757637</v>
      </c>
      <c r="C97" s="42">
        <v>1024</v>
      </c>
      <c r="D97" s="40">
        <v>10</v>
      </c>
      <c r="E97">
        <v>2.3379114953271388E-2</v>
      </c>
      <c r="F97">
        <v>2.1248462711864088E-2</v>
      </c>
      <c r="G97">
        <v>4.2885149572658779E-2</v>
      </c>
      <c r="H97" s="56">
        <v>214</v>
      </c>
      <c r="I97" s="56">
        <v>236</v>
      </c>
      <c r="J97" s="56">
        <v>117</v>
      </c>
      <c r="K97" t="b">
        <v>1</v>
      </c>
      <c r="L97" t="b">
        <v>1</v>
      </c>
      <c r="M97" s="48" t="s">
        <v>104</v>
      </c>
      <c r="N97" s="48">
        <v>185344</v>
      </c>
    </row>
    <row r="98" spans="1:14" x14ac:dyDescent="0.45">
      <c r="A98">
        <f t="shared" ca="1" si="5"/>
        <v>17</v>
      </c>
      <c r="B98">
        <v>0.71905720709757637</v>
      </c>
      <c r="C98" s="42">
        <v>2048</v>
      </c>
      <c r="D98" s="40">
        <v>10</v>
      </c>
      <c r="E98">
        <v>4.2608741525435694E-2</v>
      </c>
      <c r="F98">
        <v>4.1864097499986506E-2</v>
      </c>
      <c r="G98">
        <v>7.7602578461525046E-2</v>
      </c>
      <c r="H98" s="56">
        <v>118</v>
      </c>
      <c r="I98" s="56">
        <v>120</v>
      </c>
      <c r="J98" s="56">
        <v>65</v>
      </c>
      <c r="K98" t="b">
        <v>1</v>
      </c>
      <c r="L98" t="b">
        <v>1</v>
      </c>
      <c r="M98" s="48" t="s">
        <v>105</v>
      </c>
      <c r="N98" s="48">
        <v>370688</v>
      </c>
    </row>
    <row r="99" spans="1:14" x14ac:dyDescent="0.45">
      <c r="A99">
        <f t="shared" ca="1" si="5"/>
        <v>17</v>
      </c>
      <c r="B99">
        <v>0.71905720709757637</v>
      </c>
      <c r="C99" s="42">
        <v>4096</v>
      </c>
      <c r="D99" s="40">
        <v>10</v>
      </c>
      <c r="E99">
        <v>8.7385989655182322E-2</v>
      </c>
      <c r="F99">
        <v>9.0400624999996834E-2</v>
      </c>
      <c r="G99">
        <v>0.15297396666667765</v>
      </c>
      <c r="H99" s="56">
        <v>58</v>
      </c>
      <c r="I99" s="56">
        <v>56</v>
      </c>
      <c r="J99" s="56">
        <v>33</v>
      </c>
      <c r="K99" t="b">
        <v>1</v>
      </c>
      <c r="L99" t="b">
        <v>1</v>
      </c>
      <c r="M99" s="48" t="s">
        <v>106</v>
      </c>
      <c r="N99" s="48">
        <v>741376</v>
      </c>
    </row>
    <row r="100" spans="1:14" x14ac:dyDescent="0.45">
      <c r="A100">
        <f t="shared" ca="1" si="5"/>
        <v>17</v>
      </c>
      <c r="B100">
        <v>0.71905720709757637</v>
      </c>
      <c r="C100" s="42">
        <v>8192</v>
      </c>
      <c r="D100" s="40">
        <v>10</v>
      </c>
      <c r="E100">
        <v>0.19905589999997084</v>
      </c>
      <c r="F100">
        <v>0.17310248620686189</v>
      </c>
      <c r="G100">
        <v>0.30184307058816023</v>
      </c>
      <c r="H100" s="56">
        <v>26</v>
      </c>
      <c r="I100" s="56">
        <v>29</v>
      </c>
      <c r="J100" s="56">
        <v>17</v>
      </c>
      <c r="K100" t="b">
        <v>1</v>
      </c>
      <c r="L100" t="b">
        <v>1</v>
      </c>
      <c r="M100" s="48" t="s">
        <v>107</v>
      </c>
      <c r="N100" s="48">
        <v>1482752</v>
      </c>
    </row>
    <row r="101" spans="1:14" x14ac:dyDescent="0.45">
      <c r="A101">
        <f t="shared" ca="1" si="5"/>
        <v>17</v>
      </c>
      <c r="B101">
        <v>0.71905720709757637</v>
      </c>
      <c r="C101" s="42">
        <v>16384</v>
      </c>
      <c r="D101" s="40">
        <v>10</v>
      </c>
      <c r="E101">
        <v>0.36150306428563844</v>
      </c>
      <c r="F101">
        <v>0.3449957066666684</v>
      </c>
      <c r="G101">
        <v>0.63830669999993006</v>
      </c>
      <c r="H101" s="56">
        <v>14</v>
      </c>
      <c r="I101" s="56">
        <v>15</v>
      </c>
      <c r="J101" s="56">
        <v>8</v>
      </c>
      <c r="K101" t="b">
        <v>1</v>
      </c>
      <c r="L101" t="b">
        <v>1</v>
      </c>
      <c r="M101" s="48" t="s">
        <v>108</v>
      </c>
      <c r="N101" s="48">
        <v>2965504</v>
      </c>
    </row>
    <row r="102" spans="1:14" x14ac:dyDescent="0.45">
      <c r="A102">
        <f t="shared" ca="1" si="5"/>
        <v>17</v>
      </c>
      <c r="B102">
        <v>0.71905720709757637</v>
      </c>
      <c r="C102" s="42">
        <v>32768</v>
      </c>
      <c r="D102" s="40">
        <v>10</v>
      </c>
      <c r="E102">
        <v>0.75963551428581666</v>
      </c>
      <c r="F102">
        <v>0.70787203750001026</v>
      </c>
      <c r="G102">
        <v>1.281009350000204</v>
      </c>
      <c r="H102" s="56">
        <v>7</v>
      </c>
      <c r="I102" s="56">
        <v>8</v>
      </c>
      <c r="J102" s="56">
        <v>4</v>
      </c>
      <c r="K102" t="b">
        <v>1</v>
      </c>
      <c r="L102" t="b">
        <v>1</v>
      </c>
      <c r="M102" s="48" t="s">
        <v>109</v>
      </c>
      <c r="N102" s="48">
        <v>5931008</v>
      </c>
    </row>
    <row r="103" spans="1:14" x14ac:dyDescent="0.45">
      <c r="A103">
        <f t="shared" ca="1" si="5"/>
        <v>17</v>
      </c>
      <c r="B103">
        <v>0.71905720709757637</v>
      </c>
      <c r="C103" s="42">
        <v>65536</v>
      </c>
      <c r="D103" s="40">
        <v>10</v>
      </c>
      <c r="E103">
        <v>1.456787175000045</v>
      </c>
      <c r="F103">
        <v>1.4634674750000158</v>
      </c>
      <c r="G103">
        <v>2.3865486666666889</v>
      </c>
      <c r="H103" s="56">
        <v>4</v>
      </c>
      <c r="I103" s="56">
        <v>4</v>
      </c>
      <c r="J103" s="56">
        <v>3</v>
      </c>
      <c r="K103" t="b">
        <v>1</v>
      </c>
      <c r="L103" t="b">
        <v>1</v>
      </c>
      <c r="M103" s="48" t="s">
        <v>110</v>
      </c>
      <c r="N103" s="48">
        <v>11862016</v>
      </c>
    </row>
    <row r="104" spans="1:14" x14ac:dyDescent="0.45">
      <c r="A104">
        <f t="shared" ca="1" si="5"/>
        <v>17</v>
      </c>
      <c r="B104">
        <v>0.71905720709757637</v>
      </c>
      <c r="C104" s="42">
        <v>131072</v>
      </c>
      <c r="D104" s="40">
        <v>10</v>
      </c>
      <c r="E104">
        <v>2.9693039999992834</v>
      </c>
      <c r="F104">
        <v>2.8707864999996673</v>
      </c>
      <c r="G104">
        <v>5.1312687000008737</v>
      </c>
      <c r="H104" s="56">
        <v>2</v>
      </c>
      <c r="I104" s="56">
        <v>2</v>
      </c>
      <c r="J104" s="56">
        <v>1</v>
      </c>
      <c r="K104" t="b">
        <v>1</v>
      </c>
      <c r="L104" t="b">
        <v>1</v>
      </c>
      <c r="M104" s="48" t="s">
        <v>111</v>
      </c>
      <c r="N104" s="48">
        <v>23724032</v>
      </c>
    </row>
    <row r="105" spans="1:14" x14ac:dyDescent="0.45">
      <c r="A105">
        <f t="shared" ca="1" si="5"/>
        <v>17</v>
      </c>
      <c r="B105">
        <v>0.71905720709757637</v>
      </c>
      <c r="C105" s="42">
        <v>262144</v>
      </c>
      <c r="D105" s="40">
        <v>10</v>
      </c>
      <c r="E105">
        <v>6.0965317000009236</v>
      </c>
      <c r="F105">
        <v>6.1190550000010262</v>
      </c>
      <c r="G105">
        <v>10.362777500000448</v>
      </c>
      <c r="H105" s="56">
        <v>1</v>
      </c>
      <c r="I105" s="56">
        <v>1</v>
      </c>
      <c r="J105" s="56">
        <v>1</v>
      </c>
      <c r="K105" t="b">
        <v>1</v>
      </c>
      <c r="L105" t="b">
        <v>1</v>
      </c>
      <c r="M105" s="48" t="s">
        <v>112</v>
      </c>
      <c r="N105" s="48">
        <v>47448064</v>
      </c>
    </row>
    <row r="106" spans="1:14" x14ac:dyDescent="0.45">
      <c r="C106" s="48"/>
      <c r="H106" s="56"/>
      <c r="I106" s="56"/>
      <c r="J106" s="56"/>
      <c r="M106" s="48"/>
    </row>
    <row r="107" spans="1:14" x14ac:dyDescent="0.45">
      <c r="C107" s="48"/>
      <c r="H107" s="56"/>
      <c r="I107" s="56"/>
      <c r="J107" s="56"/>
      <c r="M107" s="48"/>
    </row>
    <row r="108" spans="1:14" x14ac:dyDescent="0.45">
      <c r="H108" s="56"/>
      <c r="I108" s="56"/>
      <c r="J108" s="56"/>
    </row>
    <row r="109" spans="1:14" x14ac:dyDescent="0.45">
      <c r="C109" s="42"/>
      <c r="D109" s="40"/>
      <c r="H109" s="56"/>
      <c r="I109" s="56"/>
      <c r="J109" s="56"/>
      <c r="M109" s="48"/>
    </row>
    <row r="110" spans="1:14" x14ac:dyDescent="0.45">
      <c r="H110" s="56"/>
      <c r="I110" s="56"/>
      <c r="J110" s="56"/>
    </row>
    <row r="111" spans="1:14" x14ac:dyDescent="0.45">
      <c r="H111" s="56"/>
      <c r="I111" s="56"/>
      <c r="J111" s="56"/>
    </row>
    <row r="112" spans="1:14" x14ac:dyDescent="0.45">
      <c r="H112" s="56"/>
      <c r="I112" s="56"/>
      <c r="J112" s="56"/>
    </row>
    <row r="113" spans="1:14" ht="28.5" x14ac:dyDescent="0.45">
      <c r="A113" s="58" t="s">
        <v>415</v>
      </c>
      <c r="B113" s="58" t="s">
        <v>416</v>
      </c>
      <c r="C113" s="58" t="s">
        <v>417</v>
      </c>
      <c r="D113" s="58" t="s">
        <v>418</v>
      </c>
      <c r="E113" s="58" t="s">
        <v>427</v>
      </c>
      <c r="F113" s="58" t="s">
        <v>400</v>
      </c>
      <c r="G113" s="58" t="s">
        <v>401</v>
      </c>
      <c r="H113" s="59" t="s">
        <v>437</v>
      </c>
      <c r="I113" s="59" t="s">
        <v>438</v>
      </c>
      <c r="J113" s="59" t="s">
        <v>439</v>
      </c>
      <c r="K113" s="58" t="s">
        <v>402</v>
      </c>
      <c r="L113" s="58" t="s">
        <v>403</v>
      </c>
      <c r="M113" s="58" t="s">
        <v>404</v>
      </c>
      <c r="N113" s="58" t="s">
        <v>405</v>
      </c>
    </row>
    <row r="114" spans="1:14" x14ac:dyDescent="0.45">
      <c r="A114">
        <f ca="1">LEN(B114)</f>
        <v>16</v>
      </c>
      <c r="B114" t="str">
        <f ca="1">REPT("x",16)</f>
        <v>xxxxxxxxxxxxxxxx</v>
      </c>
      <c r="C114" s="42">
        <v>8</v>
      </c>
      <c r="D114" s="42">
        <v>1</v>
      </c>
      <c r="E114">
        <v>1.4573020022734889E-4</v>
      </c>
      <c r="F114">
        <v>1.4187597820846661E-4</v>
      </c>
      <c r="G114">
        <v>2.0586885137915192E-3</v>
      </c>
      <c r="H114" s="56">
        <v>34311</v>
      </c>
      <c r="I114" s="56">
        <v>35243</v>
      </c>
      <c r="J114" s="56">
        <v>2429</v>
      </c>
      <c r="K114" t="b">
        <v>1</v>
      </c>
      <c r="L114" t="b">
        <v>1</v>
      </c>
      <c r="M114" s="48" t="s">
        <v>142</v>
      </c>
      <c r="N114" s="48">
        <v>144</v>
      </c>
    </row>
    <row r="115" spans="1:14" x14ac:dyDescent="0.45">
      <c r="A115">
        <f t="shared" ref="A115:A127" ca="1" si="6">LEN(B115)</f>
        <v>16</v>
      </c>
      <c r="B115" t="str">
        <f t="shared" ref="B115:B127" ca="1" si="7">REPT("x",16)</f>
        <v>xxxxxxxxxxxxxxxx</v>
      </c>
      <c r="C115" s="42">
        <v>8</v>
      </c>
      <c r="D115" s="42">
        <v>2</v>
      </c>
      <c r="E115">
        <v>1.6701056147505055E-4</v>
      </c>
      <c r="F115">
        <v>1.6037493665198115E-4</v>
      </c>
      <c r="G115">
        <v>2.0618650721652811E-3</v>
      </c>
      <c r="H115" s="56">
        <v>29939</v>
      </c>
      <c r="I115" s="56">
        <v>31177</v>
      </c>
      <c r="J115" s="56">
        <v>2425</v>
      </c>
      <c r="K115" t="b">
        <v>1</v>
      </c>
      <c r="L115" t="b">
        <v>1</v>
      </c>
      <c r="M115" s="48" t="s">
        <v>143</v>
      </c>
      <c r="N115" s="48">
        <v>280</v>
      </c>
    </row>
    <row r="116" spans="1:14" x14ac:dyDescent="0.45">
      <c r="A116">
        <f t="shared" ca="1" si="6"/>
        <v>16</v>
      </c>
      <c r="B116" t="str">
        <f t="shared" ca="1" si="7"/>
        <v>xxxxxxxxxxxxxxxx</v>
      </c>
      <c r="C116" s="42">
        <v>8</v>
      </c>
      <c r="D116" s="42">
        <v>4</v>
      </c>
      <c r="E116">
        <v>1.9822696241673961E-4</v>
      </c>
      <c r="F116">
        <v>1.8787608777333709E-4</v>
      </c>
      <c r="G116">
        <v>2.066795289256559E-3</v>
      </c>
      <c r="H116" s="56">
        <v>25224</v>
      </c>
      <c r="I116" s="56">
        <v>26614</v>
      </c>
      <c r="J116" s="56">
        <v>2420</v>
      </c>
      <c r="K116" t="b">
        <v>1</v>
      </c>
      <c r="L116" t="b">
        <v>1</v>
      </c>
      <c r="M116" s="48" t="s">
        <v>144</v>
      </c>
      <c r="N116" s="48">
        <v>552</v>
      </c>
    </row>
    <row r="117" spans="1:14" x14ac:dyDescent="0.45">
      <c r="A117">
        <f t="shared" ca="1" si="6"/>
        <v>16</v>
      </c>
      <c r="B117" t="str">
        <f t="shared" ca="1" si="7"/>
        <v>xxxxxxxxxxxxxxxx</v>
      </c>
      <c r="C117" s="42">
        <v>8</v>
      </c>
      <c r="D117" s="42">
        <v>8</v>
      </c>
      <c r="E117">
        <v>3.7782687018287974E-4</v>
      </c>
      <c r="F117">
        <v>3.1016623658581329E-4</v>
      </c>
      <c r="G117">
        <v>2.2343689901694439E-3</v>
      </c>
      <c r="H117" s="56">
        <v>13234</v>
      </c>
      <c r="I117" s="56">
        <v>16121</v>
      </c>
      <c r="J117" s="56">
        <v>2238</v>
      </c>
      <c r="K117" t="b">
        <v>1</v>
      </c>
      <c r="L117" t="b">
        <v>1</v>
      </c>
      <c r="M117" s="48" t="s">
        <v>145</v>
      </c>
      <c r="N117" s="48">
        <v>1096</v>
      </c>
    </row>
    <row r="118" spans="1:14" x14ac:dyDescent="0.45">
      <c r="A118">
        <f t="shared" ca="1" si="6"/>
        <v>16</v>
      </c>
      <c r="B118" t="str">
        <f t="shared" ca="1" si="7"/>
        <v>xxxxxxxxxxxxxxxx</v>
      </c>
      <c r="C118" s="42">
        <v>8</v>
      </c>
      <c r="D118" s="42">
        <v>16</v>
      </c>
      <c r="E118">
        <v>3.9033631537868836E-4</v>
      </c>
      <c r="F118">
        <v>3.8011823019610977E-4</v>
      </c>
      <c r="G118">
        <v>2.6368918292046118E-3</v>
      </c>
      <c r="H118" s="56">
        <v>12810</v>
      </c>
      <c r="I118" s="56">
        <v>13154</v>
      </c>
      <c r="J118" s="56">
        <v>1897</v>
      </c>
      <c r="K118" t="b">
        <v>1</v>
      </c>
      <c r="L118" t="b">
        <v>1</v>
      </c>
      <c r="M118" s="48" t="s">
        <v>146</v>
      </c>
      <c r="N118" s="48">
        <v>2184</v>
      </c>
    </row>
    <row r="119" spans="1:14" x14ac:dyDescent="0.45">
      <c r="A119">
        <f t="shared" ca="1" si="6"/>
        <v>16</v>
      </c>
      <c r="B119" t="str">
        <f t="shared" ca="1" si="7"/>
        <v>xxxxxxxxxxxxxxxx</v>
      </c>
      <c r="C119" s="42">
        <v>8</v>
      </c>
      <c r="D119" s="42">
        <v>32</v>
      </c>
      <c r="E119">
        <v>6.8188388108559456E-4</v>
      </c>
      <c r="F119">
        <v>6.378927924481526E-4</v>
      </c>
      <c r="G119">
        <v>3.7947398330796587E-3</v>
      </c>
      <c r="H119" s="56">
        <v>7333</v>
      </c>
      <c r="I119" s="56">
        <v>7839</v>
      </c>
      <c r="J119" s="56">
        <v>1318</v>
      </c>
      <c r="K119" t="b">
        <v>1</v>
      </c>
      <c r="L119" t="b">
        <v>1</v>
      </c>
      <c r="M119" s="48" t="s">
        <v>147</v>
      </c>
      <c r="N119" s="48">
        <v>4360</v>
      </c>
    </row>
    <row r="120" spans="1:14" x14ac:dyDescent="0.45">
      <c r="A120">
        <f t="shared" ca="1" si="6"/>
        <v>16</v>
      </c>
      <c r="B120" t="str">
        <f t="shared" ca="1" si="7"/>
        <v>xxxxxxxxxxxxxxxx</v>
      </c>
      <c r="C120" s="42">
        <v>8</v>
      </c>
      <c r="D120" s="42">
        <v>64</v>
      </c>
      <c r="E120">
        <v>1.1489073759190995E-3</v>
      </c>
      <c r="F120">
        <v>1.1395088195079361E-3</v>
      </c>
      <c r="G120">
        <v>7.9031323854674759E-3</v>
      </c>
      <c r="H120" s="56">
        <v>4352</v>
      </c>
      <c r="I120" s="56">
        <v>4388</v>
      </c>
      <c r="J120" s="56">
        <v>633</v>
      </c>
      <c r="K120" t="b">
        <v>1</v>
      </c>
      <c r="L120" t="b">
        <v>1</v>
      </c>
      <c r="M120" s="48" t="s">
        <v>148</v>
      </c>
      <c r="N120" s="48">
        <v>8712</v>
      </c>
    </row>
    <row r="121" spans="1:14" x14ac:dyDescent="0.45">
      <c r="A121">
        <f t="shared" ca="1" si="6"/>
        <v>16</v>
      </c>
      <c r="B121" t="str">
        <f t="shared" ca="1" si="7"/>
        <v>xxxxxxxxxxxxxxxx</v>
      </c>
      <c r="C121" s="42">
        <v>8</v>
      </c>
      <c r="D121" s="42">
        <v>128</v>
      </c>
      <c r="E121">
        <v>2.1573956859359399E-3</v>
      </c>
      <c r="F121">
        <v>2.1160725042304361E-3</v>
      </c>
      <c r="G121">
        <v>2.2487971748875266E-2</v>
      </c>
      <c r="H121" s="56">
        <v>2318</v>
      </c>
      <c r="I121" s="56">
        <v>2364</v>
      </c>
      <c r="J121" s="56">
        <v>223</v>
      </c>
      <c r="K121" t="b">
        <v>1</v>
      </c>
      <c r="L121" t="b">
        <v>1</v>
      </c>
      <c r="M121" s="48" t="s">
        <v>149</v>
      </c>
      <c r="N121" s="48">
        <v>17416</v>
      </c>
    </row>
    <row r="122" spans="1:14" x14ac:dyDescent="0.45">
      <c r="A122">
        <f t="shared" ca="1" si="6"/>
        <v>16</v>
      </c>
      <c r="B122" t="str">
        <f t="shared" ca="1" si="7"/>
        <v>xxxxxxxxxxxxxxxx</v>
      </c>
      <c r="C122" s="42">
        <v>8</v>
      </c>
      <c r="D122" s="42">
        <v>256</v>
      </c>
      <c r="E122">
        <v>4.3243195332763025E-3</v>
      </c>
      <c r="F122">
        <v>4.1303000825769435E-3</v>
      </c>
      <c r="G122">
        <v>7.9334281249998639E-2</v>
      </c>
      <c r="H122" s="56">
        <v>1157</v>
      </c>
      <c r="I122" s="56">
        <v>1211</v>
      </c>
      <c r="J122" s="56">
        <v>64</v>
      </c>
      <c r="K122" t="b">
        <v>1</v>
      </c>
      <c r="L122" t="b">
        <v>1</v>
      </c>
      <c r="M122" s="48" t="s">
        <v>150</v>
      </c>
      <c r="N122" s="48">
        <v>34824</v>
      </c>
    </row>
    <row r="123" spans="1:14" x14ac:dyDescent="0.45">
      <c r="A123">
        <f t="shared" ca="1" si="6"/>
        <v>16</v>
      </c>
      <c r="B123" t="str">
        <f t="shared" ca="1" si="7"/>
        <v>xxxxxxxxxxxxxxxx</v>
      </c>
      <c r="C123" s="42">
        <v>8</v>
      </c>
      <c r="D123" s="42">
        <v>512</v>
      </c>
      <c r="E123">
        <v>8.0859657512127037E-3</v>
      </c>
      <c r="F123">
        <v>7.8943682965301135E-3</v>
      </c>
      <c r="G123">
        <v>0.29469721176471519</v>
      </c>
      <c r="H123" s="56">
        <v>619</v>
      </c>
      <c r="I123" s="56">
        <v>634</v>
      </c>
      <c r="J123" s="56">
        <v>17</v>
      </c>
      <c r="K123" t="b">
        <v>1</v>
      </c>
      <c r="L123" t="b">
        <v>1</v>
      </c>
      <c r="M123" s="48" t="s">
        <v>151</v>
      </c>
      <c r="N123" s="48">
        <v>69640</v>
      </c>
    </row>
    <row r="124" spans="1:14" x14ac:dyDescent="0.45">
      <c r="A124">
        <f t="shared" ca="1" si="6"/>
        <v>16</v>
      </c>
      <c r="B124" t="str">
        <f t="shared" ca="1" si="7"/>
        <v>xxxxxxxxxxxxxxxx</v>
      </c>
      <c r="C124" s="42">
        <v>8</v>
      </c>
      <c r="D124" s="42">
        <v>1024</v>
      </c>
      <c r="E124">
        <v>1.674072976588847E-2</v>
      </c>
      <c r="F124">
        <v>1.5669506562500147E-2</v>
      </c>
      <c r="G124">
        <v>1.0933015000002342</v>
      </c>
      <c r="H124" s="56">
        <v>299</v>
      </c>
      <c r="I124" s="56">
        <v>320</v>
      </c>
      <c r="J124" s="56">
        <v>5</v>
      </c>
      <c r="K124" t="b">
        <v>1</v>
      </c>
      <c r="L124" t="b">
        <v>1</v>
      </c>
      <c r="M124" s="48" t="s">
        <v>152</v>
      </c>
      <c r="N124" s="48">
        <v>139272</v>
      </c>
    </row>
    <row r="125" spans="1:14" x14ac:dyDescent="0.45">
      <c r="A125">
        <f t="shared" ca="1" si="6"/>
        <v>16</v>
      </c>
      <c r="B125" t="str">
        <f t="shared" ca="1" si="7"/>
        <v>xxxxxxxxxxxxxxxx</v>
      </c>
      <c r="C125" s="42">
        <v>8</v>
      </c>
      <c r="D125" s="42">
        <v>2048</v>
      </c>
      <c r="E125">
        <v>3.3222623178806206E-2</v>
      </c>
      <c r="F125">
        <v>3.1313824999995174E-2</v>
      </c>
      <c r="G125">
        <v>4.0480279499997778</v>
      </c>
      <c r="H125" s="56">
        <v>151</v>
      </c>
      <c r="I125" s="56">
        <v>160</v>
      </c>
      <c r="J125" s="56">
        <v>2</v>
      </c>
      <c r="K125" t="b">
        <v>1</v>
      </c>
      <c r="L125" t="b">
        <v>1</v>
      </c>
      <c r="M125" s="48" t="s">
        <v>153</v>
      </c>
      <c r="N125" s="48">
        <v>278536</v>
      </c>
    </row>
    <row r="126" spans="1:14" x14ac:dyDescent="0.45">
      <c r="A126">
        <f t="shared" ca="1" si="6"/>
        <v>16</v>
      </c>
      <c r="B126" t="str">
        <f t="shared" ca="1" si="7"/>
        <v>xxxxxxxxxxxxxxxx</v>
      </c>
      <c r="C126" s="42">
        <v>8</v>
      </c>
      <c r="D126" s="42">
        <v>4096</v>
      </c>
      <c r="E126">
        <v>6.6979869333323824E-2</v>
      </c>
      <c r="F126">
        <v>6.7954608108118777E-2</v>
      </c>
      <c r="G126">
        <v>16.529796200000419</v>
      </c>
      <c r="H126" s="56">
        <v>75</v>
      </c>
      <c r="I126" s="56">
        <v>74</v>
      </c>
      <c r="J126" s="56">
        <v>1</v>
      </c>
      <c r="K126" t="b">
        <v>1</v>
      </c>
      <c r="L126" t="b">
        <v>1</v>
      </c>
      <c r="M126" s="48" t="s">
        <v>154</v>
      </c>
      <c r="N126" s="48">
        <v>557064</v>
      </c>
    </row>
    <row r="127" spans="1:14" x14ac:dyDescent="0.45">
      <c r="A127">
        <f t="shared" ca="1" si="6"/>
        <v>16</v>
      </c>
      <c r="B127" t="str">
        <f t="shared" ca="1" si="7"/>
        <v>xxxxxxxxxxxxxxxx</v>
      </c>
      <c r="C127" s="42">
        <v>8</v>
      </c>
      <c r="D127" s="42">
        <v>8192</v>
      </c>
      <c r="E127">
        <v>0.13736128648648643</v>
      </c>
      <c r="F127">
        <v>0.13063880512821086</v>
      </c>
      <c r="G127">
        <v>63.28988599999866</v>
      </c>
      <c r="H127" s="56">
        <v>37</v>
      </c>
      <c r="I127" s="56">
        <v>39</v>
      </c>
      <c r="J127" s="56">
        <v>1</v>
      </c>
      <c r="K127" t="b">
        <v>1</v>
      </c>
      <c r="L127" t="b">
        <v>1</v>
      </c>
      <c r="M127" s="48" t="s">
        <v>155</v>
      </c>
      <c r="N127" s="48">
        <v>1114120</v>
      </c>
    </row>
    <row r="128" spans="1:14" x14ac:dyDescent="0.45">
      <c r="H128" s="56"/>
      <c r="I128" s="56"/>
      <c r="J128" s="56"/>
    </row>
    <row r="129" spans="1:14" x14ac:dyDescent="0.45">
      <c r="H129" s="56"/>
      <c r="I129" s="56"/>
      <c r="J129" s="56"/>
    </row>
    <row r="130" spans="1:14" x14ac:dyDescent="0.45">
      <c r="H130" s="56"/>
      <c r="I130" s="56"/>
      <c r="J130" s="56"/>
    </row>
    <row r="131" spans="1:14" x14ac:dyDescent="0.45">
      <c r="H131" s="56"/>
      <c r="I131" s="56"/>
      <c r="J131" s="56"/>
    </row>
    <row r="132" spans="1:14" x14ac:dyDescent="0.45">
      <c r="H132" s="56"/>
      <c r="I132" s="56"/>
      <c r="J132" s="56"/>
    </row>
    <row r="133" spans="1:14" x14ac:dyDescent="0.45">
      <c r="H133" s="56"/>
      <c r="I133" s="56"/>
      <c r="J133" s="56"/>
    </row>
    <row r="134" spans="1:14" x14ac:dyDescent="0.45">
      <c r="H134" s="56"/>
      <c r="I134" s="56"/>
      <c r="J134" s="56"/>
    </row>
    <row r="135" spans="1:14" x14ac:dyDescent="0.45">
      <c r="H135" s="56"/>
      <c r="I135" s="56"/>
      <c r="J135" s="56"/>
    </row>
    <row r="136" spans="1:14" x14ac:dyDescent="0.45">
      <c r="H136" s="56"/>
      <c r="I136" s="56"/>
      <c r="J136" s="56"/>
    </row>
    <row r="137" spans="1:14" x14ac:dyDescent="0.45">
      <c r="H137" s="56"/>
      <c r="I137" s="56"/>
      <c r="J137" s="56"/>
    </row>
    <row r="138" spans="1:14" x14ac:dyDescent="0.45">
      <c r="H138" s="56"/>
      <c r="I138" s="56"/>
      <c r="J138" s="56"/>
    </row>
    <row r="139" spans="1:14" x14ac:dyDescent="0.45">
      <c r="H139" s="56"/>
      <c r="I139" s="56"/>
      <c r="J139" s="56"/>
      <c r="M139" s="10" t="s">
        <v>410</v>
      </c>
    </row>
    <row r="140" spans="1:14" ht="28.5" x14ac:dyDescent="0.45">
      <c r="A140" s="58" t="s">
        <v>415</v>
      </c>
      <c r="B140" s="58" t="s">
        <v>416</v>
      </c>
      <c r="C140" s="58" t="s">
        <v>417</v>
      </c>
      <c r="D140" s="58" t="s">
        <v>418</v>
      </c>
      <c r="E140" s="58" t="s">
        <v>427</v>
      </c>
      <c r="F140" s="58" t="s">
        <v>400</v>
      </c>
      <c r="G140" s="58" t="s">
        <v>401</v>
      </c>
      <c r="H140" s="59" t="s">
        <v>437</v>
      </c>
      <c r="I140" s="59" t="s">
        <v>438</v>
      </c>
      <c r="J140" s="59" t="s">
        <v>439</v>
      </c>
      <c r="K140" s="58" t="s">
        <v>402</v>
      </c>
      <c r="L140" s="58" t="s">
        <v>403</v>
      </c>
      <c r="M140" s="58" t="s">
        <v>404</v>
      </c>
      <c r="N140" s="58" t="s">
        <v>405</v>
      </c>
    </row>
    <row r="141" spans="1:14" x14ac:dyDescent="0.45">
      <c r="A141" cm="1">
        <f t="array" aca="1" ref="A141:A155" ca="1">LEN(B141:B155)</f>
        <v>1</v>
      </c>
      <c r="B141" t="s">
        <v>70</v>
      </c>
      <c r="C141" s="48">
        <v>1024</v>
      </c>
      <c r="D141">
        <v>8</v>
      </c>
      <c r="E141">
        <v>9.1886755963293473E-3</v>
      </c>
      <c r="F141">
        <v>1.0550611603374884E-2</v>
      </c>
      <c r="G141">
        <v>3.1076334782607452E-2</v>
      </c>
      <c r="H141" s="56">
        <v>545</v>
      </c>
      <c r="I141" s="56">
        <v>474</v>
      </c>
      <c r="J141" s="56">
        <v>161</v>
      </c>
      <c r="K141" t="b">
        <v>1</v>
      </c>
      <c r="L141" t="b">
        <v>1</v>
      </c>
      <c r="M141" s="48" t="s">
        <v>127</v>
      </c>
      <c r="N141" s="48">
        <v>17408</v>
      </c>
    </row>
    <row r="142" spans="1:14" x14ac:dyDescent="0.45">
      <c r="A142">
        <f ca="1"/>
        <v>2</v>
      </c>
      <c r="B142" t="s">
        <v>113</v>
      </c>
      <c r="C142" s="48">
        <v>1024</v>
      </c>
      <c r="D142">
        <v>8</v>
      </c>
      <c r="E142">
        <v>1.0247036809816678E-2</v>
      </c>
      <c r="F142">
        <v>9.7153322330113152E-3</v>
      </c>
      <c r="G142">
        <v>2.8119816292131505E-2</v>
      </c>
      <c r="H142" s="56">
        <v>489</v>
      </c>
      <c r="I142" s="56">
        <v>515</v>
      </c>
      <c r="J142" s="56">
        <v>178</v>
      </c>
      <c r="K142" t="b">
        <v>1</v>
      </c>
      <c r="L142" t="b">
        <v>1</v>
      </c>
      <c r="M142" s="48" t="s">
        <v>128</v>
      </c>
      <c r="N142" s="48">
        <v>25600</v>
      </c>
    </row>
    <row r="143" spans="1:14" x14ac:dyDescent="0.45">
      <c r="A143">
        <f ca="1"/>
        <v>4</v>
      </c>
      <c r="B143" t="s">
        <v>114</v>
      </c>
      <c r="C143" s="48">
        <v>1024</v>
      </c>
      <c r="D143">
        <v>8</v>
      </c>
      <c r="E143">
        <v>1.1837764622639026E-2</v>
      </c>
      <c r="F143">
        <v>1.1505235402297727E-2</v>
      </c>
      <c r="G143">
        <v>2.9976407784423047E-2</v>
      </c>
      <c r="H143" s="56">
        <v>424</v>
      </c>
      <c r="I143" s="56">
        <v>435</v>
      </c>
      <c r="J143" s="56">
        <v>167</v>
      </c>
      <c r="K143" t="b">
        <v>1</v>
      </c>
      <c r="L143" t="b">
        <v>1</v>
      </c>
      <c r="M143" s="48" t="s">
        <v>129</v>
      </c>
      <c r="N143" s="48">
        <v>41984</v>
      </c>
    </row>
    <row r="144" spans="1:14" x14ac:dyDescent="0.45">
      <c r="A144">
        <f ca="1"/>
        <v>8</v>
      </c>
      <c r="B144" t="s">
        <v>115</v>
      </c>
      <c r="C144" s="48">
        <v>1024</v>
      </c>
      <c r="D144">
        <v>8</v>
      </c>
      <c r="E144">
        <v>1.2954919430052107E-2</v>
      </c>
      <c r="F144">
        <v>1.2973464766841004E-2</v>
      </c>
      <c r="G144">
        <v>2.9248878362570969E-2</v>
      </c>
      <c r="H144" s="56">
        <v>386</v>
      </c>
      <c r="I144" s="56">
        <v>386</v>
      </c>
      <c r="J144" s="56">
        <v>171</v>
      </c>
      <c r="K144" t="b">
        <v>1</v>
      </c>
      <c r="L144" t="b">
        <v>1</v>
      </c>
      <c r="M144" s="48" t="s">
        <v>130</v>
      </c>
      <c r="N144" s="48">
        <v>74752</v>
      </c>
    </row>
    <row r="145" spans="1:14" x14ac:dyDescent="0.45">
      <c r="A145">
        <f ca="1"/>
        <v>16</v>
      </c>
      <c r="B145" t="s">
        <v>116</v>
      </c>
      <c r="C145" s="48">
        <v>1024</v>
      </c>
      <c r="D145">
        <v>8</v>
      </c>
      <c r="E145">
        <v>1.6040917891371988E-2</v>
      </c>
      <c r="F145">
        <v>1.5989127476039141E-2</v>
      </c>
      <c r="G145">
        <v>3.1679584177220048E-2</v>
      </c>
      <c r="H145" s="56">
        <v>313</v>
      </c>
      <c r="I145" s="56">
        <v>313</v>
      </c>
      <c r="J145" s="56">
        <v>158</v>
      </c>
      <c r="K145" t="b">
        <v>1</v>
      </c>
      <c r="L145" t="b">
        <v>1</v>
      </c>
      <c r="M145" s="48" t="s">
        <v>131</v>
      </c>
      <c r="N145" s="48">
        <v>140288</v>
      </c>
    </row>
    <row r="146" spans="1:14" x14ac:dyDescent="0.45">
      <c r="A146">
        <f ca="1"/>
        <v>32</v>
      </c>
      <c r="B146" t="s">
        <v>117</v>
      </c>
      <c r="C146" s="48">
        <v>1024</v>
      </c>
      <c r="D146">
        <v>8</v>
      </c>
      <c r="E146">
        <v>2.4064823076925607E-2</v>
      </c>
      <c r="F146">
        <v>2.3891418095237375E-2</v>
      </c>
      <c r="G146">
        <v>3.214446217949584E-2</v>
      </c>
      <c r="H146" s="56">
        <v>208</v>
      </c>
      <c r="I146" s="56">
        <v>210</v>
      </c>
      <c r="J146" s="56">
        <v>156</v>
      </c>
      <c r="K146" t="b">
        <v>1</v>
      </c>
      <c r="L146" t="b">
        <v>1</v>
      </c>
      <c r="M146" s="48" t="s">
        <v>132</v>
      </c>
      <c r="N146" s="48">
        <v>271360</v>
      </c>
    </row>
    <row r="147" spans="1:14" x14ac:dyDescent="0.45">
      <c r="A147">
        <f ca="1"/>
        <v>64</v>
      </c>
      <c r="B147" t="s">
        <v>118</v>
      </c>
      <c r="C147" s="48">
        <v>1024</v>
      </c>
      <c r="D147">
        <v>8</v>
      </c>
      <c r="E147">
        <v>3.909713643410806E-2</v>
      </c>
      <c r="F147">
        <v>3.7652818045119475E-2</v>
      </c>
      <c r="G147">
        <v>3.328897152317685E-2</v>
      </c>
      <c r="H147" s="56">
        <v>129</v>
      </c>
      <c r="I147" s="56">
        <v>133</v>
      </c>
      <c r="J147" s="56">
        <v>151</v>
      </c>
      <c r="K147" t="b">
        <v>1</v>
      </c>
      <c r="L147" t="b">
        <v>1</v>
      </c>
      <c r="M147" s="48" t="s">
        <v>133</v>
      </c>
      <c r="N147" s="48">
        <v>533504</v>
      </c>
    </row>
    <row r="148" spans="1:14" x14ac:dyDescent="0.45">
      <c r="A148">
        <f ca="1"/>
        <v>128</v>
      </c>
      <c r="B148" t="s">
        <v>119</v>
      </c>
      <c r="C148" s="48">
        <v>1024</v>
      </c>
      <c r="D148">
        <v>8</v>
      </c>
      <c r="E148">
        <v>6.8527932876711259E-2</v>
      </c>
      <c r="F148">
        <v>6.7095161333345463E-2</v>
      </c>
      <c r="G148">
        <v>4.1202611475410614E-2</v>
      </c>
      <c r="H148" s="56">
        <v>73</v>
      </c>
      <c r="I148" s="56">
        <v>75</v>
      </c>
      <c r="J148" s="56">
        <v>122</v>
      </c>
      <c r="K148" t="b">
        <v>1</v>
      </c>
      <c r="L148" t="b">
        <v>1</v>
      </c>
      <c r="M148" s="48" t="s">
        <v>134</v>
      </c>
      <c r="N148" s="48">
        <v>1057792</v>
      </c>
    </row>
    <row r="149" spans="1:14" x14ac:dyDescent="0.45">
      <c r="A149">
        <f ca="1"/>
        <v>256</v>
      </c>
      <c r="B149" t="s">
        <v>120</v>
      </c>
      <c r="C149" s="48">
        <v>1024</v>
      </c>
      <c r="D149">
        <v>8</v>
      </c>
      <c r="E149">
        <v>0.12943471538463386</v>
      </c>
      <c r="F149">
        <v>0.12067578333331073</v>
      </c>
      <c r="G149">
        <v>4.8883220388357518E-2</v>
      </c>
      <c r="H149" s="56">
        <v>39</v>
      </c>
      <c r="I149" s="56">
        <v>42</v>
      </c>
      <c r="J149" s="56">
        <v>103</v>
      </c>
      <c r="K149" t="b">
        <v>1</v>
      </c>
      <c r="L149" t="b">
        <v>1</v>
      </c>
      <c r="M149" s="48" t="s">
        <v>135</v>
      </c>
      <c r="N149" s="48">
        <v>2106368</v>
      </c>
    </row>
    <row r="150" spans="1:14" x14ac:dyDescent="0.45">
      <c r="A150">
        <f ca="1"/>
        <v>512</v>
      </c>
      <c r="B150" t="s">
        <v>121</v>
      </c>
      <c r="C150" s="48">
        <v>1024</v>
      </c>
      <c r="D150">
        <v>8</v>
      </c>
      <c r="E150">
        <v>0.25547054999997271</v>
      </c>
      <c r="F150">
        <v>0.22876205454543774</v>
      </c>
      <c r="G150">
        <v>8.2865080327866936E-2</v>
      </c>
      <c r="H150" s="56">
        <v>20</v>
      </c>
      <c r="I150" s="56">
        <v>22</v>
      </c>
      <c r="J150" s="56">
        <v>61</v>
      </c>
      <c r="K150" t="b">
        <v>1</v>
      </c>
      <c r="L150" t="b">
        <v>1</v>
      </c>
      <c r="M150" s="48" t="s">
        <v>136</v>
      </c>
      <c r="N150" s="48">
        <v>4203520</v>
      </c>
    </row>
    <row r="151" spans="1:14" x14ac:dyDescent="0.45">
      <c r="A151">
        <f ca="1"/>
        <v>1024</v>
      </c>
      <c r="B151" t="s">
        <v>122</v>
      </c>
      <c r="C151" s="48">
        <v>1024</v>
      </c>
      <c r="D151">
        <v>8</v>
      </c>
      <c r="E151">
        <v>0.51128527999990181</v>
      </c>
      <c r="F151">
        <v>0.44841162500006249</v>
      </c>
      <c r="G151">
        <v>0.19417215769233456</v>
      </c>
      <c r="H151" s="56">
        <v>10</v>
      </c>
      <c r="I151" s="56">
        <v>12</v>
      </c>
      <c r="J151" s="56">
        <v>26</v>
      </c>
      <c r="K151" t="b">
        <v>1</v>
      </c>
      <c r="L151" t="b">
        <v>1</v>
      </c>
      <c r="M151" s="48" t="s">
        <v>137</v>
      </c>
      <c r="N151" s="48">
        <v>8397824</v>
      </c>
    </row>
    <row r="152" spans="1:14" x14ac:dyDescent="0.45">
      <c r="A152">
        <f ca="1"/>
        <v>2048</v>
      </c>
      <c r="B152" t="s">
        <v>123</v>
      </c>
      <c r="C152" s="48">
        <v>1024</v>
      </c>
      <c r="D152">
        <v>8</v>
      </c>
      <c r="E152">
        <v>0.98530250000021624</v>
      </c>
      <c r="F152">
        <v>0.8878271166668128</v>
      </c>
      <c r="G152">
        <v>0.58207654444453916</v>
      </c>
      <c r="H152" s="56">
        <v>6</v>
      </c>
      <c r="I152" s="56">
        <v>6</v>
      </c>
      <c r="J152" s="56">
        <v>9</v>
      </c>
      <c r="K152" t="b">
        <v>1</v>
      </c>
      <c r="L152" t="b">
        <v>1</v>
      </c>
      <c r="M152" s="48" t="s">
        <v>138</v>
      </c>
      <c r="N152" s="48">
        <v>16786432</v>
      </c>
    </row>
    <row r="153" spans="1:14" x14ac:dyDescent="0.45">
      <c r="A153">
        <f ca="1"/>
        <v>4096</v>
      </c>
      <c r="B153" t="s">
        <v>124</v>
      </c>
      <c r="C153" s="48">
        <v>1024</v>
      </c>
      <c r="D153">
        <v>8</v>
      </c>
      <c r="E153">
        <v>1.9293865666671384</v>
      </c>
      <c r="F153">
        <v>1.7982287000001331</v>
      </c>
      <c r="G153">
        <v>2.159546833333176</v>
      </c>
      <c r="H153" s="56">
        <v>3</v>
      </c>
      <c r="I153" s="56">
        <v>3</v>
      </c>
      <c r="J153" s="56">
        <v>3</v>
      </c>
      <c r="K153" t="b">
        <v>1</v>
      </c>
      <c r="L153" t="b">
        <v>1</v>
      </c>
      <c r="M153" s="48" t="s">
        <v>139</v>
      </c>
      <c r="N153" s="48">
        <v>33563648</v>
      </c>
    </row>
    <row r="154" spans="1:14" x14ac:dyDescent="0.45">
      <c r="A154">
        <f ca="1"/>
        <v>8192</v>
      </c>
      <c r="B154" t="s">
        <v>125</v>
      </c>
      <c r="C154" s="48">
        <v>1024</v>
      </c>
      <c r="D154">
        <v>8</v>
      </c>
      <c r="E154">
        <v>4.2776761000004626</v>
      </c>
      <c r="F154">
        <v>3.7155519500001901</v>
      </c>
      <c r="G154">
        <v>9.0872770999994827</v>
      </c>
      <c r="H154" s="56">
        <v>2</v>
      </c>
      <c r="I154" s="56">
        <v>2</v>
      </c>
      <c r="J154" s="56">
        <v>1</v>
      </c>
      <c r="K154" t="b">
        <v>1</v>
      </c>
      <c r="L154" t="b">
        <v>1</v>
      </c>
      <c r="M154" s="48" t="s">
        <v>140</v>
      </c>
      <c r="N154" s="48">
        <v>67118080</v>
      </c>
    </row>
    <row r="155" spans="1:14" x14ac:dyDescent="0.45">
      <c r="A155">
        <f ca="1"/>
        <v>16384</v>
      </c>
      <c r="B155" t="s">
        <v>126</v>
      </c>
      <c r="C155" s="48">
        <v>1024</v>
      </c>
      <c r="D155">
        <v>8</v>
      </c>
      <c r="E155">
        <v>8.4546872999999323</v>
      </c>
      <c r="F155">
        <v>7.8420533999997133</v>
      </c>
      <c r="G155">
        <v>53.35228669999924</v>
      </c>
      <c r="H155" s="56">
        <v>1</v>
      </c>
      <c r="I155" s="56">
        <v>1</v>
      </c>
      <c r="J155" s="56">
        <v>1</v>
      </c>
      <c r="K155" t="b">
        <v>1</v>
      </c>
      <c r="L155" t="b">
        <v>1</v>
      </c>
      <c r="M155" s="48" t="s">
        <v>141</v>
      </c>
      <c r="N155" s="48">
        <v>134226944</v>
      </c>
    </row>
    <row r="156" spans="1:14" x14ac:dyDescent="0.45">
      <c r="H156" s="56"/>
      <c r="I156" s="56"/>
      <c r="J156" s="56"/>
    </row>
    <row r="157" spans="1:14" x14ac:dyDescent="0.45">
      <c r="H157" s="56"/>
      <c r="I157" s="56"/>
      <c r="J157" s="56"/>
    </row>
    <row r="158" spans="1:14" x14ac:dyDescent="0.45">
      <c r="H158" s="56"/>
      <c r="I158" s="56"/>
      <c r="J158" s="56"/>
    </row>
    <row r="159" spans="1:14" x14ac:dyDescent="0.45">
      <c r="H159" s="56"/>
      <c r="I159" s="56"/>
      <c r="J159" s="56"/>
    </row>
    <row r="160" spans="1:14" x14ac:dyDescent="0.45">
      <c r="H160" s="56"/>
      <c r="I160" s="56"/>
      <c r="J160" s="56"/>
    </row>
    <row r="161" spans="1:14" x14ac:dyDescent="0.45">
      <c r="H161" s="56"/>
      <c r="I161" s="56"/>
      <c r="J161" s="56"/>
    </row>
    <row r="162" spans="1:14" x14ac:dyDescent="0.45">
      <c r="H162" s="56"/>
      <c r="I162" s="56"/>
      <c r="J162" s="56"/>
    </row>
    <row r="163" spans="1:14" x14ac:dyDescent="0.45">
      <c r="H163" s="56"/>
      <c r="I163" s="56"/>
      <c r="J163" s="56"/>
    </row>
    <row r="164" spans="1:14" x14ac:dyDescent="0.45">
      <c r="H164" s="56"/>
      <c r="I164" s="56"/>
      <c r="J164" s="56"/>
    </row>
    <row r="165" spans="1:14" x14ac:dyDescent="0.45">
      <c r="H165" s="56"/>
      <c r="I165" s="56"/>
      <c r="J165" s="56"/>
    </row>
    <row r="166" spans="1:14" x14ac:dyDescent="0.45">
      <c r="H166" s="56"/>
      <c r="I166" s="56"/>
      <c r="J166" s="56"/>
      <c r="M166" s="10" t="s">
        <v>411</v>
      </c>
    </row>
    <row r="167" spans="1:14" ht="28.5" x14ac:dyDescent="0.45">
      <c r="A167" s="58" t="s">
        <v>415</v>
      </c>
      <c r="B167" s="58" t="s">
        <v>416</v>
      </c>
      <c r="C167" s="58" t="s">
        <v>417</v>
      </c>
      <c r="D167" s="58" t="s">
        <v>418</v>
      </c>
      <c r="E167" s="58" t="s">
        <v>427</v>
      </c>
      <c r="F167" s="58" t="s">
        <v>400</v>
      </c>
      <c r="G167" s="58" t="s">
        <v>401</v>
      </c>
      <c r="H167" s="59" t="s">
        <v>437</v>
      </c>
      <c r="I167" s="59" t="s">
        <v>438</v>
      </c>
      <c r="J167" s="59" t="s">
        <v>439</v>
      </c>
      <c r="K167" s="58" t="s">
        <v>402</v>
      </c>
      <c r="L167" s="58" t="s">
        <v>403</v>
      </c>
      <c r="M167" s="58" t="s">
        <v>404</v>
      </c>
      <c r="N167" s="58" t="s">
        <v>405</v>
      </c>
    </row>
    <row r="168" spans="1:14" x14ac:dyDescent="0.45">
      <c r="A168">
        <v>3</v>
      </c>
      <c r="B168" t="s">
        <v>214</v>
      </c>
      <c r="C168" s="48">
        <v>1024</v>
      </c>
      <c r="D168">
        <v>8</v>
      </c>
      <c r="E168">
        <v>1.2717566497462593E-2</v>
      </c>
      <c r="F168">
        <v>1.8777289138577114E-2</v>
      </c>
      <c r="G168">
        <v>3.6633002189787107E-2</v>
      </c>
      <c r="H168" s="56">
        <v>394</v>
      </c>
      <c r="I168" s="56">
        <v>267</v>
      </c>
      <c r="J168" s="56">
        <v>137</v>
      </c>
      <c r="K168" t="b">
        <v>1</v>
      </c>
      <c r="L168" t="b">
        <v>1</v>
      </c>
      <c r="M168" s="48" t="s">
        <v>200</v>
      </c>
      <c r="N168" s="48">
        <v>33792</v>
      </c>
    </row>
    <row r="169" spans="1:14" x14ac:dyDescent="0.45">
      <c r="A169">
        <v>4</v>
      </c>
      <c r="B169" t="s">
        <v>215</v>
      </c>
      <c r="C169" s="48">
        <v>1024</v>
      </c>
      <c r="D169">
        <v>8</v>
      </c>
      <c r="E169">
        <v>1.3023545572915888E-2</v>
      </c>
      <c r="F169">
        <v>1.8812364419478426E-2</v>
      </c>
      <c r="G169">
        <v>3.7049154814815632E-2</v>
      </c>
      <c r="H169" s="56">
        <v>384</v>
      </c>
      <c r="I169" s="56">
        <v>267</v>
      </c>
      <c r="J169" s="56">
        <v>135</v>
      </c>
      <c r="K169" t="b">
        <v>1</v>
      </c>
      <c r="L169" t="b">
        <v>1</v>
      </c>
      <c r="M169" s="48" t="s">
        <v>129</v>
      </c>
      <c r="N169" s="48">
        <v>41984</v>
      </c>
    </row>
    <row r="170" spans="1:14" x14ac:dyDescent="0.45">
      <c r="A170">
        <v>6</v>
      </c>
      <c r="B170" t="s">
        <v>216</v>
      </c>
      <c r="C170" s="48">
        <v>1024</v>
      </c>
      <c r="D170">
        <v>8</v>
      </c>
      <c r="E170">
        <v>1.4103126197179836E-2</v>
      </c>
      <c r="F170">
        <v>1.7642682746477924E-2</v>
      </c>
      <c r="G170">
        <v>3.6183048201433955E-2</v>
      </c>
      <c r="H170" s="56">
        <v>355</v>
      </c>
      <c r="I170" s="56">
        <v>284</v>
      </c>
      <c r="J170" s="56">
        <v>139</v>
      </c>
      <c r="K170" t="b">
        <v>1</v>
      </c>
      <c r="L170" t="b">
        <v>1</v>
      </c>
      <c r="M170" s="48" t="s">
        <v>201</v>
      </c>
      <c r="N170" s="48">
        <v>58368</v>
      </c>
    </row>
    <row r="171" spans="1:14" x14ac:dyDescent="0.45">
      <c r="A171">
        <v>10</v>
      </c>
      <c r="B171" t="s">
        <v>217</v>
      </c>
      <c r="C171" s="48">
        <v>1024</v>
      </c>
      <c r="D171">
        <v>8</v>
      </c>
      <c r="E171">
        <v>1.6223575404533324E-2</v>
      </c>
      <c r="F171">
        <v>2.0175442338709656E-2</v>
      </c>
      <c r="G171">
        <v>3.9453239370081654E-2</v>
      </c>
      <c r="H171" s="56">
        <v>309</v>
      </c>
      <c r="I171" s="56">
        <v>248</v>
      </c>
      <c r="J171" s="56">
        <v>127</v>
      </c>
      <c r="K171" t="b">
        <v>1</v>
      </c>
      <c r="L171" t="b">
        <v>1</v>
      </c>
      <c r="M171" s="48" t="s">
        <v>202</v>
      </c>
      <c r="N171" s="48">
        <v>91136</v>
      </c>
    </row>
    <row r="172" spans="1:14" x14ac:dyDescent="0.45">
      <c r="A172">
        <v>18</v>
      </c>
      <c r="B172" t="s">
        <v>218</v>
      </c>
      <c r="C172" s="48">
        <v>1024</v>
      </c>
      <c r="D172">
        <v>8</v>
      </c>
      <c r="E172">
        <v>1.9577109374999679E-2</v>
      </c>
      <c r="F172">
        <v>2.3062459446998727E-2</v>
      </c>
      <c r="G172">
        <v>4.0353445967749361E-2</v>
      </c>
      <c r="H172" s="56">
        <v>256</v>
      </c>
      <c r="I172" s="56">
        <v>217</v>
      </c>
      <c r="J172" s="56">
        <v>124</v>
      </c>
      <c r="K172" t="b">
        <v>1</v>
      </c>
      <c r="L172" t="b">
        <v>1</v>
      </c>
      <c r="M172" s="48" t="s">
        <v>203</v>
      </c>
      <c r="N172" s="48">
        <v>156672</v>
      </c>
    </row>
    <row r="173" spans="1:14" x14ac:dyDescent="0.45">
      <c r="A173">
        <v>34</v>
      </c>
      <c r="B173" t="s">
        <v>219</v>
      </c>
      <c r="C173" s="48">
        <v>1024</v>
      </c>
      <c r="D173">
        <v>8</v>
      </c>
      <c r="E173">
        <v>2.7268639130437332E-2</v>
      </c>
      <c r="F173">
        <v>3.0730895705513874E-2</v>
      </c>
      <c r="G173">
        <v>3.9715022222221057E-2</v>
      </c>
      <c r="H173" s="56">
        <v>184</v>
      </c>
      <c r="I173" s="56">
        <v>163</v>
      </c>
      <c r="J173" s="56">
        <v>126</v>
      </c>
      <c r="K173" t="b">
        <v>1</v>
      </c>
      <c r="L173" t="b">
        <v>1</v>
      </c>
      <c r="M173" s="48" t="s">
        <v>204</v>
      </c>
      <c r="N173" s="48">
        <v>287744</v>
      </c>
    </row>
    <row r="174" spans="1:14" x14ac:dyDescent="0.45">
      <c r="A174">
        <v>66</v>
      </c>
      <c r="B174" t="s">
        <v>220</v>
      </c>
      <c r="C174" s="48">
        <v>1024</v>
      </c>
      <c r="D174">
        <v>8</v>
      </c>
      <c r="E174">
        <v>4.119479180327125E-2</v>
      </c>
      <c r="F174">
        <v>4.4471384070796142E-2</v>
      </c>
      <c r="G174">
        <v>4.0342499999995549E-2</v>
      </c>
      <c r="H174" s="56">
        <v>122</v>
      </c>
      <c r="I174" s="56">
        <v>113</v>
      </c>
      <c r="J174" s="56">
        <v>124</v>
      </c>
      <c r="K174" t="b">
        <v>1</v>
      </c>
      <c r="L174" t="b">
        <v>1</v>
      </c>
      <c r="M174" s="48" t="s">
        <v>205</v>
      </c>
      <c r="N174" s="48">
        <v>549888</v>
      </c>
    </row>
    <row r="175" spans="1:14" x14ac:dyDescent="0.45">
      <c r="A175">
        <v>130</v>
      </c>
      <c r="B175" t="s">
        <v>221</v>
      </c>
      <c r="C175" s="48">
        <v>1024</v>
      </c>
      <c r="D175">
        <v>8</v>
      </c>
      <c r="E175">
        <v>7.354379558824696E-2</v>
      </c>
      <c r="F175">
        <v>7.4068232352949376E-2</v>
      </c>
      <c r="G175">
        <v>4.9613728712873777E-2</v>
      </c>
      <c r="H175" s="56">
        <v>68</v>
      </c>
      <c r="I175" s="56">
        <v>68</v>
      </c>
      <c r="J175" s="56">
        <v>101</v>
      </c>
      <c r="K175" t="b">
        <v>1</v>
      </c>
      <c r="L175" t="b">
        <v>1</v>
      </c>
      <c r="M175" s="48" t="s">
        <v>206</v>
      </c>
      <c r="N175" s="48">
        <v>1074176</v>
      </c>
    </row>
    <row r="176" spans="1:14" x14ac:dyDescent="0.45">
      <c r="A176">
        <v>258</v>
      </c>
      <c r="B176" t="s">
        <v>222</v>
      </c>
      <c r="C176" s="48">
        <v>1024</v>
      </c>
      <c r="D176">
        <v>8</v>
      </c>
      <c r="E176">
        <v>0.12945027948714993</v>
      </c>
      <c r="F176">
        <v>0.130125584615365</v>
      </c>
      <c r="G176">
        <v>5.6333715730350661E-2</v>
      </c>
      <c r="H176" s="56">
        <v>39</v>
      </c>
      <c r="I176" s="56">
        <v>39</v>
      </c>
      <c r="J176" s="56">
        <v>89</v>
      </c>
      <c r="K176" t="b">
        <v>1</v>
      </c>
      <c r="L176" t="b">
        <v>1</v>
      </c>
      <c r="M176" s="48" t="s">
        <v>207</v>
      </c>
      <c r="N176" s="48">
        <v>2122752</v>
      </c>
    </row>
    <row r="177" spans="1:14" x14ac:dyDescent="0.45">
      <c r="A177">
        <v>514</v>
      </c>
      <c r="B177" t="s">
        <v>223</v>
      </c>
      <c r="C177" s="48">
        <v>1024</v>
      </c>
      <c r="D177">
        <v>8</v>
      </c>
      <c r="E177">
        <v>0.24719157142862969</v>
      </c>
      <c r="F177">
        <v>0.23753377727271899</v>
      </c>
      <c r="G177">
        <v>8.3807956666684433E-2</v>
      </c>
      <c r="H177" s="56">
        <v>21</v>
      </c>
      <c r="I177" s="56">
        <v>22</v>
      </c>
      <c r="J177" s="56">
        <v>60</v>
      </c>
      <c r="K177" t="b">
        <v>1</v>
      </c>
      <c r="L177" t="b">
        <v>1</v>
      </c>
      <c r="M177" s="48" t="s">
        <v>208</v>
      </c>
      <c r="N177" s="48">
        <v>4219904</v>
      </c>
    </row>
    <row r="178" spans="1:14" x14ac:dyDescent="0.45">
      <c r="A178">
        <v>1026</v>
      </c>
      <c r="B178" t="s">
        <v>224</v>
      </c>
      <c r="C178" s="48">
        <v>1024</v>
      </c>
      <c r="D178">
        <v>8</v>
      </c>
      <c r="E178">
        <v>0.50626344000011159</v>
      </c>
      <c r="F178">
        <v>0.45456238181809155</v>
      </c>
      <c r="G178">
        <v>0.18886797037042993</v>
      </c>
      <c r="H178" s="56">
        <v>10</v>
      </c>
      <c r="I178" s="56">
        <v>11</v>
      </c>
      <c r="J178" s="56">
        <v>27</v>
      </c>
      <c r="K178" t="b">
        <v>1</v>
      </c>
      <c r="L178" t="b">
        <v>1</v>
      </c>
      <c r="M178" s="48" t="s">
        <v>209</v>
      </c>
      <c r="N178" s="48">
        <v>8414208</v>
      </c>
    </row>
    <row r="179" spans="1:14" x14ac:dyDescent="0.45">
      <c r="A179">
        <v>2050</v>
      </c>
      <c r="B179" t="s">
        <v>225</v>
      </c>
      <c r="C179" s="48">
        <v>1024</v>
      </c>
      <c r="D179">
        <v>8</v>
      </c>
      <c r="E179">
        <v>0.9819684000000658</v>
      </c>
      <c r="F179">
        <v>0.87966298333321902</v>
      </c>
      <c r="G179">
        <v>0.59742733333344711</v>
      </c>
      <c r="H179" s="56">
        <v>6</v>
      </c>
      <c r="I179" s="56">
        <v>6</v>
      </c>
      <c r="J179" s="56">
        <v>9</v>
      </c>
      <c r="K179" t="b">
        <v>1</v>
      </c>
      <c r="L179" t="b">
        <v>1</v>
      </c>
      <c r="M179" s="48" t="s">
        <v>210</v>
      </c>
      <c r="N179" s="48">
        <v>16802816</v>
      </c>
    </row>
    <row r="180" spans="1:14" x14ac:dyDescent="0.45">
      <c r="A180">
        <v>4098</v>
      </c>
      <c r="B180" t="s">
        <v>226</v>
      </c>
      <c r="C180" s="48">
        <v>1024</v>
      </c>
      <c r="D180">
        <v>8</v>
      </c>
      <c r="E180">
        <v>1.9549785666670989</v>
      </c>
      <c r="F180">
        <v>1.7441486999996414</v>
      </c>
      <c r="G180">
        <v>2.0770916666666985</v>
      </c>
      <c r="H180" s="56">
        <v>3</v>
      </c>
      <c r="I180" s="56">
        <v>3</v>
      </c>
      <c r="J180" s="56">
        <v>3</v>
      </c>
      <c r="K180" t="b">
        <v>1</v>
      </c>
      <c r="L180" t="b">
        <v>1</v>
      </c>
      <c r="M180" s="48" t="s">
        <v>211</v>
      </c>
      <c r="N180" s="48">
        <v>33580032</v>
      </c>
    </row>
    <row r="181" spans="1:14" x14ac:dyDescent="0.45">
      <c r="A181">
        <v>8194</v>
      </c>
      <c r="B181" t="s">
        <v>227</v>
      </c>
      <c r="C181" s="48">
        <v>1024</v>
      </c>
      <c r="D181">
        <v>8</v>
      </c>
      <c r="E181">
        <v>4.2433115999992879</v>
      </c>
      <c r="F181">
        <v>3.8600196500001402</v>
      </c>
      <c r="G181">
        <v>9.3040644000011525</v>
      </c>
      <c r="H181" s="56">
        <v>2</v>
      </c>
      <c r="I181" s="56">
        <v>2</v>
      </c>
      <c r="J181" s="56">
        <v>1</v>
      </c>
      <c r="K181" t="b">
        <v>1</v>
      </c>
      <c r="L181" t="b">
        <v>1</v>
      </c>
      <c r="M181" s="48" t="s">
        <v>212</v>
      </c>
      <c r="N181" s="48">
        <v>67134464</v>
      </c>
    </row>
    <row r="182" spans="1:14" x14ac:dyDescent="0.45">
      <c r="A182">
        <v>16386</v>
      </c>
      <c r="B182" t="s">
        <v>228</v>
      </c>
      <c r="C182" s="48">
        <v>1024</v>
      </c>
      <c r="D182">
        <v>8</v>
      </c>
      <c r="E182">
        <v>8.7412566000002698</v>
      </c>
      <c r="F182">
        <v>8.021360900000218</v>
      </c>
      <c r="G182">
        <v>53.964022800000748</v>
      </c>
      <c r="H182" s="56">
        <v>1</v>
      </c>
      <c r="I182" s="56">
        <v>1</v>
      </c>
      <c r="J182" s="56">
        <v>1</v>
      </c>
      <c r="K182" t="b">
        <v>1</v>
      </c>
      <c r="L182" t="b">
        <v>1</v>
      </c>
      <c r="M182" s="48" t="s">
        <v>213</v>
      </c>
      <c r="N182" s="48">
        <v>134243328</v>
      </c>
    </row>
    <row r="183" spans="1:14" x14ac:dyDescent="0.45">
      <c r="H183" s="56"/>
      <c r="I183" s="56"/>
      <c r="J183" s="56"/>
    </row>
    <row r="184" spans="1:14" x14ac:dyDescent="0.45">
      <c r="H184" s="56"/>
      <c r="I184" s="56"/>
      <c r="J184" s="56"/>
    </row>
    <row r="185" spans="1:14" x14ac:dyDescent="0.45">
      <c r="H185" s="56"/>
      <c r="I185" s="56"/>
      <c r="J185" s="56"/>
    </row>
    <row r="186" spans="1:14" x14ac:dyDescent="0.45">
      <c r="H186" s="56"/>
      <c r="I186" s="56"/>
      <c r="J186" s="56"/>
    </row>
    <row r="187" spans="1:14" x14ac:dyDescent="0.45">
      <c r="H187" s="56"/>
      <c r="I187" s="56"/>
      <c r="J187" s="56"/>
    </row>
    <row r="188" spans="1:14" x14ac:dyDescent="0.45">
      <c r="H188" s="56"/>
      <c r="I188" s="56"/>
      <c r="J188" s="56"/>
    </row>
    <row r="189" spans="1:14" x14ac:dyDescent="0.45">
      <c r="H189" s="56"/>
      <c r="I189" s="56"/>
      <c r="J189" s="56"/>
    </row>
    <row r="190" spans="1:14" x14ac:dyDescent="0.45">
      <c r="H190" s="56"/>
      <c r="I190" s="56"/>
      <c r="J190" s="56"/>
    </row>
    <row r="191" spans="1:14" x14ac:dyDescent="0.45">
      <c r="H191" s="56"/>
      <c r="I191" s="56"/>
      <c r="J191" s="56"/>
    </row>
    <row r="192" spans="1:14" x14ac:dyDescent="0.45">
      <c r="H192" s="56"/>
      <c r="I192" s="56"/>
      <c r="J192" s="56"/>
    </row>
    <row r="193" spans="8:10" x14ac:dyDescent="0.45">
      <c r="H193" s="56"/>
      <c r="I193" s="56"/>
      <c r="J193" s="56"/>
    </row>
    <row r="194" spans="8:10" x14ac:dyDescent="0.45">
      <c r="H194" s="56"/>
      <c r="I194" s="56"/>
      <c r="J194" s="56"/>
    </row>
    <row r="195" spans="8:10" x14ac:dyDescent="0.45">
      <c r="H195" s="56"/>
      <c r="I195" s="56"/>
      <c r="J195" s="56"/>
    </row>
    <row r="196" spans="8:10" x14ac:dyDescent="0.45">
      <c r="H196" s="56"/>
      <c r="I196" s="56"/>
      <c r="J196" s="56"/>
    </row>
    <row r="197" spans="8:10" x14ac:dyDescent="0.45">
      <c r="H197" s="56"/>
      <c r="I197" s="56"/>
      <c r="J197" s="56"/>
    </row>
    <row r="198" spans="8:10" x14ac:dyDescent="0.45">
      <c r="H198" s="56"/>
      <c r="I198" s="56"/>
      <c r="J198" s="56"/>
    </row>
    <row r="199" spans="8:10" x14ac:dyDescent="0.45">
      <c r="H199" s="56"/>
      <c r="I199" s="56"/>
      <c r="J199" s="56"/>
    </row>
    <row r="200" spans="8:10" x14ac:dyDescent="0.45">
      <c r="H200" s="56"/>
      <c r="I200" s="56"/>
      <c r="J200" s="56"/>
    </row>
    <row r="201" spans="8:10" x14ac:dyDescent="0.45">
      <c r="H201" s="56"/>
      <c r="I201" s="56"/>
      <c r="J201" s="56"/>
    </row>
    <row r="202" spans="8:10" x14ac:dyDescent="0.45">
      <c r="H202" s="56"/>
      <c r="I202" s="56"/>
      <c r="J202" s="56"/>
    </row>
    <row r="203" spans="8:10" x14ac:dyDescent="0.45">
      <c r="H203" s="56"/>
      <c r="I203" s="56"/>
      <c r="J203" s="56"/>
    </row>
    <row r="204" spans="8:10" x14ac:dyDescent="0.45">
      <c r="H204" s="56"/>
      <c r="I204" s="56"/>
      <c r="J204" s="56"/>
    </row>
    <row r="205" spans="8:10" x14ac:dyDescent="0.45">
      <c r="H205" s="56"/>
      <c r="I205" s="56"/>
      <c r="J205" s="56"/>
    </row>
    <row r="206" spans="8:10" x14ac:dyDescent="0.45">
      <c r="H206" s="56"/>
      <c r="I206" s="56"/>
      <c r="J206" s="56"/>
    </row>
    <row r="207" spans="8:10" x14ac:dyDescent="0.45">
      <c r="H207" s="56"/>
      <c r="I207" s="56"/>
      <c r="J207" s="56"/>
    </row>
    <row r="208" spans="8:10" x14ac:dyDescent="0.45">
      <c r="H208" s="56"/>
      <c r="I208" s="56"/>
      <c r="J208" s="56"/>
    </row>
    <row r="209" spans="8:10" x14ac:dyDescent="0.45">
      <c r="H209" s="56"/>
      <c r="I209" s="56"/>
      <c r="J209" s="56"/>
    </row>
    <row r="210" spans="8:10" x14ac:dyDescent="0.45">
      <c r="H210" s="56"/>
      <c r="I210" s="56"/>
      <c r="J210" s="56"/>
    </row>
    <row r="211" spans="8:10" x14ac:dyDescent="0.45">
      <c r="H211" s="56"/>
      <c r="I211" s="56"/>
      <c r="J211" s="56"/>
    </row>
    <row r="212" spans="8:10" x14ac:dyDescent="0.45">
      <c r="H212" s="56"/>
      <c r="I212" s="56"/>
      <c r="J212" s="56"/>
    </row>
    <row r="213" spans="8:10" x14ac:dyDescent="0.45">
      <c r="H213" s="56"/>
      <c r="I213" s="56"/>
      <c r="J213" s="56"/>
    </row>
    <row r="214" spans="8:10" x14ac:dyDescent="0.45">
      <c r="H214" s="56"/>
      <c r="I214" s="56"/>
      <c r="J214" s="56"/>
    </row>
    <row r="215" spans="8:10" x14ac:dyDescent="0.45">
      <c r="H215" s="56"/>
      <c r="I215" s="56"/>
      <c r="J215" s="56"/>
    </row>
    <row r="216" spans="8:10" x14ac:dyDescent="0.45">
      <c r="H216" s="56"/>
      <c r="I216" s="56"/>
      <c r="J216" s="56"/>
    </row>
    <row r="217" spans="8:10" x14ac:dyDescent="0.45">
      <c r="H217" s="56"/>
      <c r="I217" s="56"/>
      <c r="J217"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AddChart2">
                <anchor moveWithCells="1" sizeWithCells="1">
                  <from>
                    <xdr:col>4</xdr:col>
                    <xdr:colOff>352425</xdr:colOff>
                    <xdr:row>0</xdr:row>
                    <xdr:rowOff>114300</xdr:rowOff>
                  </from>
                  <to>
                    <xdr:col>5</xdr:col>
                    <xdr:colOff>647700</xdr:colOff>
                    <xdr:row>2</xdr:row>
                    <xdr:rowOff>114300</xdr:rowOff>
                  </to>
                </anchor>
              </controlPr>
            </control>
          </mc:Choice>
        </mc:AlternateContent>
        <mc:AlternateContent xmlns:mc="http://schemas.openxmlformats.org/markup-compatibility/2006">
          <mc:Choice Requires="x14">
            <control shapeId="11266" r:id="rId5" name="Button 2">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Audit"/>
  <dimension ref="B1:U35"/>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21" ht="28.5" x14ac:dyDescent="0.85">
      <c r="B1" s="1" t="s">
        <v>2</v>
      </c>
    </row>
    <row r="3" spans="2:21" x14ac:dyDescent="0.45">
      <c r="I3" s="18" t="s">
        <v>41</v>
      </c>
      <c r="U3" s="18" t="s">
        <v>60</v>
      </c>
    </row>
    <row r="4" spans="2:21" x14ac:dyDescent="0.45">
      <c r="I4" s="38" t="s">
        <v>42</v>
      </c>
      <c r="U4" s="31" t="s">
        <v>61</v>
      </c>
    </row>
    <row r="5" spans="2:21" x14ac:dyDescent="0.45">
      <c r="B5" s="2" t="s">
        <v>3</v>
      </c>
      <c r="C5" s="6" t="s">
        <v>4</v>
      </c>
      <c r="D5" s="61" t="s">
        <v>5</v>
      </c>
      <c r="E5" s="3" t="s">
        <v>6</v>
      </c>
      <c r="F5" s="8" t="s">
        <v>7</v>
      </c>
      <c r="I5" t="s">
        <v>43</v>
      </c>
      <c r="U5" s="31" t="s">
        <v>62</v>
      </c>
    </row>
    <row r="6" spans="2:21" x14ac:dyDescent="0.45">
      <c r="B6" s="60">
        <v>20</v>
      </c>
      <c r="C6" s="11">
        <v>44419</v>
      </c>
      <c r="D6" s="62">
        <v>0.98135416666627862</v>
      </c>
      <c r="E6" s="12" t="s">
        <v>8</v>
      </c>
      <c r="F6" s="13" t="s">
        <v>445</v>
      </c>
      <c r="I6" t="s">
        <v>44</v>
      </c>
    </row>
    <row r="7" spans="2:21" x14ac:dyDescent="0.45">
      <c r="B7" s="60">
        <v>19</v>
      </c>
      <c r="C7" s="11">
        <v>44419</v>
      </c>
      <c r="D7" s="62">
        <v>0.82271990740991896</v>
      </c>
      <c r="E7" s="12" t="s">
        <v>8</v>
      </c>
      <c r="F7" s="13" t="s">
        <v>440</v>
      </c>
      <c r="I7" t="s">
        <v>50</v>
      </c>
    </row>
    <row r="8" spans="2:21" x14ac:dyDescent="0.45">
      <c r="B8" s="49">
        <v>18</v>
      </c>
      <c r="C8" s="11">
        <v>44419</v>
      </c>
      <c r="D8" s="62">
        <v>0.73975694444379769</v>
      </c>
      <c r="E8" s="12" t="s">
        <v>8</v>
      </c>
      <c r="F8" s="13" t="s">
        <v>436</v>
      </c>
      <c r="I8" s="38" t="s">
        <v>51</v>
      </c>
    </row>
    <row r="9" spans="2:21" x14ac:dyDescent="0.45">
      <c r="B9" s="49">
        <v>17</v>
      </c>
      <c r="C9" s="11">
        <v>44419</v>
      </c>
      <c r="D9" s="62">
        <v>0.708356481482042</v>
      </c>
      <c r="E9" s="12" t="s">
        <v>8</v>
      </c>
      <c r="F9" s="13" t="s">
        <v>432</v>
      </c>
      <c r="I9" s="38" t="s">
        <v>52</v>
      </c>
    </row>
    <row r="10" spans="2:21" x14ac:dyDescent="0.45">
      <c r="B10" s="49">
        <v>16</v>
      </c>
      <c r="C10" s="11">
        <v>44419</v>
      </c>
      <c r="D10" s="62">
        <v>0.51960648148087785</v>
      </c>
      <c r="E10" s="12" t="s">
        <v>8</v>
      </c>
      <c r="F10" s="13" t="s">
        <v>423</v>
      </c>
      <c r="I10" s="38" t="s">
        <v>57</v>
      </c>
    </row>
    <row r="11" spans="2:21" x14ac:dyDescent="0.45">
      <c r="B11" s="49">
        <v>15</v>
      </c>
      <c r="C11" s="11">
        <v>44419</v>
      </c>
      <c r="D11" s="62">
        <v>0.49577546296495711</v>
      </c>
      <c r="E11" s="12" t="s">
        <v>8</v>
      </c>
      <c r="F11" s="14" t="s">
        <v>422</v>
      </c>
      <c r="I11" s="44" t="s">
        <v>66</v>
      </c>
    </row>
    <row r="12" spans="2:21" x14ac:dyDescent="0.45">
      <c r="B12" s="49">
        <v>14</v>
      </c>
      <c r="C12" s="11">
        <v>44419</v>
      </c>
      <c r="D12" s="62">
        <v>0.49174768518423662</v>
      </c>
      <c r="E12" s="12" t="s">
        <v>8</v>
      </c>
      <c r="F12" s="13" t="s">
        <v>421</v>
      </c>
      <c r="I12" s="44" t="s">
        <v>63</v>
      </c>
    </row>
    <row r="13" spans="2:21" x14ac:dyDescent="0.45">
      <c r="B13" s="49">
        <v>13</v>
      </c>
      <c r="C13" s="11">
        <v>44419</v>
      </c>
      <c r="D13" s="62">
        <v>0.49034722222131677</v>
      </c>
      <c r="E13" s="12" t="s">
        <v>8</v>
      </c>
      <c r="F13" s="13" t="s">
        <v>420</v>
      </c>
      <c r="I13" s="38" t="s">
        <v>64</v>
      </c>
    </row>
    <row r="14" spans="2:21" x14ac:dyDescent="0.45">
      <c r="B14" s="49">
        <v>12</v>
      </c>
      <c r="C14" s="11">
        <v>44419</v>
      </c>
      <c r="D14" s="62">
        <v>0.48190972222073469</v>
      </c>
      <c r="E14" s="12" t="s">
        <v>8</v>
      </c>
      <c r="F14" s="13" t="s">
        <v>419</v>
      </c>
      <c r="I14" s="38" t="s">
        <v>65</v>
      </c>
    </row>
    <row r="15" spans="2:21" x14ac:dyDescent="0.45">
      <c r="B15" s="49">
        <v>11</v>
      </c>
      <c r="C15" s="11">
        <v>44418</v>
      </c>
      <c r="D15" s="62">
        <v>0.95467592592467554</v>
      </c>
      <c r="E15" s="12" t="s">
        <v>8</v>
      </c>
      <c r="F15" s="14" t="s">
        <v>412</v>
      </c>
      <c r="I15" s="44"/>
    </row>
    <row r="16" spans="2:21" x14ac:dyDescent="0.45">
      <c r="B16" s="49">
        <v>10</v>
      </c>
      <c r="C16" s="11">
        <v>44418</v>
      </c>
      <c r="D16" s="62">
        <v>0.73436342592322035</v>
      </c>
      <c r="E16" s="12" t="s">
        <v>8</v>
      </c>
      <c r="F16" s="14" t="s">
        <v>395</v>
      </c>
      <c r="I16" s="44" t="s">
        <v>68</v>
      </c>
    </row>
    <row r="17" spans="2:9" x14ac:dyDescent="0.45">
      <c r="B17" s="49">
        <v>9</v>
      </c>
      <c r="C17" s="11">
        <v>44417</v>
      </c>
      <c r="D17" s="62">
        <v>0.54605324073781958</v>
      </c>
      <c r="E17" s="12" t="s">
        <v>8</v>
      </c>
      <c r="F17" s="13" t="s">
        <v>393</v>
      </c>
      <c r="I17" s="44" t="s">
        <v>71</v>
      </c>
    </row>
    <row r="18" spans="2:9" x14ac:dyDescent="0.45">
      <c r="B18" s="49">
        <v>8</v>
      </c>
      <c r="C18" s="11">
        <v>44416</v>
      </c>
      <c r="D18" s="62">
        <v>0.54939814814861165</v>
      </c>
      <c r="E18" s="12" t="s">
        <v>8</v>
      </c>
      <c r="F18" s="13" t="s">
        <v>239</v>
      </c>
      <c r="I18" s="44" t="s">
        <v>241</v>
      </c>
    </row>
    <row r="19" spans="2:9" x14ac:dyDescent="0.45">
      <c r="B19" s="49">
        <v>7</v>
      </c>
      <c r="C19" s="11">
        <v>44415</v>
      </c>
      <c r="D19" s="62">
        <v>0.96137731481576338</v>
      </c>
      <c r="E19" s="12" t="s">
        <v>8</v>
      </c>
      <c r="F19" s="13" t="s">
        <v>230</v>
      </c>
      <c r="I19" s="38" t="s">
        <v>240</v>
      </c>
    </row>
    <row r="20" spans="2:9" x14ac:dyDescent="0.45">
      <c r="B20" s="49">
        <v>6</v>
      </c>
      <c r="C20" s="11">
        <v>44414</v>
      </c>
      <c r="D20" s="62">
        <v>0.66607638888672227</v>
      </c>
      <c r="E20" s="12" t="s">
        <v>8</v>
      </c>
      <c r="F20" s="14" t="s">
        <v>157</v>
      </c>
      <c r="I20" s="38" t="s">
        <v>413</v>
      </c>
    </row>
    <row r="21" spans="2:9" x14ac:dyDescent="0.45">
      <c r="B21" s="49">
        <v>5</v>
      </c>
      <c r="C21" s="11">
        <v>44412</v>
      </c>
      <c r="D21" s="62">
        <v>0.34912037036701804</v>
      </c>
      <c r="E21" s="12" t="s">
        <v>8</v>
      </c>
      <c r="F21" s="14" t="s">
        <v>69</v>
      </c>
      <c r="I21" s="44" t="s">
        <v>414</v>
      </c>
    </row>
    <row r="22" spans="2:9" x14ac:dyDescent="0.45">
      <c r="B22" s="49">
        <v>4</v>
      </c>
      <c r="C22" s="11">
        <v>44411</v>
      </c>
      <c r="D22" s="62">
        <v>0.37682870370190358</v>
      </c>
      <c r="E22" s="12" t="s">
        <v>8</v>
      </c>
      <c r="F22" s="13" t="s">
        <v>58</v>
      </c>
    </row>
    <row r="23" spans="2:9" x14ac:dyDescent="0.45">
      <c r="B23" s="49">
        <v>3</v>
      </c>
      <c r="C23" s="11">
        <v>44406</v>
      </c>
      <c r="D23" s="62">
        <v>0.59842592592758592</v>
      </c>
      <c r="E23" s="12" t="s">
        <v>8</v>
      </c>
      <c r="F23" s="13" t="s">
        <v>11</v>
      </c>
    </row>
    <row r="24" spans="2:9" x14ac:dyDescent="0.45">
      <c r="B24" s="49">
        <v>2</v>
      </c>
      <c r="C24" s="11">
        <v>44406</v>
      </c>
      <c r="D24" s="62">
        <v>0.57677083333692281</v>
      </c>
      <c r="E24" s="12" t="s">
        <v>8</v>
      </c>
      <c r="F24" s="14" t="s">
        <v>10</v>
      </c>
    </row>
    <row r="25" spans="2:9" x14ac:dyDescent="0.45">
      <c r="B25" s="4">
        <v>1</v>
      </c>
      <c r="C25" s="7">
        <v>44400</v>
      </c>
      <c r="D25" s="63">
        <v>0.58872685184906004</v>
      </c>
      <c r="E25" s="5" t="s">
        <v>8</v>
      </c>
      <c r="F25" s="9" t="s">
        <v>9</v>
      </c>
    </row>
    <row r="27" spans="2:9" x14ac:dyDescent="0.45">
      <c r="I27" s="18" t="s">
        <v>59</v>
      </c>
    </row>
    <row r="32" spans="2:9" x14ac:dyDescent="0.45">
      <c r="I32" t="s">
        <v>396</v>
      </c>
    </row>
    <row r="33" spans="9:9" x14ac:dyDescent="0.45">
      <c r="I33" s="38" t="s">
        <v>397</v>
      </c>
    </row>
    <row r="34" spans="9:9" x14ac:dyDescent="0.45">
      <c r="I34" s="38" t="s">
        <v>398</v>
      </c>
    </row>
    <row r="35" spans="9:9" x14ac:dyDescent="0.45">
      <c r="I35" s="38" t="s">
        <v>399</v>
      </c>
    </row>
  </sheetData>
  <sheetProtection sheet="1" objects="1" scenarios="1"/>
  <hyperlinks>
    <hyperlink ref="U4" r:id="rId1" xr:uid="{8DE4AD46-F841-4005-A873-3F36DF4ABD69}"/>
    <hyperlink ref="U5" r:id="rId2" xr:uid="{D795CA03-1BD2-46DB-989A-D68AAF05C76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0BD4D-4701-442D-AB7F-9E9888781DC4}">
  <sheetPr codeName="Sheet2"/>
  <dimension ref="A1:Q61"/>
  <sheetViews>
    <sheetView showGridLines="0" showRowColHeaders="0" workbookViewId="0"/>
  </sheetViews>
  <sheetFormatPr defaultRowHeight="14.25" x14ac:dyDescent="0.45"/>
  <cols>
    <col min="3" max="3" width="100.796875" bestFit="1" customWidth="1"/>
    <col min="5" max="5" width="38.73046875" bestFit="1" customWidth="1"/>
    <col min="8" max="8" width="17.19921875" bestFit="1" customWidth="1"/>
  </cols>
  <sheetData>
    <row r="1" spans="1:14" x14ac:dyDescent="0.45">
      <c r="E1" t="s">
        <v>293</v>
      </c>
      <c r="F1" s="10" t="s">
        <v>294</v>
      </c>
      <c r="G1" t="s">
        <v>295</v>
      </c>
    </row>
    <row r="2" spans="1:14" x14ac:dyDescent="0.45">
      <c r="C2" t="str" cm="1">
        <f t="array" aca="1" ref="C2" ca="1">INDEX(C4:C54,D2,1)</f>
        <v>C:\Users\phili\Downloads\VBA-CSV-interface\testing\tests\Unquoted field with quotes at end of field.csv</v>
      </c>
      <c r="D2" s="46">
        <v>50</v>
      </c>
      <c r="E2" t="b" cm="1">
        <f t="array" aca="1" ref="E2" ca="1">[1]!sArraysIdentical(CSVRead_V1(C2),CSVRead_V2(C2))</f>
        <v>1</v>
      </c>
      <c r="F2" t="b" cm="1">
        <f t="array" aca="1" ref="F2" ca="1">[1]!sArraysIdentical(CSVRead_V1(C2),CSVRead_sdkn104(C2,FALSE))</f>
        <v>0</v>
      </c>
      <c r="G2" t="b" cm="1">
        <f t="array" aca="1" ref="G2" ca="1">[1]!sArraysIdentical(_xlfn.ANCHORARRAY(D43),_xlfn.ANCHORARRAY(D26))</f>
        <v>0</v>
      </c>
    </row>
    <row r="4" spans="1:14" x14ac:dyDescent="0.45">
      <c r="A4" cm="1">
        <f t="array" aca="1" ref="A4" ca="1">SUM(LEN(CSVRead_V2(C4,FALSE,FALSE)))-SUM(LEN(SUBSTITUTE(CSVRead_V2(C4,FALSE,FALSE),"""","")))</f>
        <v>0</v>
      </c>
      <c r="B4" cm="1">
        <f t="array" aca="1" ref="B4:B54" ca="1">_xlfn.SEQUENCE(ROWS(C4:C54))</f>
        <v>1</v>
      </c>
      <c r="C4" s="45" t="s">
        <v>242</v>
      </c>
      <c r="H4" s="23"/>
    </row>
    <row r="5" spans="1:14" x14ac:dyDescent="0.45">
      <c r="A5" cm="1">
        <f t="array" aca="1" ref="A5" ca="1">SUM(LEN(CSVRead_V2(C5,FALSE,FALSE)))-SUM(LEN(SUBSTITUTE(CSVRead_V2(C5,FALSE,FALSE),"""","")))</f>
        <v>0</v>
      </c>
      <c r="B5">
        <f ca="1"/>
        <v>2</v>
      </c>
      <c r="C5" s="45" t="s">
        <v>243</v>
      </c>
    </row>
    <row r="6" spans="1:14" x14ac:dyDescent="0.45">
      <c r="A6" cm="1">
        <f t="array" aca="1" ref="A6" ca="1">SUM(LEN(CSVRead_V2(C6,FALSE,FALSE)))-SUM(LEN(SUBSTITUTE(CSVRead_V2(C6,FALSE,FALSE),"""","")))</f>
        <v>0</v>
      </c>
      <c r="B6">
        <f ca="1"/>
        <v>3</v>
      </c>
      <c r="C6" s="45" t="s">
        <v>244</v>
      </c>
      <c r="D6" t="str">
        <f ca="1">_xlfn.FORMULATEXT(D7)</f>
        <v>=CSVRead_V2(B2,FALSE,FALSE)</v>
      </c>
    </row>
    <row r="7" spans="1:14" x14ac:dyDescent="0.45">
      <c r="A7">
        <f t="array" aca="1" ref="A7" ca="1">SUM(LEN(CSVRead_V2(C7,FALSE,FALSE)))-SUM(LEN(SUBSTITUTE(CSVRead_V2(C7,FALSE,FALSE),"""","")))</f>
        <v>0</v>
      </c>
      <c r="B7">
        <f ca="1"/>
        <v>4</v>
      </c>
      <c r="C7" s="45" t="s">
        <v>245</v>
      </c>
      <c r="D7" t="str" cm="1">
        <f t="array" aca="1" ref="D7" ca="1">CSVRead_V2(C2,FALSE,FALSE)</f>
        <v>A,B",C</v>
      </c>
    </row>
    <row r="8" spans="1:14" x14ac:dyDescent="0.45">
      <c r="A8" cm="1">
        <f t="array" aca="1" ref="A8" ca="1">SUM(LEN(CSVRead_V2(C8,FALSE,FALSE)))-SUM(LEN(SUBSTITUTE(CSVRead_V2(C8,FALSE,FALSE),"""","")))</f>
        <v>0</v>
      </c>
      <c r="B8">
        <f ca="1"/>
        <v>5</v>
      </c>
      <c r="C8" s="45" t="s">
        <v>246</v>
      </c>
    </row>
    <row r="9" spans="1:14" x14ac:dyDescent="0.45">
      <c r="A9" cm="1">
        <f t="array" aca="1" ref="A9" ca="1">SUM(LEN(CSVRead_V2(C9,FALSE,FALSE)))-SUM(LEN(SUBSTITUTE(CSVRead_V2(C9,FALSE,FALSE),"""","")))</f>
        <v>22</v>
      </c>
      <c r="B9">
        <f ca="1"/>
        <v>6</v>
      </c>
      <c r="C9" s="45" t="s">
        <v>247</v>
      </c>
    </row>
    <row r="10" spans="1:14" x14ac:dyDescent="0.45">
      <c r="A10" cm="1">
        <f t="array" aca="1" ref="A10" ca="1">SUM(LEN(CSVRead_V2(C10,FALSE,FALSE)))-SUM(LEN(SUBSTITUTE(CSVRead_V2(C10,FALSE,FALSE),"""","")))</f>
        <v>0</v>
      </c>
      <c r="B10">
        <f ca="1"/>
        <v>7</v>
      </c>
      <c r="C10" s="45" t="s">
        <v>248</v>
      </c>
      <c r="L10" t="b" cm="1">
        <f t="array" aca="1" ref="L10:N10" ca="1">E2:G2</f>
        <v>1</v>
      </c>
      <c r="M10" t="b">
        <f ca="1"/>
        <v>0</v>
      </c>
      <c r="N10" t="b">
        <f ca="1"/>
        <v>0</v>
      </c>
    </row>
    <row r="11" spans="1:14" x14ac:dyDescent="0.45">
      <c r="A11" cm="1">
        <f t="array" aca="1" ref="A11" ca="1">SUM(LEN(CSVRead_V2(C11,FALSE,FALSE)))-SUM(LEN(SUBSTITUTE(CSVRead_V2(C11,FALSE,FALSE),"""","")))</f>
        <v>0</v>
      </c>
      <c r="B11">
        <f ca="1"/>
        <v>8</v>
      </c>
      <c r="C11" s="45" t="s">
        <v>249</v>
      </c>
      <c r="K11" cm="1">
        <f t="array" aca="1" ref="K11:K61" ca="1">_xlfn.SEQUENCE(51)</f>
        <v>1</v>
      </c>
    </row>
    <row r="12" spans="1:14" x14ac:dyDescent="0.45">
      <c r="A12" cm="1">
        <f t="array" aca="1" ref="A12" ca="1">SUM(LEN(CSVRead_V2(C12,FALSE,FALSE)))-SUM(LEN(SUBSTITUTE(CSVRead_V2(C12,FALSE,FALSE),"""","")))</f>
        <v>0</v>
      </c>
      <c r="B12">
        <f ca="1"/>
        <v>9</v>
      </c>
      <c r="C12" s="45" t="s">
        <v>250</v>
      </c>
      <c r="K12">
        <f ca="1"/>
        <v>2</v>
      </c>
    </row>
    <row r="13" spans="1:14" x14ac:dyDescent="0.45">
      <c r="A13" cm="1">
        <f t="array" aca="1" ref="A13" ca="1">SUM(LEN(CSVRead_V2(C13,FALSE,FALSE)))-SUM(LEN(SUBSTITUTE(CSVRead_V2(C13,FALSE,FALSE),"""","")))</f>
        <v>0</v>
      </c>
      <c r="B13">
        <f ca="1"/>
        <v>10</v>
      </c>
      <c r="C13" s="45" t="s">
        <v>251</v>
      </c>
      <c r="K13">
        <f ca="1"/>
        <v>3</v>
      </c>
    </row>
    <row r="14" spans="1:14" x14ac:dyDescent="0.45">
      <c r="A14" cm="1">
        <f t="array" aca="1" ref="A14" ca="1">SUM(LEN(CSVRead_V2(C14,FALSE,FALSE)))-SUM(LEN(SUBSTITUTE(CSVRead_V2(C14,FALSE,FALSE),"""","")))</f>
        <v>0</v>
      </c>
      <c r="B14">
        <f ca="1"/>
        <v>11</v>
      </c>
      <c r="C14" s="45" t="s">
        <v>252</v>
      </c>
      <c r="K14">
        <f ca="1"/>
        <v>4</v>
      </c>
    </row>
    <row r="15" spans="1:14" x14ac:dyDescent="0.45">
      <c r="A15" cm="1">
        <f t="array" aca="1" ref="A15" ca="1">SUM(LEN(CSVRead_V2(C15,FALSE,FALSE)))-SUM(LEN(SUBSTITUTE(CSVRead_V2(C15,FALSE,FALSE),"""","")))</f>
        <v>0</v>
      </c>
      <c r="B15">
        <f ca="1"/>
        <v>12</v>
      </c>
      <c r="C15" s="45" t="s">
        <v>253</v>
      </c>
      <c r="D15" t="str">
        <f ca="1">_xlfn.FORMULATEXT(D16)</f>
        <v>=CSVRead_V1(B2)</v>
      </c>
      <c r="E15" s="47"/>
      <c r="K15">
        <f ca="1"/>
        <v>5</v>
      </c>
    </row>
    <row r="16" spans="1:14" x14ac:dyDescent="0.45">
      <c r="A16" cm="1">
        <f t="array" aca="1" ref="A16" ca="1">SUM(LEN(CSVRead_V2(C16,FALSE,FALSE)))-SUM(LEN(SUBSTITUTE(CSVRead_V2(C16,FALSE,FALSE),"""","")))</f>
        <v>0</v>
      </c>
      <c r="B16">
        <f ca="1"/>
        <v>13</v>
      </c>
      <c r="C16" s="45" t="s">
        <v>254</v>
      </c>
      <c r="D16" t="str" cm="1">
        <f t="array" aca="1" ref="D16:E16" ca="1">CSVRead_V1(C2)</f>
        <v>A</v>
      </c>
      <c r="E16" t="str">
        <f ca="1"/>
        <v>B",C</v>
      </c>
      <c r="K16">
        <f ca="1"/>
        <v>6</v>
      </c>
    </row>
    <row r="17" spans="1:17" x14ac:dyDescent="0.45">
      <c r="A17" cm="1">
        <f t="array" aca="1" ref="A17" ca="1">SUM(LEN(CSVRead_V2(C17,FALSE,FALSE)))-SUM(LEN(SUBSTITUTE(CSVRead_V2(C17,FALSE,FALSE),"""","")))</f>
        <v>12</v>
      </c>
      <c r="B17">
        <f ca="1"/>
        <v>14</v>
      </c>
      <c r="C17" s="45" t="s">
        <v>255</v>
      </c>
      <c r="K17">
        <f ca="1"/>
        <v>7</v>
      </c>
    </row>
    <row r="18" spans="1:17" x14ac:dyDescent="0.45">
      <c r="A18" cm="1">
        <f t="array" aca="1" ref="A18" ca="1">SUM(LEN(CSVRead_V2(C18,FALSE,FALSE)))-SUM(LEN(SUBSTITUTE(CSVRead_V2(C18,FALSE,FALSE),"""","")))</f>
        <v>2</v>
      </c>
      <c r="B18">
        <f ca="1"/>
        <v>15</v>
      </c>
      <c r="C18" s="45" t="s">
        <v>256</v>
      </c>
      <c r="K18">
        <f ca="1"/>
        <v>8</v>
      </c>
      <c r="Q18" t="str" cm="1">
        <f t="array" aca="1" ref="Q18:Q19" ca="1">SUBSTITUTE(CSVRead_V2(C7,FALSE,FALSE),"""","")</f>
        <v>a,true,false</v>
      </c>
    </row>
    <row r="19" spans="1:17" x14ac:dyDescent="0.45">
      <c r="A19" cm="1">
        <f t="array" aca="1" ref="A19" ca="1">SUM(LEN(CSVRead_V2(C19,FALSE,FALSE)))-SUM(LEN(SUBSTITUTE(CSVRead_V2(C19,FALSE,FALSE),"""","")))</f>
        <v>2</v>
      </c>
      <c r="B19">
        <f ca="1"/>
        <v>16</v>
      </c>
      <c r="C19" s="45" t="s">
        <v>257</v>
      </c>
      <c r="K19">
        <f ca="1"/>
        <v>9</v>
      </c>
      <c r="Q19" t="str">
        <f ca="1"/>
        <v># Comment</v>
      </c>
    </row>
    <row r="20" spans="1:17" x14ac:dyDescent="0.45">
      <c r="A20" cm="1">
        <f t="array" aca="1" ref="A20" ca="1">SUM(LEN(CSVRead_V2(C20,FALSE,FALSE)))-SUM(LEN(SUBSTITUTE(CSVRead_V2(C20,FALSE,FALSE),"""","")))</f>
        <v>0</v>
      </c>
      <c r="B20">
        <f ca="1"/>
        <v>17</v>
      </c>
      <c r="C20" s="45" t="s">
        <v>258</v>
      </c>
      <c r="K20">
        <f ca="1"/>
        <v>10</v>
      </c>
    </row>
    <row r="21" spans="1:17" x14ac:dyDescent="0.45">
      <c r="A21" cm="1">
        <f t="array" aca="1" ref="A21" ca="1">SUM(LEN(CSVRead_V2(C21,FALSE,FALSE)))-SUM(LEN(SUBSTITUTE(CSVRead_V2(C21,FALSE,FALSE),"""","")))</f>
        <v>0</v>
      </c>
      <c r="B21">
        <f ca="1"/>
        <v>18</v>
      </c>
      <c r="C21" s="45" t="s">
        <v>259</v>
      </c>
      <c r="K21">
        <f ca="1"/>
        <v>11</v>
      </c>
    </row>
    <row r="22" spans="1:17" x14ac:dyDescent="0.45">
      <c r="A22" cm="1">
        <f t="array" aca="1" ref="A22" ca="1">SUM(LEN(CSVRead_V2(C22,FALSE,FALSE)))-SUM(LEN(SUBSTITUTE(CSVRead_V2(C22,FALSE,FALSE),"""","")))</f>
        <v>0</v>
      </c>
      <c r="B22">
        <f ca="1"/>
        <v>19</v>
      </c>
      <c r="C22" s="45" t="s">
        <v>260</v>
      </c>
      <c r="K22">
        <f ca="1"/>
        <v>12</v>
      </c>
    </row>
    <row r="23" spans="1:17" x14ac:dyDescent="0.45">
      <c r="A23" cm="1">
        <f t="array" aca="1" ref="A23" ca="1">SUM(LEN(CSVRead_V2(C23,FALSE,FALSE)))-SUM(LEN(SUBSTITUTE(CSVRead_V2(C23,FALSE,FALSE),"""","")))</f>
        <v>0</v>
      </c>
      <c r="B23">
        <f ca="1"/>
        <v>20</v>
      </c>
      <c r="C23" s="45" t="s">
        <v>261</v>
      </c>
      <c r="K23">
        <f ca="1"/>
        <v>13</v>
      </c>
    </row>
    <row r="24" spans="1:17" x14ac:dyDescent="0.45">
      <c r="A24" cm="1">
        <f t="array" aca="1" ref="A24" ca="1">SUM(LEN(CSVRead_V2(C24,FALSE,FALSE)))-SUM(LEN(SUBSTITUTE(CSVRead_V2(C24,FALSE,FALSE),"""","")))</f>
        <v>0</v>
      </c>
      <c r="B24">
        <f ca="1"/>
        <v>21</v>
      </c>
      <c r="C24" s="45" t="s">
        <v>262</v>
      </c>
      <c r="K24">
        <f ca="1"/>
        <v>14</v>
      </c>
    </row>
    <row r="25" spans="1:17" x14ac:dyDescent="0.45">
      <c r="A25" cm="1">
        <f t="array" aca="1" ref="A25" ca="1">SUM(LEN(CSVRead_V2(C25,FALSE,FALSE)))-SUM(LEN(SUBSTITUTE(CSVRead_V2(C25,FALSE,FALSE),"""","")))</f>
        <v>6</v>
      </c>
      <c r="B25">
        <f ca="1"/>
        <v>22</v>
      </c>
      <c r="C25" s="45" t="s">
        <v>263</v>
      </c>
      <c r="D25" t="str">
        <f ca="1">_xlfn.FORMULATEXT(D26)</f>
        <v>=CSVRead_V2(B2)</v>
      </c>
      <c r="K25">
        <f ca="1"/>
        <v>15</v>
      </c>
    </row>
    <row r="26" spans="1:17" x14ac:dyDescent="0.45">
      <c r="A26" cm="1">
        <f t="array" aca="1" ref="A26" ca="1">SUM(LEN(CSVRead_V2(C26,FALSE,FALSE)))-SUM(LEN(SUBSTITUTE(CSVRead_V2(C26,FALSE,FALSE),"""","")))</f>
        <v>1</v>
      </c>
      <c r="B26">
        <f ca="1"/>
        <v>23</v>
      </c>
      <c r="C26" s="45" t="s">
        <v>264</v>
      </c>
      <c r="D26" t="str" cm="1">
        <f t="array" aca="1" ref="D26:E26" ca="1">CSVRead_V2(C2)</f>
        <v>A</v>
      </c>
      <c r="E26" t="str">
        <f ca="1"/>
        <v>B",C</v>
      </c>
      <c r="K26">
        <f ca="1"/>
        <v>16</v>
      </c>
    </row>
    <row r="27" spans="1:17" x14ac:dyDescent="0.45">
      <c r="A27" cm="1">
        <f t="array" aca="1" ref="A27" ca="1">SUM(LEN(CSVRead_V2(C27,FALSE,FALSE)))-SUM(LEN(SUBSTITUTE(CSVRead_V2(C27,FALSE,FALSE),"""","")))</f>
        <v>14</v>
      </c>
      <c r="B27">
        <f ca="1"/>
        <v>24</v>
      </c>
      <c r="C27" s="45" t="s">
        <v>265</v>
      </c>
      <c r="K27">
        <f ca="1"/>
        <v>17</v>
      </c>
    </row>
    <row r="28" spans="1:17" x14ac:dyDescent="0.45">
      <c r="A28" cm="1">
        <f t="array" aca="1" ref="A28" ca="1">SUM(LEN(CSVRead_V2(C28,FALSE,FALSE)))-SUM(LEN(SUBSTITUTE(CSVRead_V2(C28,FALSE,FALSE),"""","")))</f>
        <v>2</v>
      </c>
      <c r="B28">
        <f ca="1"/>
        <v>25</v>
      </c>
      <c r="C28" s="45" t="s">
        <v>266</v>
      </c>
      <c r="K28">
        <f ca="1"/>
        <v>18</v>
      </c>
    </row>
    <row r="29" spans="1:17" x14ac:dyDescent="0.45">
      <c r="A29" cm="1">
        <f t="array" aca="1" ref="A29" ca="1">SUM(LEN(CSVRead_V2(C29,FALSE,FALSE)))-SUM(LEN(SUBSTITUTE(CSVRead_V2(C29,FALSE,FALSE),"""","")))</f>
        <v>6</v>
      </c>
      <c r="B29">
        <f ca="1"/>
        <v>26</v>
      </c>
      <c r="C29" s="45" t="s">
        <v>267</v>
      </c>
      <c r="K29">
        <f ca="1"/>
        <v>19</v>
      </c>
    </row>
    <row r="30" spans="1:17" x14ac:dyDescent="0.45">
      <c r="A30" cm="1">
        <f t="array" aca="1" ref="A30" ca="1">SUM(LEN(CSVRead_V2(C30,FALSE,FALSE)))-SUM(LEN(SUBSTITUTE(CSVRead_V2(C30,FALSE,FALSE),"""","")))</f>
        <v>6</v>
      </c>
      <c r="B30">
        <f ca="1"/>
        <v>27</v>
      </c>
      <c r="C30" s="45" t="s">
        <v>268</v>
      </c>
      <c r="K30">
        <f ca="1"/>
        <v>20</v>
      </c>
    </row>
    <row r="31" spans="1:17" x14ac:dyDescent="0.45">
      <c r="A31" cm="1">
        <f t="array" aca="1" ref="A31" ca="1">SUM(LEN(CSVRead_V2(C31,FALSE,FALSE)))-SUM(LEN(SUBSTITUTE(CSVRead_V2(C31,FALSE,FALSE),"""","")))</f>
        <v>2</v>
      </c>
      <c r="B31">
        <f ca="1"/>
        <v>28</v>
      </c>
      <c r="C31" s="45" t="s">
        <v>269</v>
      </c>
      <c r="K31">
        <f ca="1"/>
        <v>21</v>
      </c>
    </row>
    <row r="32" spans="1:17" x14ac:dyDescent="0.45">
      <c r="A32" cm="1">
        <f t="array" aca="1" ref="A32" ca="1">SUM(LEN(CSVRead_V2(C32,FALSE,FALSE)))-SUM(LEN(SUBSTITUTE(CSVRead_V2(C32,FALSE,FALSE),"""","")))</f>
        <v>2</v>
      </c>
      <c r="B32">
        <f ca="1"/>
        <v>29</v>
      </c>
      <c r="C32" s="45" t="s">
        <v>270</v>
      </c>
      <c r="K32">
        <f ca="1"/>
        <v>22</v>
      </c>
    </row>
    <row r="33" spans="1:11" x14ac:dyDescent="0.45">
      <c r="A33" cm="1">
        <f t="array" aca="1" ref="A33" ca="1">SUM(LEN(CSVRead_V2(C33,FALSE,FALSE)))-SUM(LEN(SUBSTITUTE(CSVRead_V2(C33,FALSE,FALSE),"""","")))</f>
        <v>6</v>
      </c>
      <c r="B33">
        <f ca="1"/>
        <v>30</v>
      </c>
      <c r="C33" s="45" t="s">
        <v>271</v>
      </c>
      <c r="K33">
        <f ca="1"/>
        <v>23</v>
      </c>
    </row>
    <row r="34" spans="1:11" x14ac:dyDescent="0.45">
      <c r="A34" cm="1">
        <f t="array" aca="1" ref="A34" ca="1">SUM(LEN(CSVRead_V2(C34,FALSE,FALSE)))-SUM(LEN(SUBSTITUTE(CSVRead_V2(C34,FALSE,FALSE),"""","")))</f>
        <v>4</v>
      </c>
      <c r="B34">
        <f ca="1"/>
        <v>31</v>
      </c>
      <c r="C34" s="45" t="s">
        <v>272</v>
      </c>
      <c r="D34" t="str">
        <f ca="1">_xlfn.FORMULATEXT(D35)</f>
        <v>=CSVRead_sdkn104(B2,FALSE)</v>
      </c>
      <c r="K34">
        <f ca="1"/>
        <v>24</v>
      </c>
    </row>
    <row r="35" spans="1:11" x14ac:dyDescent="0.45">
      <c r="A35" cm="1">
        <f t="array" aca="1" ref="A35" ca="1">SUM(LEN(CSVRead_V2(C35,FALSE,FALSE)))-SUM(LEN(SUBSTITUTE(CSVRead_V2(C35,FALSE,FALSE),"""","")))</f>
        <v>4</v>
      </c>
      <c r="B35">
        <f ca="1"/>
        <v>32</v>
      </c>
      <c r="C35" s="45" t="s">
        <v>273</v>
      </c>
      <c r="D35" cm="1">
        <f t="array" aca="1" ref="D35" ca="1">CSVRead_sdkn104(C2,FALSE)</f>
        <v>0</v>
      </c>
      <c r="K35">
        <f ca="1"/>
        <v>25</v>
      </c>
    </row>
    <row r="36" spans="1:11" x14ac:dyDescent="0.45">
      <c r="A36" cm="1">
        <f t="array" aca="1" ref="A36" ca="1">SUM(LEN(CSVRead_V2(C36,FALSE,FALSE)))-SUM(LEN(SUBSTITUTE(CSVRead_V2(C36,FALSE,FALSE),"""","")))</f>
        <v>4</v>
      </c>
      <c r="B36">
        <f ca="1"/>
        <v>33</v>
      </c>
      <c r="C36" s="45" t="s">
        <v>274</v>
      </c>
      <c r="K36">
        <f ca="1"/>
        <v>26</v>
      </c>
    </row>
    <row r="37" spans="1:11" x14ac:dyDescent="0.45">
      <c r="A37" cm="1">
        <f t="array" aca="1" ref="A37" ca="1">SUM(LEN(CSVRead_V2(C37,FALSE,FALSE)))-SUM(LEN(SUBSTITUTE(CSVRead_V2(C37,FALSE,FALSE),"""","")))</f>
        <v>2</v>
      </c>
      <c r="B37">
        <f ca="1"/>
        <v>34</v>
      </c>
      <c r="C37" s="45" t="s">
        <v>275</v>
      </c>
      <c r="K37">
        <f ca="1"/>
        <v>27</v>
      </c>
    </row>
    <row r="38" spans="1:11" x14ac:dyDescent="0.45">
      <c r="A38" cm="1">
        <f t="array" aca="1" ref="A38" ca="1">SUM(LEN(CSVRead_V2(C38,FALSE,FALSE)))-SUM(LEN(SUBSTITUTE(CSVRead_V2(C38,FALSE,FALSE),"""","")))</f>
        <v>2</v>
      </c>
      <c r="B38">
        <f ca="1"/>
        <v>35</v>
      </c>
      <c r="C38" s="45" t="s">
        <v>276</v>
      </c>
      <c r="K38">
        <f ca="1"/>
        <v>28</v>
      </c>
    </row>
    <row r="39" spans="1:11" x14ac:dyDescent="0.45">
      <c r="A39" cm="1">
        <f t="array" aca="1" ref="A39" ca="1">SUM(LEN(CSVRead_V2(C39,FALSE,FALSE)))-SUM(LEN(SUBSTITUTE(CSVRead_V2(C39,FALSE,FALSE),"""","")))</f>
        <v>2</v>
      </c>
      <c r="B39">
        <f ca="1"/>
        <v>36</v>
      </c>
      <c r="C39" s="45" t="s">
        <v>277</v>
      </c>
      <c r="K39">
        <f ca="1"/>
        <v>29</v>
      </c>
    </row>
    <row r="40" spans="1:11" x14ac:dyDescent="0.45">
      <c r="A40" cm="1">
        <f t="array" aca="1" ref="A40" ca="1">SUM(LEN(CSVRead_V2(C40,FALSE,FALSE)))-SUM(LEN(SUBSTITUTE(CSVRead_V2(C40,FALSE,FALSE),"""","")))</f>
        <v>4</v>
      </c>
      <c r="B40">
        <f ca="1"/>
        <v>37</v>
      </c>
      <c r="C40" s="45" t="s">
        <v>278</v>
      </c>
      <c r="K40">
        <f ca="1"/>
        <v>30</v>
      </c>
    </row>
    <row r="41" spans="1:11" x14ac:dyDescent="0.45">
      <c r="A41" cm="1">
        <f t="array" aca="1" ref="A41" ca="1">SUM(LEN(CSVRead_V2(C41,FALSE,FALSE)))-SUM(LEN(SUBSTITUTE(CSVRead_V2(C41,FALSE,FALSE),"""","")))</f>
        <v>0</v>
      </c>
      <c r="B41">
        <f ca="1"/>
        <v>38</v>
      </c>
      <c r="C41" s="45" t="s">
        <v>279</v>
      </c>
      <c r="K41">
        <f ca="1"/>
        <v>31</v>
      </c>
    </row>
    <row r="42" spans="1:11" x14ac:dyDescent="0.45">
      <c r="A42" cm="1">
        <f t="array" aca="1" ref="A42" ca="1">SUM(LEN(CSVRead_V2(C42,FALSE,FALSE)))-SUM(LEN(SUBSTITUTE(CSVRead_V2(C42,FALSE,FALSE),"""","")))</f>
        <v>0</v>
      </c>
      <c r="B42">
        <f ca="1"/>
        <v>39</v>
      </c>
      <c r="C42" s="45" t="s">
        <v>280</v>
      </c>
      <c r="D42" t="str">
        <f ca="1">_xlfn.FORMULATEXT(D43)</f>
        <v>=CSVRead_ws_garcia(B2,",","Unix")</v>
      </c>
      <c r="K42">
        <f ca="1"/>
        <v>32</v>
      </c>
    </row>
    <row r="43" spans="1:11" x14ac:dyDescent="0.45">
      <c r="A43" cm="1">
        <f t="array" aca="1" ref="A43" ca="1">SUM(LEN(CSVRead_V2(C43,FALSE,FALSE)))-SUM(LEN(SUBSTITUTE(CSVRead_V2(C43,FALSE,FALSE),"""","")))</f>
        <v>0</v>
      </c>
      <c r="B43">
        <f ca="1"/>
        <v>40</v>
      </c>
      <c r="C43" s="45" t="s">
        <v>281</v>
      </c>
      <c r="D43" t="str" cm="1">
        <f t="array" aca="1" ref="D43:F43" ca="1">CSVRead_ws_garcia(C2,",","Unix")</f>
        <v>A</v>
      </c>
      <c r="E43" t="str">
        <f ca="1"/>
        <v>B"</v>
      </c>
      <c r="F43" t="str">
        <f ca="1"/>
        <v>C</v>
      </c>
      <c r="K43">
        <f ca="1"/>
        <v>33</v>
      </c>
    </row>
    <row r="44" spans="1:11" x14ac:dyDescent="0.45">
      <c r="A44" cm="1">
        <f t="array" aca="1" ref="A44" ca="1">SUM(LEN(CSVRead_V2(C44,FALSE,FALSE)))-SUM(LEN(SUBSTITUTE(CSVRead_V2(C44,FALSE,FALSE),"""","")))</f>
        <v>0</v>
      </c>
      <c r="B44">
        <f ca="1"/>
        <v>41</v>
      </c>
      <c r="C44" s="45" t="s">
        <v>282</v>
      </c>
      <c r="K44">
        <f ca="1"/>
        <v>34</v>
      </c>
    </row>
    <row r="45" spans="1:11" x14ac:dyDescent="0.45">
      <c r="A45" cm="1">
        <f t="array" aca="1" ref="A45" ca="1">SUM(LEN(CSVRead_V2(C45,FALSE,FALSE)))-SUM(LEN(SUBSTITUTE(CSVRead_V2(C45,FALSE,FALSE),"""","")))</f>
        <v>0</v>
      </c>
      <c r="B45">
        <f ca="1"/>
        <v>42</v>
      </c>
      <c r="C45" s="45" t="s">
        <v>283</v>
      </c>
      <c r="K45">
        <f ca="1"/>
        <v>35</v>
      </c>
    </row>
    <row r="46" spans="1:11" x14ac:dyDescent="0.45">
      <c r="A46" cm="1">
        <f t="array" aca="1" ref="A46" ca="1">SUM(LEN(CSVRead_V2(C46,FALSE,FALSE)))-SUM(LEN(SUBSTITUTE(CSVRead_V2(C46,FALSE,FALSE),"""","")))</f>
        <v>0</v>
      </c>
      <c r="B46">
        <f ca="1"/>
        <v>43</v>
      </c>
      <c r="C46" s="45" t="s">
        <v>284</v>
      </c>
      <c r="K46">
        <f ca="1"/>
        <v>36</v>
      </c>
    </row>
    <row r="47" spans="1:11" x14ac:dyDescent="0.45">
      <c r="A47" cm="1">
        <f t="array" aca="1" ref="A47" ca="1">SUM(LEN(CSVRead_V2(C47,FALSE,FALSE)))-SUM(LEN(SUBSTITUTE(CSVRead_V2(C47,FALSE,FALSE),"""","")))</f>
        <v>0</v>
      </c>
      <c r="B47">
        <f ca="1"/>
        <v>44</v>
      </c>
      <c r="C47" s="45" t="s">
        <v>285</v>
      </c>
      <c r="K47">
        <f ca="1"/>
        <v>37</v>
      </c>
    </row>
    <row r="48" spans="1:11" x14ac:dyDescent="0.45">
      <c r="A48" cm="1">
        <f t="array" aca="1" ref="A48" ca="1">SUM(LEN(CSVRead_V2(C48,FALSE,FALSE)))-SUM(LEN(SUBSTITUTE(CSVRead_V2(C48,FALSE,FALSE),"""","")))</f>
        <v>155</v>
      </c>
      <c r="B48">
        <f ca="1"/>
        <v>45</v>
      </c>
      <c r="C48" s="45" t="s">
        <v>286</v>
      </c>
      <c r="D48" t="str">
        <f ca="1">_xlfn.FORMULATEXT(D49)</f>
        <v>=sFileShow(C2)</v>
      </c>
      <c r="K48">
        <f ca="1"/>
        <v>38</v>
      </c>
    </row>
    <row r="49" spans="1:11" x14ac:dyDescent="0.45">
      <c r="A49" cm="1">
        <f t="array" aca="1" ref="A49" ca="1">SUM(LEN(CSVRead_V2(C49,FALSE,FALSE)))-SUM(LEN(SUBSTITUTE(CSVRead_V2(C49,FALSE,FALSE),"""","")))</f>
        <v>0</v>
      </c>
      <c r="B49">
        <f ca="1"/>
        <v>46</v>
      </c>
      <c r="C49" s="45" t="s">
        <v>287</v>
      </c>
      <c r="D49" t="str" cm="1">
        <f t="array" aca="1" ref="D49:E49" ca="1">[1]!sFileShow(C2)</f>
        <v>A</v>
      </c>
      <c r="E49" t="str">
        <f ca="1"/>
        <v>B",C</v>
      </c>
      <c r="K49">
        <f ca="1"/>
        <v>39</v>
      </c>
    </row>
    <row r="50" spans="1:11" x14ac:dyDescent="0.45">
      <c r="A50" cm="1">
        <f t="array" aca="1" ref="A50" ca="1">SUM(LEN(CSVRead_V2(C50,FALSE,FALSE)))-SUM(LEN(SUBSTITUTE(CSVRead_V2(C50,FALSE,FALSE),"""","")))</f>
        <v>0</v>
      </c>
      <c r="B50">
        <f ca="1"/>
        <v>47</v>
      </c>
      <c r="C50" s="45" t="s">
        <v>288</v>
      </c>
      <c r="K50">
        <f ca="1"/>
        <v>40</v>
      </c>
    </row>
    <row r="51" spans="1:11" x14ac:dyDescent="0.45">
      <c r="A51" cm="1">
        <f t="array" aca="1" ref="A51" ca="1">SUM(LEN(CSVRead_V2(C51,FALSE,FALSE)))-SUM(LEN(SUBSTITUTE(CSVRead_V2(C51,FALSE,FALSE),"""","")))</f>
        <v>0</v>
      </c>
      <c r="B51">
        <f ca="1"/>
        <v>48</v>
      </c>
      <c r="C51" s="45" t="s">
        <v>289</v>
      </c>
      <c r="K51">
        <f ca="1"/>
        <v>41</v>
      </c>
    </row>
    <row r="52" spans="1:11" x14ac:dyDescent="0.45">
      <c r="A52" cm="1">
        <f t="array" aca="1" ref="A52" ca="1">SUM(LEN(CSVRead_V2(C52,FALSE,FALSE)))-SUM(LEN(SUBSTITUTE(CSVRead_V2(C52,FALSE,FALSE),"""","")))</f>
        <v>0</v>
      </c>
      <c r="B52">
        <f ca="1"/>
        <v>49</v>
      </c>
      <c r="C52" s="45" t="s">
        <v>290</v>
      </c>
      <c r="K52">
        <f ca="1"/>
        <v>42</v>
      </c>
    </row>
    <row r="53" spans="1:11" x14ac:dyDescent="0.45">
      <c r="A53" cm="1">
        <f t="array" aca="1" ref="A53" ca="1">SUM(LEN(CSVRead_V2(C53,FALSE,FALSE)))-SUM(LEN(SUBSTITUTE(CSVRead_V2(C53,FALSE,FALSE),"""","")))</f>
        <v>1</v>
      </c>
      <c r="B53">
        <f ca="1"/>
        <v>50</v>
      </c>
      <c r="C53" s="45" t="s">
        <v>291</v>
      </c>
      <c r="K53">
        <f ca="1"/>
        <v>43</v>
      </c>
    </row>
    <row r="54" spans="1:11" x14ac:dyDescent="0.45">
      <c r="A54" cm="1">
        <f t="array" aca="1" ref="A54" ca="1">SUM(LEN(CSVRead_V2(C54,FALSE,FALSE)))-SUM(LEN(SUBSTITUTE(CSVRead_V2(C54,FALSE,FALSE),"""","")))</f>
        <v>0</v>
      </c>
      <c r="B54">
        <f ca="1"/>
        <v>51</v>
      </c>
      <c r="C54" s="45" t="s">
        <v>292</v>
      </c>
      <c r="K54">
        <f ca="1"/>
        <v>44</v>
      </c>
    </row>
    <row r="55" spans="1:11" x14ac:dyDescent="0.45">
      <c r="K55">
        <f ca="1"/>
        <v>45</v>
      </c>
    </row>
    <row r="56" spans="1:11" x14ac:dyDescent="0.45">
      <c r="K56">
        <f ca="1"/>
        <v>46</v>
      </c>
    </row>
    <row r="57" spans="1:11" x14ac:dyDescent="0.45">
      <c r="K57">
        <f ca="1"/>
        <v>47</v>
      </c>
    </row>
    <row r="58" spans="1:11" x14ac:dyDescent="0.45">
      <c r="K58">
        <f ca="1"/>
        <v>48</v>
      </c>
    </row>
    <row r="59" spans="1:11" x14ac:dyDescent="0.45">
      <c r="K59">
        <f ca="1"/>
        <v>49</v>
      </c>
    </row>
    <row r="60" spans="1:11" x14ac:dyDescent="0.45">
      <c r="K60">
        <f ca="1"/>
        <v>50</v>
      </c>
    </row>
    <row r="61" spans="1:11" x14ac:dyDescent="0.45">
      <c r="K61">
        <f ca="1"/>
        <v>51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0729E-6A87-4D0A-A713-0A120971435D}">
  <sheetPr codeName="Sheet4"/>
  <dimension ref="B2:X713"/>
  <sheetViews>
    <sheetView showGridLines="0" showRowColHeaders="0" workbookViewId="0"/>
  </sheetViews>
  <sheetFormatPr defaultRowHeight="14.25" x14ac:dyDescent="0.45"/>
  <cols>
    <col min="15" max="15" width="14.796875" bestFit="1" customWidth="1"/>
  </cols>
  <sheetData>
    <row r="2" spans="2:18" x14ac:dyDescent="0.45">
      <c r="B2" t="s">
        <v>20</v>
      </c>
    </row>
    <row r="5" spans="2:18" x14ac:dyDescent="0.45">
      <c r="B5" t="s" cm="1">
        <v>310</v>
      </c>
      <c r="C5" t="s">
        <v>311</v>
      </c>
      <c r="D5" t="s">
        <v>312</v>
      </c>
      <c r="E5" t="s">
        <v>313</v>
      </c>
      <c r="F5" t="s">
        <v>314</v>
      </c>
      <c r="G5" t="s">
        <v>315</v>
      </c>
      <c r="H5" t="s">
        <v>316</v>
      </c>
      <c r="I5" t="s">
        <v>317</v>
      </c>
      <c r="J5" t="s">
        <v>318</v>
      </c>
      <c r="K5" t="s">
        <v>319</v>
      </c>
    </row>
    <row r="6" spans="2:18" x14ac:dyDescent="0.45">
      <c r="B6" t="s">
        <v>320</v>
      </c>
      <c r="C6" t="s">
        <v>308</v>
      </c>
      <c r="D6" t="s">
        <v>321</v>
      </c>
      <c r="E6" t="s">
        <v>322</v>
      </c>
      <c r="F6" t="s">
        <v>323</v>
      </c>
      <c r="G6" t="s">
        <v>324</v>
      </c>
      <c r="H6" t="s">
        <v>325</v>
      </c>
      <c r="I6" t="s">
        <v>326</v>
      </c>
      <c r="J6" t="s">
        <v>327</v>
      </c>
      <c r="K6" t="s">
        <v>328</v>
      </c>
    </row>
    <row r="7" spans="2:18" x14ac:dyDescent="0.45">
      <c r="B7" t="s">
        <v>329</v>
      </c>
      <c r="C7">
        <v>6</v>
      </c>
      <c r="D7" t="s">
        <v>330</v>
      </c>
      <c r="E7" t="s">
        <v>331</v>
      </c>
      <c r="F7" t="s">
        <v>332</v>
      </c>
      <c r="G7" t="s">
        <v>333</v>
      </c>
      <c r="H7" t="s">
        <v>334</v>
      </c>
      <c r="I7" t="s">
        <v>335</v>
      </c>
      <c r="J7" t="s">
        <v>336</v>
      </c>
      <c r="K7" t="s">
        <v>337</v>
      </c>
      <c r="Q7" t="s">
        <v>340</v>
      </c>
      <c r="R7" t="s">
        <v>341</v>
      </c>
    </row>
    <row r="8" spans="2:18" x14ac:dyDescent="0.45">
      <c r="B8" t="s">
        <v>338</v>
      </c>
      <c r="C8" t="s">
        <v>339</v>
      </c>
      <c r="D8" t="s">
        <v>340</v>
      </c>
      <c r="E8" t="s">
        <v>341</v>
      </c>
      <c r="F8" t="s">
        <v>342</v>
      </c>
      <c r="G8" t="s">
        <v>343</v>
      </c>
      <c r="H8" t="s">
        <v>344</v>
      </c>
      <c r="I8" t="s">
        <v>345</v>
      </c>
      <c r="J8" t="s">
        <v>346</v>
      </c>
      <c r="K8" t="s">
        <v>347</v>
      </c>
      <c r="Q8" t="s">
        <v>342</v>
      </c>
      <c r="R8" t="s">
        <v>343</v>
      </c>
    </row>
    <row r="9" spans="2:18" x14ac:dyDescent="0.45">
      <c r="B9" t="s">
        <v>70</v>
      </c>
      <c r="C9" t="s">
        <v>348</v>
      </c>
      <c r="D9" t="s">
        <v>349</v>
      </c>
      <c r="E9" t="s">
        <v>350</v>
      </c>
      <c r="F9" t="s">
        <v>351</v>
      </c>
      <c r="G9" t="s">
        <v>352</v>
      </c>
      <c r="H9" t="s">
        <v>353</v>
      </c>
      <c r="I9" t="s">
        <v>354</v>
      </c>
      <c r="J9" t="s">
        <v>355</v>
      </c>
      <c r="K9" t="s">
        <v>356</v>
      </c>
    </row>
    <row r="10" spans="2:18" x14ac:dyDescent="0.45">
      <c r="B10" t="s">
        <v>357</v>
      </c>
      <c r="C10" t="s">
        <v>358</v>
      </c>
      <c r="D10" t="s">
        <v>359</v>
      </c>
      <c r="E10" t="s">
        <v>360</v>
      </c>
      <c r="F10" t="s">
        <v>361</v>
      </c>
      <c r="G10" t="s">
        <v>362</v>
      </c>
      <c r="H10" t="s">
        <v>363</v>
      </c>
      <c r="I10" t="s">
        <v>364</v>
      </c>
      <c r="J10" t="s">
        <v>365</v>
      </c>
      <c r="K10" t="s">
        <v>366</v>
      </c>
      <c r="Q10" t="s">
        <v>442</v>
      </c>
    </row>
    <row r="11" spans="2:18" x14ac:dyDescent="0.45">
      <c r="B11" t="s">
        <v>367</v>
      </c>
      <c r="C11" t="s">
        <v>368</v>
      </c>
      <c r="D11" t="s">
        <v>369</v>
      </c>
      <c r="E11" t="s">
        <v>370</v>
      </c>
      <c r="F11" t="s">
        <v>296</v>
      </c>
      <c r="G11" t="s">
        <v>297</v>
      </c>
      <c r="H11" t="s">
        <v>298</v>
      </c>
      <c r="I11" t="s">
        <v>299</v>
      </c>
      <c r="J11" t="s">
        <v>300</v>
      </c>
      <c r="K11" t="s">
        <v>301</v>
      </c>
      <c r="Q11" t="str" cm="1">
        <f t="array" aca="1" ref="Q11" ca="1">CSVWrite(Q10,Q7:R8)</f>
        <v>c:\temp\smalltest.csv</v>
      </c>
    </row>
    <row r="12" spans="2:18" x14ac:dyDescent="0.45">
      <c r="B12" t="s">
        <v>302</v>
      </c>
      <c r="C12" t="s">
        <v>303</v>
      </c>
      <c r="D12" t="s">
        <v>304</v>
      </c>
      <c r="E12" t="s">
        <v>305</v>
      </c>
      <c r="F12" t="s">
        <v>306</v>
      </c>
      <c r="G12" t="s">
        <v>307</v>
      </c>
      <c r="H12" t="s">
        <v>371</v>
      </c>
      <c r="I12" t="s">
        <v>372</v>
      </c>
      <c r="J12" t="s">
        <v>373</v>
      </c>
      <c r="K12" t="s">
        <v>374</v>
      </c>
      <c r="Q12" t="str" cm="1">
        <f t="array" aca="1" ref="Q12:R13" ca="1">csvread(Q11,FALSE,",",,,,,,FALSE)</f>
        <v>A</v>
      </c>
      <c r="R12" t="str">
        <f ca="1"/>
        <v>B</v>
      </c>
    </row>
    <row r="13" spans="2:18" x14ac:dyDescent="0.45">
      <c r="B13" t="s">
        <v>375</v>
      </c>
      <c r="C13" t="s">
        <v>376</v>
      </c>
      <c r="D13" t="s">
        <v>377</v>
      </c>
      <c r="E13" t="s">
        <v>378</v>
      </c>
      <c r="F13" t="s">
        <v>379</v>
      </c>
      <c r="G13" t="s">
        <v>380</v>
      </c>
      <c r="H13" t="s">
        <v>381</v>
      </c>
      <c r="I13" t="s">
        <v>70</v>
      </c>
      <c r="J13" t="s">
        <v>382</v>
      </c>
      <c r="K13" t="s">
        <v>383</v>
      </c>
      <c r="Q13" t="str">
        <f ca="1"/>
        <v>C</v>
      </c>
      <c r="R13" t="str">
        <f ca="1"/>
        <v>D</v>
      </c>
    </row>
    <row r="14" spans="2:18" x14ac:dyDescent="0.45">
      <c r="B14" s="10" t="s">
        <v>311</v>
      </c>
      <c r="C14" t="s">
        <v>384</v>
      </c>
      <c r="D14" t="s">
        <v>385</v>
      </c>
      <c r="E14" t="s">
        <v>386</v>
      </c>
      <c r="F14" t="s">
        <v>387</v>
      </c>
      <c r="G14" t="s">
        <v>388</v>
      </c>
      <c r="H14" t="s">
        <v>389</v>
      </c>
      <c r="I14" t="s">
        <v>390</v>
      </c>
      <c r="J14" t="s">
        <v>391</v>
      </c>
      <c r="K14" t="s">
        <v>392</v>
      </c>
    </row>
    <row r="16" spans="2:18" x14ac:dyDescent="0.45">
      <c r="B16" t="s">
        <v>309</v>
      </c>
    </row>
    <row r="18" spans="2:11" x14ac:dyDescent="0.45">
      <c r="B18" t="str" cm="1">
        <f t="array" aca="1" ref="B18" ca="1">CSVWrite(B16,B5:K14,,,,P37)</f>
        <v>c:\temp\anothertest.csv</v>
      </c>
    </row>
    <row r="20" spans="2:11" x14ac:dyDescent="0.45">
      <c r="B20" t="str" cm="1">
        <f t="array" aca="1" ref="B20:K29" ca="1">csvread(B18,"Q",":::")</f>
        <v>"!"</v>
      </c>
      <c r="C20" t="str">
        <f ca="1"/>
        <v>:""""</v>
      </c>
      <c r="D20" t="str">
        <f ca="1"/>
        <v>:"#"</v>
      </c>
      <c r="E20" t="str">
        <f ca="1"/>
        <v>:"$"</v>
      </c>
      <c r="F20" t="str">
        <f ca="1"/>
        <v>:"%"</v>
      </c>
      <c r="G20" t="str">
        <f ca="1"/>
        <v>:"&amp;"</v>
      </c>
      <c r="H20" t="str">
        <f ca="1"/>
        <v>:"'"</v>
      </c>
      <c r="I20" t="str">
        <f ca="1"/>
        <v>:"("</v>
      </c>
      <c r="J20" t="str">
        <f ca="1"/>
        <v>:")"</v>
      </c>
      <c r="K20" t="str">
        <f ca="1"/>
        <v>:"*"</v>
      </c>
    </row>
    <row r="21" spans="2:11" x14ac:dyDescent="0.45">
      <c r="B21" t="str">
        <f ca="1"/>
        <v>"+"</v>
      </c>
      <c r="C21" t="str">
        <f ca="1"/>
        <v>:","</v>
      </c>
      <c r="D21" t="str">
        <f ca="1"/>
        <v>:"-"</v>
      </c>
      <c r="E21" t="str">
        <f ca="1"/>
        <v>:"."</v>
      </c>
      <c r="F21" t="str">
        <f ca="1"/>
        <v>:"/"</v>
      </c>
      <c r="G21" t="str">
        <f ca="1"/>
        <v>:"0"</v>
      </c>
      <c r="H21" t="str">
        <f ca="1"/>
        <v>:"1"</v>
      </c>
      <c r="I21" t="str">
        <f ca="1"/>
        <v>:"2"</v>
      </c>
      <c r="J21" t="str">
        <f ca="1"/>
        <v>:"3"</v>
      </c>
      <c r="K21" t="str">
        <f ca="1"/>
        <v>:"4"</v>
      </c>
    </row>
    <row r="22" spans="2:11" x14ac:dyDescent="0.45">
      <c r="B22" t="str">
        <f ca="1"/>
        <v>"5"</v>
      </c>
      <c r="C22" t="str">
        <f ca="1"/>
        <v>:6</v>
      </c>
      <c r="D22" t="str">
        <f ca="1"/>
        <v>:"7"</v>
      </c>
      <c r="E22" t="str">
        <f ca="1"/>
        <v>:"8"</v>
      </c>
      <c r="F22" t="str">
        <f ca="1"/>
        <v>:"9"</v>
      </c>
      <c r="G22" t="str">
        <f ca="1"/>
        <v>:":"</v>
      </c>
      <c r="H22" t="str">
        <f ca="1"/>
        <v>:";"</v>
      </c>
      <c r="I22" t="str">
        <f ca="1"/>
        <v>:"&lt;"</v>
      </c>
      <c r="J22" t="str">
        <f ca="1"/>
        <v>:"="</v>
      </c>
      <c r="K22" t="str">
        <f ca="1"/>
        <v>:"&gt;"</v>
      </c>
    </row>
    <row r="23" spans="2:11" x14ac:dyDescent="0.45">
      <c r="B23" t="str">
        <f ca="1"/>
        <v>"?"</v>
      </c>
      <c r="C23" t="str">
        <f ca="1"/>
        <v>:"@"</v>
      </c>
      <c r="D23" t="str">
        <f ca="1"/>
        <v>:"A"</v>
      </c>
      <c r="E23" t="str">
        <f ca="1"/>
        <v>:"B"</v>
      </c>
      <c r="F23" t="str">
        <f ca="1"/>
        <v>:"C"</v>
      </c>
      <c r="G23" t="str">
        <f ca="1"/>
        <v>:"D"</v>
      </c>
      <c r="H23" t="str">
        <f ca="1"/>
        <v>:"E"</v>
      </c>
      <c r="I23" t="str">
        <f ca="1"/>
        <v>:"F"</v>
      </c>
      <c r="J23" t="str">
        <f ca="1"/>
        <v>:"G"</v>
      </c>
      <c r="K23" t="str">
        <f ca="1"/>
        <v>:"H"</v>
      </c>
    </row>
    <row r="24" spans="2:11" x14ac:dyDescent="0.45">
      <c r="B24" t="str">
        <f ca="1"/>
        <v>"x"</v>
      </c>
      <c r="C24" t="str">
        <f ca="1"/>
        <v>:"J"</v>
      </c>
      <c r="D24" t="str">
        <f ca="1"/>
        <v>:"K"</v>
      </c>
      <c r="E24" t="str">
        <f ca="1"/>
        <v>:"L"</v>
      </c>
      <c r="F24" t="str">
        <f ca="1"/>
        <v>:"M"</v>
      </c>
      <c r="G24" t="str">
        <f ca="1"/>
        <v>:"N"</v>
      </c>
      <c r="H24" t="str">
        <f ca="1"/>
        <v>:"O"</v>
      </c>
      <c r="I24" t="str">
        <f ca="1"/>
        <v>:"P"</v>
      </c>
      <c r="J24" t="str">
        <f ca="1"/>
        <v>:"Q"</v>
      </c>
      <c r="K24" t="str">
        <f ca="1"/>
        <v>:"R"</v>
      </c>
    </row>
    <row r="25" spans="2:11" x14ac:dyDescent="0.45">
      <c r="B25" t="str">
        <f ca="1"/>
        <v>"S"</v>
      </c>
      <c r="C25" t="str">
        <f ca="1"/>
        <v>:"T"</v>
      </c>
      <c r="D25" t="str">
        <f ca="1"/>
        <v>:"U"</v>
      </c>
      <c r="E25" t="str">
        <f ca="1"/>
        <v>:"V"</v>
      </c>
      <c r="F25" t="str">
        <f ca="1"/>
        <v>:"W"</v>
      </c>
      <c r="G25" t="str">
        <f ca="1"/>
        <v>:"X"</v>
      </c>
      <c r="H25" t="str">
        <f ca="1"/>
        <v>:"Y"</v>
      </c>
      <c r="I25" t="str">
        <f ca="1"/>
        <v>:"Z"</v>
      </c>
      <c r="J25" t="str">
        <f ca="1"/>
        <v>:"["</v>
      </c>
      <c r="K25" t="str">
        <f ca="1"/>
        <v>:"\"</v>
      </c>
    </row>
    <row r="26" spans="2:11" x14ac:dyDescent="0.45">
      <c r="B26" t="str">
        <f ca="1"/>
        <v>"]"</v>
      </c>
      <c r="C26" t="str">
        <f ca="1"/>
        <v>:"^"</v>
      </c>
      <c r="D26" t="str">
        <f ca="1"/>
        <v>:"_"</v>
      </c>
      <c r="E26" t="str">
        <f ca="1"/>
        <v>:"`"</v>
      </c>
      <c r="F26" t="str">
        <f ca="1"/>
        <v>:"a"</v>
      </c>
      <c r="G26" t="str">
        <f ca="1"/>
        <v>:"b"</v>
      </c>
      <c r="H26" t="str">
        <f ca="1"/>
        <v>:"c"</v>
      </c>
      <c r="I26" t="str">
        <f ca="1"/>
        <v>:"d"</v>
      </c>
      <c r="J26" t="str">
        <f ca="1"/>
        <v>:"e"</v>
      </c>
      <c r="K26" t="str">
        <f ca="1"/>
        <v>:"f"</v>
      </c>
    </row>
    <row r="27" spans="2:11" x14ac:dyDescent="0.45">
      <c r="B27" t="str">
        <f ca="1"/>
        <v>"g"</v>
      </c>
      <c r="C27" t="str">
        <f ca="1"/>
        <v>:"h"</v>
      </c>
      <c r="D27" t="str">
        <f ca="1"/>
        <v>:"i"</v>
      </c>
      <c r="E27" t="str">
        <f ca="1"/>
        <v>:"j"</v>
      </c>
      <c r="F27" t="str">
        <f ca="1"/>
        <v>:"k"</v>
      </c>
      <c r="G27" t="str">
        <f ca="1"/>
        <v>:"l"</v>
      </c>
      <c r="H27" t="str">
        <f ca="1"/>
        <v>:"m"</v>
      </c>
      <c r="I27" t="str">
        <f ca="1"/>
        <v>:"n"</v>
      </c>
      <c r="J27" t="str">
        <f ca="1"/>
        <v>:"o"</v>
      </c>
      <c r="K27" t="str">
        <f ca="1"/>
        <v>:"p"</v>
      </c>
    </row>
    <row r="28" spans="2:11" x14ac:dyDescent="0.45">
      <c r="B28" t="str">
        <f ca="1"/>
        <v>"q"</v>
      </c>
      <c r="C28" t="str">
        <f ca="1"/>
        <v>:"r"</v>
      </c>
      <c r="D28" t="str">
        <f ca="1"/>
        <v>:"s"</v>
      </c>
      <c r="E28" t="str">
        <f ca="1"/>
        <v>:"t"</v>
      </c>
      <c r="F28" t="str">
        <f ca="1"/>
        <v>:"u"</v>
      </c>
      <c r="G28" t="str">
        <f ca="1"/>
        <v>:"v"</v>
      </c>
      <c r="H28" t="str">
        <f ca="1"/>
        <v>:"w"</v>
      </c>
      <c r="I28" t="str">
        <f ca="1"/>
        <v>:"x"</v>
      </c>
      <c r="J28" t="str">
        <f ca="1"/>
        <v>:"y"</v>
      </c>
      <c r="K28" t="str">
        <f ca="1"/>
        <v>:"z"</v>
      </c>
    </row>
    <row r="29" spans="2:11" x14ac:dyDescent="0.45">
      <c r="B29" t="str">
        <f ca="1"/>
        <v>""""</v>
      </c>
      <c r="C29" t="str">
        <f ca="1"/>
        <v>:"|"</v>
      </c>
      <c r="D29" t="str">
        <f ca="1"/>
        <v>:"}"</v>
      </c>
      <c r="E29" t="str">
        <f ca="1"/>
        <v>:"~"</v>
      </c>
      <c r="F29" t="str">
        <f ca="1"/>
        <v>:""</v>
      </c>
      <c r="G29" t="str">
        <f ca="1"/>
        <v>:"€"</v>
      </c>
      <c r="H29" t="str">
        <f ca="1"/>
        <v>:""</v>
      </c>
      <c r="I29" t="str">
        <f ca="1"/>
        <v>:"‚"</v>
      </c>
      <c r="J29" t="str">
        <f ca="1"/>
        <v>:"ƒ"</v>
      </c>
      <c r="K29" t="str">
        <f ca="1"/>
        <v>:"„"</v>
      </c>
    </row>
    <row r="32" spans="2:11" x14ac:dyDescent="0.45">
      <c r="K32" t="str" cm="1">
        <f t="array" aca="1" ref="K32" ca="1">RawFileContents(B18)</f>
        <v xml:space="preserve">"!"::::""""::::"#"::::"$"::::"%"::::"&amp;"::::"'"::::"("::::")"::::"*"_x000D_
"+"::::","::::"-"::::"."::::"/"::::"0"::::"1"::::"2"::::"3"::::"4"_x000D_
"5"::::6::::"7"::::"8"::::"9"::::":"::::";"::::"&lt;"::::"="::::"&gt;"_x000D_
"?"::::"@"::::"A"::::"B"::::"C"::::"D"::::"E"::::"F"::::"G"::::"H"_x000D_
"x"::::"J"::::"K"::::"L"::::"M"::::"N"::::"O"::::"P"::::"Q"::::"R"_x000D_
"S"::::"T"::::"U"::::"V"::::"W"::::"X"::::"Y"::::"Z"::::"["::::"\"_x000D_
"]"::::"^"::::"_"::::"`"::::"a"::::"b"::::"c"::::"d"::::"e"::::"f"_x000D_
"g"::::"h"::::"i"::::"j"::::"k"::::"l"::::"m"::::"n"::::"o"::::"p"_x000D_
"q"::::"r"::::"s"::::"t"::::"u"::::"v"::::"w"::::"x"::::"y"::::"z"_x000D_
""""::::"|"::::"}"::::"~"::::""::::"€"::::""::::"‚"::::"ƒ"::::"„"_x000D_
</v>
      </c>
    </row>
    <row r="34" spans="11:24" x14ac:dyDescent="0.45">
      <c r="K34" cm="1">
        <f t="array" aca="1" ref="K34:K713" ca="1">_xlfn.SEQUENCE(LEN(K32))</f>
        <v>1</v>
      </c>
      <c r="L34" t="str" cm="1">
        <f t="array" aca="1" ref="L34:L713" ca="1">MID(K32,_xlfn.SEQUENCE(LEN(K32)),1)</f>
        <v>"</v>
      </c>
    </row>
    <row r="35" spans="11:24" x14ac:dyDescent="0.45">
      <c r="K35">
        <f ca="1"/>
        <v>2</v>
      </c>
      <c r="L35" t="str">
        <f ca="1"/>
        <v>!</v>
      </c>
      <c r="O35" t="s">
        <v>0</v>
      </c>
      <c r="P35" t="str">
        <f ca="1">B18</f>
        <v>c:\temp\anothertest.csv</v>
      </c>
    </row>
    <row r="36" spans="11:24" x14ac:dyDescent="0.45">
      <c r="K36">
        <f ca="1"/>
        <v>3</v>
      </c>
      <c r="L36" t="str">
        <f ca="1"/>
        <v>"</v>
      </c>
      <c r="O36" t="s">
        <v>231</v>
      </c>
      <c r="P36" s="10" t="s">
        <v>352</v>
      </c>
    </row>
    <row r="37" spans="11:24" x14ac:dyDescent="0.45">
      <c r="K37">
        <f ca="1"/>
        <v>4</v>
      </c>
      <c r="L37" t="str">
        <f ca="1"/>
        <v>:</v>
      </c>
      <c r="O37" t="s">
        <v>20</v>
      </c>
      <c r="P37" s="10" t="s">
        <v>394</v>
      </c>
    </row>
    <row r="38" spans="11:24" x14ac:dyDescent="0.45">
      <c r="K38">
        <f ca="1"/>
        <v>5</v>
      </c>
      <c r="L38" t="str">
        <f ca="1"/>
        <v>:</v>
      </c>
      <c r="O38" t="s">
        <v>1</v>
      </c>
    </row>
    <row r="39" spans="11:24" x14ac:dyDescent="0.45">
      <c r="K39">
        <f ca="1"/>
        <v>6</v>
      </c>
      <c r="L39" t="str">
        <f ca="1"/>
        <v>:</v>
      </c>
      <c r="O39" t="s">
        <v>236</v>
      </c>
      <c r="P39">
        <v>1</v>
      </c>
    </row>
    <row r="40" spans="11:24" x14ac:dyDescent="0.45">
      <c r="K40">
        <f ca="1"/>
        <v>7</v>
      </c>
      <c r="L40" t="str">
        <f ca="1"/>
        <v>:</v>
      </c>
      <c r="O40" t="s">
        <v>232</v>
      </c>
      <c r="P40">
        <v>1</v>
      </c>
    </row>
    <row r="41" spans="11:24" x14ac:dyDescent="0.45">
      <c r="K41">
        <f ca="1"/>
        <v>8</v>
      </c>
      <c r="L41" t="str">
        <f ca="1"/>
        <v>"</v>
      </c>
      <c r="O41" t="s">
        <v>21</v>
      </c>
      <c r="P41">
        <v>0</v>
      </c>
    </row>
    <row r="42" spans="11:24" x14ac:dyDescent="0.45">
      <c r="K42">
        <f ca="1"/>
        <v>9</v>
      </c>
      <c r="L42" t="str">
        <f ca="1"/>
        <v>"</v>
      </c>
      <c r="O42" t="s">
        <v>22</v>
      </c>
      <c r="P42">
        <v>0</v>
      </c>
    </row>
    <row r="43" spans="11:24" x14ac:dyDescent="0.45">
      <c r="K43">
        <f ca="1"/>
        <v>10</v>
      </c>
      <c r="L43" t="str">
        <f ca="1"/>
        <v>"</v>
      </c>
      <c r="O43" t="s">
        <v>14</v>
      </c>
      <c r="P43" t="b">
        <v>0</v>
      </c>
    </row>
    <row r="44" spans="11:24" x14ac:dyDescent="0.45">
      <c r="K44">
        <f ca="1"/>
        <v>11</v>
      </c>
      <c r="L44" t="str">
        <f ca="1"/>
        <v>"</v>
      </c>
      <c r="O44" t="s">
        <v>23</v>
      </c>
      <c r="P44" t="s">
        <v>322</v>
      </c>
    </row>
    <row r="45" spans="11:24" x14ac:dyDescent="0.45">
      <c r="K45">
        <f ca="1"/>
        <v>12</v>
      </c>
      <c r="L45" t="str">
        <f ca="1"/>
        <v>:</v>
      </c>
    </row>
    <row r="46" spans="11:24" x14ac:dyDescent="0.45">
      <c r="K46">
        <f ca="1"/>
        <v>13</v>
      </c>
      <c r="L46" t="str">
        <f ca="1"/>
        <v>:</v>
      </c>
    </row>
    <row r="47" spans="11:24" x14ac:dyDescent="0.45">
      <c r="K47">
        <f ca="1"/>
        <v>14</v>
      </c>
      <c r="L47" t="str">
        <f ca="1"/>
        <v>:</v>
      </c>
      <c r="O47" t="str" cm="1">
        <f t="array" aca="1" ref="O47:X56" ca="1">csvread(P35,P36,P37,P38,P39,P40,P41,P42,P43,P44)</f>
        <v>!</v>
      </c>
      <c r="P47" t="str">
        <f ca="1"/>
        <v>"</v>
      </c>
      <c r="Q47" t="str">
        <f ca="1"/>
        <v>#</v>
      </c>
      <c r="R47" t="str">
        <f ca="1"/>
        <v>$</v>
      </c>
      <c r="S47" t="str">
        <f ca="1"/>
        <v>%</v>
      </c>
      <c r="T47" t="str">
        <f ca="1"/>
        <v>&amp;</v>
      </c>
      <c r="U47" t="str">
        <f ca="1"/>
        <v>'</v>
      </c>
      <c r="V47" t="str">
        <f ca="1"/>
        <v>(</v>
      </c>
      <c r="W47" t="str">
        <f ca="1"/>
        <v>)</v>
      </c>
      <c r="X47" t="str">
        <f ca="1"/>
        <v>*</v>
      </c>
    </row>
    <row r="48" spans="11:24" x14ac:dyDescent="0.45">
      <c r="K48">
        <f ca="1"/>
        <v>15</v>
      </c>
      <c r="L48" t="str">
        <f ca="1"/>
        <v>:</v>
      </c>
      <c r="O48" t="str">
        <f ca="1"/>
        <v>+</v>
      </c>
      <c r="P48" t="str">
        <f ca="1"/>
        <v>,</v>
      </c>
      <c r="Q48" t="str">
        <f ca="1"/>
        <v>-</v>
      </c>
      <c r="R48" t="str">
        <f ca="1"/>
        <v>.</v>
      </c>
      <c r="S48" t="str">
        <f ca="1"/>
        <v>/</v>
      </c>
      <c r="T48" t="str">
        <f ca="1"/>
        <v>0</v>
      </c>
      <c r="U48" t="str">
        <f ca="1"/>
        <v>1</v>
      </c>
      <c r="V48" t="str">
        <f ca="1"/>
        <v>2</v>
      </c>
      <c r="W48" t="str">
        <f ca="1"/>
        <v>3</v>
      </c>
      <c r="X48" t="str">
        <f ca="1"/>
        <v>4</v>
      </c>
    </row>
    <row r="49" spans="11:24" x14ac:dyDescent="0.45">
      <c r="K49">
        <f ca="1"/>
        <v>16</v>
      </c>
      <c r="L49" t="str">
        <f ca="1"/>
        <v>"</v>
      </c>
      <c r="O49" t="str">
        <f ca="1"/>
        <v>5</v>
      </c>
      <c r="P49">
        <f ca="1"/>
        <v>6</v>
      </c>
      <c r="Q49" t="str">
        <f ca="1"/>
        <v>7</v>
      </c>
      <c r="R49" t="str">
        <f ca="1"/>
        <v>8</v>
      </c>
      <c r="S49" t="str">
        <f ca="1"/>
        <v>9</v>
      </c>
      <c r="T49" t="str">
        <f ca="1"/>
        <v>:</v>
      </c>
      <c r="U49" t="str">
        <f ca="1"/>
        <v>;</v>
      </c>
      <c r="V49" t="str">
        <f ca="1"/>
        <v>&lt;</v>
      </c>
      <c r="W49" t="str">
        <f ca="1"/>
        <v>=</v>
      </c>
      <c r="X49" t="str">
        <f ca="1"/>
        <v>&gt;</v>
      </c>
    </row>
    <row r="50" spans="11:24" x14ac:dyDescent="0.45">
      <c r="K50">
        <f ca="1"/>
        <v>17</v>
      </c>
      <c r="L50" t="str">
        <f ca="1"/>
        <v>#</v>
      </c>
      <c r="O50" t="str">
        <f ca="1"/>
        <v>?</v>
      </c>
      <c r="P50" t="str">
        <f ca="1"/>
        <v>@</v>
      </c>
      <c r="Q50" t="str">
        <f ca="1"/>
        <v>A</v>
      </c>
      <c r="R50" t="str">
        <f ca="1"/>
        <v>B</v>
      </c>
      <c r="S50" t="str">
        <f ca="1"/>
        <v>C</v>
      </c>
      <c r="T50" t="str">
        <f ca="1"/>
        <v>D</v>
      </c>
      <c r="U50" t="str">
        <f ca="1"/>
        <v>E</v>
      </c>
      <c r="V50" t="str">
        <f ca="1"/>
        <v>F</v>
      </c>
      <c r="W50" t="str">
        <f ca="1"/>
        <v>G</v>
      </c>
      <c r="X50" t="str">
        <f ca="1"/>
        <v>H</v>
      </c>
    </row>
    <row r="51" spans="11:24" x14ac:dyDescent="0.45">
      <c r="K51">
        <f ca="1"/>
        <v>18</v>
      </c>
      <c r="L51" t="str">
        <f ca="1"/>
        <v>"</v>
      </c>
      <c r="O51" t="str">
        <f ca="1"/>
        <v>x</v>
      </c>
      <c r="P51" t="str">
        <f ca="1"/>
        <v>J</v>
      </c>
      <c r="Q51" t="str">
        <f ca="1"/>
        <v>K</v>
      </c>
      <c r="R51" t="str">
        <f ca="1"/>
        <v>L</v>
      </c>
      <c r="S51" t="str">
        <f ca="1"/>
        <v>M</v>
      </c>
      <c r="T51" t="str">
        <f ca="1"/>
        <v>N</v>
      </c>
      <c r="U51" t="str">
        <f ca="1"/>
        <v>O</v>
      </c>
      <c r="V51" t="str">
        <f ca="1"/>
        <v>P</v>
      </c>
      <c r="W51" t="str">
        <f ca="1"/>
        <v>Q</v>
      </c>
      <c r="X51" t="str">
        <f ca="1"/>
        <v>R</v>
      </c>
    </row>
    <row r="52" spans="11:24" x14ac:dyDescent="0.45">
      <c r="K52">
        <f ca="1"/>
        <v>19</v>
      </c>
      <c r="L52" t="str">
        <f ca="1"/>
        <v>:</v>
      </c>
      <c r="O52" t="str">
        <f ca="1"/>
        <v>S</v>
      </c>
      <c r="P52" t="str">
        <f ca="1"/>
        <v>T</v>
      </c>
      <c r="Q52" t="str">
        <f ca="1"/>
        <v>U</v>
      </c>
      <c r="R52" t="str">
        <f ca="1"/>
        <v>V</v>
      </c>
      <c r="S52" t="str">
        <f ca="1"/>
        <v>W</v>
      </c>
      <c r="T52" t="str">
        <f ca="1"/>
        <v>X</v>
      </c>
      <c r="U52" t="str">
        <f ca="1"/>
        <v>Y</v>
      </c>
      <c r="V52" t="str">
        <f ca="1"/>
        <v>Z</v>
      </c>
      <c r="W52" t="str">
        <f ca="1"/>
        <v>[</v>
      </c>
      <c r="X52" t="str">
        <f ca="1"/>
        <v>\</v>
      </c>
    </row>
    <row r="53" spans="11:24" x14ac:dyDescent="0.45">
      <c r="K53">
        <f ca="1"/>
        <v>20</v>
      </c>
      <c r="L53" t="str">
        <f ca="1"/>
        <v>:</v>
      </c>
      <c r="O53" t="str">
        <f ca="1"/>
        <v>]</v>
      </c>
      <c r="P53" t="str">
        <f ca="1"/>
        <v>^</v>
      </c>
      <c r="Q53" t="str">
        <f ca="1"/>
        <v>_</v>
      </c>
      <c r="R53" t="str">
        <f ca="1"/>
        <v>`</v>
      </c>
      <c r="S53" t="str">
        <f ca="1"/>
        <v>a</v>
      </c>
      <c r="T53" t="str">
        <f ca="1"/>
        <v>b</v>
      </c>
      <c r="U53" t="str">
        <f ca="1"/>
        <v>c</v>
      </c>
      <c r="V53" t="str">
        <f ca="1"/>
        <v>d</v>
      </c>
      <c r="W53" t="str">
        <f ca="1"/>
        <v>e</v>
      </c>
      <c r="X53" t="str">
        <f ca="1"/>
        <v>f</v>
      </c>
    </row>
    <row r="54" spans="11:24" x14ac:dyDescent="0.45">
      <c r="K54">
        <f ca="1"/>
        <v>21</v>
      </c>
      <c r="L54" t="str">
        <f ca="1"/>
        <v>:</v>
      </c>
      <c r="O54" t="str">
        <f ca="1"/>
        <v>g</v>
      </c>
      <c r="P54" t="str">
        <f ca="1"/>
        <v>h</v>
      </c>
      <c r="Q54" t="str">
        <f ca="1"/>
        <v>i</v>
      </c>
      <c r="R54" t="str">
        <f ca="1"/>
        <v>j</v>
      </c>
      <c r="S54" t="str">
        <f ca="1"/>
        <v>k</v>
      </c>
      <c r="T54" t="str">
        <f ca="1"/>
        <v>l</v>
      </c>
      <c r="U54" t="str">
        <f ca="1"/>
        <v>m</v>
      </c>
      <c r="V54" t="str">
        <f ca="1"/>
        <v>n</v>
      </c>
      <c r="W54" t="str">
        <f ca="1"/>
        <v>o</v>
      </c>
      <c r="X54" t="str">
        <f ca="1"/>
        <v>p</v>
      </c>
    </row>
    <row r="55" spans="11:24" x14ac:dyDescent="0.45">
      <c r="K55">
        <f ca="1"/>
        <v>22</v>
      </c>
      <c r="L55" t="str">
        <f ca="1"/>
        <v>:</v>
      </c>
      <c r="O55" t="str">
        <f ca="1"/>
        <v>q</v>
      </c>
      <c r="P55" t="str">
        <f ca="1"/>
        <v>r</v>
      </c>
      <c r="Q55" t="str">
        <f ca="1"/>
        <v>s</v>
      </c>
      <c r="R55" t="str">
        <f ca="1"/>
        <v>t</v>
      </c>
      <c r="S55" t="str">
        <f ca="1"/>
        <v>u</v>
      </c>
      <c r="T55" t="str">
        <f ca="1"/>
        <v>v</v>
      </c>
      <c r="U55" t="str">
        <f ca="1"/>
        <v>w</v>
      </c>
      <c r="V55" t="str">
        <f ca="1"/>
        <v>x</v>
      </c>
      <c r="W55" t="str">
        <f ca="1"/>
        <v>y</v>
      </c>
      <c r="X55" t="str">
        <f ca="1"/>
        <v>z</v>
      </c>
    </row>
    <row r="56" spans="11:24" x14ac:dyDescent="0.45">
      <c r="K56">
        <f ca="1"/>
        <v>23</v>
      </c>
      <c r="L56" t="str">
        <f ca="1"/>
        <v>"</v>
      </c>
      <c r="O56" t="str">
        <f ca="1"/>
        <v>"</v>
      </c>
      <c r="P56" t="str">
        <f ca="1"/>
        <v>|</v>
      </c>
      <c r="Q56" t="str">
        <f ca="1"/>
        <v>}</v>
      </c>
      <c r="R56" t="str">
        <f ca="1"/>
        <v>~</v>
      </c>
      <c r="S56" t="str">
        <f ca="1"/>
        <v></v>
      </c>
      <c r="T56" t="str">
        <f ca="1"/>
        <v>€</v>
      </c>
      <c r="U56" t="str">
        <f ca="1"/>
        <v></v>
      </c>
      <c r="V56" t="str">
        <f ca="1"/>
        <v>‚</v>
      </c>
      <c r="W56" t="str">
        <f ca="1"/>
        <v>ƒ</v>
      </c>
      <c r="X56" t="str">
        <f ca="1"/>
        <v>„</v>
      </c>
    </row>
    <row r="57" spans="11:24" x14ac:dyDescent="0.45">
      <c r="K57">
        <f ca="1"/>
        <v>24</v>
      </c>
      <c r="L57" t="str">
        <f ca="1"/>
        <v>$</v>
      </c>
    </row>
    <row r="58" spans="11:24" x14ac:dyDescent="0.45">
      <c r="K58">
        <f ca="1"/>
        <v>25</v>
      </c>
      <c r="L58" t="str">
        <f ca="1"/>
        <v>"</v>
      </c>
    </row>
    <row r="59" spans="11:24" x14ac:dyDescent="0.45">
      <c r="K59">
        <f ca="1"/>
        <v>26</v>
      </c>
      <c r="L59" t="str">
        <f ca="1"/>
        <v>:</v>
      </c>
    </row>
    <row r="60" spans="11:24" x14ac:dyDescent="0.45">
      <c r="K60">
        <f ca="1"/>
        <v>27</v>
      </c>
      <c r="L60" t="str">
        <f ca="1"/>
        <v>:</v>
      </c>
    </row>
    <row r="61" spans="11:24" x14ac:dyDescent="0.45">
      <c r="K61">
        <f ca="1"/>
        <v>28</v>
      </c>
      <c r="L61" t="str">
        <f ca="1"/>
        <v>:</v>
      </c>
    </row>
    <row r="62" spans="11:24" x14ac:dyDescent="0.45">
      <c r="K62">
        <f ca="1"/>
        <v>29</v>
      </c>
      <c r="L62" t="str">
        <f ca="1"/>
        <v>:</v>
      </c>
    </row>
    <row r="63" spans="11:24" x14ac:dyDescent="0.45">
      <c r="K63">
        <f ca="1"/>
        <v>30</v>
      </c>
      <c r="L63" t="str">
        <f ca="1"/>
        <v>"</v>
      </c>
    </row>
    <row r="64" spans="11:24" x14ac:dyDescent="0.45">
      <c r="K64">
        <f ca="1"/>
        <v>31</v>
      </c>
      <c r="L64" t="str">
        <f ca="1"/>
        <v>%</v>
      </c>
    </row>
    <row r="65" spans="11:12" x14ac:dyDescent="0.45">
      <c r="K65">
        <f ca="1"/>
        <v>32</v>
      </c>
      <c r="L65" t="str">
        <f ca="1"/>
        <v>"</v>
      </c>
    </row>
    <row r="66" spans="11:12" x14ac:dyDescent="0.45">
      <c r="K66">
        <f ca="1"/>
        <v>33</v>
      </c>
      <c r="L66" t="str">
        <f ca="1"/>
        <v>:</v>
      </c>
    </row>
    <row r="67" spans="11:12" x14ac:dyDescent="0.45">
      <c r="K67">
        <f ca="1"/>
        <v>34</v>
      </c>
      <c r="L67" t="str">
        <f ca="1"/>
        <v>:</v>
      </c>
    </row>
    <row r="68" spans="11:12" x14ac:dyDescent="0.45">
      <c r="K68">
        <f ca="1"/>
        <v>35</v>
      </c>
      <c r="L68" t="str">
        <f ca="1"/>
        <v>:</v>
      </c>
    </row>
    <row r="69" spans="11:12" x14ac:dyDescent="0.45">
      <c r="K69">
        <f ca="1"/>
        <v>36</v>
      </c>
      <c r="L69" t="str">
        <f ca="1"/>
        <v>:</v>
      </c>
    </row>
    <row r="70" spans="11:12" x14ac:dyDescent="0.45">
      <c r="K70">
        <f ca="1"/>
        <v>37</v>
      </c>
      <c r="L70" t="str">
        <f ca="1"/>
        <v>"</v>
      </c>
    </row>
    <row r="71" spans="11:12" x14ac:dyDescent="0.45">
      <c r="K71">
        <f ca="1"/>
        <v>38</v>
      </c>
      <c r="L71" t="str">
        <f ca="1"/>
        <v>&amp;</v>
      </c>
    </row>
    <row r="72" spans="11:12" x14ac:dyDescent="0.45">
      <c r="K72">
        <f ca="1"/>
        <v>39</v>
      </c>
      <c r="L72" t="str">
        <f ca="1"/>
        <v>"</v>
      </c>
    </row>
    <row r="73" spans="11:12" x14ac:dyDescent="0.45">
      <c r="K73">
        <f ca="1"/>
        <v>40</v>
      </c>
      <c r="L73" t="str">
        <f ca="1"/>
        <v>:</v>
      </c>
    </row>
    <row r="74" spans="11:12" x14ac:dyDescent="0.45">
      <c r="K74">
        <f ca="1"/>
        <v>41</v>
      </c>
      <c r="L74" t="str">
        <f ca="1"/>
        <v>:</v>
      </c>
    </row>
    <row r="75" spans="11:12" x14ac:dyDescent="0.45">
      <c r="K75">
        <f ca="1"/>
        <v>42</v>
      </c>
      <c r="L75" t="str">
        <f ca="1"/>
        <v>:</v>
      </c>
    </row>
    <row r="76" spans="11:12" x14ac:dyDescent="0.45">
      <c r="K76">
        <f ca="1"/>
        <v>43</v>
      </c>
      <c r="L76" t="str">
        <f ca="1"/>
        <v>:</v>
      </c>
    </row>
    <row r="77" spans="11:12" x14ac:dyDescent="0.45">
      <c r="K77">
        <f ca="1"/>
        <v>44</v>
      </c>
      <c r="L77" t="str">
        <f ca="1"/>
        <v>"</v>
      </c>
    </row>
    <row r="78" spans="11:12" x14ac:dyDescent="0.45">
      <c r="K78">
        <f ca="1"/>
        <v>45</v>
      </c>
      <c r="L78" t="str">
        <f ca="1"/>
        <v>'</v>
      </c>
    </row>
    <row r="79" spans="11:12" x14ac:dyDescent="0.45">
      <c r="K79">
        <f ca="1"/>
        <v>46</v>
      </c>
      <c r="L79" t="str">
        <f ca="1"/>
        <v>"</v>
      </c>
    </row>
    <row r="80" spans="11:12" x14ac:dyDescent="0.45">
      <c r="K80">
        <f ca="1"/>
        <v>47</v>
      </c>
      <c r="L80" t="str">
        <f ca="1"/>
        <v>:</v>
      </c>
    </row>
    <row r="81" spans="11:12" x14ac:dyDescent="0.45">
      <c r="K81">
        <f ca="1"/>
        <v>48</v>
      </c>
      <c r="L81" t="str">
        <f ca="1"/>
        <v>:</v>
      </c>
    </row>
    <row r="82" spans="11:12" x14ac:dyDescent="0.45">
      <c r="K82">
        <f ca="1"/>
        <v>49</v>
      </c>
      <c r="L82" t="str">
        <f ca="1"/>
        <v>:</v>
      </c>
    </row>
    <row r="83" spans="11:12" x14ac:dyDescent="0.45">
      <c r="K83">
        <f ca="1"/>
        <v>50</v>
      </c>
      <c r="L83" t="str">
        <f ca="1"/>
        <v>:</v>
      </c>
    </row>
    <row r="84" spans="11:12" x14ac:dyDescent="0.45">
      <c r="K84">
        <f ca="1"/>
        <v>51</v>
      </c>
      <c r="L84" t="str">
        <f ca="1"/>
        <v>"</v>
      </c>
    </row>
    <row r="85" spans="11:12" x14ac:dyDescent="0.45">
      <c r="K85">
        <f ca="1"/>
        <v>52</v>
      </c>
      <c r="L85" t="str">
        <f ca="1"/>
        <v>(</v>
      </c>
    </row>
    <row r="86" spans="11:12" x14ac:dyDescent="0.45">
      <c r="K86">
        <f ca="1"/>
        <v>53</v>
      </c>
      <c r="L86" t="str">
        <f ca="1"/>
        <v>"</v>
      </c>
    </row>
    <row r="87" spans="11:12" x14ac:dyDescent="0.45">
      <c r="K87">
        <f ca="1"/>
        <v>54</v>
      </c>
      <c r="L87" t="str">
        <f ca="1"/>
        <v>:</v>
      </c>
    </row>
    <row r="88" spans="11:12" x14ac:dyDescent="0.45">
      <c r="K88">
        <f ca="1"/>
        <v>55</v>
      </c>
      <c r="L88" t="str">
        <f ca="1"/>
        <v>:</v>
      </c>
    </row>
    <row r="89" spans="11:12" x14ac:dyDescent="0.45">
      <c r="K89">
        <f ca="1"/>
        <v>56</v>
      </c>
      <c r="L89" t="str">
        <f ca="1"/>
        <v>:</v>
      </c>
    </row>
    <row r="90" spans="11:12" x14ac:dyDescent="0.45">
      <c r="K90">
        <f ca="1"/>
        <v>57</v>
      </c>
      <c r="L90" t="str">
        <f ca="1"/>
        <v>:</v>
      </c>
    </row>
    <row r="91" spans="11:12" x14ac:dyDescent="0.45">
      <c r="K91">
        <f ca="1"/>
        <v>58</v>
      </c>
      <c r="L91" t="str">
        <f ca="1"/>
        <v>"</v>
      </c>
    </row>
    <row r="92" spans="11:12" x14ac:dyDescent="0.45">
      <c r="K92">
        <f ca="1"/>
        <v>59</v>
      </c>
      <c r="L92" t="str">
        <f ca="1"/>
        <v>)</v>
      </c>
    </row>
    <row r="93" spans="11:12" x14ac:dyDescent="0.45">
      <c r="K93">
        <f ca="1"/>
        <v>60</v>
      </c>
      <c r="L93" t="str">
        <f ca="1"/>
        <v>"</v>
      </c>
    </row>
    <row r="94" spans="11:12" x14ac:dyDescent="0.45">
      <c r="K94">
        <f ca="1"/>
        <v>61</v>
      </c>
      <c r="L94" t="str">
        <f ca="1"/>
        <v>:</v>
      </c>
    </row>
    <row r="95" spans="11:12" x14ac:dyDescent="0.45">
      <c r="K95">
        <f ca="1"/>
        <v>62</v>
      </c>
      <c r="L95" t="str">
        <f ca="1"/>
        <v>:</v>
      </c>
    </row>
    <row r="96" spans="11:12" x14ac:dyDescent="0.45">
      <c r="K96">
        <f ca="1"/>
        <v>63</v>
      </c>
      <c r="L96" t="str">
        <f ca="1"/>
        <v>:</v>
      </c>
    </row>
    <row r="97" spans="11:12" x14ac:dyDescent="0.45">
      <c r="K97">
        <f ca="1"/>
        <v>64</v>
      </c>
      <c r="L97" t="str">
        <f ca="1"/>
        <v>:</v>
      </c>
    </row>
    <row r="98" spans="11:12" x14ac:dyDescent="0.45">
      <c r="K98">
        <f ca="1"/>
        <v>65</v>
      </c>
      <c r="L98" t="str">
        <f ca="1"/>
        <v>"</v>
      </c>
    </row>
    <row r="99" spans="11:12" x14ac:dyDescent="0.45">
      <c r="K99">
        <f ca="1"/>
        <v>66</v>
      </c>
      <c r="L99" t="str">
        <f ca="1"/>
        <v>*</v>
      </c>
    </row>
    <row r="100" spans="11:12" x14ac:dyDescent="0.45">
      <c r="K100">
        <f ca="1"/>
        <v>67</v>
      </c>
      <c r="L100" t="str">
        <f ca="1"/>
        <v>"</v>
      </c>
    </row>
    <row r="101" spans="11:12" x14ac:dyDescent="0.45">
      <c r="K101">
        <f ca="1"/>
        <v>68</v>
      </c>
      <c r="L101" t="str">
        <f ca="1"/>
        <v>_x000D_</v>
      </c>
    </row>
    <row r="102" spans="11:12" x14ac:dyDescent="0.45">
      <c r="K102">
        <f ca="1"/>
        <v>69</v>
      </c>
      <c r="L102" t="str">
        <f ca="1"/>
        <v xml:space="preserve">
</v>
      </c>
    </row>
    <row r="103" spans="11:12" x14ac:dyDescent="0.45">
      <c r="K103">
        <f ca="1"/>
        <v>70</v>
      </c>
      <c r="L103" t="str">
        <f ca="1"/>
        <v>"</v>
      </c>
    </row>
    <row r="104" spans="11:12" x14ac:dyDescent="0.45">
      <c r="K104">
        <f ca="1"/>
        <v>71</v>
      </c>
      <c r="L104" t="str">
        <f ca="1"/>
        <v>+</v>
      </c>
    </row>
    <row r="105" spans="11:12" x14ac:dyDescent="0.45">
      <c r="K105">
        <f ca="1"/>
        <v>72</v>
      </c>
      <c r="L105" t="str">
        <f ca="1"/>
        <v>"</v>
      </c>
    </row>
    <row r="106" spans="11:12" x14ac:dyDescent="0.45">
      <c r="K106">
        <f ca="1"/>
        <v>73</v>
      </c>
      <c r="L106" t="str">
        <f ca="1"/>
        <v>:</v>
      </c>
    </row>
    <row r="107" spans="11:12" x14ac:dyDescent="0.45">
      <c r="K107">
        <f ca="1"/>
        <v>74</v>
      </c>
      <c r="L107" t="str">
        <f ca="1"/>
        <v>:</v>
      </c>
    </row>
    <row r="108" spans="11:12" x14ac:dyDescent="0.45">
      <c r="K108">
        <f ca="1"/>
        <v>75</v>
      </c>
      <c r="L108" t="str">
        <f ca="1"/>
        <v>:</v>
      </c>
    </row>
    <row r="109" spans="11:12" x14ac:dyDescent="0.45">
      <c r="K109">
        <f ca="1"/>
        <v>76</v>
      </c>
      <c r="L109" t="str">
        <f ca="1"/>
        <v>:</v>
      </c>
    </row>
    <row r="110" spans="11:12" x14ac:dyDescent="0.45">
      <c r="K110">
        <f ca="1"/>
        <v>77</v>
      </c>
      <c r="L110" t="str">
        <f ca="1"/>
        <v>"</v>
      </c>
    </row>
    <row r="111" spans="11:12" x14ac:dyDescent="0.45">
      <c r="K111">
        <f ca="1"/>
        <v>78</v>
      </c>
      <c r="L111" t="str">
        <f ca="1"/>
        <v>,</v>
      </c>
    </row>
    <row r="112" spans="11:12" x14ac:dyDescent="0.45">
      <c r="K112">
        <f ca="1"/>
        <v>79</v>
      </c>
      <c r="L112" t="str">
        <f ca="1"/>
        <v>"</v>
      </c>
    </row>
    <row r="113" spans="11:12" x14ac:dyDescent="0.45">
      <c r="K113">
        <f ca="1"/>
        <v>80</v>
      </c>
      <c r="L113" t="str">
        <f ca="1"/>
        <v>:</v>
      </c>
    </row>
    <row r="114" spans="11:12" x14ac:dyDescent="0.45">
      <c r="K114">
        <f ca="1"/>
        <v>81</v>
      </c>
      <c r="L114" t="str">
        <f ca="1"/>
        <v>:</v>
      </c>
    </row>
    <row r="115" spans="11:12" x14ac:dyDescent="0.45">
      <c r="K115">
        <f ca="1"/>
        <v>82</v>
      </c>
      <c r="L115" t="str">
        <f ca="1"/>
        <v>:</v>
      </c>
    </row>
    <row r="116" spans="11:12" x14ac:dyDescent="0.45">
      <c r="K116">
        <f ca="1"/>
        <v>83</v>
      </c>
      <c r="L116" t="str">
        <f ca="1"/>
        <v>:</v>
      </c>
    </row>
    <row r="117" spans="11:12" x14ac:dyDescent="0.45">
      <c r="K117">
        <f ca="1"/>
        <v>84</v>
      </c>
      <c r="L117" t="str">
        <f ca="1"/>
        <v>"</v>
      </c>
    </row>
    <row r="118" spans="11:12" x14ac:dyDescent="0.45">
      <c r="K118">
        <f ca="1"/>
        <v>85</v>
      </c>
      <c r="L118" t="str">
        <f ca="1"/>
        <v>-</v>
      </c>
    </row>
    <row r="119" spans="11:12" x14ac:dyDescent="0.45">
      <c r="K119">
        <f ca="1"/>
        <v>86</v>
      </c>
      <c r="L119" t="str">
        <f ca="1"/>
        <v>"</v>
      </c>
    </row>
    <row r="120" spans="11:12" x14ac:dyDescent="0.45">
      <c r="K120">
        <f ca="1"/>
        <v>87</v>
      </c>
      <c r="L120" t="str">
        <f ca="1"/>
        <v>:</v>
      </c>
    </row>
    <row r="121" spans="11:12" x14ac:dyDescent="0.45">
      <c r="K121">
        <f ca="1"/>
        <v>88</v>
      </c>
      <c r="L121" t="str">
        <f ca="1"/>
        <v>:</v>
      </c>
    </row>
    <row r="122" spans="11:12" x14ac:dyDescent="0.45">
      <c r="K122">
        <f ca="1"/>
        <v>89</v>
      </c>
      <c r="L122" t="str">
        <f ca="1"/>
        <v>:</v>
      </c>
    </row>
    <row r="123" spans="11:12" x14ac:dyDescent="0.45">
      <c r="K123">
        <f ca="1"/>
        <v>90</v>
      </c>
      <c r="L123" t="str">
        <f ca="1"/>
        <v>:</v>
      </c>
    </row>
    <row r="124" spans="11:12" x14ac:dyDescent="0.45">
      <c r="K124">
        <f ca="1"/>
        <v>91</v>
      </c>
      <c r="L124" t="str">
        <f ca="1"/>
        <v>"</v>
      </c>
    </row>
    <row r="125" spans="11:12" x14ac:dyDescent="0.45">
      <c r="K125">
        <f ca="1"/>
        <v>92</v>
      </c>
      <c r="L125" t="str">
        <f ca="1"/>
        <v>.</v>
      </c>
    </row>
    <row r="126" spans="11:12" x14ac:dyDescent="0.45">
      <c r="K126">
        <f ca="1"/>
        <v>93</v>
      </c>
      <c r="L126" t="str">
        <f ca="1"/>
        <v>"</v>
      </c>
    </row>
    <row r="127" spans="11:12" x14ac:dyDescent="0.45">
      <c r="K127">
        <f ca="1"/>
        <v>94</v>
      </c>
      <c r="L127" t="str">
        <f ca="1"/>
        <v>:</v>
      </c>
    </row>
    <row r="128" spans="11:12" x14ac:dyDescent="0.45">
      <c r="K128">
        <f ca="1"/>
        <v>95</v>
      </c>
      <c r="L128" t="str">
        <f ca="1"/>
        <v>:</v>
      </c>
    </row>
    <row r="129" spans="11:12" x14ac:dyDescent="0.45">
      <c r="K129">
        <f ca="1"/>
        <v>96</v>
      </c>
      <c r="L129" t="str">
        <f ca="1"/>
        <v>:</v>
      </c>
    </row>
    <row r="130" spans="11:12" x14ac:dyDescent="0.45">
      <c r="K130">
        <f ca="1"/>
        <v>97</v>
      </c>
      <c r="L130" t="str">
        <f ca="1"/>
        <v>:</v>
      </c>
    </row>
    <row r="131" spans="11:12" x14ac:dyDescent="0.45">
      <c r="K131">
        <f ca="1"/>
        <v>98</v>
      </c>
      <c r="L131" t="str">
        <f ca="1"/>
        <v>"</v>
      </c>
    </row>
    <row r="132" spans="11:12" x14ac:dyDescent="0.45">
      <c r="K132">
        <f ca="1"/>
        <v>99</v>
      </c>
      <c r="L132" t="str">
        <f ca="1"/>
        <v>/</v>
      </c>
    </row>
    <row r="133" spans="11:12" x14ac:dyDescent="0.45">
      <c r="K133">
        <f ca="1"/>
        <v>100</v>
      </c>
      <c r="L133" t="str">
        <f ca="1"/>
        <v>"</v>
      </c>
    </row>
    <row r="134" spans="11:12" x14ac:dyDescent="0.45">
      <c r="K134">
        <f ca="1"/>
        <v>101</v>
      </c>
      <c r="L134" t="str">
        <f ca="1"/>
        <v>:</v>
      </c>
    </row>
    <row r="135" spans="11:12" x14ac:dyDescent="0.45">
      <c r="K135">
        <f ca="1"/>
        <v>102</v>
      </c>
      <c r="L135" t="str">
        <f ca="1"/>
        <v>:</v>
      </c>
    </row>
    <row r="136" spans="11:12" x14ac:dyDescent="0.45">
      <c r="K136">
        <f ca="1"/>
        <v>103</v>
      </c>
      <c r="L136" t="str">
        <f ca="1"/>
        <v>:</v>
      </c>
    </row>
    <row r="137" spans="11:12" x14ac:dyDescent="0.45">
      <c r="K137">
        <f ca="1"/>
        <v>104</v>
      </c>
      <c r="L137" t="str">
        <f ca="1"/>
        <v>:</v>
      </c>
    </row>
    <row r="138" spans="11:12" x14ac:dyDescent="0.45">
      <c r="K138">
        <f ca="1"/>
        <v>105</v>
      </c>
      <c r="L138" t="str">
        <f ca="1"/>
        <v>"</v>
      </c>
    </row>
    <row r="139" spans="11:12" x14ac:dyDescent="0.45">
      <c r="K139">
        <f ca="1"/>
        <v>106</v>
      </c>
      <c r="L139" t="str">
        <f ca="1"/>
        <v>0</v>
      </c>
    </row>
    <row r="140" spans="11:12" x14ac:dyDescent="0.45">
      <c r="K140">
        <f ca="1"/>
        <v>107</v>
      </c>
      <c r="L140" t="str">
        <f ca="1"/>
        <v>"</v>
      </c>
    </row>
    <row r="141" spans="11:12" x14ac:dyDescent="0.45">
      <c r="K141">
        <f ca="1"/>
        <v>108</v>
      </c>
      <c r="L141" t="str">
        <f ca="1"/>
        <v>:</v>
      </c>
    </row>
    <row r="142" spans="11:12" x14ac:dyDescent="0.45">
      <c r="K142">
        <f ca="1"/>
        <v>109</v>
      </c>
      <c r="L142" t="str">
        <f ca="1"/>
        <v>:</v>
      </c>
    </row>
    <row r="143" spans="11:12" x14ac:dyDescent="0.45">
      <c r="K143">
        <f ca="1"/>
        <v>110</v>
      </c>
      <c r="L143" t="str">
        <f ca="1"/>
        <v>:</v>
      </c>
    </row>
    <row r="144" spans="11:12" x14ac:dyDescent="0.45">
      <c r="K144">
        <f ca="1"/>
        <v>111</v>
      </c>
      <c r="L144" t="str">
        <f ca="1"/>
        <v>:</v>
      </c>
    </row>
    <row r="145" spans="11:12" x14ac:dyDescent="0.45">
      <c r="K145">
        <f ca="1"/>
        <v>112</v>
      </c>
      <c r="L145" t="str">
        <f ca="1"/>
        <v>"</v>
      </c>
    </row>
    <row r="146" spans="11:12" x14ac:dyDescent="0.45">
      <c r="K146">
        <f ca="1"/>
        <v>113</v>
      </c>
      <c r="L146" t="str">
        <f ca="1"/>
        <v>1</v>
      </c>
    </row>
    <row r="147" spans="11:12" x14ac:dyDescent="0.45">
      <c r="K147">
        <f ca="1"/>
        <v>114</v>
      </c>
      <c r="L147" t="str">
        <f ca="1"/>
        <v>"</v>
      </c>
    </row>
    <row r="148" spans="11:12" x14ac:dyDescent="0.45">
      <c r="K148">
        <f ca="1"/>
        <v>115</v>
      </c>
      <c r="L148" t="str">
        <f ca="1"/>
        <v>:</v>
      </c>
    </row>
    <row r="149" spans="11:12" x14ac:dyDescent="0.45">
      <c r="K149">
        <f ca="1"/>
        <v>116</v>
      </c>
      <c r="L149" t="str">
        <f ca="1"/>
        <v>:</v>
      </c>
    </row>
    <row r="150" spans="11:12" x14ac:dyDescent="0.45">
      <c r="K150">
        <f ca="1"/>
        <v>117</v>
      </c>
      <c r="L150" t="str">
        <f ca="1"/>
        <v>:</v>
      </c>
    </row>
    <row r="151" spans="11:12" x14ac:dyDescent="0.45">
      <c r="K151">
        <f ca="1"/>
        <v>118</v>
      </c>
      <c r="L151" t="str">
        <f ca="1"/>
        <v>:</v>
      </c>
    </row>
    <row r="152" spans="11:12" x14ac:dyDescent="0.45">
      <c r="K152">
        <f ca="1"/>
        <v>119</v>
      </c>
      <c r="L152" t="str">
        <f ca="1"/>
        <v>"</v>
      </c>
    </row>
    <row r="153" spans="11:12" x14ac:dyDescent="0.45">
      <c r="K153">
        <f ca="1"/>
        <v>120</v>
      </c>
      <c r="L153" t="str">
        <f ca="1"/>
        <v>2</v>
      </c>
    </row>
    <row r="154" spans="11:12" x14ac:dyDescent="0.45">
      <c r="K154">
        <f ca="1"/>
        <v>121</v>
      </c>
      <c r="L154" t="str">
        <f ca="1"/>
        <v>"</v>
      </c>
    </row>
    <row r="155" spans="11:12" x14ac:dyDescent="0.45">
      <c r="K155">
        <f ca="1"/>
        <v>122</v>
      </c>
      <c r="L155" t="str">
        <f ca="1"/>
        <v>:</v>
      </c>
    </row>
    <row r="156" spans="11:12" x14ac:dyDescent="0.45">
      <c r="K156">
        <f ca="1"/>
        <v>123</v>
      </c>
      <c r="L156" t="str">
        <f ca="1"/>
        <v>:</v>
      </c>
    </row>
    <row r="157" spans="11:12" x14ac:dyDescent="0.45">
      <c r="K157">
        <f ca="1"/>
        <v>124</v>
      </c>
      <c r="L157" t="str">
        <f ca="1"/>
        <v>:</v>
      </c>
    </row>
    <row r="158" spans="11:12" x14ac:dyDescent="0.45">
      <c r="K158">
        <f ca="1"/>
        <v>125</v>
      </c>
      <c r="L158" t="str">
        <f ca="1"/>
        <v>:</v>
      </c>
    </row>
    <row r="159" spans="11:12" x14ac:dyDescent="0.45">
      <c r="K159">
        <f ca="1"/>
        <v>126</v>
      </c>
      <c r="L159" t="str">
        <f ca="1"/>
        <v>"</v>
      </c>
    </row>
    <row r="160" spans="11:12" x14ac:dyDescent="0.45">
      <c r="K160">
        <f ca="1"/>
        <v>127</v>
      </c>
      <c r="L160" t="str">
        <f ca="1"/>
        <v>3</v>
      </c>
    </row>
    <row r="161" spans="11:12" x14ac:dyDescent="0.45">
      <c r="K161">
        <f ca="1"/>
        <v>128</v>
      </c>
      <c r="L161" t="str">
        <f ca="1"/>
        <v>"</v>
      </c>
    </row>
    <row r="162" spans="11:12" x14ac:dyDescent="0.45">
      <c r="K162">
        <f ca="1"/>
        <v>129</v>
      </c>
      <c r="L162" t="str">
        <f ca="1"/>
        <v>:</v>
      </c>
    </row>
    <row r="163" spans="11:12" x14ac:dyDescent="0.45">
      <c r="K163">
        <f ca="1"/>
        <v>130</v>
      </c>
      <c r="L163" t="str">
        <f ca="1"/>
        <v>:</v>
      </c>
    </row>
    <row r="164" spans="11:12" x14ac:dyDescent="0.45">
      <c r="K164">
        <f ca="1"/>
        <v>131</v>
      </c>
      <c r="L164" t="str">
        <f ca="1"/>
        <v>:</v>
      </c>
    </row>
    <row r="165" spans="11:12" x14ac:dyDescent="0.45">
      <c r="K165">
        <f ca="1"/>
        <v>132</v>
      </c>
      <c r="L165" t="str">
        <f ca="1"/>
        <v>:</v>
      </c>
    </row>
    <row r="166" spans="11:12" x14ac:dyDescent="0.45">
      <c r="K166">
        <f ca="1"/>
        <v>133</v>
      </c>
      <c r="L166" t="str">
        <f ca="1"/>
        <v>"</v>
      </c>
    </row>
    <row r="167" spans="11:12" x14ac:dyDescent="0.45">
      <c r="K167">
        <f ca="1"/>
        <v>134</v>
      </c>
      <c r="L167" t="str">
        <f ca="1"/>
        <v>4</v>
      </c>
    </row>
    <row r="168" spans="11:12" x14ac:dyDescent="0.45">
      <c r="K168">
        <f ca="1"/>
        <v>135</v>
      </c>
      <c r="L168" t="str">
        <f ca="1"/>
        <v>"</v>
      </c>
    </row>
    <row r="169" spans="11:12" x14ac:dyDescent="0.45">
      <c r="K169">
        <f ca="1"/>
        <v>136</v>
      </c>
      <c r="L169" t="str">
        <f ca="1"/>
        <v>_x000D_</v>
      </c>
    </row>
    <row r="170" spans="11:12" x14ac:dyDescent="0.45">
      <c r="K170">
        <f ca="1"/>
        <v>137</v>
      </c>
      <c r="L170" t="str">
        <f ca="1"/>
        <v xml:space="preserve">
</v>
      </c>
    </row>
    <row r="171" spans="11:12" x14ac:dyDescent="0.45">
      <c r="K171">
        <f ca="1"/>
        <v>138</v>
      </c>
      <c r="L171" t="str">
        <f ca="1"/>
        <v>"</v>
      </c>
    </row>
    <row r="172" spans="11:12" x14ac:dyDescent="0.45">
      <c r="K172">
        <f ca="1"/>
        <v>139</v>
      </c>
      <c r="L172" t="str">
        <f ca="1"/>
        <v>5</v>
      </c>
    </row>
    <row r="173" spans="11:12" x14ac:dyDescent="0.45">
      <c r="K173">
        <f ca="1"/>
        <v>140</v>
      </c>
      <c r="L173" t="str">
        <f ca="1"/>
        <v>"</v>
      </c>
    </row>
    <row r="174" spans="11:12" x14ac:dyDescent="0.45">
      <c r="K174">
        <f ca="1"/>
        <v>141</v>
      </c>
      <c r="L174" t="str">
        <f ca="1"/>
        <v>:</v>
      </c>
    </row>
    <row r="175" spans="11:12" x14ac:dyDescent="0.45">
      <c r="K175">
        <f ca="1"/>
        <v>142</v>
      </c>
      <c r="L175" t="str">
        <f ca="1"/>
        <v>:</v>
      </c>
    </row>
    <row r="176" spans="11:12" x14ac:dyDescent="0.45">
      <c r="K176">
        <f ca="1"/>
        <v>143</v>
      </c>
      <c r="L176" t="str">
        <f ca="1"/>
        <v>:</v>
      </c>
    </row>
    <row r="177" spans="11:12" x14ac:dyDescent="0.45">
      <c r="K177">
        <f ca="1"/>
        <v>144</v>
      </c>
      <c r="L177" t="str">
        <f ca="1"/>
        <v>:</v>
      </c>
    </row>
    <row r="178" spans="11:12" x14ac:dyDescent="0.45">
      <c r="K178">
        <f ca="1"/>
        <v>145</v>
      </c>
      <c r="L178" t="str">
        <f ca="1"/>
        <v>6</v>
      </c>
    </row>
    <row r="179" spans="11:12" x14ac:dyDescent="0.45">
      <c r="K179">
        <f ca="1"/>
        <v>146</v>
      </c>
      <c r="L179" t="str">
        <f ca="1"/>
        <v>:</v>
      </c>
    </row>
    <row r="180" spans="11:12" x14ac:dyDescent="0.45">
      <c r="K180">
        <f ca="1"/>
        <v>147</v>
      </c>
      <c r="L180" t="str">
        <f ca="1"/>
        <v>:</v>
      </c>
    </row>
    <row r="181" spans="11:12" x14ac:dyDescent="0.45">
      <c r="K181">
        <f ca="1"/>
        <v>148</v>
      </c>
      <c r="L181" t="str">
        <f ca="1"/>
        <v>:</v>
      </c>
    </row>
    <row r="182" spans="11:12" x14ac:dyDescent="0.45">
      <c r="K182">
        <f ca="1"/>
        <v>149</v>
      </c>
      <c r="L182" t="str">
        <f ca="1"/>
        <v>:</v>
      </c>
    </row>
    <row r="183" spans="11:12" x14ac:dyDescent="0.45">
      <c r="K183">
        <f ca="1"/>
        <v>150</v>
      </c>
      <c r="L183" t="str">
        <f ca="1"/>
        <v>"</v>
      </c>
    </row>
    <row r="184" spans="11:12" x14ac:dyDescent="0.45">
      <c r="K184">
        <f ca="1"/>
        <v>151</v>
      </c>
      <c r="L184" t="str">
        <f ca="1"/>
        <v>7</v>
      </c>
    </row>
    <row r="185" spans="11:12" x14ac:dyDescent="0.45">
      <c r="K185">
        <f ca="1"/>
        <v>152</v>
      </c>
      <c r="L185" t="str">
        <f ca="1"/>
        <v>"</v>
      </c>
    </row>
    <row r="186" spans="11:12" x14ac:dyDescent="0.45">
      <c r="K186">
        <f ca="1"/>
        <v>153</v>
      </c>
      <c r="L186" t="str">
        <f ca="1"/>
        <v>:</v>
      </c>
    </row>
    <row r="187" spans="11:12" x14ac:dyDescent="0.45">
      <c r="K187">
        <f ca="1"/>
        <v>154</v>
      </c>
      <c r="L187" t="str">
        <f ca="1"/>
        <v>:</v>
      </c>
    </row>
    <row r="188" spans="11:12" x14ac:dyDescent="0.45">
      <c r="K188">
        <f ca="1"/>
        <v>155</v>
      </c>
      <c r="L188" t="str">
        <f ca="1"/>
        <v>:</v>
      </c>
    </row>
    <row r="189" spans="11:12" x14ac:dyDescent="0.45">
      <c r="K189">
        <f ca="1"/>
        <v>156</v>
      </c>
      <c r="L189" t="str">
        <f ca="1"/>
        <v>:</v>
      </c>
    </row>
    <row r="190" spans="11:12" x14ac:dyDescent="0.45">
      <c r="K190">
        <f ca="1"/>
        <v>157</v>
      </c>
      <c r="L190" t="str">
        <f ca="1"/>
        <v>"</v>
      </c>
    </row>
    <row r="191" spans="11:12" x14ac:dyDescent="0.45">
      <c r="K191">
        <f ca="1"/>
        <v>158</v>
      </c>
      <c r="L191" t="str">
        <f ca="1"/>
        <v>8</v>
      </c>
    </row>
    <row r="192" spans="11:12" x14ac:dyDescent="0.45">
      <c r="K192">
        <f ca="1"/>
        <v>159</v>
      </c>
      <c r="L192" t="str">
        <f ca="1"/>
        <v>"</v>
      </c>
    </row>
    <row r="193" spans="11:12" x14ac:dyDescent="0.45">
      <c r="K193">
        <f ca="1"/>
        <v>160</v>
      </c>
      <c r="L193" t="str">
        <f ca="1"/>
        <v>:</v>
      </c>
    </row>
    <row r="194" spans="11:12" x14ac:dyDescent="0.45">
      <c r="K194">
        <f ca="1"/>
        <v>161</v>
      </c>
      <c r="L194" t="str">
        <f ca="1"/>
        <v>:</v>
      </c>
    </row>
    <row r="195" spans="11:12" x14ac:dyDescent="0.45">
      <c r="K195">
        <f ca="1"/>
        <v>162</v>
      </c>
      <c r="L195" t="str">
        <f ca="1"/>
        <v>:</v>
      </c>
    </row>
    <row r="196" spans="11:12" x14ac:dyDescent="0.45">
      <c r="K196">
        <f ca="1"/>
        <v>163</v>
      </c>
      <c r="L196" t="str">
        <f ca="1"/>
        <v>:</v>
      </c>
    </row>
    <row r="197" spans="11:12" x14ac:dyDescent="0.45">
      <c r="K197">
        <f ca="1"/>
        <v>164</v>
      </c>
      <c r="L197" t="str">
        <f ca="1"/>
        <v>"</v>
      </c>
    </row>
    <row r="198" spans="11:12" x14ac:dyDescent="0.45">
      <c r="K198">
        <f ca="1"/>
        <v>165</v>
      </c>
      <c r="L198" t="str">
        <f ca="1"/>
        <v>9</v>
      </c>
    </row>
    <row r="199" spans="11:12" x14ac:dyDescent="0.45">
      <c r="K199">
        <f ca="1"/>
        <v>166</v>
      </c>
      <c r="L199" t="str">
        <f ca="1"/>
        <v>"</v>
      </c>
    </row>
    <row r="200" spans="11:12" x14ac:dyDescent="0.45">
      <c r="K200">
        <f ca="1"/>
        <v>167</v>
      </c>
      <c r="L200" t="str">
        <f ca="1"/>
        <v>:</v>
      </c>
    </row>
    <row r="201" spans="11:12" x14ac:dyDescent="0.45">
      <c r="K201">
        <f ca="1"/>
        <v>168</v>
      </c>
      <c r="L201" t="str">
        <f ca="1"/>
        <v>:</v>
      </c>
    </row>
    <row r="202" spans="11:12" x14ac:dyDescent="0.45">
      <c r="K202">
        <f ca="1"/>
        <v>169</v>
      </c>
      <c r="L202" t="str">
        <f ca="1"/>
        <v>:</v>
      </c>
    </row>
    <row r="203" spans="11:12" x14ac:dyDescent="0.45">
      <c r="K203">
        <f ca="1"/>
        <v>170</v>
      </c>
      <c r="L203" t="str">
        <f ca="1"/>
        <v>:</v>
      </c>
    </row>
    <row r="204" spans="11:12" x14ac:dyDescent="0.45">
      <c r="K204">
        <f ca="1"/>
        <v>171</v>
      </c>
      <c r="L204" t="str">
        <f ca="1"/>
        <v>"</v>
      </c>
    </row>
    <row r="205" spans="11:12" x14ac:dyDescent="0.45">
      <c r="K205">
        <f ca="1"/>
        <v>172</v>
      </c>
      <c r="L205" t="str">
        <f ca="1"/>
        <v>:</v>
      </c>
    </row>
    <row r="206" spans="11:12" x14ac:dyDescent="0.45">
      <c r="K206">
        <f ca="1"/>
        <v>173</v>
      </c>
      <c r="L206" t="str">
        <f ca="1"/>
        <v>"</v>
      </c>
    </row>
    <row r="207" spans="11:12" x14ac:dyDescent="0.45">
      <c r="K207">
        <f ca="1"/>
        <v>174</v>
      </c>
      <c r="L207" t="str">
        <f ca="1"/>
        <v>:</v>
      </c>
    </row>
    <row r="208" spans="11:12" x14ac:dyDescent="0.45">
      <c r="K208">
        <f ca="1"/>
        <v>175</v>
      </c>
      <c r="L208" t="str">
        <f ca="1"/>
        <v>:</v>
      </c>
    </row>
    <row r="209" spans="11:12" x14ac:dyDescent="0.45">
      <c r="K209">
        <f ca="1"/>
        <v>176</v>
      </c>
      <c r="L209" t="str">
        <f ca="1"/>
        <v>:</v>
      </c>
    </row>
    <row r="210" spans="11:12" x14ac:dyDescent="0.45">
      <c r="K210">
        <f ca="1"/>
        <v>177</v>
      </c>
      <c r="L210" t="str">
        <f ca="1"/>
        <v>:</v>
      </c>
    </row>
    <row r="211" spans="11:12" x14ac:dyDescent="0.45">
      <c r="K211">
        <f ca="1"/>
        <v>178</v>
      </c>
      <c r="L211" t="str">
        <f ca="1"/>
        <v>"</v>
      </c>
    </row>
    <row r="212" spans="11:12" x14ac:dyDescent="0.45">
      <c r="K212">
        <f ca="1"/>
        <v>179</v>
      </c>
      <c r="L212" t="str">
        <f ca="1"/>
        <v>;</v>
      </c>
    </row>
    <row r="213" spans="11:12" x14ac:dyDescent="0.45">
      <c r="K213">
        <f ca="1"/>
        <v>180</v>
      </c>
      <c r="L213" t="str">
        <f ca="1"/>
        <v>"</v>
      </c>
    </row>
    <row r="214" spans="11:12" x14ac:dyDescent="0.45">
      <c r="K214">
        <f ca="1"/>
        <v>181</v>
      </c>
      <c r="L214" t="str">
        <f ca="1"/>
        <v>:</v>
      </c>
    </row>
    <row r="215" spans="11:12" x14ac:dyDescent="0.45">
      <c r="K215">
        <f ca="1"/>
        <v>182</v>
      </c>
      <c r="L215" t="str">
        <f ca="1"/>
        <v>:</v>
      </c>
    </row>
    <row r="216" spans="11:12" x14ac:dyDescent="0.45">
      <c r="K216">
        <f ca="1"/>
        <v>183</v>
      </c>
      <c r="L216" t="str">
        <f ca="1"/>
        <v>:</v>
      </c>
    </row>
    <row r="217" spans="11:12" x14ac:dyDescent="0.45">
      <c r="K217">
        <f ca="1"/>
        <v>184</v>
      </c>
      <c r="L217" t="str">
        <f ca="1"/>
        <v>:</v>
      </c>
    </row>
    <row r="218" spans="11:12" x14ac:dyDescent="0.45">
      <c r="K218">
        <f ca="1"/>
        <v>185</v>
      </c>
      <c r="L218" t="str">
        <f ca="1"/>
        <v>"</v>
      </c>
    </row>
    <row r="219" spans="11:12" x14ac:dyDescent="0.45">
      <c r="K219">
        <f ca="1"/>
        <v>186</v>
      </c>
      <c r="L219" t="str">
        <f ca="1"/>
        <v>&lt;</v>
      </c>
    </row>
    <row r="220" spans="11:12" x14ac:dyDescent="0.45">
      <c r="K220">
        <f ca="1"/>
        <v>187</v>
      </c>
      <c r="L220" t="str">
        <f ca="1"/>
        <v>"</v>
      </c>
    </row>
    <row r="221" spans="11:12" x14ac:dyDescent="0.45">
      <c r="K221">
        <f ca="1"/>
        <v>188</v>
      </c>
      <c r="L221" t="str">
        <f ca="1"/>
        <v>:</v>
      </c>
    </row>
    <row r="222" spans="11:12" x14ac:dyDescent="0.45">
      <c r="K222">
        <f ca="1"/>
        <v>189</v>
      </c>
      <c r="L222" t="str">
        <f ca="1"/>
        <v>:</v>
      </c>
    </row>
    <row r="223" spans="11:12" x14ac:dyDescent="0.45">
      <c r="K223">
        <f ca="1"/>
        <v>190</v>
      </c>
      <c r="L223" t="str">
        <f ca="1"/>
        <v>:</v>
      </c>
    </row>
    <row r="224" spans="11:12" x14ac:dyDescent="0.45">
      <c r="K224">
        <f ca="1"/>
        <v>191</v>
      </c>
      <c r="L224" t="str">
        <f ca="1"/>
        <v>:</v>
      </c>
    </row>
    <row r="225" spans="11:12" x14ac:dyDescent="0.45">
      <c r="K225">
        <f ca="1"/>
        <v>192</v>
      </c>
      <c r="L225" t="str">
        <f ca="1"/>
        <v>"</v>
      </c>
    </row>
    <row r="226" spans="11:12" x14ac:dyDescent="0.45">
      <c r="K226">
        <f ca="1"/>
        <v>193</v>
      </c>
      <c r="L226" t="str">
        <f ca="1"/>
        <v>=</v>
      </c>
    </row>
    <row r="227" spans="11:12" x14ac:dyDescent="0.45">
      <c r="K227">
        <f ca="1"/>
        <v>194</v>
      </c>
      <c r="L227" t="str">
        <f ca="1"/>
        <v>"</v>
      </c>
    </row>
    <row r="228" spans="11:12" x14ac:dyDescent="0.45">
      <c r="K228">
        <f ca="1"/>
        <v>195</v>
      </c>
      <c r="L228" t="str">
        <f ca="1"/>
        <v>:</v>
      </c>
    </row>
    <row r="229" spans="11:12" x14ac:dyDescent="0.45">
      <c r="K229">
        <f ca="1"/>
        <v>196</v>
      </c>
      <c r="L229" t="str">
        <f ca="1"/>
        <v>:</v>
      </c>
    </row>
    <row r="230" spans="11:12" x14ac:dyDescent="0.45">
      <c r="K230">
        <f ca="1"/>
        <v>197</v>
      </c>
      <c r="L230" t="str">
        <f ca="1"/>
        <v>:</v>
      </c>
    </row>
    <row r="231" spans="11:12" x14ac:dyDescent="0.45">
      <c r="K231">
        <f ca="1"/>
        <v>198</v>
      </c>
      <c r="L231" t="str">
        <f ca="1"/>
        <v>:</v>
      </c>
    </row>
    <row r="232" spans="11:12" x14ac:dyDescent="0.45">
      <c r="K232">
        <f ca="1"/>
        <v>199</v>
      </c>
      <c r="L232" t="str">
        <f ca="1"/>
        <v>"</v>
      </c>
    </row>
    <row r="233" spans="11:12" x14ac:dyDescent="0.45">
      <c r="K233">
        <f ca="1"/>
        <v>200</v>
      </c>
      <c r="L233" t="str">
        <f ca="1"/>
        <v>&gt;</v>
      </c>
    </row>
    <row r="234" spans="11:12" x14ac:dyDescent="0.45">
      <c r="K234">
        <f ca="1"/>
        <v>201</v>
      </c>
      <c r="L234" t="str">
        <f ca="1"/>
        <v>"</v>
      </c>
    </row>
    <row r="235" spans="11:12" x14ac:dyDescent="0.45">
      <c r="K235">
        <f ca="1"/>
        <v>202</v>
      </c>
      <c r="L235" t="str">
        <f ca="1"/>
        <v>_x000D_</v>
      </c>
    </row>
    <row r="236" spans="11:12" x14ac:dyDescent="0.45">
      <c r="K236">
        <f ca="1"/>
        <v>203</v>
      </c>
      <c r="L236" t="str">
        <f ca="1"/>
        <v xml:space="preserve">
</v>
      </c>
    </row>
    <row r="237" spans="11:12" x14ac:dyDescent="0.45">
      <c r="K237">
        <f ca="1"/>
        <v>204</v>
      </c>
      <c r="L237" t="str">
        <f ca="1"/>
        <v>"</v>
      </c>
    </row>
    <row r="238" spans="11:12" x14ac:dyDescent="0.45">
      <c r="K238">
        <f ca="1"/>
        <v>205</v>
      </c>
      <c r="L238" t="str">
        <f ca="1"/>
        <v>?</v>
      </c>
    </row>
    <row r="239" spans="11:12" x14ac:dyDescent="0.45">
      <c r="K239">
        <f ca="1"/>
        <v>206</v>
      </c>
      <c r="L239" t="str">
        <f ca="1"/>
        <v>"</v>
      </c>
    </row>
    <row r="240" spans="11:12" x14ac:dyDescent="0.45">
      <c r="K240">
        <f ca="1"/>
        <v>207</v>
      </c>
      <c r="L240" t="str">
        <f ca="1"/>
        <v>:</v>
      </c>
    </row>
    <row r="241" spans="11:12" x14ac:dyDescent="0.45">
      <c r="K241">
        <f ca="1"/>
        <v>208</v>
      </c>
      <c r="L241" t="str">
        <f ca="1"/>
        <v>:</v>
      </c>
    </row>
    <row r="242" spans="11:12" x14ac:dyDescent="0.45">
      <c r="K242">
        <f ca="1"/>
        <v>209</v>
      </c>
      <c r="L242" t="str">
        <f ca="1"/>
        <v>:</v>
      </c>
    </row>
    <row r="243" spans="11:12" x14ac:dyDescent="0.45">
      <c r="K243">
        <f ca="1"/>
        <v>210</v>
      </c>
      <c r="L243" t="str">
        <f ca="1"/>
        <v>:</v>
      </c>
    </row>
    <row r="244" spans="11:12" x14ac:dyDescent="0.45">
      <c r="K244">
        <f ca="1"/>
        <v>211</v>
      </c>
      <c r="L244" t="str">
        <f ca="1"/>
        <v>"</v>
      </c>
    </row>
    <row r="245" spans="11:12" x14ac:dyDescent="0.45">
      <c r="K245">
        <f ca="1"/>
        <v>212</v>
      </c>
      <c r="L245" t="str">
        <f ca="1"/>
        <v>@</v>
      </c>
    </row>
    <row r="246" spans="11:12" x14ac:dyDescent="0.45">
      <c r="K246">
        <f ca="1"/>
        <v>213</v>
      </c>
      <c r="L246" t="str">
        <f ca="1"/>
        <v>"</v>
      </c>
    </row>
    <row r="247" spans="11:12" x14ac:dyDescent="0.45">
      <c r="K247">
        <f ca="1"/>
        <v>214</v>
      </c>
      <c r="L247" t="str">
        <f ca="1"/>
        <v>:</v>
      </c>
    </row>
    <row r="248" spans="11:12" x14ac:dyDescent="0.45">
      <c r="K248">
        <f ca="1"/>
        <v>215</v>
      </c>
      <c r="L248" t="str">
        <f ca="1"/>
        <v>:</v>
      </c>
    </row>
    <row r="249" spans="11:12" x14ac:dyDescent="0.45">
      <c r="K249">
        <f ca="1"/>
        <v>216</v>
      </c>
      <c r="L249" t="str">
        <f ca="1"/>
        <v>:</v>
      </c>
    </row>
    <row r="250" spans="11:12" x14ac:dyDescent="0.45">
      <c r="K250">
        <f ca="1"/>
        <v>217</v>
      </c>
      <c r="L250" t="str">
        <f ca="1"/>
        <v>:</v>
      </c>
    </row>
    <row r="251" spans="11:12" x14ac:dyDescent="0.45">
      <c r="K251">
        <f ca="1"/>
        <v>218</v>
      </c>
      <c r="L251" t="str">
        <f ca="1"/>
        <v>"</v>
      </c>
    </row>
    <row r="252" spans="11:12" x14ac:dyDescent="0.45">
      <c r="K252">
        <f ca="1"/>
        <v>219</v>
      </c>
      <c r="L252" t="str">
        <f ca="1"/>
        <v>A</v>
      </c>
    </row>
    <row r="253" spans="11:12" x14ac:dyDescent="0.45">
      <c r="K253">
        <f ca="1"/>
        <v>220</v>
      </c>
      <c r="L253" t="str">
        <f ca="1"/>
        <v>"</v>
      </c>
    </row>
    <row r="254" spans="11:12" x14ac:dyDescent="0.45">
      <c r="K254">
        <f ca="1"/>
        <v>221</v>
      </c>
      <c r="L254" t="str">
        <f ca="1"/>
        <v>:</v>
      </c>
    </row>
    <row r="255" spans="11:12" x14ac:dyDescent="0.45">
      <c r="K255">
        <f ca="1"/>
        <v>222</v>
      </c>
      <c r="L255" t="str">
        <f ca="1"/>
        <v>:</v>
      </c>
    </row>
    <row r="256" spans="11:12" x14ac:dyDescent="0.45">
      <c r="K256">
        <f ca="1"/>
        <v>223</v>
      </c>
      <c r="L256" t="str">
        <f ca="1"/>
        <v>:</v>
      </c>
    </row>
    <row r="257" spans="11:12" x14ac:dyDescent="0.45">
      <c r="K257">
        <f ca="1"/>
        <v>224</v>
      </c>
      <c r="L257" t="str">
        <f ca="1"/>
        <v>:</v>
      </c>
    </row>
    <row r="258" spans="11:12" x14ac:dyDescent="0.45">
      <c r="K258">
        <f ca="1"/>
        <v>225</v>
      </c>
      <c r="L258" t="str">
        <f ca="1"/>
        <v>"</v>
      </c>
    </row>
    <row r="259" spans="11:12" x14ac:dyDescent="0.45">
      <c r="K259">
        <f ca="1"/>
        <v>226</v>
      </c>
      <c r="L259" t="str">
        <f ca="1"/>
        <v>B</v>
      </c>
    </row>
    <row r="260" spans="11:12" x14ac:dyDescent="0.45">
      <c r="K260">
        <f ca="1"/>
        <v>227</v>
      </c>
      <c r="L260" t="str">
        <f ca="1"/>
        <v>"</v>
      </c>
    </row>
    <row r="261" spans="11:12" x14ac:dyDescent="0.45">
      <c r="K261">
        <f ca="1"/>
        <v>228</v>
      </c>
      <c r="L261" t="str">
        <f ca="1"/>
        <v>:</v>
      </c>
    </row>
    <row r="262" spans="11:12" x14ac:dyDescent="0.45">
      <c r="K262">
        <f ca="1"/>
        <v>229</v>
      </c>
      <c r="L262" t="str">
        <f ca="1"/>
        <v>:</v>
      </c>
    </row>
    <row r="263" spans="11:12" x14ac:dyDescent="0.45">
      <c r="K263">
        <f ca="1"/>
        <v>230</v>
      </c>
      <c r="L263" t="str">
        <f ca="1"/>
        <v>:</v>
      </c>
    </row>
    <row r="264" spans="11:12" x14ac:dyDescent="0.45">
      <c r="K264">
        <f ca="1"/>
        <v>231</v>
      </c>
      <c r="L264" t="str">
        <f ca="1"/>
        <v>:</v>
      </c>
    </row>
    <row r="265" spans="11:12" x14ac:dyDescent="0.45">
      <c r="K265">
        <f ca="1"/>
        <v>232</v>
      </c>
      <c r="L265" t="str">
        <f ca="1"/>
        <v>"</v>
      </c>
    </row>
    <row r="266" spans="11:12" x14ac:dyDescent="0.45">
      <c r="K266">
        <f ca="1"/>
        <v>233</v>
      </c>
      <c r="L266" t="str">
        <f ca="1"/>
        <v>C</v>
      </c>
    </row>
    <row r="267" spans="11:12" x14ac:dyDescent="0.45">
      <c r="K267">
        <f ca="1"/>
        <v>234</v>
      </c>
      <c r="L267" t="str">
        <f ca="1"/>
        <v>"</v>
      </c>
    </row>
    <row r="268" spans="11:12" x14ac:dyDescent="0.45">
      <c r="K268">
        <f ca="1"/>
        <v>235</v>
      </c>
      <c r="L268" t="str">
        <f ca="1"/>
        <v>:</v>
      </c>
    </row>
    <row r="269" spans="11:12" x14ac:dyDescent="0.45">
      <c r="K269">
        <f ca="1"/>
        <v>236</v>
      </c>
      <c r="L269" t="str">
        <f ca="1"/>
        <v>:</v>
      </c>
    </row>
    <row r="270" spans="11:12" x14ac:dyDescent="0.45">
      <c r="K270">
        <f ca="1"/>
        <v>237</v>
      </c>
      <c r="L270" t="str">
        <f ca="1"/>
        <v>:</v>
      </c>
    </row>
    <row r="271" spans="11:12" x14ac:dyDescent="0.45">
      <c r="K271">
        <f ca="1"/>
        <v>238</v>
      </c>
      <c r="L271" t="str">
        <f ca="1"/>
        <v>:</v>
      </c>
    </row>
    <row r="272" spans="11:12" x14ac:dyDescent="0.45">
      <c r="K272">
        <f ca="1"/>
        <v>239</v>
      </c>
      <c r="L272" t="str">
        <f ca="1"/>
        <v>"</v>
      </c>
    </row>
    <row r="273" spans="11:12" x14ac:dyDescent="0.45">
      <c r="K273">
        <f ca="1"/>
        <v>240</v>
      </c>
      <c r="L273" t="str">
        <f ca="1"/>
        <v>D</v>
      </c>
    </row>
    <row r="274" spans="11:12" x14ac:dyDescent="0.45">
      <c r="K274">
        <f ca="1"/>
        <v>241</v>
      </c>
      <c r="L274" t="str">
        <f ca="1"/>
        <v>"</v>
      </c>
    </row>
    <row r="275" spans="11:12" x14ac:dyDescent="0.45">
      <c r="K275">
        <f ca="1"/>
        <v>242</v>
      </c>
      <c r="L275" t="str">
        <f ca="1"/>
        <v>:</v>
      </c>
    </row>
    <row r="276" spans="11:12" x14ac:dyDescent="0.45">
      <c r="K276">
        <f ca="1"/>
        <v>243</v>
      </c>
      <c r="L276" t="str">
        <f ca="1"/>
        <v>:</v>
      </c>
    </row>
    <row r="277" spans="11:12" x14ac:dyDescent="0.45">
      <c r="K277">
        <f ca="1"/>
        <v>244</v>
      </c>
      <c r="L277" t="str">
        <f ca="1"/>
        <v>:</v>
      </c>
    </row>
    <row r="278" spans="11:12" x14ac:dyDescent="0.45">
      <c r="K278">
        <f ca="1"/>
        <v>245</v>
      </c>
      <c r="L278" t="str">
        <f ca="1"/>
        <v>:</v>
      </c>
    </row>
    <row r="279" spans="11:12" x14ac:dyDescent="0.45">
      <c r="K279">
        <f ca="1"/>
        <v>246</v>
      </c>
      <c r="L279" t="str">
        <f ca="1"/>
        <v>"</v>
      </c>
    </row>
    <row r="280" spans="11:12" x14ac:dyDescent="0.45">
      <c r="K280">
        <f ca="1"/>
        <v>247</v>
      </c>
      <c r="L280" t="str">
        <f ca="1"/>
        <v>E</v>
      </c>
    </row>
    <row r="281" spans="11:12" x14ac:dyDescent="0.45">
      <c r="K281">
        <f ca="1"/>
        <v>248</v>
      </c>
      <c r="L281" t="str">
        <f ca="1"/>
        <v>"</v>
      </c>
    </row>
    <row r="282" spans="11:12" x14ac:dyDescent="0.45">
      <c r="K282">
        <f ca="1"/>
        <v>249</v>
      </c>
      <c r="L282" t="str">
        <f ca="1"/>
        <v>:</v>
      </c>
    </row>
    <row r="283" spans="11:12" x14ac:dyDescent="0.45">
      <c r="K283">
        <f ca="1"/>
        <v>250</v>
      </c>
      <c r="L283" t="str">
        <f ca="1"/>
        <v>:</v>
      </c>
    </row>
    <row r="284" spans="11:12" x14ac:dyDescent="0.45">
      <c r="K284">
        <f ca="1"/>
        <v>251</v>
      </c>
      <c r="L284" t="str">
        <f ca="1"/>
        <v>:</v>
      </c>
    </row>
    <row r="285" spans="11:12" x14ac:dyDescent="0.45">
      <c r="K285">
        <f ca="1"/>
        <v>252</v>
      </c>
      <c r="L285" t="str">
        <f ca="1"/>
        <v>:</v>
      </c>
    </row>
    <row r="286" spans="11:12" x14ac:dyDescent="0.45">
      <c r="K286">
        <f ca="1"/>
        <v>253</v>
      </c>
      <c r="L286" t="str">
        <f ca="1"/>
        <v>"</v>
      </c>
    </row>
    <row r="287" spans="11:12" x14ac:dyDescent="0.45">
      <c r="K287">
        <f ca="1"/>
        <v>254</v>
      </c>
      <c r="L287" t="str">
        <f ca="1"/>
        <v>F</v>
      </c>
    </row>
    <row r="288" spans="11:12" x14ac:dyDescent="0.45">
      <c r="K288">
        <f ca="1"/>
        <v>255</v>
      </c>
      <c r="L288" t="str">
        <f ca="1"/>
        <v>"</v>
      </c>
    </row>
    <row r="289" spans="11:12" x14ac:dyDescent="0.45">
      <c r="K289">
        <f ca="1"/>
        <v>256</v>
      </c>
      <c r="L289" t="str">
        <f ca="1"/>
        <v>:</v>
      </c>
    </row>
    <row r="290" spans="11:12" x14ac:dyDescent="0.45">
      <c r="K290">
        <f ca="1"/>
        <v>257</v>
      </c>
      <c r="L290" t="str">
        <f ca="1"/>
        <v>:</v>
      </c>
    </row>
    <row r="291" spans="11:12" x14ac:dyDescent="0.45">
      <c r="K291">
        <f ca="1"/>
        <v>258</v>
      </c>
      <c r="L291" t="str">
        <f ca="1"/>
        <v>:</v>
      </c>
    </row>
    <row r="292" spans="11:12" x14ac:dyDescent="0.45">
      <c r="K292">
        <f ca="1"/>
        <v>259</v>
      </c>
      <c r="L292" t="str">
        <f ca="1"/>
        <v>:</v>
      </c>
    </row>
    <row r="293" spans="11:12" x14ac:dyDescent="0.45">
      <c r="K293">
        <f ca="1"/>
        <v>260</v>
      </c>
      <c r="L293" t="str">
        <f ca="1"/>
        <v>"</v>
      </c>
    </row>
    <row r="294" spans="11:12" x14ac:dyDescent="0.45">
      <c r="K294">
        <f ca="1"/>
        <v>261</v>
      </c>
      <c r="L294" t="str">
        <f ca="1"/>
        <v>G</v>
      </c>
    </row>
    <row r="295" spans="11:12" x14ac:dyDescent="0.45">
      <c r="K295">
        <f ca="1"/>
        <v>262</v>
      </c>
      <c r="L295" t="str">
        <f ca="1"/>
        <v>"</v>
      </c>
    </row>
    <row r="296" spans="11:12" x14ac:dyDescent="0.45">
      <c r="K296">
        <f ca="1"/>
        <v>263</v>
      </c>
      <c r="L296" t="str">
        <f ca="1"/>
        <v>:</v>
      </c>
    </row>
    <row r="297" spans="11:12" x14ac:dyDescent="0.45">
      <c r="K297">
        <f ca="1"/>
        <v>264</v>
      </c>
      <c r="L297" t="str">
        <f ca="1"/>
        <v>:</v>
      </c>
    </row>
    <row r="298" spans="11:12" x14ac:dyDescent="0.45">
      <c r="K298">
        <f ca="1"/>
        <v>265</v>
      </c>
      <c r="L298" t="str">
        <f ca="1"/>
        <v>:</v>
      </c>
    </row>
    <row r="299" spans="11:12" x14ac:dyDescent="0.45">
      <c r="K299">
        <f ca="1"/>
        <v>266</v>
      </c>
      <c r="L299" t="str">
        <f ca="1"/>
        <v>:</v>
      </c>
    </row>
    <row r="300" spans="11:12" x14ac:dyDescent="0.45">
      <c r="K300">
        <f ca="1"/>
        <v>267</v>
      </c>
      <c r="L300" t="str">
        <f ca="1"/>
        <v>"</v>
      </c>
    </row>
    <row r="301" spans="11:12" x14ac:dyDescent="0.45">
      <c r="K301">
        <f ca="1"/>
        <v>268</v>
      </c>
      <c r="L301" t="str">
        <f ca="1"/>
        <v>H</v>
      </c>
    </row>
    <row r="302" spans="11:12" x14ac:dyDescent="0.45">
      <c r="K302">
        <f ca="1"/>
        <v>269</v>
      </c>
      <c r="L302" t="str">
        <f ca="1"/>
        <v>"</v>
      </c>
    </row>
    <row r="303" spans="11:12" x14ac:dyDescent="0.45">
      <c r="K303">
        <f ca="1"/>
        <v>270</v>
      </c>
      <c r="L303" t="str">
        <f ca="1"/>
        <v>_x000D_</v>
      </c>
    </row>
    <row r="304" spans="11:12" x14ac:dyDescent="0.45">
      <c r="K304">
        <f ca="1"/>
        <v>271</v>
      </c>
      <c r="L304" t="str">
        <f ca="1"/>
        <v xml:space="preserve">
</v>
      </c>
    </row>
    <row r="305" spans="11:12" x14ac:dyDescent="0.45">
      <c r="K305">
        <f ca="1"/>
        <v>272</v>
      </c>
      <c r="L305" t="str">
        <f ca="1"/>
        <v>"</v>
      </c>
    </row>
    <row r="306" spans="11:12" x14ac:dyDescent="0.45">
      <c r="K306">
        <f ca="1"/>
        <v>273</v>
      </c>
      <c r="L306" t="str">
        <f ca="1"/>
        <v>x</v>
      </c>
    </row>
    <row r="307" spans="11:12" x14ac:dyDescent="0.45">
      <c r="K307">
        <f ca="1"/>
        <v>274</v>
      </c>
      <c r="L307" t="str">
        <f ca="1"/>
        <v>"</v>
      </c>
    </row>
    <row r="308" spans="11:12" x14ac:dyDescent="0.45">
      <c r="K308">
        <f ca="1"/>
        <v>275</v>
      </c>
      <c r="L308" t="str">
        <f ca="1"/>
        <v>:</v>
      </c>
    </row>
    <row r="309" spans="11:12" x14ac:dyDescent="0.45">
      <c r="K309">
        <f ca="1"/>
        <v>276</v>
      </c>
      <c r="L309" t="str">
        <f ca="1"/>
        <v>:</v>
      </c>
    </row>
    <row r="310" spans="11:12" x14ac:dyDescent="0.45">
      <c r="K310">
        <f ca="1"/>
        <v>277</v>
      </c>
      <c r="L310" t="str">
        <f ca="1"/>
        <v>:</v>
      </c>
    </row>
    <row r="311" spans="11:12" x14ac:dyDescent="0.45">
      <c r="K311">
        <f ca="1"/>
        <v>278</v>
      </c>
      <c r="L311" t="str">
        <f ca="1"/>
        <v>:</v>
      </c>
    </row>
    <row r="312" spans="11:12" x14ac:dyDescent="0.45">
      <c r="K312">
        <f ca="1"/>
        <v>279</v>
      </c>
      <c r="L312" t="str">
        <f ca="1"/>
        <v>"</v>
      </c>
    </row>
    <row r="313" spans="11:12" x14ac:dyDescent="0.45">
      <c r="K313">
        <f ca="1"/>
        <v>280</v>
      </c>
      <c r="L313" t="str">
        <f ca="1"/>
        <v>J</v>
      </c>
    </row>
    <row r="314" spans="11:12" x14ac:dyDescent="0.45">
      <c r="K314">
        <f ca="1"/>
        <v>281</v>
      </c>
      <c r="L314" t="str">
        <f ca="1"/>
        <v>"</v>
      </c>
    </row>
    <row r="315" spans="11:12" x14ac:dyDescent="0.45">
      <c r="K315">
        <f ca="1"/>
        <v>282</v>
      </c>
      <c r="L315" t="str">
        <f ca="1"/>
        <v>:</v>
      </c>
    </row>
    <row r="316" spans="11:12" x14ac:dyDescent="0.45">
      <c r="K316">
        <f ca="1"/>
        <v>283</v>
      </c>
      <c r="L316" t="str">
        <f ca="1"/>
        <v>:</v>
      </c>
    </row>
    <row r="317" spans="11:12" x14ac:dyDescent="0.45">
      <c r="K317">
        <f ca="1"/>
        <v>284</v>
      </c>
      <c r="L317" t="str">
        <f ca="1"/>
        <v>:</v>
      </c>
    </row>
    <row r="318" spans="11:12" x14ac:dyDescent="0.45">
      <c r="K318">
        <f ca="1"/>
        <v>285</v>
      </c>
      <c r="L318" t="str">
        <f ca="1"/>
        <v>:</v>
      </c>
    </row>
    <row r="319" spans="11:12" x14ac:dyDescent="0.45">
      <c r="K319">
        <f ca="1"/>
        <v>286</v>
      </c>
      <c r="L319" t="str">
        <f ca="1"/>
        <v>"</v>
      </c>
    </row>
    <row r="320" spans="11:12" x14ac:dyDescent="0.45">
      <c r="K320">
        <f ca="1"/>
        <v>287</v>
      </c>
      <c r="L320" t="str">
        <f ca="1"/>
        <v>K</v>
      </c>
    </row>
    <row r="321" spans="11:12" x14ac:dyDescent="0.45">
      <c r="K321">
        <f ca="1"/>
        <v>288</v>
      </c>
      <c r="L321" t="str">
        <f ca="1"/>
        <v>"</v>
      </c>
    </row>
    <row r="322" spans="11:12" x14ac:dyDescent="0.45">
      <c r="K322">
        <f ca="1"/>
        <v>289</v>
      </c>
      <c r="L322" t="str">
        <f ca="1"/>
        <v>:</v>
      </c>
    </row>
    <row r="323" spans="11:12" x14ac:dyDescent="0.45">
      <c r="K323">
        <f ca="1"/>
        <v>290</v>
      </c>
      <c r="L323" t="str">
        <f ca="1"/>
        <v>:</v>
      </c>
    </row>
    <row r="324" spans="11:12" x14ac:dyDescent="0.45">
      <c r="K324">
        <f ca="1"/>
        <v>291</v>
      </c>
      <c r="L324" t="str">
        <f ca="1"/>
        <v>:</v>
      </c>
    </row>
    <row r="325" spans="11:12" x14ac:dyDescent="0.45">
      <c r="K325">
        <f ca="1"/>
        <v>292</v>
      </c>
      <c r="L325" t="str">
        <f ca="1"/>
        <v>:</v>
      </c>
    </row>
    <row r="326" spans="11:12" x14ac:dyDescent="0.45">
      <c r="K326">
        <f ca="1"/>
        <v>293</v>
      </c>
      <c r="L326" t="str">
        <f ca="1"/>
        <v>"</v>
      </c>
    </row>
    <row r="327" spans="11:12" x14ac:dyDescent="0.45">
      <c r="K327">
        <f ca="1"/>
        <v>294</v>
      </c>
      <c r="L327" t="str">
        <f ca="1"/>
        <v>L</v>
      </c>
    </row>
    <row r="328" spans="11:12" x14ac:dyDescent="0.45">
      <c r="K328">
        <f ca="1"/>
        <v>295</v>
      </c>
      <c r="L328" t="str">
        <f ca="1"/>
        <v>"</v>
      </c>
    </row>
    <row r="329" spans="11:12" x14ac:dyDescent="0.45">
      <c r="K329">
        <f ca="1"/>
        <v>296</v>
      </c>
      <c r="L329" t="str">
        <f ca="1"/>
        <v>:</v>
      </c>
    </row>
    <row r="330" spans="11:12" x14ac:dyDescent="0.45">
      <c r="K330">
        <f ca="1"/>
        <v>297</v>
      </c>
      <c r="L330" t="str">
        <f ca="1"/>
        <v>:</v>
      </c>
    </row>
    <row r="331" spans="11:12" x14ac:dyDescent="0.45">
      <c r="K331">
        <f ca="1"/>
        <v>298</v>
      </c>
      <c r="L331" t="str">
        <f ca="1"/>
        <v>:</v>
      </c>
    </row>
    <row r="332" spans="11:12" x14ac:dyDescent="0.45">
      <c r="K332">
        <f ca="1"/>
        <v>299</v>
      </c>
      <c r="L332" t="str">
        <f ca="1"/>
        <v>:</v>
      </c>
    </row>
    <row r="333" spans="11:12" x14ac:dyDescent="0.45">
      <c r="K333">
        <f ca="1"/>
        <v>300</v>
      </c>
      <c r="L333" t="str">
        <f ca="1"/>
        <v>"</v>
      </c>
    </row>
    <row r="334" spans="11:12" x14ac:dyDescent="0.45">
      <c r="K334">
        <f ca="1"/>
        <v>301</v>
      </c>
      <c r="L334" t="str">
        <f ca="1"/>
        <v>M</v>
      </c>
    </row>
    <row r="335" spans="11:12" x14ac:dyDescent="0.45">
      <c r="K335">
        <f ca="1"/>
        <v>302</v>
      </c>
      <c r="L335" t="str">
        <f ca="1"/>
        <v>"</v>
      </c>
    </row>
    <row r="336" spans="11:12" x14ac:dyDescent="0.45">
      <c r="K336">
        <f ca="1"/>
        <v>303</v>
      </c>
      <c r="L336" t="str">
        <f ca="1"/>
        <v>:</v>
      </c>
    </row>
    <row r="337" spans="11:12" x14ac:dyDescent="0.45">
      <c r="K337">
        <f ca="1"/>
        <v>304</v>
      </c>
      <c r="L337" t="str">
        <f ca="1"/>
        <v>:</v>
      </c>
    </row>
    <row r="338" spans="11:12" x14ac:dyDescent="0.45">
      <c r="K338">
        <f ca="1"/>
        <v>305</v>
      </c>
      <c r="L338" t="str">
        <f ca="1"/>
        <v>:</v>
      </c>
    </row>
    <row r="339" spans="11:12" x14ac:dyDescent="0.45">
      <c r="K339">
        <f ca="1"/>
        <v>306</v>
      </c>
      <c r="L339" t="str">
        <f ca="1"/>
        <v>:</v>
      </c>
    </row>
    <row r="340" spans="11:12" x14ac:dyDescent="0.45">
      <c r="K340">
        <f ca="1"/>
        <v>307</v>
      </c>
      <c r="L340" t="str">
        <f ca="1"/>
        <v>"</v>
      </c>
    </row>
    <row r="341" spans="11:12" x14ac:dyDescent="0.45">
      <c r="K341">
        <f ca="1"/>
        <v>308</v>
      </c>
      <c r="L341" t="str">
        <f ca="1"/>
        <v>N</v>
      </c>
    </row>
    <row r="342" spans="11:12" x14ac:dyDescent="0.45">
      <c r="K342">
        <f ca="1"/>
        <v>309</v>
      </c>
      <c r="L342" t="str">
        <f ca="1"/>
        <v>"</v>
      </c>
    </row>
    <row r="343" spans="11:12" x14ac:dyDescent="0.45">
      <c r="K343">
        <f ca="1"/>
        <v>310</v>
      </c>
      <c r="L343" t="str">
        <f ca="1"/>
        <v>:</v>
      </c>
    </row>
    <row r="344" spans="11:12" x14ac:dyDescent="0.45">
      <c r="K344">
        <f ca="1"/>
        <v>311</v>
      </c>
      <c r="L344" t="str">
        <f ca="1"/>
        <v>:</v>
      </c>
    </row>
    <row r="345" spans="11:12" x14ac:dyDescent="0.45">
      <c r="K345">
        <f ca="1"/>
        <v>312</v>
      </c>
      <c r="L345" t="str">
        <f ca="1"/>
        <v>:</v>
      </c>
    </row>
    <row r="346" spans="11:12" x14ac:dyDescent="0.45">
      <c r="K346">
        <f ca="1"/>
        <v>313</v>
      </c>
      <c r="L346" t="str">
        <f ca="1"/>
        <v>:</v>
      </c>
    </row>
    <row r="347" spans="11:12" x14ac:dyDescent="0.45">
      <c r="K347">
        <f ca="1"/>
        <v>314</v>
      </c>
      <c r="L347" t="str">
        <f ca="1"/>
        <v>"</v>
      </c>
    </row>
    <row r="348" spans="11:12" x14ac:dyDescent="0.45">
      <c r="K348">
        <f ca="1"/>
        <v>315</v>
      </c>
      <c r="L348" t="str">
        <f ca="1"/>
        <v>O</v>
      </c>
    </row>
    <row r="349" spans="11:12" x14ac:dyDescent="0.45">
      <c r="K349">
        <f ca="1"/>
        <v>316</v>
      </c>
      <c r="L349" t="str">
        <f ca="1"/>
        <v>"</v>
      </c>
    </row>
    <row r="350" spans="11:12" x14ac:dyDescent="0.45">
      <c r="K350">
        <f ca="1"/>
        <v>317</v>
      </c>
      <c r="L350" t="str">
        <f ca="1"/>
        <v>:</v>
      </c>
    </row>
    <row r="351" spans="11:12" x14ac:dyDescent="0.45">
      <c r="K351">
        <f ca="1"/>
        <v>318</v>
      </c>
      <c r="L351" t="str">
        <f ca="1"/>
        <v>:</v>
      </c>
    </row>
    <row r="352" spans="11:12" x14ac:dyDescent="0.45">
      <c r="K352">
        <f ca="1"/>
        <v>319</v>
      </c>
      <c r="L352" t="str">
        <f ca="1"/>
        <v>:</v>
      </c>
    </row>
    <row r="353" spans="11:12" x14ac:dyDescent="0.45">
      <c r="K353">
        <f ca="1"/>
        <v>320</v>
      </c>
      <c r="L353" t="str">
        <f ca="1"/>
        <v>:</v>
      </c>
    </row>
    <row r="354" spans="11:12" x14ac:dyDescent="0.45">
      <c r="K354">
        <f ca="1"/>
        <v>321</v>
      </c>
      <c r="L354" t="str">
        <f ca="1"/>
        <v>"</v>
      </c>
    </row>
    <row r="355" spans="11:12" x14ac:dyDescent="0.45">
      <c r="K355">
        <f ca="1"/>
        <v>322</v>
      </c>
      <c r="L355" t="str">
        <f ca="1"/>
        <v>P</v>
      </c>
    </row>
    <row r="356" spans="11:12" x14ac:dyDescent="0.45">
      <c r="K356">
        <f ca="1"/>
        <v>323</v>
      </c>
      <c r="L356" t="str">
        <f ca="1"/>
        <v>"</v>
      </c>
    </row>
    <row r="357" spans="11:12" x14ac:dyDescent="0.45">
      <c r="K357">
        <f ca="1"/>
        <v>324</v>
      </c>
      <c r="L357" t="str">
        <f ca="1"/>
        <v>:</v>
      </c>
    </row>
    <row r="358" spans="11:12" x14ac:dyDescent="0.45">
      <c r="K358">
        <f ca="1"/>
        <v>325</v>
      </c>
      <c r="L358" t="str">
        <f ca="1"/>
        <v>:</v>
      </c>
    </row>
    <row r="359" spans="11:12" x14ac:dyDescent="0.45">
      <c r="K359">
        <f ca="1"/>
        <v>326</v>
      </c>
      <c r="L359" t="str">
        <f ca="1"/>
        <v>:</v>
      </c>
    </row>
    <row r="360" spans="11:12" x14ac:dyDescent="0.45">
      <c r="K360">
        <f ca="1"/>
        <v>327</v>
      </c>
      <c r="L360" t="str">
        <f ca="1"/>
        <v>:</v>
      </c>
    </row>
    <row r="361" spans="11:12" x14ac:dyDescent="0.45">
      <c r="K361">
        <f ca="1"/>
        <v>328</v>
      </c>
      <c r="L361" t="str">
        <f ca="1"/>
        <v>"</v>
      </c>
    </row>
    <row r="362" spans="11:12" x14ac:dyDescent="0.45">
      <c r="K362">
        <f ca="1"/>
        <v>329</v>
      </c>
      <c r="L362" t="str">
        <f ca="1"/>
        <v>Q</v>
      </c>
    </row>
    <row r="363" spans="11:12" x14ac:dyDescent="0.45">
      <c r="K363">
        <f ca="1"/>
        <v>330</v>
      </c>
      <c r="L363" t="str">
        <f ca="1"/>
        <v>"</v>
      </c>
    </row>
    <row r="364" spans="11:12" x14ac:dyDescent="0.45">
      <c r="K364">
        <f ca="1"/>
        <v>331</v>
      </c>
      <c r="L364" t="str">
        <f ca="1"/>
        <v>:</v>
      </c>
    </row>
    <row r="365" spans="11:12" x14ac:dyDescent="0.45">
      <c r="K365">
        <f ca="1"/>
        <v>332</v>
      </c>
      <c r="L365" t="str">
        <f ca="1"/>
        <v>:</v>
      </c>
    </row>
    <row r="366" spans="11:12" x14ac:dyDescent="0.45">
      <c r="K366">
        <f ca="1"/>
        <v>333</v>
      </c>
      <c r="L366" t="str">
        <f ca="1"/>
        <v>:</v>
      </c>
    </row>
    <row r="367" spans="11:12" x14ac:dyDescent="0.45">
      <c r="K367">
        <f ca="1"/>
        <v>334</v>
      </c>
      <c r="L367" t="str">
        <f ca="1"/>
        <v>:</v>
      </c>
    </row>
    <row r="368" spans="11:12" x14ac:dyDescent="0.45">
      <c r="K368">
        <f ca="1"/>
        <v>335</v>
      </c>
      <c r="L368" t="str">
        <f ca="1"/>
        <v>"</v>
      </c>
    </row>
    <row r="369" spans="11:12" x14ac:dyDescent="0.45">
      <c r="K369">
        <f ca="1"/>
        <v>336</v>
      </c>
      <c r="L369" t="str">
        <f ca="1"/>
        <v>R</v>
      </c>
    </row>
    <row r="370" spans="11:12" x14ac:dyDescent="0.45">
      <c r="K370">
        <f ca="1"/>
        <v>337</v>
      </c>
      <c r="L370" t="str">
        <f ca="1"/>
        <v>"</v>
      </c>
    </row>
    <row r="371" spans="11:12" x14ac:dyDescent="0.45">
      <c r="K371">
        <f ca="1"/>
        <v>338</v>
      </c>
      <c r="L371" t="str">
        <f ca="1"/>
        <v>_x000D_</v>
      </c>
    </row>
    <row r="372" spans="11:12" x14ac:dyDescent="0.45">
      <c r="K372">
        <f ca="1"/>
        <v>339</v>
      </c>
      <c r="L372" t="str">
        <f ca="1"/>
        <v xml:space="preserve">
</v>
      </c>
    </row>
    <row r="373" spans="11:12" x14ac:dyDescent="0.45">
      <c r="K373">
        <f ca="1"/>
        <v>340</v>
      </c>
      <c r="L373" t="str">
        <f ca="1"/>
        <v>"</v>
      </c>
    </row>
    <row r="374" spans="11:12" x14ac:dyDescent="0.45">
      <c r="K374">
        <f ca="1"/>
        <v>341</v>
      </c>
      <c r="L374" t="str">
        <f ca="1"/>
        <v>S</v>
      </c>
    </row>
    <row r="375" spans="11:12" x14ac:dyDescent="0.45">
      <c r="K375">
        <f ca="1"/>
        <v>342</v>
      </c>
      <c r="L375" t="str">
        <f ca="1"/>
        <v>"</v>
      </c>
    </row>
    <row r="376" spans="11:12" x14ac:dyDescent="0.45">
      <c r="K376">
        <f ca="1"/>
        <v>343</v>
      </c>
      <c r="L376" t="str">
        <f ca="1"/>
        <v>:</v>
      </c>
    </row>
    <row r="377" spans="11:12" x14ac:dyDescent="0.45">
      <c r="K377">
        <f ca="1"/>
        <v>344</v>
      </c>
      <c r="L377" t="str">
        <f ca="1"/>
        <v>:</v>
      </c>
    </row>
    <row r="378" spans="11:12" x14ac:dyDescent="0.45">
      <c r="K378">
        <f ca="1"/>
        <v>345</v>
      </c>
      <c r="L378" t="str">
        <f ca="1"/>
        <v>:</v>
      </c>
    </row>
    <row r="379" spans="11:12" x14ac:dyDescent="0.45">
      <c r="K379">
        <f ca="1"/>
        <v>346</v>
      </c>
      <c r="L379" t="str">
        <f ca="1"/>
        <v>:</v>
      </c>
    </row>
    <row r="380" spans="11:12" x14ac:dyDescent="0.45">
      <c r="K380">
        <f ca="1"/>
        <v>347</v>
      </c>
      <c r="L380" t="str">
        <f ca="1"/>
        <v>"</v>
      </c>
    </row>
    <row r="381" spans="11:12" x14ac:dyDescent="0.45">
      <c r="K381">
        <f ca="1"/>
        <v>348</v>
      </c>
      <c r="L381" t="str">
        <f ca="1"/>
        <v>T</v>
      </c>
    </row>
    <row r="382" spans="11:12" x14ac:dyDescent="0.45">
      <c r="K382">
        <f ca="1"/>
        <v>349</v>
      </c>
      <c r="L382" t="str">
        <f ca="1"/>
        <v>"</v>
      </c>
    </row>
    <row r="383" spans="11:12" x14ac:dyDescent="0.45">
      <c r="K383">
        <f ca="1"/>
        <v>350</v>
      </c>
      <c r="L383" t="str">
        <f ca="1"/>
        <v>:</v>
      </c>
    </row>
    <row r="384" spans="11:12" x14ac:dyDescent="0.45">
      <c r="K384">
        <f ca="1"/>
        <v>351</v>
      </c>
      <c r="L384" t="str">
        <f ca="1"/>
        <v>:</v>
      </c>
    </row>
    <row r="385" spans="11:12" x14ac:dyDescent="0.45">
      <c r="K385">
        <f ca="1"/>
        <v>352</v>
      </c>
      <c r="L385" t="str">
        <f ca="1"/>
        <v>:</v>
      </c>
    </row>
    <row r="386" spans="11:12" x14ac:dyDescent="0.45">
      <c r="K386">
        <f ca="1"/>
        <v>353</v>
      </c>
      <c r="L386" t="str">
        <f ca="1"/>
        <v>:</v>
      </c>
    </row>
    <row r="387" spans="11:12" x14ac:dyDescent="0.45">
      <c r="K387">
        <f ca="1"/>
        <v>354</v>
      </c>
      <c r="L387" t="str">
        <f ca="1"/>
        <v>"</v>
      </c>
    </row>
    <row r="388" spans="11:12" x14ac:dyDescent="0.45">
      <c r="K388">
        <f ca="1"/>
        <v>355</v>
      </c>
      <c r="L388" t="str">
        <f ca="1"/>
        <v>U</v>
      </c>
    </row>
    <row r="389" spans="11:12" x14ac:dyDescent="0.45">
      <c r="K389">
        <f ca="1"/>
        <v>356</v>
      </c>
      <c r="L389" t="str">
        <f ca="1"/>
        <v>"</v>
      </c>
    </row>
    <row r="390" spans="11:12" x14ac:dyDescent="0.45">
      <c r="K390">
        <f ca="1"/>
        <v>357</v>
      </c>
      <c r="L390" t="str">
        <f ca="1"/>
        <v>:</v>
      </c>
    </row>
    <row r="391" spans="11:12" x14ac:dyDescent="0.45">
      <c r="K391">
        <f ca="1"/>
        <v>358</v>
      </c>
      <c r="L391" t="str">
        <f ca="1"/>
        <v>:</v>
      </c>
    </row>
    <row r="392" spans="11:12" x14ac:dyDescent="0.45">
      <c r="K392">
        <f ca="1"/>
        <v>359</v>
      </c>
      <c r="L392" t="str">
        <f ca="1"/>
        <v>:</v>
      </c>
    </row>
    <row r="393" spans="11:12" x14ac:dyDescent="0.45">
      <c r="K393">
        <f ca="1"/>
        <v>360</v>
      </c>
      <c r="L393" t="str">
        <f ca="1"/>
        <v>:</v>
      </c>
    </row>
    <row r="394" spans="11:12" x14ac:dyDescent="0.45">
      <c r="K394">
        <f ca="1"/>
        <v>361</v>
      </c>
      <c r="L394" t="str">
        <f ca="1"/>
        <v>"</v>
      </c>
    </row>
    <row r="395" spans="11:12" x14ac:dyDescent="0.45">
      <c r="K395">
        <f ca="1"/>
        <v>362</v>
      </c>
      <c r="L395" t="str">
        <f ca="1"/>
        <v>V</v>
      </c>
    </row>
    <row r="396" spans="11:12" x14ac:dyDescent="0.45">
      <c r="K396">
        <f ca="1"/>
        <v>363</v>
      </c>
      <c r="L396" t="str">
        <f ca="1"/>
        <v>"</v>
      </c>
    </row>
    <row r="397" spans="11:12" x14ac:dyDescent="0.45">
      <c r="K397">
        <f ca="1"/>
        <v>364</v>
      </c>
      <c r="L397" t="str">
        <f ca="1"/>
        <v>:</v>
      </c>
    </row>
    <row r="398" spans="11:12" x14ac:dyDescent="0.45">
      <c r="K398">
        <f ca="1"/>
        <v>365</v>
      </c>
      <c r="L398" t="str">
        <f ca="1"/>
        <v>:</v>
      </c>
    </row>
    <row r="399" spans="11:12" x14ac:dyDescent="0.45">
      <c r="K399">
        <f ca="1"/>
        <v>366</v>
      </c>
      <c r="L399" t="str">
        <f ca="1"/>
        <v>:</v>
      </c>
    </row>
    <row r="400" spans="11:12" x14ac:dyDescent="0.45">
      <c r="K400">
        <f ca="1"/>
        <v>367</v>
      </c>
      <c r="L400" t="str">
        <f ca="1"/>
        <v>:</v>
      </c>
    </row>
    <row r="401" spans="11:12" x14ac:dyDescent="0.45">
      <c r="K401">
        <f ca="1"/>
        <v>368</v>
      </c>
      <c r="L401" t="str">
        <f ca="1"/>
        <v>"</v>
      </c>
    </row>
    <row r="402" spans="11:12" x14ac:dyDescent="0.45">
      <c r="K402">
        <f ca="1"/>
        <v>369</v>
      </c>
      <c r="L402" t="str">
        <f ca="1"/>
        <v>W</v>
      </c>
    </row>
    <row r="403" spans="11:12" x14ac:dyDescent="0.45">
      <c r="K403">
        <f ca="1"/>
        <v>370</v>
      </c>
      <c r="L403" t="str">
        <f ca="1"/>
        <v>"</v>
      </c>
    </row>
    <row r="404" spans="11:12" x14ac:dyDescent="0.45">
      <c r="K404">
        <f ca="1"/>
        <v>371</v>
      </c>
      <c r="L404" t="str">
        <f ca="1"/>
        <v>:</v>
      </c>
    </row>
    <row r="405" spans="11:12" x14ac:dyDescent="0.45">
      <c r="K405">
        <f ca="1"/>
        <v>372</v>
      </c>
      <c r="L405" t="str">
        <f ca="1"/>
        <v>:</v>
      </c>
    </row>
    <row r="406" spans="11:12" x14ac:dyDescent="0.45">
      <c r="K406">
        <f ca="1"/>
        <v>373</v>
      </c>
      <c r="L406" t="str">
        <f ca="1"/>
        <v>:</v>
      </c>
    </row>
    <row r="407" spans="11:12" x14ac:dyDescent="0.45">
      <c r="K407">
        <f ca="1"/>
        <v>374</v>
      </c>
      <c r="L407" t="str">
        <f ca="1"/>
        <v>:</v>
      </c>
    </row>
    <row r="408" spans="11:12" x14ac:dyDescent="0.45">
      <c r="K408">
        <f ca="1"/>
        <v>375</v>
      </c>
      <c r="L408" t="str">
        <f ca="1"/>
        <v>"</v>
      </c>
    </row>
    <row r="409" spans="11:12" x14ac:dyDescent="0.45">
      <c r="K409">
        <f ca="1"/>
        <v>376</v>
      </c>
      <c r="L409" t="str">
        <f ca="1"/>
        <v>X</v>
      </c>
    </row>
    <row r="410" spans="11:12" x14ac:dyDescent="0.45">
      <c r="K410">
        <f ca="1"/>
        <v>377</v>
      </c>
      <c r="L410" t="str">
        <f ca="1"/>
        <v>"</v>
      </c>
    </row>
    <row r="411" spans="11:12" x14ac:dyDescent="0.45">
      <c r="K411">
        <f ca="1"/>
        <v>378</v>
      </c>
      <c r="L411" t="str">
        <f ca="1"/>
        <v>:</v>
      </c>
    </row>
    <row r="412" spans="11:12" x14ac:dyDescent="0.45">
      <c r="K412">
        <f ca="1"/>
        <v>379</v>
      </c>
      <c r="L412" t="str">
        <f ca="1"/>
        <v>:</v>
      </c>
    </row>
    <row r="413" spans="11:12" x14ac:dyDescent="0.45">
      <c r="K413">
        <f ca="1"/>
        <v>380</v>
      </c>
      <c r="L413" t="str">
        <f ca="1"/>
        <v>:</v>
      </c>
    </row>
    <row r="414" spans="11:12" x14ac:dyDescent="0.45">
      <c r="K414">
        <f ca="1"/>
        <v>381</v>
      </c>
      <c r="L414" t="str">
        <f ca="1"/>
        <v>:</v>
      </c>
    </row>
    <row r="415" spans="11:12" x14ac:dyDescent="0.45">
      <c r="K415">
        <f ca="1"/>
        <v>382</v>
      </c>
      <c r="L415" t="str">
        <f ca="1"/>
        <v>"</v>
      </c>
    </row>
    <row r="416" spans="11:12" x14ac:dyDescent="0.45">
      <c r="K416">
        <f ca="1"/>
        <v>383</v>
      </c>
      <c r="L416" t="str">
        <f ca="1"/>
        <v>Y</v>
      </c>
    </row>
    <row r="417" spans="11:12" x14ac:dyDescent="0.45">
      <c r="K417">
        <f ca="1"/>
        <v>384</v>
      </c>
      <c r="L417" t="str">
        <f ca="1"/>
        <v>"</v>
      </c>
    </row>
    <row r="418" spans="11:12" x14ac:dyDescent="0.45">
      <c r="K418">
        <f ca="1"/>
        <v>385</v>
      </c>
      <c r="L418" t="str">
        <f ca="1"/>
        <v>:</v>
      </c>
    </row>
    <row r="419" spans="11:12" x14ac:dyDescent="0.45">
      <c r="K419">
        <f ca="1"/>
        <v>386</v>
      </c>
      <c r="L419" t="str">
        <f ca="1"/>
        <v>:</v>
      </c>
    </row>
    <row r="420" spans="11:12" x14ac:dyDescent="0.45">
      <c r="K420">
        <f ca="1"/>
        <v>387</v>
      </c>
      <c r="L420" t="str">
        <f ca="1"/>
        <v>:</v>
      </c>
    </row>
    <row r="421" spans="11:12" x14ac:dyDescent="0.45">
      <c r="K421">
        <f ca="1"/>
        <v>388</v>
      </c>
      <c r="L421" t="str">
        <f ca="1"/>
        <v>:</v>
      </c>
    </row>
    <row r="422" spans="11:12" x14ac:dyDescent="0.45">
      <c r="K422">
        <f ca="1"/>
        <v>389</v>
      </c>
      <c r="L422" t="str">
        <f ca="1"/>
        <v>"</v>
      </c>
    </row>
    <row r="423" spans="11:12" x14ac:dyDescent="0.45">
      <c r="K423">
        <f ca="1"/>
        <v>390</v>
      </c>
      <c r="L423" t="str">
        <f ca="1"/>
        <v>Z</v>
      </c>
    </row>
    <row r="424" spans="11:12" x14ac:dyDescent="0.45">
      <c r="K424">
        <f ca="1"/>
        <v>391</v>
      </c>
      <c r="L424" t="str">
        <f ca="1"/>
        <v>"</v>
      </c>
    </row>
    <row r="425" spans="11:12" x14ac:dyDescent="0.45">
      <c r="K425">
        <f ca="1"/>
        <v>392</v>
      </c>
      <c r="L425" t="str">
        <f ca="1"/>
        <v>:</v>
      </c>
    </row>
    <row r="426" spans="11:12" x14ac:dyDescent="0.45">
      <c r="K426">
        <f ca="1"/>
        <v>393</v>
      </c>
      <c r="L426" t="str">
        <f ca="1"/>
        <v>:</v>
      </c>
    </row>
    <row r="427" spans="11:12" x14ac:dyDescent="0.45">
      <c r="K427">
        <f ca="1"/>
        <v>394</v>
      </c>
      <c r="L427" t="str">
        <f ca="1"/>
        <v>:</v>
      </c>
    </row>
    <row r="428" spans="11:12" x14ac:dyDescent="0.45">
      <c r="K428">
        <f ca="1"/>
        <v>395</v>
      </c>
      <c r="L428" t="str">
        <f ca="1"/>
        <v>:</v>
      </c>
    </row>
    <row r="429" spans="11:12" x14ac:dyDescent="0.45">
      <c r="K429">
        <f ca="1"/>
        <v>396</v>
      </c>
      <c r="L429" t="str">
        <f ca="1"/>
        <v>"</v>
      </c>
    </row>
    <row r="430" spans="11:12" x14ac:dyDescent="0.45">
      <c r="K430">
        <f ca="1"/>
        <v>397</v>
      </c>
      <c r="L430" t="str">
        <f ca="1"/>
        <v>[</v>
      </c>
    </row>
    <row r="431" spans="11:12" x14ac:dyDescent="0.45">
      <c r="K431">
        <f ca="1"/>
        <v>398</v>
      </c>
      <c r="L431" t="str">
        <f ca="1"/>
        <v>"</v>
      </c>
    </row>
    <row r="432" spans="11:12" x14ac:dyDescent="0.45">
      <c r="K432">
        <f ca="1"/>
        <v>399</v>
      </c>
      <c r="L432" t="str">
        <f ca="1"/>
        <v>:</v>
      </c>
    </row>
    <row r="433" spans="11:12" x14ac:dyDescent="0.45">
      <c r="K433">
        <f ca="1"/>
        <v>400</v>
      </c>
      <c r="L433" t="str">
        <f ca="1"/>
        <v>:</v>
      </c>
    </row>
    <row r="434" spans="11:12" x14ac:dyDescent="0.45">
      <c r="K434">
        <f ca="1"/>
        <v>401</v>
      </c>
      <c r="L434" t="str">
        <f ca="1"/>
        <v>:</v>
      </c>
    </row>
    <row r="435" spans="11:12" x14ac:dyDescent="0.45">
      <c r="K435">
        <f ca="1"/>
        <v>402</v>
      </c>
      <c r="L435" t="str">
        <f ca="1"/>
        <v>:</v>
      </c>
    </row>
    <row r="436" spans="11:12" x14ac:dyDescent="0.45">
      <c r="K436">
        <f ca="1"/>
        <v>403</v>
      </c>
      <c r="L436" t="str">
        <f ca="1"/>
        <v>"</v>
      </c>
    </row>
    <row r="437" spans="11:12" x14ac:dyDescent="0.45">
      <c r="K437">
        <f ca="1"/>
        <v>404</v>
      </c>
      <c r="L437" t="str">
        <f ca="1"/>
        <v>\</v>
      </c>
    </row>
    <row r="438" spans="11:12" x14ac:dyDescent="0.45">
      <c r="K438">
        <f ca="1"/>
        <v>405</v>
      </c>
      <c r="L438" t="str">
        <f ca="1"/>
        <v>"</v>
      </c>
    </row>
    <row r="439" spans="11:12" x14ac:dyDescent="0.45">
      <c r="K439">
        <f ca="1"/>
        <v>406</v>
      </c>
      <c r="L439" t="str">
        <f ca="1"/>
        <v>_x000D_</v>
      </c>
    </row>
    <row r="440" spans="11:12" x14ac:dyDescent="0.45">
      <c r="K440">
        <f ca="1"/>
        <v>407</v>
      </c>
      <c r="L440" t="str">
        <f ca="1"/>
        <v xml:space="preserve">
</v>
      </c>
    </row>
    <row r="441" spans="11:12" x14ac:dyDescent="0.45">
      <c r="K441">
        <f ca="1"/>
        <v>408</v>
      </c>
      <c r="L441" t="str">
        <f ca="1"/>
        <v>"</v>
      </c>
    </row>
    <row r="442" spans="11:12" x14ac:dyDescent="0.45">
      <c r="K442">
        <f ca="1"/>
        <v>409</v>
      </c>
      <c r="L442" t="str">
        <f ca="1"/>
        <v>]</v>
      </c>
    </row>
    <row r="443" spans="11:12" x14ac:dyDescent="0.45">
      <c r="K443">
        <f ca="1"/>
        <v>410</v>
      </c>
      <c r="L443" t="str">
        <f ca="1"/>
        <v>"</v>
      </c>
    </row>
    <row r="444" spans="11:12" x14ac:dyDescent="0.45">
      <c r="K444">
        <f ca="1"/>
        <v>411</v>
      </c>
      <c r="L444" t="str">
        <f ca="1"/>
        <v>:</v>
      </c>
    </row>
    <row r="445" spans="11:12" x14ac:dyDescent="0.45">
      <c r="K445">
        <f ca="1"/>
        <v>412</v>
      </c>
      <c r="L445" t="str">
        <f ca="1"/>
        <v>:</v>
      </c>
    </row>
    <row r="446" spans="11:12" x14ac:dyDescent="0.45">
      <c r="K446">
        <f ca="1"/>
        <v>413</v>
      </c>
      <c r="L446" t="str">
        <f ca="1"/>
        <v>:</v>
      </c>
    </row>
    <row r="447" spans="11:12" x14ac:dyDescent="0.45">
      <c r="K447">
        <f ca="1"/>
        <v>414</v>
      </c>
      <c r="L447" t="str">
        <f ca="1"/>
        <v>:</v>
      </c>
    </row>
    <row r="448" spans="11:12" x14ac:dyDescent="0.45">
      <c r="K448">
        <f ca="1"/>
        <v>415</v>
      </c>
      <c r="L448" t="str">
        <f ca="1"/>
        <v>"</v>
      </c>
    </row>
    <row r="449" spans="11:12" x14ac:dyDescent="0.45">
      <c r="K449">
        <f ca="1"/>
        <v>416</v>
      </c>
      <c r="L449" t="str">
        <f ca="1"/>
        <v>^</v>
      </c>
    </row>
    <row r="450" spans="11:12" x14ac:dyDescent="0.45">
      <c r="K450">
        <f ca="1"/>
        <v>417</v>
      </c>
      <c r="L450" t="str">
        <f ca="1"/>
        <v>"</v>
      </c>
    </row>
    <row r="451" spans="11:12" x14ac:dyDescent="0.45">
      <c r="K451">
        <f ca="1"/>
        <v>418</v>
      </c>
      <c r="L451" t="str">
        <f ca="1"/>
        <v>:</v>
      </c>
    </row>
    <row r="452" spans="11:12" x14ac:dyDescent="0.45">
      <c r="K452">
        <f ca="1"/>
        <v>419</v>
      </c>
      <c r="L452" t="str">
        <f ca="1"/>
        <v>:</v>
      </c>
    </row>
    <row r="453" spans="11:12" x14ac:dyDescent="0.45">
      <c r="K453">
        <f ca="1"/>
        <v>420</v>
      </c>
      <c r="L453" t="str">
        <f ca="1"/>
        <v>:</v>
      </c>
    </row>
    <row r="454" spans="11:12" x14ac:dyDescent="0.45">
      <c r="K454">
        <f ca="1"/>
        <v>421</v>
      </c>
      <c r="L454" t="str">
        <f ca="1"/>
        <v>:</v>
      </c>
    </row>
    <row r="455" spans="11:12" x14ac:dyDescent="0.45">
      <c r="K455">
        <f ca="1"/>
        <v>422</v>
      </c>
      <c r="L455" t="str">
        <f ca="1"/>
        <v>"</v>
      </c>
    </row>
    <row r="456" spans="11:12" x14ac:dyDescent="0.45">
      <c r="K456">
        <f ca="1"/>
        <v>423</v>
      </c>
      <c r="L456" t="str">
        <f ca="1"/>
        <v>_</v>
      </c>
    </row>
    <row r="457" spans="11:12" x14ac:dyDescent="0.45">
      <c r="K457">
        <f ca="1"/>
        <v>424</v>
      </c>
      <c r="L457" t="str">
        <f ca="1"/>
        <v>"</v>
      </c>
    </row>
    <row r="458" spans="11:12" x14ac:dyDescent="0.45">
      <c r="K458">
        <f ca="1"/>
        <v>425</v>
      </c>
      <c r="L458" t="str">
        <f ca="1"/>
        <v>:</v>
      </c>
    </row>
    <row r="459" spans="11:12" x14ac:dyDescent="0.45">
      <c r="K459">
        <f ca="1"/>
        <v>426</v>
      </c>
      <c r="L459" t="str">
        <f ca="1"/>
        <v>:</v>
      </c>
    </row>
    <row r="460" spans="11:12" x14ac:dyDescent="0.45">
      <c r="K460">
        <f ca="1"/>
        <v>427</v>
      </c>
      <c r="L460" t="str">
        <f ca="1"/>
        <v>:</v>
      </c>
    </row>
    <row r="461" spans="11:12" x14ac:dyDescent="0.45">
      <c r="K461">
        <f ca="1"/>
        <v>428</v>
      </c>
      <c r="L461" t="str">
        <f ca="1"/>
        <v>:</v>
      </c>
    </row>
    <row r="462" spans="11:12" x14ac:dyDescent="0.45">
      <c r="K462">
        <f ca="1"/>
        <v>429</v>
      </c>
      <c r="L462" t="str">
        <f ca="1"/>
        <v>"</v>
      </c>
    </row>
    <row r="463" spans="11:12" x14ac:dyDescent="0.45">
      <c r="K463">
        <f ca="1"/>
        <v>430</v>
      </c>
      <c r="L463" t="str">
        <f ca="1"/>
        <v>`</v>
      </c>
    </row>
    <row r="464" spans="11:12" x14ac:dyDescent="0.45">
      <c r="K464">
        <f ca="1"/>
        <v>431</v>
      </c>
      <c r="L464" t="str">
        <f ca="1"/>
        <v>"</v>
      </c>
    </row>
    <row r="465" spans="11:12" x14ac:dyDescent="0.45">
      <c r="K465">
        <f ca="1"/>
        <v>432</v>
      </c>
      <c r="L465" t="str">
        <f ca="1"/>
        <v>:</v>
      </c>
    </row>
    <row r="466" spans="11:12" x14ac:dyDescent="0.45">
      <c r="K466">
        <f ca="1"/>
        <v>433</v>
      </c>
      <c r="L466" t="str">
        <f ca="1"/>
        <v>:</v>
      </c>
    </row>
    <row r="467" spans="11:12" x14ac:dyDescent="0.45">
      <c r="K467">
        <f ca="1"/>
        <v>434</v>
      </c>
      <c r="L467" t="str">
        <f ca="1"/>
        <v>:</v>
      </c>
    </row>
    <row r="468" spans="11:12" x14ac:dyDescent="0.45">
      <c r="K468">
        <f ca="1"/>
        <v>435</v>
      </c>
      <c r="L468" t="str">
        <f ca="1"/>
        <v>:</v>
      </c>
    </row>
    <row r="469" spans="11:12" x14ac:dyDescent="0.45">
      <c r="K469">
        <f ca="1"/>
        <v>436</v>
      </c>
      <c r="L469" t="str">
        <f ca="1"/>
        <v>"</v>
      </c>
    </row>
    <row r="470" spans="11:12" x14ac:dyDescent="0.45">
      <c r="K470">
        <f ca="1"/>
        <v>437</v>
      </c>
      <c r="L470" t="str">
        <f ca="1"/>
        <v>a</v>
      </c>
    </row>
    <row r="471" spans="11:12" x14ac:dyDescent="0.45">
      <c r="K471">
        <f ca="1"/>
        <v>438</v>
      </c>
      <c r="L471" t="str">
        <f ca="1"/>
        <v>"</v>
      </c>
    </row>
    <row r="472" spans="11:12" x14ac:dyDescent="0.45">
      <c r="K472">
        <f ca="1"/>
        <v>439</v>
      </c>
      <c r="L472" t="str">
        <f ca="1"/>
        <v>:</v>
      </c>
    </row>
    <row r="473" spans="11:12" x14ac:dyDescent="0.45">
      <c r="K473">
        <f ca="1"/>
        <v>440</v>
      </c>
      <c r="L473" t="str">
        <f ca="1"/>
        <v>:</v>
      </c>
    </row>
    <row r="474" spans="11:12" x14ac:dyDescent="0.45">
      <c r="K474">
        <f ca="1"/>
        <v>441</v>
      </c>
      <c r="L474" t="str">
        <f ca="1"/>
        <v>:</v>
      </c>
    </row>
    <row r="475" spans="11:12" x14ac:dyDescent="0.45">
      <c r="K475">
        <f ca="1"/>
        <v>442</v>
      </c>
      <c r="L475" t="str">
        <f ca="1"/>
        <v>:</v>
      </c>
    </row>
    <row r="476" spans="11:12" x14ac:dyDescent="0.45">
      <c r="K476">
        <f ca="1"/>
        <v>443</v>
      </c>
      <c r="L476" t="str">
        <f ca="1"/>
        <v>"</v>
      </c>
    </row>
    <row r="477" spans="11:12" x14ac:dyDescent="0.45">
      <c r="K477">
        <f ca="1"/>
        <v>444</v>
      </c>
      <c r="L477" t="str">
        <f ca="1"/>
        <v>b</v>
      </c>
    </row>
    <row r="478" spans="11:12" x14ac:dyDescent="0.45">
      <c r="K478">
        <f ca="1"/>
        <v>445</v>
      </c>
      <c r="L478" t="str">
        <f ca="1"/>
        <v>"</v>
      </c>
    </row>
    <row r="479" spans="11:12" x14ac:dyDescent="0.45">
      <c r="K479">
        <f ca="1"/>
        <v>446</v>
      </c>
      <c r="L479" t="str">
        <f ca="1"/>
        <v>:</v>
      </c>
    </row>
    <row r="480" spans="11:12" x14ac:dyDescent="0.45">
      <c r="K480">
        <f ca="1"/>
        <v>447</v>
      </c>
      <c r="L480" t="str">
        <f ca="1"/>
        <v>:</v>
      </c>
    </row>
    <row r="481" spans="11:12" x14ac:dyDescent="0.45">
      <c r="K481">
        <f ca="1"/>
        <v>448</v>
      </c>
      <c r="L481" t="str">
        <f ca="1"/>
        <v>:</v>
      </c>
    </row>
    <row r="482" spans="11:12" x14ac:dyDescent="0.45">
      <c r="K482">
        <f ca="1"/>
        <v>449</v>
      </c>
      <c r="L482" t="str">
        <f ca="1"/>
        <v>:</v>
      </c>
    </row>
    <row r="483" spans="11:12" x14ac:dyDescent="0.45">
      <c r="K483">
        <f ca="1"/>
        <v>450</v>
      </c>
      <c r="L483" t="str">
        <f ca="1"/>
        <v>"</v>
      </c>
    </row>
    <row r="484" spans="11:12" x14ac:dyDescent="0.45">
      <c r="K484">
        <f ca="1"/>
        <v>451</v>
      </c>
      <c r="L484" t="str">
        <f ca="1"/>
        <v>c</v>
      </c>
    </row>
    <row r="485" spans="11:12" x14ac:dyDescent="0.45">
      <c r="K485">
        <f ca="1"/>
        <v>452</v>
      </c>
      <c r="L485" t="str">
        <f ca="1"/>
        <v>"</v>
      </c>
    </row>
    <row r="486" spans="11:12" x14ac:dyDescent="0.45">
      <c r="K486">
        <f ca="1"/>
        <v>453</v>
      </c>
      <c r="L486" t="str">
        <f ca="1"/>
        <v>:</v>
      </c>
    </row>
    <row r="487" spans="11:12" x14ac:dyDescent="0.45">
      <c r="K487">
        <f ca="1"/>
        <v>454</v>
      </c>
      <c r="L487" t="str">
        <f ca="1"/>
        <v>:</v>
      </c>
    </row>
    <row r="488" spans="11:12" x14ac:dyDescent="0.45">
      <c r="K488">
        <f ca="1"/>
        <v>455</v>
      </c>
      <c r="L488" t="str">
        <f ca="1"/>
        <v>:</v>
      </c>
    </row>
    <row r="489" spans="11:12" x14ac:dyDescent="0.45">
      <c r="K489">
        <f ca="1"/>
        <v>456</v>
      </c>
      <c r="L489" t="str">
        <f ca="1"/>
        <v>:</v>
      </c>
    </row>
    <row r="490" spans="11:12" x14ac:dyDescent="0.45">
      <c r="K490">
        <f ca="1"/>
        <v>457</v>
      </c>
      <c r="L490" t="str">
        <f ca="1"/>
        <v>"</v>
      </c>
    </row>
    <row r="491" spans="11:12" x14ac:dyDescent="0.45">
      <c r="K491">
        <f ca="1"/>
        <v>458</v>
      </c>
      <c r="L491" t="str">
        <f ca="1"/>
        <v>d</v>
      </c>
    </row>
    <row r="492" spans="11:12" x14ac:dyDescent="0.45">
      <c r="K492">
        <f ca="1"/>
        <v>459</v>
      </c>
      <c r="L492" t="str">
        <f ca="1"/>
        <v>"</v>
      </c>
    </row>
    <row r="493" spans="11:12" x14ac:dyDescent="0.45">
      <c r="K493">
        <f ca="1"/>
        <v>460</v>
      </c>
      <c r="L493" t="str">
        <f ca="1"/>
        <v>:</v>
      </c>
    </row>
    <row r="494" spans="11:12" x14ac:dyDescent="0.45">
      <c r="K494">
        <f ca="1"/>
        <v>461</v>
      </c>
      <c r="L494" t="str">
        <f ca="1"/>
        <v>:</v>
      </c>
    </row>
    <row r="495" spans="11:12" x14ac:dyDescent="0.45">
      <c r="K495">
        <f ca="1"/>
        <v>462</v>
      </c>
      <c r="L495" t="str">
        <f ca="1"/>
        <v>:</v>
      </c>
    </row>
    <row r="496" spans="11:12" x14ac:dyDescent="0.45">
      <c r="K496">
        <f ca="1"/>
        <v>463</v>
      </c>
      <c r="L496" t="str">
        <f ca="1"/>
        <v>:</v>
      </c>
    </row>
    <row r="497" spans="11:12" x14ac:dyDescent="0.45">
      <c r="K497">
        <f ca="1"/>
        <v>464</v>
      </c>
      <c r="L497" t="str">
        <f ca="1"/>
        <v>"</v>
      </c>
    </row>
    <row r="498" spans="11:12" x14ac:dyDescent="0.45">
      <c r="K498">
        <f ca="1"/>
        <v>465</v>
      </c>
      <c r="L498" t="str">
        <f ca="1"/>
        <v>e</v>
      </c>
    </row>
    <row r="499" spans="11:12" x14ac:dyDescent="0.45">
      <c r="K499">
        <f ca="1"/>
        <v>466</v>
      </c>
      <c r="L499" t="str">
        <f ca="1"/>
        <v>"</v>
      </c>
    </row>
    <row r="500" spans="11:12" x14ac:dyDescent="0.45">
      <c r="K500">
        <f ca="1"/>
        <v>467</v>
      </c>
      <c r="L500" t="str">
        <f ca="1"/>
        <v>:</v>
      </c>
    </row>
    <row r="501" spans="11:12" x14ac:dyDescent="0.45">
      <c r="K501">
        <f ca="1"/>
        <v>468</v>
      </c>
      <c r="L501" t="str">
        <f ca="1"/>
        <v>:</v>
      </c>
    </row>
    <row r="502" spans="11:12" x14ac:dyDescent="0.45">
      <c r="K502">
        <f ca="1"/>
        <v>469</v>
      </c>
      <c r="L502" t="str">
        <f ca="1"/>
        <v>:</v>
      </c>
    </row>
    <row r="503" spans="11:12" x14ac:dyDescent="0.45">
      <c r="K503">
        <f ca="1"/>
        <v>470</v>
      </c>
      <c r="L503" t="str">
        <f ca="1"/>
        <v>:</v>
      </c>
    </row>
    <row r="504" spans="11:12" x14ac:dyDescent="0.45">
      <c r="K504">
        <f ca="1"/>
        <v>471</v>
      </c>
      <c r="L504" t="str">
        <f ca="1"/>
        <v>"</v>
      </c>
    </row>
    <row r="505" spans="11:12" x14ac:dyDescent="0.45">
      <c r="K505">
        <f ca="1"/>
        <v>472</v>
      </c>
      <c r="L505" t="str">
        <f ca="1"/>
        <v>f</v>
      </c>
    </row>
    <row r="506" spans="11:12" x14ac:dyDescent="0.45">
      <c r="K506">
        <f ca="1"/>
        <v>473</v>
      </c>
      <c r="L506" t="str">
        <f ca="1"/>
        <v>"</v>
      </c>
    </row>
    <row r="507" spans="11:12" x14ac:dyDescent="0.45">
      <c r="K507">
        <f ca="1"/>
        <v>474</v>
      </c>
      <c r="L507" t="str">
        <f ca="1"/>
        <v>_x000D_</v>
      </c>
    </row>
    <row r="508" spans="11:12" x14ac:dyDescent="0.45">
      <c r="K508">
        <f ca="1"/>
        <v>475</v>
      </c>
      <c r="L508" t="str">
        <f ca="1"/>
        <v xml:space="preserve">
</v>
      </c>
    </row>
    <row r="509" spans="11:12" x14ac:dyDescent="0.45">
      <c r="K509">
        <f ca="1"/>
        <v>476</v>
      </c>
      <c r="L509" t="str">
        <f ca="1"/>
        <v>"</v>
      </c>
    </row>
    <row r="510" spans="11:12" x14ac:dyDescent="0.45">
      <c r="K510">
        <f ca="1"/>
        <v>477</v>
      </c>
      <c r="L510" t="str">
        <f ca="1"/>
        <v>g</v>
      </c>
    </row>
    <row r="511" spans="11:12" x14ac:dyDescent="0.45">
      <c r="K511">
        <f ca="1"/>
        <v>478</v>
      </c>
      <c r="L511" t="str">
        <f ca="1"/>
        <v>"</v>
      </c>
    </row>
    <row r="512" spans="11:12" x14ac:dyDescent="0.45">
      <c r="K512">
        <f ca="1"/>
        <v>479</v>
      </c>
      <c r="L512" t="str">
        <f ca="1"/>
        <v>:</v>
      </c>
    </row>
    <row r="513" spans="11:12" x14ac:dyDescent="0.45">
      <c r="K513">
        <f ca="1"/>
        <v>480</v>
      </c>
      <c r="L513" t="str">
        <f ca="1"/>
        <v>:</v>
      </c>
    </row>
    <row r="514" spans="11:12" x14ac:dyDescent="0.45">
      <c r="K514">
        <f ca="1"/>
        <v>481</v>
      </c>
      <c r="L514" t="str">
        <f ca="1"/>
        <v>:</v>
      </c>
    </row>
    <row r="515" spans="11:12" x14ac:dyDescent="0.45">
      <c r="K515">
        <f ca="1"/>
        <v>482</v>
      </c>
      <c r="L515" t="str">
        <f ca="1"/>
        <v>:</v>
      </c>
    </row>
    <row r="516" spans="11:12" x14ac:dyDescent="0.45">
      <c r="K516">
        <f ca="1"/>
        <v>483</v>
      </c>
      <c r="L516" t="str">
        <f ca="1"/>
        <v>"</v>
      </c>
    </row>
    <row r="517" spans="11:12" x14ac:dyDescent="0.45">
      <c r="K517">
        <f ca="1"/>
        <v>484</v>
      </c>
      <c r="L517" t="str">
        <f ca="1"/>
        <v>h</v>
      </c>
    </row>
    <row r="518" spans="11:12" x14ac:dyDescent="0.45">
      <c r="K518">
        <f ca="1"/>
        <v>485</v>
      </c>
      <c r="L518" t="str">
        <f ca="1"/>
        <v>"</v>
      </c>
    </row>
    <row r="519" spans="11:12" x14ac:dyDescent="0.45">
      <c r="K519">
        <f ca="1"/>
        <v>486</v>
      </c>
      <c r="L519" t="str">
        <f ca="1"/>
        <v>:</v>
      </c>
    </row>
    <row r="520" spans="11:12" x14ac:dyDescent="0.45">
      <c r="K520">
        <f ca="1"/>
        <v>487</v>
      </c>
      <c r="L520" t="str">
        <f ca="1"/>
        <v>:</v>
      </c>
    </row>
    <row r="521" spans="11:12" x14ac:dyDescent="0.45">
      <c r="K521">
        <f ca="1"/>
        <v>488</v>
      </c>
      <c r="L521" t="str">
        <f ca="1"/>
        <v>:</v>
      </c>
    </row>
    <row r="522" spans="11:12" x14ac:dyDescent="0.45">
      <c r="K522">
        <f ca="1"/>
        <v>489</v>
      </c>
      <c r="L522" t="str">
        <f ca="1"/>
        <v>:</v>
      </c>
    </row>
    <row r="523" spans="11:12" x14ac:dyDescent="0.45">
      <c r="K523">
        <f ca="1"/>
        <v>490</v>
      </c>
      <c r="L523" t="str">
        <f ca="1"/>
        <v>"</v>
      </c>
    </row>
    <row r="524" spans="11:12" x14ac:dyDescent="0.45">
      <c r="K524">
        <f ca="1"/>
        <v>491</v>
      </c>
      <c r="L524" t="str">
        <f ca="1"/>
        <v>i</v>
      </c>
    </row>
    <row r="525" spans="11:12" x14ac:dyDescent="0.45">
      <c r="K525">
        <f ca="1"/>
        <v>492</v>
      </c>
      <c r="L525" t="str">
        <f ca="1"/>
        <v>"</v>
      </c>
    </row>
    <row r="526" spans="11:12" x14ac:dyDescent="0.45">
      <c r="K526">
        <f ca="1"/>
        <v>493</v>
      </c>
      <c r="L526" t="str">
        <f ca="1"/>
        <v>:</v>
      </c>
    </row>
    <row r="527" spans="11:12" x14ac:dyDescent="0.45">
      <c r="K527">
        <f ca="1"/>
        <v>494</v>
      </c>
      <c r="L527" t="str">
        <f ca="1"/>
        <v>:</v>
      </c>
    </row>
    <row r="528" spans="11:12" x14ac:dyDescent="0.45">
      <c r="K528">
        <f ca="1"/>
        <v>495</v>
      </c>
      <c r="L528" t="str">
        <f ca="1"/>
        <v>:</v>
      </c>
    </row>
    <row r="529" spans="11:12" x14ac:dyDescent="0.45">
      <c r="K529">
        <f ca="1"/>
        <v>496</v>
      </c>
      <c r="L529" t="str">
        <f ca="1"/>
        <v>:</v>
      </c>
    </row>
    <row r="530" spans="11:12" x14ac:dyDescent="0.45">
      <c r="K530">
        <f ca="1"/>
        <v>497</v>
      </c>
      <c r="L530" t="str">
        <f ca="1"/>
        <v>"</v>
      </c>
    </row>
    <row r="531" spans="11:12" x14ac:dyDescent="0.45">
      <c r="K531">
        <f ca="1"/>
        <v>498</v>
      </c>
      <c r="L531" t="str">
        <f ca="1"/>
        <v>j</v>
      </c>
    </row>
    <row r="532" spans="11:12" x14ac:dyDescent="0.45">
      <c r="K532">
        <f ca="1"/>
        <v>499</v>
      </c>
      <c r="L532" t="str">
        <f ca="1"/>
        <v>"</v>
      </c>
    </row>
    <row r="533" spans="11:12" x14ac:dyDescent="0.45">
      <c r="K533">
        <f ca="1"/>
        <v>500</v>
      </c>
      <c r="L533" t="str">
        <f ca="1"/>
        <v>:</v>
      </c>
    </row>
    <row r="534" spans="11:12" x14ac:dyDescent="0.45">
      <c r="K534">
        <f ca="1"/>
        <v>501</v>
      </c>
      <c r="L534" t="str">
        <f ca="1"/>
        <v>:</v>
      </c>
    </row>
    <row r="535" spans="11:12" x14ac:dyDescent="0.45">
      <c r="K535">
        <f ca="1"/>
        <v>502</v>
      </c>
      <c r="L535" t="str">
        <f ca="1"/>
        <v>:</v>
      </c>
    </row>
    <row r="536" spans="11:12" x14ac:dyDescent="0.45">
      <c r="K536">
        <f ca="1"/>
        <v>503</v>
      </c>
      <c r="L536" t="str">
        <f ca="1"/>
        <v>:</v>
      </c>
    </row>
    <row r="537" spans="11:12" x14ac:dyDescent="0.45">
      <c r="K537">
        <f ca="1"/>
        <v>504</v>
      </c>
      <c r="L537" t="str">
        <f ca="1"/>
        <v>"</v>
      </c>
    </row>
    <row r="538" spans="11:12" x14ac:dyDescent="0.45">
      <c r="K538">
        <f ca="1"/>
        <v>505</v>
      </c>
      <c r="L538" t="str">
        <f ca="1"/>
        <v>k</v>
      </c>
    </row>
    <row r="539" spans="11:12" x14ac:dyDescent="0.45">
      <c r="K539">
        <f ca="1"/>
        <v>506</v>
      </c>
      <c r="L539" t="str">
        <f ca="1"/>
        <v>"</v>
      </c>
    </row>
    <row r="540" spans="11:12" x14ac:dyDescent="0.45">
      <c r="K540">
        <f ca="1"/>
        <v>507</v>
      </c>
      <c r="L540" t="str">
        <f ca="1"/>
        <v>:</v>
      </c>
    </row>
    <row r="541" spans="11:12" x14ac:dyDescent="0.45">
      <c r="K541">
        <f ca="1"/>
        <v>508</v>
      </c>
      <c r="L541" t="str">
        <f ca="1"/>
        <v>:</v>
      </c>
    </row>
    <row r="542" spans="11:12" x14ac:dyDescent="0.45">
      <c r="K542">
        <f ca="1"/>
        <v>509</v>
      </c>
      <c r="L542" t="str">
        <f ca="1"/>
        <v>:</v>
      </c>
    </row>
    <row r="543" spans="11:12" x14ac:dyDescent="0.45">
      <c r="K543">
        <f ca="1"/>
        <v>510</v>
      </c>
      <c r="L543" t="str">
        <f ca="1"/>
        <v>:</v>
      </c>
    </row>
    <row r="544" spans="11:12" x14ac:dyDescent="0.45">
      <c r="K544">
        <f ca="1"/>
        <v>511</v>
      </c>
      <c r="L544" t="str">
        <f ca="1"/>
        <v>"</v>
      </c>
    </row>
    <row r="545" spans="11:12" x14ac:dyDescent="0.45">
      <c r="K545">
        <f ca="1"/>
        <v>512</v>
      </c>
      <c r="L545" t="str">
        <f ca="1"/>
        <v>l</v>
      </c>
    </row>
    <row r="546" spans="11:12" x14ac:dyDescent="0.45">
      <c r="K546">
        <f ca="1"/>
        <v>513</v>
      </c>
      <c r="L546" t="str">
        <f ca="1"/>
        <v>"</v>
      </c>
    </row>
    <row r="547" spans="11:12" x14ac:dyDescent="0.45">
      <c r="K547">
        <f ca="1"/>
        <v>514</v>
      </c>
      <c r="L547" t="str">
        <f ca="1"/>
        <v>:</v>
      </c>
    </row>
    <row r="548" spans="11:12" x14ac:dyDescent="0.45">
      <c r="K548">
        <f ca="1"/>
        <v>515</v>
      </c>
      <c r="L548" t="str">
        <f ca="1"/>
        <v>:</v>
      </c>
    </row>
    <row r="549" spans="11:12" x14ac:dyDescent="0.45">
      <c r="K549">
        <f ca="1"/>
        <v>516</v>
      </c>
      <c r="L549" t="str">
        <f ca="1"/>
        <v>:</v>
      </c>
    </row>
    <row r="550" spans="11:12" x14ac:dyDescent="0.45">
      <c r="K550">
        <f ca="1"/>
        <v>517</v>
      </c>
      <c r="L550" t="str">
        <f ca="1"/>
        <v>:</v>
      </c>
    </row>
    <row r="551" spans="11:12" x14ac:dyDescent="0.45">
      <c r="K551">
        <f ca="1"/>
        <v>518</v>
      </c>
      <c r="L551" t="str">
        <f ca="1"/>
        <v>"</v>
      </c>
    </row>
    <row r="552" spans="11:12" x14ac:dyDescent="0.45">
      <c r="K552">
        <f ca="1"/>
        <v>519</v>
      </c>
      <c r="L552" t="str">
        <f ca="1"/>
        <v>m</v>
      </c>
    </row>
    <row r="553" spans="11:12" x14ac:dyDescent="0.45">
      <c r="K553">
        <f ca="1"/>
        <v>520</v>
      </c>
      <c r="L553" t="str">
        <f ca="1"/>
        <v>"</v>
      </c>
    </row>
    <row r="554" spans="11:12" x14ac:dyDescent="0.45">
      <c r="K554">
        <f ca="1"/>
        <v>521</v>
      </c>
      <c r="L554" t="str">
        <f ca="1"/>
        <v>:</v>
      </c>
    </row>
    <row r="555" spans="11:12" x14ac:dyDescent="0.45">
      <c r="K555">
        <f ca="1"/>
        <v>522</v>
      </c>
      <c r="L555" t="str">
        <f ca="1"/>
        <v>:</v>
      </c>
    </row>
    <row r="556" spans="11:12" x14ac:dyDescent="0.45">
      <c r="K556">
        <f ca="1"/>
        <v>523</v>
      </c>
      <c r="L556" t="str">
        <f ca="1"/>
        <v>:</v>
      </c>
    </row>
    <row r="557" spans="11:12" x14ac:dyDescent="0.45">
      <c r="K557">
        <f ca="1"/>
        <v>524</v>
      </c>
      <c r="L557" t="str">
        <f ca="1"/>
        <v>:</v>
      </c>
    </row>
    <row r="558" spans="11:12" x14ac:dyDescent="0.45">
      <c r="K558">
        <f ca="1"/>
        <v>525</v>
      </c>
      <c r="L558" t="str">
        <f ca="1"/>
        <v>"</v>
      </c>
    </row>
    <row r="559" spans="11:12" x14ac:dyDescent="0.45">
      <c r="K559">
        <f ca="1"/>
        <v>526</v>
      </c>
      <c r="L559" t="str">
        <f ca="1"/>
        <v>n</v>
      </c>
    </row>
    <row r="560" spans="11:12" x14ac:dyDescent="0.45">
      <c r="K560">
        <f ca="1"/>
        <v>527</v>
      </c>
      <c r="L560" t="str">
        <f ca="1"/>
        <v>"</v>
      </c>
    </row>
    <row r="561" spans="11:12" x14ac:dyDescent="0.45">
      <c r="K561">
        <f ca="1"/>
        <v>528</v>
      </c>
      <c r="L561" t="str">
        <f ca="1"/>
        <v>:</v>
      </c>
    </row>
    <row r="562" spans="11:12" x14ac:dyDescent="0.45">
      <c r="K562">
        <f ca="1"/>
        <v>529</v>
      </c>
      <c r="L562" t="str">
        <f ca="1"/>
        <v>:</v>
      </c>
    </row>
    <row r="563" spans="11:12" x14ac:dyDescent="0.45">
      <c r="K563">
        <f ca="1"/>
        <v>530</v>
      </c>
      <c r="L563" t="str">
        <f ca="1"/>
        <v>:</v>
      </c>
    </row>
    <row r="564" spans="11:12" x14ac:dyDescent="0.45">
      <c r="K564">
        <f ca="1"/>
        <v>531</v>
      </c>
      <c r="L564" t="str">
        <f ca="1"/>
        <v>:</v>
      </c>
    </row>
    <row r="565" spans="11:12" x14ac:dyDescent="0.45">
      <c r="K565">
        <f ca="1"/>
        <v>532</v>
      </c>
      <c r="L565" t="str">
        <f ca="1"/>
        <v>"</v>
      </c>
    </row>
    <row r="566" spans="11:12" x14ac:dyDescent="0.45">
      <c r="K566">
        <f ca="1"/>
        <v>533</v>
      </c>
      <c r="L566" t="str">
        <f ca="1"/>
        <v>o</v>
      </c>
    </row>
    <row r="567" spans="11:12" x14ac:dyDescent="0.45">
      <c r="K567">
        <f ca="1"/>
        <v>534</v>
      </c>
      <c r="L567" t="str">
        <f ca="1"/>
        <v>"</v>
      </c>
    </row>
    <row r="568" spans="11:12" x14ac:dyDescent="0.45">
      <c r="K568">
        <f ca="1"/>
        <v>535</v>
      </c>
      <c r="L568" t="str">
        <f ca="1"/>
        <v>:</v>
      </c>
    </row>
    <row r="569" spans="11:12" x14ac:dyDescent="0.45">
      <c r="K569">
        <f ca="1"/>
        <v>536</v>
      </c>
      <c r="L569" t="str">
        <f ca="1"/>
        <v>:</v>
      </c>
    </row>
    <row r="570" spans="11:12" x14ac:dyDescent="0.45">
      <c r="K570">
        <f ca="1"/>
        <v>537</v>
      </c>
      <c r="L570" t="str">
        <f ca="1"/>
        <v>:</v>
      </c>
    </row>
    <row r="571" spans="11:12" x14ac:dyDescent="0.45">
      <c r="K571">
        <f ca="1"/>
        <v>538</v>
      </c>
      <c r="L571" t="str">
        <f ca="1"/>
        <v>:</v>
      </c>
    </row>
    <row r="572" spans="11:12" x14ac:dyDescent="0.45">
      <c r="K572">
        <f ca="1"/>
        <v>539</v>
      </c>
      <c r="L572" t="str">
        <f ca="1"/>
        <v>"</v>
      </c>
    </row>
    <row r="573" spans="11:12" x14ac:dyDescent="0.45">
      <c r="K573">
        <f ca="1"/>
        <v>540</v>
      </c>
      <c r="L573" t="str">
        <f ca="1"/>
        <v>p</v>
      </c>
    </row>
    <row r="574" spans="11:12" x14ac:dyDescent="0.45">
      <c r="K574">
        <f ca="1"/>
        <v>541</v>
      </c>
      <c r="L574" t="str">
        <f ca="1"/>
        <v>"</v>
      </c>
    </row>
    <row r="575" spans="11:12" x14ac:dyDescent="0.45">
      <c r="K575">
        <f ca="1"/>
        <v>542</v>
      </c>
      <c r="L575" t="str">
        <f ca="1"/>
        <v>_x000D_</v>
      </c>
    </row>
    <row r="576" spans="11:12" x14ac:dyDescent="0.45">
      <c r="K576">
        <f ca="1"/>
        <v>543</v>
      </c>
      <c r="L576" t="str">
        <f ca="1"/>
        <v xml:space="preserve">
</v>
      </c>
    </row>
    <row r="577" spans="11:12" x14ac:dyDescent="0.45">
      <c r="K577">
        <f ca="1"/>
        <v>544</v>
      </c>
      <c r="L577" t="str">
        <f ca="1"/>
        <v>"</v>
      </c>
    </row>
    <row r="578" spans="11:12" x14ac:dyDescent="0.45">
      <c r="K578">
        <f ca="1"/>
        <v>545</v>
      </c>
      <c r="L578" t="str">
        <f ca="1"/>
        <v>q</v>
      </c>
    </row>
    <row r="579" spans="11:12" x14ac:dyDescent="0.45">
      <c r="K579">
        <f ca="1"/>
        <v>546</v>
      </c>
      <c r="L579" t="str">
        <f ca="1"/>
        <v>"</v>
      </c>
    </row>
    <row r="580" spans="11:12" x14ac:dyDescent="0.45">
      <c r="K580">
        <f ca="1"/>
        <v>547</v>
      </c>
      <c r="L580" t="str">
        <f ca="1"/>
        <v>:</v>
      </c>
    </row>
    <row r="581" spans="11:12" x14ac:dyDescent="0.45">
      <c r="K581">
        <f ca="1"/>
        <v>548</v>
      </c>
      <c r="L581" t="str">
        <f ca="1"/>
        <v>:</v>
      </c>
    </row>
    <row r="582" spans="11:12" x14ac:dyDescent="0.45">
      <c r="K582">
        <f ca="1"/>
        <v>549</v>
      </c>
      <c r="L582" t="str">
        <f ca="1"/>
        <v>:</v>
      </c>
    </row>
    <row r="583" spans="11:12" x14ac:dyDescent="0.45">
      <c r="K583">
        <f ca="1"/>
        <v>550</v>
      </c>
      <c r="L583" t="str">
        <f ca="1"/>
        <v>:</v>
      </c>
    </row>
    <row r="584" spans="11:12" x14ac:dyDescent="0.45">
      <c r="K584">
        <f ca="1"/>
        <v>551</v>
      </c>
      <c r="L584" t="str">
        <f ca="1"/>
        <v>"</v>
      </c>
    </row>
    <row r="585" spans="11:12" x14ac:dyDescent="0.45">
      <c r="K585">
        <f ca="1"/>
        <v>552</v>
      </c>
      <c r="L585" t="str">
        <f ca="1"/>
        <v>r</v>
      </c>
    </row>
    <row r="586" spans="11:12" x14ac:dyDescent="0.45">
      <c r="K586">
        <f ca="1"/>
        <v>553</v>
      </c>
      <c r="L586" t="str">
        <f ca="1"/>
        <v>"</v>
      </c>
    </row>
    <row r="587" spans="11:12" x14ac:dyDescent="0.45">
      <c r="K587">
        <f ca="1"/>
        <v>554</v>
      </c>
      <c r="L587" t="str">
        <f ca="1"/>
        <v>:</v>
      </c>
    </row>
    <row r="588" spans="11:12" x14ac:dyDescent="0.45">
      <c r="K588">
        <f ca="1"/>
        <v>555</v>
      </c>
      <c r="L588" t="str">
        <f ca="1"/>
        <v>:</v>
      </c>
    </row>
    <row r="589" spans="11:12" x14ac:dyDescent="0.45">
      <c r="K589">
        <f ca="1"/>
        <v>556</v>
      </c>
      <c r="L589" t="str">
        <f ca="1"/>
        <v>:</v>
      </c>
    </row>
    <row r="590" spans="11:12" x14ac:dyDescent="0.45">
      <c r="K590">
        <f ca="1"/>
        <v>557</v>
      </c>
      <c r="L590" t="str">
        <f ca="1"/>
        <v>:</v>
      </c>
    </row>
    <row r="591" spans="11:12" x14ac:dyDescent="0.45">
      <c r="K591">
        <f ca="1"/>
        <v>558</v>
      </c>
      <c r="L591" t="str">
        <f ca="1"/>
        <v>"</v>
      </c>
    </row>
    <row r="592" spans="11:12" x14ac:dyDescent="0.45">
      <c r="K592">
        <f ca="1"/>
        <v>559</v>
      </c>
      <c r="L592" t="str">
        <f ca="1"/>
        <v>s</v>
      </c>
    </row>
    <row r="593" spans="11:12" x14ac:dyDescent="0.45">
      <c r="K593">
        <f ca="1"/>
        <v>560</v>
      </c>
      <c r="L593" t="str">
        <f ca="1"/>
        <v>"</v>
      </c>
    </row>
    <row r="594" spans="11:12" x14ac:dyDescent="0.45">
      <c r="K594">
        <f ca="1"/>
        <v>561</v>
      </c>
      <c r="L594" t="str">
        <f ca="1"/>
        <v>:</v>
      </c>
    </row>
    <row r="595" spans="11:12" x14ac:dyDescent="0.45">
      <c r="K595">
        <f ca="1"/>
        <v>562</v>
      </c>
      <c r="L595" t="str">
        <f ca="1"/>
        <v>:</v>
      </c>
    </row>
    <row r="596" spans="11:12" x14ac:dyDescent="0.45">
      <c r="K596">
        <f ca="1"/>
        <v>563</v>
      </c>
      <c r="L596" t="str">
        <f ca="1"/>
        <v>:</v>
      </c>
    </row>
    <row r="597" spans="11:12" x14ac:dyDescent="0.45">
      <c r="K597">
        <f ca="1"/>
        <v>564</v>
      </c>
      <c r="L597" t="str">
        <f ca="1"/>
        <v>:</v>
      </c>
    </row>
    <row r="598" spans="11:12" x14ac:dyDescent="0.45">
      <c r="K598">
        <f ca="1"/>
        <v>565</v>
      </c>
      <c r="L598" t="str">
        <f ca="1"/>
        <v>"</v>
      </c>
    </row>
    <row r="599" spans="11:12" x14ac:dyDescent="0.45">
      <c r="K599">
        <f ca="1"/>
        <v>566</v>
      </c>
      <c r="L599" t="str">
        <f ca="1"/>
        <v>t</v>
      </c>
    </row>
    <row r="600" spans="11:12" x14ac:dyDescent="0.45">
      <c r="K600">
        <f ca="1"/>
        <v>567</v>
      </c>
      <c r="L600" t="str">
        <f ca="1"/>
        <v>"</v>
      </c>
    </row>
    <row r="601" spans="11:12" x14ac:dyDescent="0.45">
      <c r="K601">
        <f ca="1"/>
        <v>568</v>
      </c>
      <c r="L601" t="str">
        <f ca="1"/>
        <v>:</v>
      </c>
    </row>
    <row r="602" spans="11:12" x14ac:dyDescent="0.45">
      <c r="K602">
        <f ca="1"/>
        <v>569</v>
      </c>
      <c r="L602" t="str">
        <f ca="1"/>
        <v>:</v>
      </c>
    </row>
    <row r="603" spans="11:12" x14ac:dyDescent="0.45">
      <c r="K603">
        <f ca="1"/>
        <v>570</v>
      </c>
      <c r="L603" t="str">
        <f ca="1"/>
        <v>:</v>
      </c>
    </row>
    <row r="604" spans="11:12" x14ac:dyDescent="0.45">
      <c r="K604">
        <f ca="1"/>
        <v>571</v>
      </c>
      <c r="L604" t="str">
        <f ca="1"/>
        <v>:</v>
      </c>
    </row>
    <row r="605" spans="11:12" x14ac:dyDescent="0.45">
      <c r="K605">
        <f ca="1"/>
        <v>572</v>
      </c>
      <c r="L605" t="str">
        <f ca="1"/>
        <v>"</v>
      </c>
    </row>
    <row r="606" spans="11:12" x14ac:dyDescent="0.45">
      <c r="K606">
        <f ca="1"/>
        <v>573</v>
      </c>
      <c r="L606" t="str">
        <f ca="1"/>
        <v>u</v>
      </c>
    </row>
    <row r="607" spans="11:12" x14ac:dyDescent="0.45">
      <c r="K607">
        <f ca="1"/>
        <v>574</v>
      </c>
      <c r="L607" t="str">
        <f ca="1"/>
        <v>"</v>
      </c>
    </row>
    <row r="608" spans="11:12" x14ac:dyDescent="0.45">
      <c r="K608">
        <f ca="1"/>
        <v>575</v>
      </c>
      <c r="L608" t="str">
        <f ca="1"/>
        <v>:</v>
      </c>
    </row>
    <row r="609" spans="11:12" x14ac:dyDescent="0.45">
      <c r="K609">
        <f ca="1"/>
        <v>576</v>
      </c>
      <c r="L609" t="str">
        <f ca="1"/>
        <v>:</v>
      </c>
    </row>
    <row r="610" spans="11:12" x14ac:dyDescent="0.45">
      <c r="K610">
        <f ca="1"/>
        <v>577</v>
      </c>
      <c r="L610" t="str">
        <f ca="1"/>
        <v>:</v>
      </c>
    </row>
    <row r="611" spans="11:12" x14ac:dyDescent="0.45">
      <c r="K611">
        <f ca="1"/>
        <v>578</v>
      </c>
      <c r="L611" t="str">
        <f ca="1"/>
        <v>:</v>
      </c>
    </row>
    <row r="612" spans="11:12" x14ac:dyDescent="0.45">
      <c r="K612">
        <f ca="1"/>
        <v>579</v>
      </c>
      <c r="L612" t="str">
        <f ca="1"/>
        <v>"</v>
      </c>
    </row>
    <row r="613" spans="11:12" x14ac:dyDescent="0.45">
      <c r="K613">
        <f ca="1"/>
        <v>580</v>
      </c>
      <c r="L613" t="str">
        <f ca="1"/>
        <v>v</v>
      </c>
    </row>
    <row r="614" spans="11:12" x14ac:dyDescent="0.45">
      <c r="K614">
        <f ca="1"/>
        <v>581</v>
      </c>
      <c r="L614" t="str">
        <f ca="1"/>
        <v>"</v>
      </c>
    </row>
    <row r="615" spans="11:12" x14ac:dyDescent="0.45">
      <c r="K615">
        <f ca="1"/>
        <v>582</v>
      </c>
      <c r="L615" t="str">
        <f ca="1"/>
        <v>:</v>
      </c>
    </row>
    <row r="616" spans="11:12" x14ac:dyDescent="0.45">
      <c r="K616">
        <f ca="1"/>
        <v>583</v>
      </c>
      <c r="L616" t="str">
        <f ca="1"/>
        <v>:</v>
      </c>
    </row>
    <row r="617" spans="11:12" x14ac:dyDescent="0.45">
      <c r="K617">
        <f ca="1"/>
        <v>584</v>
      </c>
      <c r="L617" t="str">
        <f ca="1"/>
        <v>:</v>
      </c>
    </row>
    <row r="618" spans="11:12" x14ac:dyDescent="0.45">
      <c r="K618">
        <f ca="1"/>
        <v>585</v>
      </c>
      <c r="L618" t="str">
        <f ca="1"/>
        <v>:</v>
      </c>
    </row>
    <row r="619" spans="11:12" x14ac:dyDescent="0.45">
      <c r="K619">
        <f ca="1"/>
        <v>586</v>
      </c>
      <c r="L619" t="str">
        <f ca="1"/>
        <v>"</v>
      </c>
    </row>
    <row r="620" spans="11:12" x14ac:dyDescent="0.45">
      <c r="K620">
        <f ca="1"/>
        <v>587</v>
      </c>
      <c r="L620" t="str">
        <f ca="1"/>
        <v>w</v>
      </c>
    </row>
    <row r="621" spans="11:12" x14ac:dyDescent="0.45">
      <c r="K621">
        <f ca="1"/>
        <v>588</v>
      </c>
      <c r="L621" t="str">
        <f ca="1"/>
        <v>"</v>
      </c>
    </row>
    <row r="622" spans="11:12" x14ac:dyDescent="0.45">
      <c r="K622">
        <f ca="1"/>
        <v>589</v>
      </c>
      <c r="L622" t="str">
        <f ca="1"/>
        <v>:</v>
      </c>
    </row>
    <row r="623" spans="11:12" x14ac:dyDescent="0.45">
      <c r="K623">
        <f ca="1"/>
        <v>590</v>
      </c>
      <c r="L623" t="str">
        <f ca="1"/>
        <v>:</v>
      </c>
    </row>
    <row r="624" spans="11:12" x14ac:dyDescent="0.45">
      <c r="K624">
        <f ca="1"/>
        <v>591</v>
      </c>
      <c r="L624" t="str">
        <f ca="1"/>
        <v>:</v>
      </c>
    </row>
    <row r="625" spans="11:12" x14ac:dyDescent="0.45">
      <c r="K625">
        <f ca="1"/>
        <v>592</v>
      </c>
      <c r="L625" t="str">
        <f ca="1"/>
        <v>:</v>
      </c>
    </row>
    <row r="626" spans="11:12" x14ac:dyDescent="0.45">
      <c r="K626">
        <f ca="1"/>
        <v>593</v>
      </c>
      <c r="L626" t="str">
        <f ca="1"/>
        <v>"</v>
      </c>
    </row>
    <row r="627" spans="11:12" x14ac:dyDescent="0.45">
      <c r="K627">
        <f ca="1"/>
        <v>594</v>
      </c>
      <c r="L627" t="str">
        <f ca="1"/>
        <v>x</v>
      </c>
    </row>
    <row r="628" spans="11:12" x14ac:dyDescent="0.45">
      <c r="K628">
        <f ca="1"/>
        <v>595</v>
      </c>
      <c r="L628" t="str">
        <f ca="1"/>
        <v>"</v>
      </c>
    </row>
    <row r="629" spans="11:12" x14ac:dyDescent="0.45">
      <c r="K629">
        <f ca="1"/>
        <v>596</v>
      </c>
      <c r="L629" t="str">
        <f ca="1"/>
        <v>:</v>
      </c>
    </row>
    <row r="630" spans="11:12" x14ac:dyDescent="0.45">
      <c r="K630">
        <f ca="1"/>
        <v>597</v>
      </c>
      <c r="L630" t="str">
        <f ca="1"/>
        <v>:</v>
      </c>
    </row>
    <row r="631" spans="11:12" x14ac:dyDescent="0.45">
      <c r="K631">
        <f ca="1"/>
        <v>598</v>
      </c>
      <c r="L631" t="str">
        <f ca="1"/>
        <v>:</v>
      </c>
    </row>
    <row r="632" spans="11:12" x14ac:dyDescent="0.45">
      <c r="K632">
        <f ca="1"/>
        <v>599</v>
      </c>
      <c r="L632" t="str">
        <f ca="1"/>
        <v>:</v>
      </c>
    </row>
    <row r="633" spans="11:12" x14ac:dyDescent="0.45">
      <c r="K633">
        <f ca="1"/>
        <v>600</v>
      </c>
      <c r="L633" t="str">
        <f ca="1"/>
        <v>"</v>
      </c>
    </row>
    <row r="634" spans="11:12" x14ac:dyDescent="0.45">
      <c r="K634">
        <f ca="1"/>
        <v>601</v>
      </c>
      <c r="L634" t="str">
        <f ca="1"/>
        <v>y</v>
      </c>
    </row>
    <row r="635" spans="11:12" x14ac:dyDescent="0.45">
      <c r="K635">
        <f ca="1"/>
        <v>602</v>
      </c>
      <c r="L635" t="str">
        <f ca="1"/>
        <v>"</v>
      </c>
    </row>
    <row r="636" spans="11:12" x14ac:dyDescent="0.45">
      <c r="K636">
        <f ca="1"/>
        <v>603</v>
      </c>
      <c r="L636" t="str">
        <f ca="1"/>
        <v>:</v>
      </c>
    </row>
    <row r="637" spans="11:12" x14ac:dyDescent="0.45">
      <c r="K637">
        <f ca="1"/>
        <v>604</v>
      </c>
      <c r="L637" t="str">
        <f ca="1"/>
        <v>:</v>
      </c>
    </row>
    <row r="638" spans="11:12" x14ac:dyDescent="0.45">
      <c r="K638">
        <f ca="1"/>
        <v>605</v>
      </c>
      <c r="L638" t="str">
        <f ca="1"/>
        <v>:</v>
      </c>
    </row>
    <row r="639" spans="11:12" x14ac:dyDescent="0.45">
      <c r="K639">
        <f ca="1"/>
        <v>606</v>
      </c>
      <c r="L639" t="str">
        <f ca="1"/>
        <v>:</v>
      </c>
    </row>
    <row r="640" spans="11:12" x14ac:dyDescent="0.45">
      <c r="K640">
        <f ca="1"/>
        <v>607</v>
      </c>
      <c r="L640" t="str">
        <f ca="1"/>
        <v>"</v>
      </c>
    </row>
    <row r="641" spans="11:12" x14ac:dyDescent="0.45">
      <c r="K641">
        <f ca="1"/>
        <v>608</v>
      </c>
      <c r="L641" t="str">
        <f ca="1"/>
        <v>z</v>
      </c>
    </row>
    <row r="642" spans="11:12" x14ac:dyDescent="0.45">
      <c r="K642">
        <f ca="1"/>
        <v>609</v>
      </c>
      <c r="L642" t="str">
        <f ca="1"/>
        <v>"</v>
      </c>
    </row>
    <row r="643" spans="11:12" x14ac:dyDescent="0.45">
      <c r="K643">
        <f ca="1"/>
        <v>610</v>
      </c>
      <c r="L643" t="str">
        <f ca="1"/>
        <v>_x000D_</v>
      </c>
    </row>
    <row r="644" spans="11:12" x14ac:dyDescent="0.45">
      <c r="K644">
        <f ca="1"/>
        <v>611</v>
      </c>
      <c r="L644" t="str">
        <f ca="1"/>
        <v xml:space="preserve">
</v>
      </c>
    </row>
    <row r="645" spans="11:12" x14ac:dyDescent="0.45">
      <c r="K645">
        <f ca="1"/>
        <v>612</v>
      </c>
      <c r="L645" t="str">
        <f ca="1"/>
        <v>"</v>
      </c>
    </row>
    <row r="646" spans="11:12" x14ac:dyDescent="0.45">
      <c r="K646">
        <f ca="1"/>
        <v>613</v>
      </c>
      <c r="L646" t="str">
        <f ca="1"/>
        <v>"</v>
      </c>
    </row>
    <row r="647" spans="11:12" x14ac:dyDescent="0.45">
      <c r="K647">
        <f ca="1"/>
        <v>614</v>
      </c>
      <c r="L647" t="str">
        <f ca="1"/>
        <v>"</v>
      </c>
    </row>
    <row r="648" spans="11:12" x14ac:dyDescent="0.45">
      <c r="K648">
        <f ca="1"/>
        <v>615</v>
      </c>
      <c r="L648" t="str">
        <f ca="1"/>
        <v>"</v>
      </c>
    </row>
    <row r="649" spans="11:12" x14ac:dyDescent="0.45">
      <c r="K649">
        <f ca="1"/>
        <v>616</v>
      </c>
      <c r="L649" t="str">
        <f ca="1"/>
        <v>:</v>
      </c>
    </row>
    <row r="650" spans="11:12" x14ac:dyDescent="0.45">
      <c r="K650">
        <f ca="1"/>
        <v>617</v>
      </c>
      <c r="L650" t="str">
        <f ca="1"/>
        <v>:</v>
      </c>
    </row>
    <row r="651" spans="11:12" x14ac:dyDescent="0.45">
      <c r="K651">
        <f ca="1"/>
        <v>618</v>
      </c>
      <c r="L651" t="str">
        <f ca="1"/>
        <v>:</v>
      </c>
    </row>
    <row r="652" spans="11:12" x14ac:dyDescent="0.45">
      <c r="K652">
        <f ca="1"/>
        <v>619</v>
      </c>
      <c r="L652" t="str">
        <f ca="1"/>
        <v>:</v>
      </c>
    </row>
    <row r="653" spans="11:12" x14ac:dyDescent="0.45">
      <c r="K653">
        <f ca="1"/>
        <v>620</v>
      </c>
      <c r="L653" t="str">
        <f ca="1"/>
        <v>"</v>
      </c>
    </row>
    <row r="654" spans="11:12" x14ac:dyDescent="0.45">
      <c r="K654">
        <f ca="1"/>
        <v>621</v>
      </c>
      <c r="L654" t="str">
        <f ca="1"/>
        <v>|</v>
      </c>
    </row>
    <row r="655" spans="11:12" x14ac:dyDescent="0.45">
      <c r="K655">
        <f ca="1"/>
        <v>622</v>
      </c>
      <c r="L655" t="str">
        <f ca="1"/>
        <v>"</v>
      </c>
    </row>
    <row r="656" spans="11:12" x14ac:dyDescent="0.45">
      <c r="K656">
        <f ca="1"/>
        <v>623</v>
      </c>
      <c r="L656" t="str">
        <f ca="1"/>
        <v>:</v>
      </c>
    </row>
    <row r="657" spans="11:12" x14ac:dyDescent="0.45">
      <c r="K657">
        <f ca="1"/>
        <v>624</v>
      </c>
      <c r="L657" t="str">
        <f ca="1"/>
        <v>:</v>
      </c>
    </row>
    <row r="658" spans="11:12" x14ac:dyDescent="0.45">
      <c r="K658">
        <f ca="1"/>
        <v>625</v>
      </c>
      <c r="L658" t="str">
        <f ca="1"/>
        <v>:</v>
      </c>
    </row>
    <row r="659" spans="11:12" x14ac:dyDescent="0.45">
      <c r="K659">
        <f ca="1"/>
        <v>626</v>
      </c>
      <c r="L659" t="str">
        <f ca="1"/>
        <v>:</v>
      </c>
    </row>
    <row r="660" spans="11:12" x14ac:dyDescent="0.45">
      <c r="K660">
        <f ca="1"/>
        <v>627</v>
      </c>
      <c r="L660" t="str">
        <f ca="1"/>
        <v>"</v>
      </c>
    </row>
    <row r="661" spans="11:12" x14ac:dyDescent="0.45">
      <c r="K661">
        <f ca="1"/>
        <v>628</v>
      </c>
      <c r="L661" t="str">
        <f ca="1"/>
        <v>}</v>
      </c>
    </row>
    <row r="662" spans="11:12" x14ac:dyDescent="0.45">
      <c r="K662">
        <f ca="1"/>
        <v>629</v>
      </c>
      <c r="L662" t="str">
        <f ca="1"/>
        <v>"</v>
      </c>
    </row>
    <row r="663" spans="11:12" x14ac:dyDescent="0.45">
      <c r="K663">
        <f ca="1"/>
        <v>630</v>
      </c>
      <c r="L663" t="str">
        <f ca="1"/>
        <v>:</v>
      </c>
    </row>
    <row r="664" spans="11:12" x14ac:dyDescent="0.45">
      <c r="K664">
        <f ca="1"/>
        <v>631</v>
      </c>
      <c r="L664" t="str">
        <f ca="1"/>
        <v>:</v>
      </c>
    </row>
    <row r="665" spans="11:12" x14ac:dyDescent="0.45">
      <c r="K665">
        <f ca="1"/>
        <v>632</v>
      </c>
      <c r="L665" t="str">
        <f ca="1"/>
        <v>:</v>
      </c>
    </row>
    <row r="666" spans="11:12" x14ac:dyDescent="0.45">
      <c r="K666">
        <f ca="1"/>
        <v>633</v>
      </c>
      <c r="L666" t="str">
        <f ca="1"/>
        <v>:</v>
      </c>
    </row>
    <row r="667" spans="11:12" x14ac:dyDescent="0.45">
      <c r="K667">
        <f ca="1"/>
        <v>634</v>
      </c>
      <c r="L667" t="str">
        <f ca="1"/>
        <v>"</v>
      </c>
    </row>
    <row r="668" spans="11:12" x14ac:dyDescent="0.45">
      <c r="K668">
        <f ca="1"/>
        <v>635</v>
      </c>
      <c r="L668" t="str">
        <f ca="1"/>
        <v>~</v>
      </c>
    </row>
    <row r="669" spans="11:12" x14ac:dyDescent="0.45">
      <c r="K669">
        <f ca="1"/>
        <v>636</v>
      </c>
      <c r="L669" t="str">
        <f ca="1"/>
        <v>"</v>
      </c>
    </row>
    <row r="670" spans="11:12" x14ac:dyDescent="0.45">
      <c r="K670">
        <f ca="1"/>
        <v>637</v>
      </c>
      <c r="L670" t="str">
        <f ca="1"/>
        <v>:</v>
      </c>
    </row>
    <row r="671" spans="11:12" x14ac:dyDescent="0.45">
      <c r="K671">
        <f ca="1"/>
        <v>638</v>
      </c>
      <c r="L671" t="str">
        <f ca="1"/>
        <v>:</v>
      </c>
    </row>
    <row r="672" spans="11:12" x14ac:dyDescent="0.45">
      <c r="K672">
        <f ca="1"/>
        <v>639</v>
      </c>
      <c r="L672" t="str">
        <f ca="1"/>
        <v>:</v>
      </c>
    </row>
    <row r="673" spans="11:12" x14ac:dyDescent="0.45">
      <c r="K673">
        <f ca="1"/>
        <v>640</v>
      </c>
      <c r="L673" t="str">
        <f ca="1"/>
        <v>:</v>
      </c>
    </row>
    <row r="674" spans="11:12" x14ac:dyDescent="0.45">
      <c r="K674">
        <f ca="1"/>
        <v>641</v>
      </c>
      <c r="L674" t="str">
        <f ca="1"/>
        <v>"</v>
      </c>
    </row>
    <row r="675" spans="11:12" x14ac:dyDescent="0.45">
      <c r="K675">
        <f ca="1"/>
        <v>642</v>
      </c>
      <c r="L675" t="str">
        <f ca="1"/>
        <v></v>
      </c>
    </row>
    <row r="676" spans="11:12" x14ac:dyDescent="0.45">
      <c r="K676">
        <f ca="1"/>
        <v>643</v>
      </c>
      <c r="L676" t="str">
        <f ca="1"/>
        <v>"</v>
      </c>
    </row>
    <row r="677" spans="11:12" x14ac:dyDescent="0.45">
      <c r="K677">
        <f ca="1"/>
        <v>644</v>
      </c>
      <c r="L677" t="str">
        <f ca="1"/>
        <v>:</v>
      </c>
    </row>
    <row r="678" spans="11:12" x14ac:dyDescent="0.45">
      <c r="K678">
        <f ca="1"/>
        <v>645</v>
      </c>
      <c r="L678" t="str">
        <f ca="1"/>
        <v>:</v>
      </c>
    </row>
    <row r="679" spans="11:12" x14ac:dyDescent="0.45">
      <c r="K679">
        <f ca="1"/>
        <v>646</v>
      </c>
      <c r="L679" t="str">
        <f ca="1"/>
        <v>:</v>
      </c>
    </row>
    <row r="680" spans="11:12" x14ac:dyDescent="0.45">
      <c r="K680">
        <f ca="1"/>
        <v>647</v>
      </c>
      <c r="L680" t="str">
        <f ca="1"/>
        <v>:</v>
      </c>
    </row>
    <row r="681" spans="11:12" x14ac:dyDescent="0.45">
      <c r="K681">
        <f ca="1"/>
        <v>648</v>
      </c>
      <c r="L681" t="str">
        <f ca="1"/>
        <v>"</v>
      </c>
    </row>
    <row r="682" spans="11:12" x14ac:dyDescent="0.45">
      <c r="K682">
        <f ca="1"/>
        <v>649</v>
      </c>
      <c r="L682" t="str">
        <f ca="1"/>
        <v>€</v>
      </c>
    </row>
    <row r="683" spans="11:12" x14ac:dyDescent="0.45">
      <c r="K683">
        <f ca="1"/>
        <v>650</v>
      </c>
      <c r="L683" t="str">
        <f ca="1"/>
        <v>"</v>
      </c>
    </row>
    <row r="684" spans="11:12" x14ac:dyDescent="0.45">
      <c r="K684">
        <f ca="1"/>
        <v>651</v>
      </c>
      <c r="L684" t="str">
        <f ca="1"/>
        <v>:</v>
      </c>
    </row>
    <row r="685" spans="11:12" x14ac:dyDescent="0.45">
      <c r="K685">
        <f ca="1"/>
        <v>652</v>
      </c>
      <c r="L685" t="str">
        <f ca="1"/>
        <v>:</v>
      </c>
    </row>
    <row r="686" spans="11:12" x14ac:dyDescent="0.45">
      <c r="K686">
        <f ca="1"/>
        <v>653</v>
      </c>
      <c r="L686" t="str">
        <f ca="1"/>
        <v>:</v>
      </c>
    </row>
    <row r="687" spans="11:12" x14ac:dyDescent="0.45">
      <c r="K687">
        <f ca="1"/>
        <v>654</v>
      </c>
      <c r="L687" t="str">
        <f ca="1"/>
        <v>:</v>
      </c>
    </row>
    <row r="688" spans="11:12" x14ac:dyDescent="0.45">
      <c r="K688">
        <f ca="1"/>
        <v>655</v>
      </c>
      <c r="L688" t="str">
        <f ca="1"/>
        <v>"</v>
      </c>
    </row>
    <row r="689" spans="11:12" x14ac:dyDescent="0.45">
      <c r="K689">
        <f ca="1"/>
        <v>656</v>
      </c>
      <c r="L689" t="str">
        <f ca="1"/>
        <v></v>
      </c>
    </row>
    <row r="690" spans="11:12" x14ac:dyDescent="0.45">
      <c r="K690">
        <f ca="1"/>
        <v>657</v>
      </c>
      <c r="L690" t="str">
        <f ca="1"/>
        <v>"</v>
      </c>
    </row>
    <row r="691" spans="11:12" x14ac:dyDescent="0.45">
      <c r="K691">
        <f ca="1"/>
        <v>658</v>
      </c>
      <c r="L691" t="str">
        <f ca="1"/>
        <v>:</v>
      </c>
    </row>
    <row r="692" spans="11:12" x14ac:dyDescent="0.45">
      <c r="K692">
        <f ca="1"/>
        <v>659</v>
      </c>
      <c r="L692" t="str">
        <f ca="1"/>
        <v>:</v>
      </c>
    </row>
    <row r="693" spans="11:12" x14ac:dyDescent="0.45">
      <c r="K693">
        <f ca="1"/>
        <v>660</v>
      </c>
      <c r="L693" t="str">
        <f ca="1"/>
        <v>:</v>
      </c>
    </row>
    <row r="694" spans="11:12" x14ac:dyDescent="0.45">
      <c r="K694">
        <f ca="1"/>
        <v>661</v>
      </c>
      <c r="L694" t="str">
        <f ca="1"/>
        <v>:</v>
      </c>
    </row>
    <row r="695" spans="11:12" x14ac:dyDescent="0.45">
      <c r="K695">
        <f ca="1"/>
        <v>662</v>
      </c>
      <c r="L695" t="str">
        <f ca="1"/>
        <v>"</v>
      </c>
    </row>
    <row r="696" spans="11:12" x14ac:dyDescent="0.45">
      <c r="K696">
        <f ca="1"/>
        <v>663</v>
      </c>
      <c r="L696" t="str">
        <f ca="1"/>
        <v>‚</v>
      </c>
    </row>
    <row r="697" spans="11:12" x14ac:dyDescent="0.45">
      <c r="K697">
        <f ca="1"/>
        <v>664</v>
      </c>
      <c r="L697" t="str">
        <f ca="1"/>
        <v>"</v>
      </c>
    </row>
    <row r="698" spans="11:12" x14ac:dyDescent="0.45">
      <c r="K698">
        <f ca="1"/>
        <v>665</v>
      </c>
      <c r="L698" t="str">
        <f ca="1"/>
        <v>:</v>
      </c>
    </row>
    <row r="699" spans="11:12" x14ac:dyDescent="0.45">
      <c r="K699">
        <f ca="1"/>
        <v>666</v>
      </c>
      <c r="L699" t="str">
        <f ca="1"/>
        <v>:</v>
      </c>
    </row>
    <row r="700" spans="11:12" x14ac:dyDescent="0.45">
      <c r="K700">
        <f ca="1"/>
        <v>667</v>
      </c>
      <c r="L700" t="str">
        <f ca="1"/>
        <v>:</v>
      </c>
    </row>
    <row r="701" spans="11:12" x14ac:dyDescent="0.45">
      <c r="K701">
        <f ca="1"/>
        <v>668</v>
      </c>
      <c r="L701" t="str">
        <f ca="1"/>
        <v>:</v>
      </c>
    </row>
    <row r="702" spans="11:12" x14ac:dyDescent="0.45">
      <c r="K702">
        <f ca="1"/>
        <v>669</v>
      </c>
      <c r="L702" t="str">
        <f ca="1"/>
        <v>"</v>
      </c>
    </row>
    <row r="703" spans="11:12" x14ac:dyDescent="0.45">
      <c r="K703">
        <f ca="1"/>
        <v>670</v>
      </c>
      <c r="L703" t="str">
        <f ca="1"/>
        <v>ƒ</v>
      </c>
    </row>
    <row r="704" spans="11:12" x14ac:dyDescent="0.45">
      <c r="K704">
        <f ca="1"/>
        <v>671</v>
      </c>
      <c r="L704" t="str">
        <f ca="1"/>
        <v>"</v>
      </c>
    </row>
    <row r="705" spans="11:12" x14ac:dyDescent="0.45">
      <c r="K705">
        <f ca="1"/>
        <v>672</v>
      </c>
      <c r="L705" t="str">
        <f ca="1"/>
        <v>:</v>
      </c>
    </row>
    <row r="706" spans="11:12" x14ac:dyDescent="0.45">
      <c r="K706">
        <f ca="1"/>
        <v>673</v>
      </c>
      <c r="L706" t="str">
        <f ca="1"/>
        <v>:</v>
      </c>
    </row>
    <row r="707" spans="11:12" x14ac:dyDescent="0.45">
      <c r="K707">
        <f ca="1"/>
        <v>674</v>
      </c>
      <c r="L707" t="str">
        <f ca="1"/>
        <v>:</v>
      </c>
    </row>
    <row r="708" spans="11:12" x14ac:dyDescent="0.45">
      <c r="K708">
        <f ca="1"/>
        <v>675</v>
      </c>
      <c r="L708" t="str">
        <f ca="1"/>
        <v>:</v>
      </c>
    </row>
    <row r="709" spans="11:12" x14ac:dyDescent="0.45">
      <c r="K709">
        <f ca="1"/>
        <v>676</v>
      </c>
      <c r="L709" t="str">
        <f ca="1"/>
        <v>"</v>
      </c>
    </row>
    <row r="710" spans="11:12" x14ac:dyDescent="0.45">
      <c r="K710">
        <f ca="1"/>
        <v>677</v>
      </c>
      <c r="L710" t="str">
        <f ca="1"/>
        <v>„</v>
      </c>
    </row>
    <row r="711" spans="11:12" x14ac:dyDescent="0.45">
      <c r="K711">
        <f ca="1"/>
        <v>678</v>
      </c>
      <c r="L711" t="str">
        <f ca="1"/>
        <v>"</v>
      </c>
    </row>
    <row r="712" spans="11:12" x14ac:dyDescent="0.45">
      <c r="K712">
        <f ca="1"/>
        <v>679</v>
      </c>
      <c r="L712" t="str">
        <f ca="1"/>
        <v>_x000D_</v>
      </c>
    </row>
    <row r="713" spans="11:12" x14ac:dyDescent="0.45">
      <c r="K713">
        <f ca="1"/>
        <v>680</v>
      </c>
      <c r="L713" t="str">
        <f ca="1"/>
        <v xml:space="preserve">
</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Demo</vt:lpstr>
      <vt:lpstr>Help</vt:lpstr>
      <vt:lpstr>Timing</vt:lpstr>
      <vt:lpstr>Audit</vt:lpstr>
      <vt:lpstr>Sheet1</vt:lpstr>
      <vt:lpstr>Sheet2</vt:lpstr>
      <vt:lpstr>DateFormat</vt:lpstr>
      <vt:lpstr>DateTimeFormat</vt:lpstr>
      <vt:lpstr>EOL</vt:lpstr>
      <vt:lpstr>FileName</vt:lpstr>
      <vt:lpstr>Audit!Headers</vt:lpstr>
      <vt:lpstr>Timing!PutFormulasHere1</vt:lpstr>
      <vt:lpstr>Timing!PutFormulasHere2</vt:lpstr>
      <vt:lpstr>Timing!PutFormulasHere3</vt:lpstr>
      <vt:lpstr>Timing!PutFormulasHere4</vt:lpstr>
      <vt:lpstr>Timing!PutFormulasHere5</vt:lpstr>
      <vt:lpstr>Timing!PutFormulasHere6</vt:lpstr>
      <vt:lpstr>Timing!PutFormulasHere7</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2021-08-11T21:34:09Z</dcterms:modified>
</cp:coreProperties>
</file>