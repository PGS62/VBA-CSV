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827E52A1-3DF6-4479-B486-33F74525502C}" xr6:coauthVersionLast="47" xr6:coauthVersionMax="47" xr10:uidLastSave="{00000000-0000-0000-0000-000000000000}"/>
  <bookViews>
    <workbookView xWindow="-46177" yWindow="-98" windowWidth="46275" windowHeight="25515" xr2:uid="{86175985-054A-431D-8A4E-01C3A835BC9D}"/>
  </bookViews>
  <sheets>
    <sheet name="Demo" sheetId="1" r:id="rId1"/>
    <sheet name="Help" sheetId="3" r:id="rId2"/>
    <sheet name="Audit" sheetId="2" r:id="rId3"/>
    <sheet name="TimingResults" sheetId="4" r:id="rId4"/>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externalReferences>
    <externalReference r:id="rId5"/>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2">Audit!$B$5:$F$5</definedName>
    <definedName name="NCols">Demo!#REF!</definedName>
    <definedName name="NRows">Demo!#REF!</definedName>
    <definedName name="QuoteAllStrings">Demo!$C$5</definedName>
    <definedName name="Unicode">Demo!$C$8</definedName>
    <definedName name="Windows">Demo!$C$5:$C$8</definedName>
  </definedNames>
  <calcPr calcId="191029" calcMode="manual" calcCompleted="0" calcOnSave="0"/>
  <extLst>
    <ext xmlns:x14="http://schemas.microsoft.com/office/spreadsheetml/2009/9/main" uri="{8193D73E-4604-4355-AFF4-8A2333D13BE4}">
      <x14:definedNames>
        <x14:definedName name="CSVRead">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Write">
          <x14:argumentDescriptions count="9">
            <x14:argumentDescription index="0">The full name of the file, including the path.</x14:argumentDescription>
            <x14:argumentDescription index="1">An array of arbitrary data. Elements may be strings, numbers, dates, Booleans, empty, Excel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 Currently the companion function CVSRead is not capable of interpreting fields written in DateTime format.</x14:argumentDescription>
            <x14:argumentDescription index="5">If TRUE then the file written is encoded as unicode. Defaults to FALSE for an ascii file.</x14:argumentDescription>
            <x14:argumentDescription index="6">If FALSE (the default) the file written will be ascii. If TRUE the file written will be Unicode.</x14:argumentDescription>
            <x14:argumentDescription index="7">Enter the required line ending character as "Windows" (or ascii 13 plus ascii 10), or "Unix" (or ascii 10) or "Mac" (or ascii 13). If omitted defaults to "Windows".</x14:argumentDescription>
            <x14:argumentDescription index="8">This argument is for develop purposes only, it will soon be removed.</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69" i="4" l="1" a="1"/>
  <c r="A169" i="4"/>
  <c r="B153" i="4"/>
  <c r="B152" i="4"/>
  <c r="B151" i="4"/>
  <c r="B150" i="4"/>
  <c r="B149" i="4"/>
  <c r="B148" i="4"/>
  <c r="B147" i="4"/>
  <c r="B146" i="4"/>
  <c r="B145" i="4"/>
  <c r="B144" i="4"/>
  <c r="B143" i="4"/>
  <c r="B142" i="4"/>
  <c r="B141" i="4"/>
  <c r="B140" i="4"/>
  <c r="B61" i="4"/>
  <c r="B13" i="1" a="1"/>
  <c r="B13" i="1" l="1"/>
  <c r="B79" i="4"/>
  <c r="B78" i="4"/>
  <c r="B77" i="4"/>
  <c r="B76" i="4"/>
  <c r="B75" i="4"/>
  <c r="B74" i="4"/>
  <c r="B73" i="4"/>
  <c r="B72" i="4"/>
  <c r="B71" i="4"/>
  <c r="B70" i="4"/>
  <c r="B69" i="4"/>
  <c r="B68" i="4"/>
  <c r="B67" i="4"/>
  <c r="B66" i="4"/>
  <c r="B65" i="4"/>
  <c r="B64" i="4"/>
  <c r="B63" i="4"/>
  <c r="B62" i="4"/>
  <c r="E13" i="1" a="1"/>
  <c r="E13" i="1" l="1"/>
  <c r="B43" i="3" a="1"/>
  <c r="H43" i="3" a="1"/>
  <c r="H22" i="3" a="1"/>
  <c r="B22" i="3" a="1"/>
  <c r="G13" i="1" a="1"/>
  <c r="G13" i="1" l="1"/>
  <c r="H43" i="3"/>
  <c r="B43" i="3"/>
  <c r="B22" i="3"/>
  <c r="H22" i="3"/>
  <c r="M13" i="1" a="1"/>
  <c r="J13" i="1" a="1"/>
  <c r="J13" i="1" l="1"/>
  <c r="M13" i="1"/>
  <c r="P13" i="1" a="1"/>
  <c r="P13" i="1" l="1"/>
  <c r="P1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<sst xmlns="http://schemas.openxmlformats.org/spreadsheetml/2006/main" count="648" uniqueCount="259">
  <si>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</si>
  <si>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</si>
  <si>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</si>
  <si>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</si>
  <si>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</si>
  <si>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</si>
  <si>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</si>
  <si>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</si>
  <si>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</si>
  <si>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</si>
  <si>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</si>
  <si>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</si>
  <si>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</si>
  <si>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</si>
  <si>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</si>
  <si>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</si>
  <si>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</si>
  <si>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</si>
  <si>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</si>
  <si>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</si>
  <si>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TypeConversion</t>
  </si>
  <si>
    <t>Delimiter</t>
  </si>
  <si>
    <t>StartRow</t>
  </si>
  <si>
    <t>StartCol</t>
  </si>
  <si>
    <t>NumRows</t>
  </si>
  <si>
    <t>NumCols</t>
  </si>
  <si>
    <t>LineEndings</t>
  </si>
  <si>
    <t>ShowMissingsAs</t>
  </si>
  <si>
    <t>DecimalSeparator</t>
  </si>
  <si>
    <t>Returns the contents of a comma-separated file on disk as an array.</t>
  </si>
  <si>
    <t>The full name of the file, including the path.</t>
  </si>
  <si>
    <t>Delimiter character. Defaults to the first instance of comma, tab, semi-colon, colon or vertical bar found in the file outside quoted regions. Enter FALSE to to see the file's raw contents as would be displayed in a text editor.</t>
  </si>
  <si>
    <t>"Windows" (or ascii 13 + 10, or FALSE), "Unix" (or ascii 10, or TRUE) or "Mac" (or ascii 13)  to specify line-endings, or "Mixed" for inconsistent line endings. Omit to infer from the first line ending found outside quoted regions.</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</si>
  <si>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</si>
  <si>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</si>
  <si>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The "row" in the file at which reading starts. Optional and defaults to 1 to read from the first row.</t>
  </si>
  <si>
    <t>The "column" in the file at which reading starts. Optional and defaults to 1 to read from the first column.</t>
  </si>
  <si>
    <t>The number of rows to read from the file. If omitted (or zero), all rows from StartRow to the end of the file are read.</t>
  </si>
  <si>
    <t>The number of columns to read from the file. If omitted (or zero), all columns from StartColumn are read.</t>
  </si>
  <si>
    <t>Enter TRUE if the file is unicode, FALSE if the file is ascii. Omit to guess (via function sFileIsUnicode).</t>
  </si>
  <si>
    <t>Value to represent empty fields (successive delimiters) in the file. May be a string or an Empty value. Optional and defaults to the zero-length string.</t>
  </si>
  <si>
    <t>TRUE to convert Numbers, Dates, Logicals and Excel Errors into their typed values, or FALSE to leave as strings. For more control enter a string containing the letters N,D,L, and E eg "NL" to convert just numbers and logicals, not dates or errors.</t>
  </si>
  <si>
    <t>Argument</t>
  </si>
  <si>
    <t>CSVRead</t>
  </si>
  <si>
    <t>FunctionName</t>
  </si>
  <si>
    <t>FunctionDescription</t>
  </si>
  <si>
    <t>Description</t>
  </si>
  <si>
    <t>Header for VBA code</t>
  </si>
  <si>
    <t>Keeping the help in sync</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</si>
  <si>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</si>
  <si>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</si>
  <si>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</si>
  <si>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</si>
  <si>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</si>
  <si>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</si>
  <si>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</si>
  <si>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</si>
  <si>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</si>
  <si>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</si>
  <si>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</si>
  <si>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</si>
  <si>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</si>
  <si>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</si>
  <si>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</si>
  <si>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</si>
  <si>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</si>
  <si>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</si>
  <si>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</si>
  <si>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</si>
  <si>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</si>
  <si>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Ragged</t>
  </si>
  <si>
    <t xml:space="preserve">Creates a csv file on disk containing the data in the array Data. Any existing file of the same name is overwritten. If successful, the function returns the name of the file written, otherwise an error string. </t>
  </si>
  <si>
    <t>If TRUE (the default) then ALL strings are quoted before being written to file. Otherwise (FALSE) only strings containing characters comma, line feed, carriage return or double quote are quoted. Double quotes are always escaped by a second double quote.</t>
  </si>
  <si>
    <t>A format string, such as 'yyyy-mm-dd' that determine how dates (e.g. cells formatted as dates) appear in the file.</t>
  </si>
  <si>
    <t>If TRUE then the file written is encoded as unicode. Defaults to FALSE for an ascii file.</t>
  </si>
  <si>
    <t>Enter the required line ending character as "Windows" (or ascii 13 plus ascii 10), or "Unix" (or ascii 10) or "Mac" (or ascii 13). If omitted defaults to "Windows".</t>
  </si>
  <si>
    <t>An array of arbitrary data. Elements may be strings, numbers, dates, Booleans, empty, Excel errors or null values.</t>
  </si>
  <si>
    <t>If FALSE (the default) the file written will be ascii. If TRUE the file written will be Unicode.</t>
  </si>
  <si>
    <t>See also CSVWrite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the value given by ShowMissingsAs.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Windows, Unix and (old) Mac line endings.</t>
  </si>
  <si>
    <t>See also CSVRead which is the inverse of this function.
For definition of the CSV format see
https://tools.ietf.org/html/rfc4180#section-2</t>
  </si>
  <si>
    <t>This argument is for develop purposes only, it will soon be removed.</t>
  </si>
  <si>
    <t>A format string, such as 'yyyy-mm-dd hh:mm:ss' that determine how elements of dates with time appear in the file. Currently the companion function CVSRead is not capable of interpreting fields written in DateTime format.</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</si>
  <si>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</si>
  <si>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</si>
  <si>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</si>
  <si>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</si>
  <si>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</si>
  <si>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</si>
  <si>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</si>
  <si>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</si>
  <si>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</si>
  <si>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</si>
  <si>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</si>
  <si>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</si>
  <si>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Amend CSVWrite to have extra option for QuoteAllStrings - i.e. quote strings that look like numbers and/or dates? Maybe not necessary since CSVRead is not much slowed down by quotes.</t>
  </si>
  <si>
    <t>VBA Code to register with Excel function Wizard. Function description and argument descriptions must be no longer than 255 characters.</t>
  </si>
  <si>
    <t>Add copyright, licence and documentation info to each file</t>
  </si>
  <si>
    <t>=RandomVariants(40,2,TRUE,Unicode,EOL)</t>
  </si>
  <si>
    <t>Added code to compare against https://github.com/sdkn104/VBA-CSV</t>
  </si>
  <si>
    <t>x</t>
  </si>
  <si>
    <t>Figure out how sdkn copes with unicode. Answer - it doesn't.</t>
  </si>
  <si>
    <t>EachFieldContains</t>
  </si>
  <si>
    <t>sdkn104</t>
  </si>
  <si>
    <t>ws-garcia</t>
  </si>
  <si>
    <t>FileSize</t>
  </si>
  <si>
    <t>C:\Temp\CSVTest\CompareAgainstAlternatives\Windows_0001_x_001_Strings_length_1_Ascii_NotRagged.csv</t>
  </si>
  <si>
    <t>C:\Temp\CSVTest\CompareAgainstAlternatives\Windows_0001_x_010_Strings_length_6_Ascii_NotRagged.csv</t>
  </si>
  <si>
    <t>C:\Temp\CSVTest\CompareAgainstAlternatives\Windows_0002_x_010_Strings_length_6_Ascii_NotRagged.csv</t>
  </si>
  <si>
    <t>C:\Temp\CSVTest\CompareAgainstAlternatives\Windows_0004_x_010_Strings_length_6_Ascii_NotRagged.csv</t>
  </si>
  <si>
    <t>C:\Temp\CSVTest\CompareAgainstAlternatives\Windows_0008_x_010_Strings_length_6_Ascii_NotRagged.csv</t>
  </si>
  <si>
    <t>C:\Temp\CSVTest\CompareAgainstAlternatives\Windows_0016_x_010_Strings_length_6_Ascii_NotRagged.csv</t>
  </si>
  <si>
    <t>C:\Temp\CSVTest\CompareAgainstAlternatives\Windows_0032_x_010_Strings_length_6_Ascii_NotRagged.csv</t>
  </si>
  <si>
    <t>C:\Temp\CSVTest\CompareAgainstAlternatives\Windows_0064_x_010_Strings_length_6_Ascii_NotRagged.csv</t>
  </si>
  <si>
    <t>C:\Temp\CSVTest\CompareAgainstAlternatives\Windows_0128_x_010_Strings_length_6_Ascii_NotRagged.csv</t>
  </si>
  <si>
    <t>C:\Temp\CSVTest\CompareAgainstAlternatives\Windows_0256_x_010_Strings_length_6_Ascii_NotRagged.csv</t>
  </si>
  <si>
    <t>C:\Temp\CSVTest\CompareAgainstAlternatives\Windows_0512_x_010_Strings_length_6_Ascii_NotRagged.csv</t>
  </si>
  <si>
    <t>C:\Temp\CSVTest\CompareAgainstAlternatives\Windows_1024_x_010_Strings_length_6_Ascii_NotRagged.csv</t>
  </si>
  <si>
    <t>C:\Temp\CSVTest\CompareAgainstAlternatives\Windows_2048_x_010_Strings_length_6_Ascii_NotRagged.csv</t>
  </si>
  <si>
    <t>C:\Temp\CSVTest\CompareAgainstAlternatives\Windows_4096_x_010_Strings_length_6_Ascii_NotRagged.csv</t>
  </si>
  <si>
    <t>C:\Temp\CSVTest\CompareAgainstAlternatives\Windows_8192_x_010_Strings_length_6_Ascii_NotRagged.csv</t>
  </si>
  <si>
    <t>C:\Temp\CSVTest\CompareAgainstAlternatives\Windows_16384_x_010_Strings_length_6_Ascii_NotRagged.csv</t>
  </si>
  <si>
    <t>C:\Temp\CSVTest\CompareAgainstAlternatives\Windows_32768_x_010_Strings_length_6_Ascii_NotRagged.csv</t>
  </si>
  <si>
    <t>C:\Temp\CSVTest\CompareAgainstAlternatives\Windows_65536_x_010_Strings_length_6_Ascii_NotRagged.csv</t>
  </si>
  <si>
    <t>C:\Temp\CSVTest\CompareAgainstAlternatives\Windows_131072_x_010_Strings_length_6_Ascii_NotRagged.csv</t>
  </si>
  <si>
    <t>C:\Temp\CSVTest\CompareAgainstAlternatives\Windows_262144_x_010_Strings_length_6_Ascii_NotRagged.csv</t>
  </si>
  <si>
    <t>sFileShow</t>
  </si>
  <si>
    <t>1=2?</t>
  </si>
  <si>
    <t>1=3?</t>
  </si>
  <si>
    <t>CheckEq?</t>
  </si>
  <si>
    <t>xxxxxxxxxxxxxx</t>
  </si>
  <si>
    <t>C:\Temp\CSVTest\CompareAgainstAlternatives\Windows_0001_x_020_Strings_length_14_Ascii_NotRagged.csv</t>
  </si>
  <si>
    <t>-</t>
  </si>
  <si>
    <t>C:\Temp\CSVTest\CompareAgainstAlternatives\Windows_0002_x_020_Strings_length_14_Ascii_NotRagged.csv</t>
  </si>
  <si>
    <t>C:\Temp\CSVTest\CompareAgainstAlternatives\Windows_0004_x_020_Strings_length_14_Ascii_NotRagged.csv</t>
  </si>
  <si>
    <t>C:\Temp\CSVTest\CompareAgainstAlternatives\Windows_0008_x_020_Strings_length_14_Ascii_NotRagged.csv</t>
  </si>
  <si>
    <t>C:\Temp\CSVTest\CompareAgainstAlternatives\Windows_0016_x_020_Strings_length_14_Ascii_NotRagged.csv</t>
  </si>
  <si>
    <t>C:\Temp\CSVTest\CompareAgainstAlternatives\Windows_0032_x_020_Strings_length_14_Ascii_NotRagged.csv</t>
  </si>
  <si>
    <t>C:\Temp\CSVTest\CompareAgainstAlternatives\Windows_0064_x_020_Strings_length_14_Ascii_NotRagged.csv</t>
  </si>
  <si>
    <t>C:\Temp\CSVTest\CompareAgainstAlternatives\Windows_0128_x_020_Strings_length_14_Ascii_NotRagged.csv</t>
  </si>
  <si>
    <t>C:\Temp\CSVTest\CompareAgainstAlternatives\Windows_0256_x_020_Strings_length_14_Ascii_NotRagged.csv</t>
  </si>
  <si>
    <t>C:\Temp\CSVTest\CompareAgainstAlternatives\Windows_0512_x_020_Strings_length_14_Ascii_NotRagged.csv</t>
  </si>
  <si>
    <t>C:\Temp\CSVTest\CompareAgainstAlternatives\Windows_1024_x_020_Strings_length_14_Ascii_NotRagged.csv</t>
  </si>
  <si>
    <t>C:\Temp\CSVTest\CompareAgainstAlternatives\Windows_2048_x_020_Strings_length_14_Ascii_NotRagged.csv</t>
  </si>
  <si>
    <t>C:\Temp\CSVTest\CompareAgainstAlternatives\Windows_4096_x_020_Strings_length_14_Ascii_NotRagged.csv</t>
  </si>
  <si>
    <t>C:\Temp\CSVTest\CompareAgainstAlternatives\Windows_8192_x_020_Strings_length_14_Ascii_NotRagged.csv</t>
  </si>
  <si>
    <t>C:\Temp\CSVTest\CompareAgainstAlternatives\Windows_16384_x_020_Strings_length_14_Ascii_NotRagged.csv</t>
  </si>
  <si>
    <t>C:\Temp\CSVTest\CompareAgainstAlternatives\Windows_32768_x_020_Strings_length_14_Ascii_NotRagged.csv</t>
  </si>
  <si>
    <t>C:\Temp\CSVTest\CompareAgainstAlternatives\Windows_65536_x_020_Strings_length_14_Ascii_NotRagged.csv</t>
  </si>
  <si>
    <t>C:\Temp\CSVTest\CompareAgainstAlternatives\Windows_131072_x_020_Strings_length_14_Ascii_NotRagged.csv</t>
  </si>
  <si>
    <t>C:\Temp\CSVTest\CompareAgainstAlternatives\Windows_262144_x_020_Strings_length_14_Ascii_NotRagged.csv</t>
  </si>
  <si>
    <t>C:\Temp\CSVTest\CompareAgainstAlternatives\Windows_524288_x_020_Strings_length_14_Ascii_NotRagged.csv</t>
  </si>
  <si>
    <t>C:\Temp\CSVTest\CompareAgainstAlternatives\Windows_1048576_x_020_Strings_length_14_Ascii_NotRagged.csv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</si>
  <si>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</si>
  <si>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</si>
  <si>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</si>
  <si>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</si>
  <si>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</si>
  <si>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</si>
  <si>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</si>
  <si>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</si>
  <si>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</si>
  <si>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</si>
  <si>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</si>
  <si>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</si>
  <si>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</si>
  <si>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</si>
  <si>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</si>
  <si>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</si>
  <si>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</si>
  <si>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</si>
  <si>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</si>
  <si>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</si>
  <si>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</si>
  <si>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</si>
  <si>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</si>
  <si>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</si>
  <si>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</si>
  <si>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</si>
  <si>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</si>
  <si>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</si>
  <si>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</si>
  <si>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</si>
  <si>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</si>
  <si>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</si>
  <si>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</si>
  <si>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</si>
  <si>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</si>
  <si>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</si>
  <si>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</si>
  <si>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</si>
  <si>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</si>
  <si>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</si>
  <si>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xxxxxxxxxxxxxxxxxxx</t>
  </si>
  <si>
    <t>C:\Temp\CSVTest\CompareAgainstAlternatives\Windows_0001_x_010_Strings_length_19_Ascii_NotRagged.csv</t>
  </si>
  <si>
    <t>C:\Temp\CSVTest\CompareAgainstAlternatives\Windows_0002_x_010_Strings_length_19_Ascii_NotRagged.csv</t>
  </si>
  <si>
    <t>C:\Temp\CSVTest\CompareAgainstAlternatives\Windows_0004_x_010_Strings_length_19_Ascii_NotRagged.csv</t>
  </si>
  <si>
    <t>C:\Temp\CSVTest\CompareAgainstAlternatives\Windows_0008_x_010_Strings_length_19_Ascii_NotRagged.csv</t>
  </si>
  <si>
    <t>C:\Temp\CSVTest\CompareAgainstAlternatives\Windows_0016_x_010_Strings_length_19_Ascii_NotRagged.csv</t>
  </si>
  <si>
    <t>C:\Temp\CSVTest\CompareAgainstAlternatives\Windows_0032_x_010_Strings_length_19_Ascii_NotRagged.csv</t>
  </si>
  <si>
    <t>C:\Temp\CSVTest\CompareAgainstAlternatives\Windows_0064_x_010_Strings_length_19_Ascii_NotRagged.csv</t>
  </si>
  <si>
    <t>C:\Temp\CSVTest\CompareAgainstAlternatives\Windows_0128_x_010_Strings_length_19_Ascii_NotRagged.csv</t>
  </si>
  <si>
    <t>C:\Temp\CSVTest\CompareAgainstAlternatives\Windows_0256_x_010_Strings_length_19_Ascii_NotRagged.csv</t>
  </si>
  <si>
    <t>C:\Temp\CSVTest\CompareAgainstAlternatives\Windows_0512_x_010_Strings_length_19_Ascii_NotRagged.csv</t>
  </si>
  <si>
    <t>C:\Temp\CSVTest\CompareAgainstAlternatives\Windows_1024_x_010_Strings_length_19_Ascii_NotRagged.csv</t>
  </si>
  <si>
    <t>C:\Temp\CSVTest\CompareAgainstAlternatives\Windows_2048_x_010_Strings_length_19_Ascii_NotRagged.csv</t>
  </si>
  <si>
    <t>C:\Temp\CSVTest\CompareAgainstAlternatives\Windows_4096_x_010_Strings_length_19_Ascii_NotRagged.csv</t>
  </si>
  <si>
    <t>C:\Temp\CSVTest\CompareAgainstAlternatives\Windows_8192_x_010_Strings_length_19_Ascii_NotRagged.csv</t>
  </si>
  <si>
    <t>C:\Temp\CSVTest\CompareAgainstAlternatives\Windows_16384_x_010_Strings_length_19_Ascii_NotRagged.csv</t>
  </si>
  <si>
    <t>C:\Temp\CSVTest\CompareAgainstAlternatives\Windows_32768_x_010_Strings_length_19_Ascii_NotRagged.csv</t>
  </si>
  <si>
    <t>C:\Temp\CSVTest\CompareAgainstAlternatives\Windows_65536_x_010_Strings_length_19_Ascii_NotRagged.csv</t>
  </si>
  <si>
    <t>C:\Temp\CSVTest\CompareAgainstAlternatives\Windows_131072_x_010_Strings_length_19_Ascii_NotRagged.csv</t>
  </si>
  <si>
    <t>C:\Temp\CSVTest\CompareAgainstAlternatives\Windows_262144_x_010_Strings_length_19_Ascii_NotRagged.csv</t>
  </si>
  <si>
    <t>1=4?</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</si>
  <si>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</si>
  <si>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</si>
  <si>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</si>
  <si>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</si>
  <si>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</si>
  <si>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</si>
  <si>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</si>
  <si>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</si>
  <si>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</si>
  <si>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</si>
  <si>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</si>
  <si>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</si>
  <si>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</si>
  <si>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</si>
  <si>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</si>
  <si>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</si>
  <si>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</si>
  <si>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</si>
  <si>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</si>
  <si>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</si>
  <si>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</si>
  <si>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</si>
  <si>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</si>
  <si>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</si>
  <si>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</si>
  <si>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</si>
  <si>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</si>
  <si>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</si>
  <si>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</si>
  <si>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</si>
  <si>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</si>
  <si>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</si>
  <si>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</si>
  <si>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</si>
  <si>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</si>
  <si>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</si>
  <si>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</si>
  <si>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</si>
  <si>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</si>
  <si>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</si>
  <si>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</si>
  <si>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</si>
  <si>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</si>
  <si>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FieldLength</t>
  </si>
  <si>
    <t>String with embedded line-feeds, commas or quotes</t>
  </si>
  <si>
    <t>Addd sheet "TimingResults" and module modCompareAgainstAlternatives.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</si>
</sst>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sz val="11"/>
      <color rgb="FF000000"/>
      <name val="Calibri"/>
      <family val="2"/>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1">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51">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38" fontId="2" fillId="2" borderId="7" xfId="0" applyNumberFormat="1" applyFont="1" applyFill="1" applyBorder="1" applyAlignment="1">
      <alignment horizontal="center" vertical="center"/>
    </xf>
    <xf numFmtId="0" fontId="0" fillId="0" borderId="10" xfId="0" quotePrefix="1" applyNumberFormat="1" applyBorder="1" applyAlignment="1">
      <alignment horizontal="left"/>
    </xf>
    <xf numFmtId="38" fontId="0" fillId="0" borderId="0" xfId="0" applyNumberFormat="1"/>
    <xf numFmtId="38" fontId="0" fillId="0" borderId="0" xfId="0" applyNumberFormat="1" applyAlignment="1">
      <alignment horizontal="left" vertical="center"/>
    </xf>
    <xf numFmtId="0" fontId="0" fillId="0" borderId="0" xfId="0" applyAlignment="1">
      <alignment horizontal="left" vertical="center"/>
    </xf>
    <xf numFmtId="38" fontId="0" fillId="0" borderId="0" xfId="0" applyNumberFormat="1"/>
    <xf numFmtId="38" fontId="0" fillId="0" borderId="0" xfId="0" applyNumberFormat="1"/>
    <xf numFmtId="0" fontId="6" fillId="7" borderId="0" xfId="0" applyFont="1" applyFill="1"/>
    <xf numFmtId="165" fontId="2" fillId="2" borderId="7" xfId="0" applyNumberFormat="1" applyFont="1" applyFill="1" applyBorder="1" applyAlignment="1">
      <alignment horizontal="center" vertical="center"/>
    </xf>
    <xf numFmtId="166" fontId="0" fillId="0" borderId="2" xfId="0" applyNumberFormat="1" applyBorder="1" applyAlignment="1">
      <alignment horizontal="left" vertical="center"/>
    </xf>
    <xf numFmtId="166" fontId="2" fillId="2" borderId="8" xfId="0" applyNumberFormat="1" applyFont="1" applyFill="1" applyBorder="1" applyAlignment="1">
      <alignment horizontal="left" vertical="center"/>
    </xf>
    <xf numFmtId="166"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TimingResults!#REF!</c:f>
            </c:numRef>
          </c:xVal>
          <c:yVal>
            <c:numRef>
              <c:f>TimingResults!#REF!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TimingResults!#REF!</c15:sqref>
                        </c15:formulaRef>
                      </c:ext>
                    </c:extLst>
                    <c:strCache>
                      <c:ptCount val="1"/>
                      <c:pt idx="0">
                        <c:v>#REF!</c:v>
                      </c:pt>
                    </c:strCache>
                  </c:strRef>
                </c15:tx>
              </c15:filteredSeriesTitle>
            </c:ext>
            <c:ext xmlns:c16="http://schemas.microsoft.com/office/drawing/2014/chart" uri="{C3380CC4-5D6E-409C-BE32-E72D297353CC}">
              <c16:uniqueId val="{00000000-23DC-495C-A552-3B33FC109AB2}"/>
            </c:ext>
          </c:extLst>
        </c:ser>
        <c:ser>
          <c:idx val="1"/>
          <c:order val="1"/>
          <c:spPr>
            <a:ln w="19050" cap="rnd">
              <a:solidFill>
                <a:schemeClr val="accent2"/>
              </a:solidFill>
              <a:round/>
            </a:ln>
            <a:effectLst/>
          </c:spPr>
          <c:marker>
            <c:symbol val="none"/>
          </c:marker>
          <c:xVal>
            <c:numRef>
              <c:f>TimingResults!#REF!</c:f>
            </c:numRef>
          </c:xVal>
          <c:yVal>
            <c:numRef>
              <c:f>TimingResults!#REF!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TimingResults!#REF!</c15:sqref>
                        </c15:formulaRef>
                      </c:ext>
                    </c:extLst>
                    <c:strCache>
                      <c:ptCount val="1"/>
                      <c:pt idx="0">
                        <c:v>#REF!</c:v>
                      </c:pt>
                    </c:strCache>
                  </c:strRef>
                </c15:tx>
              </c15:filteredSeriesTitle>
            </c:ext>
            <c:ext xmlns:c16="http://schemas.microsoft.com/office/drawing/2014/chart" uri="{C3380CC4-5D6E-409C-BE32-E72D297353CC}">
              <c16:uniqueId val="{00000001-23DC-495C-A552-3B33FC109AB2}"/>
            </c:ext>
          </c:extLst>
        </c:ser>
        <c:dLbls>
          <c:showLegendKey val="0"/>
          <c:showVal val="0"/>
          <c:showCatName val="0"/>
          <c:showSerName val="0"/>
          <c:showPercent val="0"/>
          <c:showBubbleSize val="0"/>
        </c:dLbls>
        <c:axId val="472339344"/>
        <c:axId val="472350160"/>
      </c:scatterChart>
      <c:scatterChart>
        <c:scatterStyle val="lineMarker"/>
        <c:varyColors val="0"/>
        <c:ser>
          <c:idx val="2"/>
          <c:order val="2"/>
          <c:spPr>
            <a:ln w="19050" cap="rnd">
              <a:solidFill>
                <a:schemeClr val="accent3"/>
              </a:solidFill>
              <a:round/>
            </a:ln>
            <a:effectLst/>
          </c:spPr>
          <c:marker>
            <c:symbol val="none"/>
          </c:marker>
          <c:xVal>
            <c:numRef>
              <c:f>TimingResults!#REF!</c:f>
            </c:numRef>
          </c:xVal>
          <c:yVal>
            <c:numRef>
              <c:f>TimingResults!#REF!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TimingResults!#REF!</c15:sqref>
                        </c15:formulaRef>
                      </c:ext>
                    </c:extLst>
                    <c:strCache>
                      <c:ptCount val="1"/>
                      <c:pt idx="0">
                        <c:v>#REF!</c:v>
                      </c:pt>
                    </c:strCache>
                  </c:strRef>
                </c15:tx>
              </c15:filteredSeriesTitle>
            </c:ext>
            <c:ext xmlns:c16="http://schemas.microsoft.com/office/drawing/2014/chart" uri="{C3380CC4-5D6E-409C-BE32-E72D297353CC}">
              <c16:uniqueId val="{00000002-23DC-495C-A552-3B33FC109AB2}"/>
            </c:ext>
          </c:extLst>
        </c:ser>
        <c:dLbls>
          <c:showLegendKey val="0"/>
          <c:showVal val="0"/>
          <c:showCatName val="0"/>
          <c:showSerName val="0"/>
          <c:showPercent val="0"/>
          <c:showBubbleSize val="0"/>
        </c:dLbls>
        <c:axId val="709378352"/>
        <c:axId val="709377520"/>
      </c:scatterChart>
      <c:valAx>
        <c:axId val="47233934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50160"/>
        <c:crosses val="autoZero"/>
        <c:crossBetween val="midCat"/>
      </c:valAx>
      <c:valAx>
        <c:axId val="47235016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39344"/>
        <c:crosses val="autoZero"/>
        <c:crossBetween val="midCat"/>
      </c:valAx>
      <c:valAx>
        <c:axId val="709377520"/>
        <c:scaling>
          <c:logBase val="10"/>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378352"/>
        <c:crosses val="max"/>
        <c:crossBetween val="midCat"/>
      </c:valAx>
      <c:valAx>
        <c:axId val="709378352"/>
        <c:scaling>
          <c:logBase val="10"/>
          <c:orientation val="minMax"/>
        </c:scaling>
        <c:delete val="1"/>
        <c:axPos val="b"/>
        <c:numFmt formatCode="#,##0_);[Red]\(#,##0\)" sourceLinked="1"/>
        <c:majorTickMark val="out"/>
        <c:minorTickMark val="none"/>
        <c:tickLblPos val="nextTo"/>
        <c:crossAx val="70937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TimingResults!$F$60</c:f>
              <c:strCache>
                <c:ptCount val="1"/>
                <c:pt idx="0">
                  <c:v>CSVRead</c:v>
                </c:pt>
              </c:strCache>
            </c:strRef>
          </c:tx>
          <c:spPr>
            <a:ln w="19050" cap="rnd">
              <a:solidFill>
                <a:schemeClr val="accent1"/>
              </a:solidFill>
              <a:round/>
            </a:ln>
            <a:effectLst/>
          </c:spPr>
          <c:marker>
            <c:symbol val="none"/>
          </c:marker>
          <c:xVal>
            <c:numRef>
              <c:f>TimingResults!$C$61:$C$79</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TimingResults!$F$61:$F$79</c:f>
              <c:numCache>
                <c:formatCode>General</c:formatCode>
                <c:ptCount val="19"/>
                <c:pt idx="0">
                  <c:v>1.7555999802425504E-3</c:v>
                </c:pt>
                <c:pt idx="1">
                  <c:v>2.112920000217855E-2</c:v>
                </c:pt>
                <c:pt idx="2">
                  <c:v>1.8712300050538033E-2</c:v>
                </c:pt>
                <c:pt idx="3">
                  <c:v>2.4477900005877018E-2</c:v>
                </c:pt>
                <c:pt idx="4">
                  <c:v>1.7943099956028163E-2</c:v>
                </c:pt>
                <c:pt idx="5">
                  <c:v>3.1487600004766136E-2</c:v>
                </c:pt>
                <c:pt idx="6">
                  <c:v>2.4171900004148483E-2</c:v>
                </c:pt>
                <c:pt idx="7">
                  <c:v>2.6855400006752461E-2</c:v>
                </c:pt>
                <c:pt idx="8">
                  <c:v>2.4344399978872389E-2</c:v>
                </c:pt>
                <c:pt idx="9">
                  <c:v>3.0764799972530454E-2</c:v>
                </c:pt>
                <c:pt idx="10">
                  <c:v>4.0582100045867264E-2</c:v>
                </c:pt>
                <c:pt idx="11">
                  <c:v>7.0018999977037311E-2</c:v>
                </c:pt>
                <c:pt idx="12">
                  <c:v>0.10501539998222142</c:v>
                </c:pt>
                <c:pt idx="13">
                  <c:v>0.17823070002486929</c:v>
                </c:pt>
                <c:pt idx="14">
                  <c:v>0.37917059997562319</c:v>
                </c:pt>
                <c:pt idx="15">
                  <c:v>0.77002619998529553</c:v>
                </c:pt>
                <c:pt idx="16">
                  <c:v>1.6642457999987528</c:v>
                </c:pt>
                <c:pt idx="17">
                  <c:v>3.2990397999528795</c:v>
                </c:pt>
                <c:pt idx="18">
                  <c:v>6.8207692999858409</c:v>
                </c:pt>
              </c:numCache>
            </c:numRef>
          </c:yVal>
          <c:smooth val="0"/>
          <c:extLst>
            <c:ext xmlns:c16="http://schemas.microsoft.com/office/drawing/2014/chart" uri="{C3380CC4-5D6E-409C-BE32-E72D297353CC}">
              <c16:uniqueId val="{00000000-2D74-4207-8FD0-972ADB4D90CD}"/>
            </c:ext>
          </c:extLst>
        </c:ser>
        <c:ser>
          <c:idx val="1"/>
          <c:order val="1"/>
          <c:tx>
            <c:strRef>
              <c:f>TimingResults!$G$60</c:f>
              <c:strCache>
                <c:ptCount val="1"/>
                <c:pt idx="0">
                  <c:v>sdkn104</c:v>
                </c:pt>
              </c:strCache>
            </c:strRef>
          </c:tx>
          <c:spPr>
            <a:ln w="19050" cap="rnd">
              <a:solidFill>
                <a:schemeClr val="accent2"/>
              </a:solidFill>
              <a:round/>
            </a:ln>
            <a:effectLst/>
          </c:spPr>
          <c:marker>
            <c:symbol val="none"/>
          </c:marker>
          <c:xVal>
            <c:numRef>
              <c:f>TimingResults!$C$61:$C$79</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TimingResults!$G$61:$G$79</c:f>
              <c:numCache>
                <c:formatCode>General</c:formatCode>
                <c:ptCount val="19"/>
                <c:pt idx="0">
                  <c:v>2.6020000223070383E-4</c:v>
                </c:pt>
                <c:pt idx="1">
                  <c:v>1.7334999865852296E-3</c:v>
                </c:pt>
                <c:pt idx="2">
                  <c:v>2.4469000054523349E-3</c:v>
                </c:pt>
                <c:pt idx="3">
                  <c:v>2.803900046274066E-3</c:v>
                </c:pt>
                <c:pt idx="4">
                  <c:v>2.2653000196442008E-3</c:v>
                </c:pt>
                <c:pt idx="5">
                  <c:v>4.5527999754995108E-3</c:v>
                </c:pt>
                <c:pt idx="6">
                  <c:v>5.0217999960295856E-3</c:v>
                </c:pt>
                <c:pt idx="7">
                  <c:v>6.6475000348873436E-3</c:v>
                </c:pt>
                <c:pt idx="8">
                  <c:v>8.0743000144138932E-3</c:v>
                </c:pt>
                <c:pt idx="9">
                  <c:v>2.2358799993526191E-2</c:v>
                </c:pt>
                <c:pt idx="10">
                  <c:v>2.4749599979259074E-2</c:v>
                </c:pt>
                <c:pt idx="11">
                  <c:v>4.8297800007276237E-2</c:v>
                </c:pt>
                <c:pt idx="12">
                  <c:v>9.4256600015796721E-2</c:v>
                </c:pt>
                <c:pt idx="13">
                  <c:v>0.1916573999915272</c:v>
                </c:pt>
                <c:pt idx="14">
                  <c:v>0.41541929997038096</c:v>
                </c:pt>
                <c:pt idx="15">
                  <c:v>0.8224851000122726</c:v>
                </c:pt>
                <c:pt idx="16">
                  <c:v>1.7081724000163376</c:v>
                </c:pt>
                <c:pt idx="17">
                  <c:v>3.5694544999860227</c:v>
                </c:pt>
                <c:pt idx="18">
                  <c:v>7.7252067999797873</c:v>
                </c:pt>
              </c:numCache>
            </c:numRef>
          </c:yVal>
          <c:smooth val="0"/>
          <c:extLst>
            <c:ext xmlns:c16="http://schemas.microsoft.com/office/drawing/2014/chart" uri="{C3380CC4-5D6E-409C-BE32-E72D297353CC}">
              <c16:uniqueId val="{00000001-2D74-4207-8FD0-972ADB4D90CD}"/>
            </c:ext>
          </c:extLst>
        </c:ser>
        <c:ser>
          <c:idx val="2"/>
          <c:order val="2"/>
          <c:tx>
            <c:strRef>
              <c:f>TimingResults!$H$60</c:f>
              <c:strCache>
                <c:ptCount val="1"/>
                <c:pt idx="0">
                  <c:v>ws-garcia</c:v>
                </c:pt>
              </c:strCache>
            </c:strRef>
          </c:tx>
          <c:spPr>
            <a:ln w="19050" cap="rnd">
              <a:solidFill>
                <a:schemeClr val="accent3"/>
              </a:solidFill>
              <a:round/>
            </a:ln>
            <a:effectLst/>
          </c:spPr>
          <c:marker>
            <c:symbol val="none"/>
          </c:marker>
          <c:xVal>
            <c:numRef>
              <c:f>TimingResults!$C$61:$C$79</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TimingResults!$H$61:$H$79</c:f>
              <c:numCache>
                <c:formatCode>General</c:formatCode>
                <c:ptCount val="19"/>
                <c:pt idx="0">
                  <c:v>1.0273599997162819E-2</c:v>
                </c:pt>
                <c:pt idx="1">
                  <c:v>3.2194399973377585E-2</c:v>
                </c:pt>
                <c:pt idx="2">
                  <c:v>1.3069799984805286E-2</c:v>
                </c:pt>
                <c:pt idx="3">
                  <c:v>1.4141399995423853E-2</c:v>
                </c:pt>
                <c:pt idx="4">
                  <c:v>3.7341999995987862E-2</c:v>
                </c:pt>
                <c:pt idx="5">
                  <c:v>3.3549699990544468E-2</c:v>
                </c:pt>
                <c:pt idx="6">
                  <c:v>3.4643799997866154E-2</c:v>
                </c:pt>
                <c:pt idx="7">
                  <c:v>5.3029300004709512E-2</c:v>
                </c:pt>
                <c:pt idx="8">
                  <c:v>8.4318000008352101E-2</c:v>
                </c:pt>
                <c:pt idx="9">
                  <c:v>0.15119909995701164</c:v>
                </c:pt>
                <c:pt idx="10">
                  <c:v>0.30115489999298006</c:v>
                </c:pt>
                <c:pt idx="11">
                  <c:v>0.59464249998563901</c:v>
                </c:pt>
                <c:pt idx="12">
                  <c:v>1.1738733999663964</c:v>
                </c:pt>
                <c:pt idx="13">
                  <c:v>2.3379694000468589</c:v>
                </c:pt>
                <c:pt idx="14">
                  <c:v>4.6768958999891765</c:v>
                </c:pt>
                <c:pt idx="15">
                  <c:v>9.4637495999922976</c:v>
                </c:pt>
                <c:pt idx="16">
                  <c:v>19.822413100046106</c:v>
                </c:pt>
                <c:pt idx="17">
                  <c:v>44.142142199969385</c:v>
                </c:pt>
                <c:pt idx="18">
                  <c:v>94.044817900052294</c:v>
                </c:pt>
              </c:numCache>
            </c:numRef>
          </c:yVal>
          <c:smooth val="0"/>
          <c:extLst>
            <c:ext xmlns:c16="http://schemas.microsoft.com/office/drawing/2014/chart" uri="{C3380CC4-5D6E-409C-BE32-E72D297353CC}">
              <c16:uniqueId val="{00000002-2D74-4207-8FD0-972ADB4D90CD}"/>
            </c:ext>
          </c:extLst>
        </c:ser>
        <c:ser>
          <c:idx val="3"/>
          <c:order val="3"/>
          <c:tx>
            <c:strRef>
              <c:f>TimingResults!$I$60</c:f>
              <c:strCache>
                <c:ptCount val="1"/>
                <c:pt idx="0">
                  <c:v>sFileShow</c:v>
                </c:pt>
              </c:strCache>
            </c:strRef>
          </c:tx>
          <c:spPr>
            <a:ln w="19050" cap="rnd">
              <a:solidFill>
                <a:schemeClr val="accent4"/>
              </a:solidFill>
              <a:round/>
            </a:ln>
            <a:effectLst/>
          </c:spPr>
          <c:marker>
            <c:symbol val="none"/>
          </c:marker>
          <c:xVal>
            <c:numRef>
              <c:f>TimingResults!$C$61:$C$79</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TimingResults!$I$61:$I$79</c:f>
              <c:numCache>
                <c:formatCode>General</c:formatCode>
                <c:ptCount val="19"/>
                <c:pt idx="0">
                  <c:v>5.7030003517866135E-4</c:v>
                </c:pt>
                <c:pt idx="1">
                  <c:v>5.8029999490827322E-4</c:v>
                </c:pt>
                <c:pt idx="2">
                  <c:v>1.248900021892041E-3</c:v>
                </c:pt>
                <c:pt idx="3">
                  <c:v>1.3220999971963465E-3</c:v>
                </c:pt>
                <c:pt idx="4">
                  <c:v>1.2121000327169895E-3</c:v>
                </c:pt>
                <c:pt idx="5">
                  <c:v>2.0540000405162573E-3</c:v>
                </c:pt>
                <c:pt idx="6">
                  <c:v>3.0568999936804175E-3</c:v>
                </c:pt>
                <c:pt idx="7">
                  <c:v>5.8347999583929777E-3</c:v>
                </c:pt>
                <c:pt idx="8">
                  <c:v>1.2681500054895878E-2</c:v>
                </c:pt>
                <c:pt idx="9">
                  <c:v>1.6309200029354542E-2</c:v>
                </c:pt>
                <c:pt idx="10">
                  <c:v>3.2818700012285262E-2</c:v>
                </c:pt>
                <c:pt idx="11">
                  <c:v>7.2072800016030669E-2</c:v>
                </c:pt>
                <c:pt idx="12">
                  <c:v>0.13807899999665096</c:v>
                </c:pt>
                <c:pt idx="13">
                  <c:v>0.27212790003977716</c:v>
                </c:pt>
                <c:pt idx="14">
                  <c:v>0.5833262000232935</c:v>
                </c:pt>
                <c:pt idx="15">
                  <c:v>1.1757496999925934</c:v>
                </c:pt>
                <c:pt idx="16">
                  <c:v>2.3444957000319846</c:v>
                </c:pt>
                <c:pt idx="17">
                  <c:v>4.8791090999729931</c:v>
                </c:pt>
                <c:pt idx="18">
                  <c:v>10.438702499959618</c:v>
                </c:pt>
              </c:numCache>
            </c:numRef>
          </c:yVal>
          <c:smooth val="0"/>
          <c:extLst>
            <c:ext xmlns:c16="http://schemas.microsoft.com/office/drawing/2014/chart" uri="{C3380CC4-5D6E-409C-BE32-E72D297353CC}">
              <c16:uniqueId val="{00000003-2D74-4207-8FD0-972ADB4D90CD}"/>
            </c:ext>
          </c:extLst>
        </c:ser>
        <c:dLbls>
          <c:showLegendKey val="0"/>
          <c:showVal val="0"/>
          <c:showCatName val="0"/>
          <c:showSerName val="0"/>
          <c:showPercent val="0"/>
          <c:showBubbleSize val="0"/>
        </c:dLbls>
        <c:axId val="512556623"/>
        <c:axId val="512544975"/>
      </c:scatterChart>
      <c:valAx>
        <c:axId val="51255662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4975"/>
        <c:crosses val="autoZero"/>
        <c:crossBetween val="midCat"/>
      </c:valAx>
      <c:valAx>
        <c:axId val="512544975"/>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566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TimingResults!$F$60</c:f>
              <c:strCache>
                <c:ptCount val="1"/>
                <c:pt idx="0">
                  <c:v>CSVRead</c:v>
                </c:pt>
              </c:strCache>
            </c:strRef>
          </c:tx>
          <c:spPr>
            <a:ln w="19050" cap="rnd">
              <a:solidFill>
                <a:schemeClr val="accent1"/>
              </a:solidFill>
              <a:round/>
            </a:ln>
            <a:effectLst/>
          </c:spPr>
          <c:marker>
            <c:symbol val="none"/>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TimingResults!$F$87:$F$105</c:f>
              <c:numCache>
                <c:formatCode>General</c:formatCode>
                <c:ptCount val="19"/>
                <c:pt idx="0">
                  <c:v>1.2962000328116119E-3</c:v>
                </c:pt>
                <c:pt idx="1">
                  <c:v>1.961779996054247E-2</c:v>
                </c:pt>
                <c:pt idx="2">
                  <c:v>1.8679700035136193E-2</c:v>
                </c:pt>
                <c:pt idx="3">
                  <c:v>2.4935199995525181E-2</c:v>
                </c:pt>
                <c:pt idx="4">
                  <c:v>2.2212699986994267E-2</c:v>
                </c:pt>
                <c:pt idx="5">
                  <c:v>2.5369100039824843E-2</c:v>
                </c:pt>
                <c:pt idx="6">
                  <c:v>2.9583600000478327E-2</c:v>
                </c:pt>
                <c:pt idx="7">
                  <c:v>3.4079500008374453E-2</c:v>
                </c:pt>
                <c:pt idx="8">
                  <c:v>4.3135699990671128E-2</c:v>
                </c:pt>
                <c:pt idx="9">
                  <c:v>4.0729000000283122E-2</c:v>
                </c:pt>
                <c:pt idx="10">
                  <c:v>4.3037499999627471E-2</c:v>
                </c:pt>
                <c:pt idx="11">
                  <c:v>5.6666800053790212E-2</c:v>
                </c:pt>
                <c:pt idx="12">
                  <c:v>8.4201199992094189E-2</c:v>
                </c:pt>
                <c:pt idx="13">
                  <c:v>0.14783829997759312</c:v>
                </c:pt>
                <c:pt idx="14">
                  <c:v>0.32274989999132231</c:v>
                </c:pt>
                <c:pt idx="15">
                  <c:v>0.64394819998415187</c:v>
                </c:pt>
                <c:pt idx="16">
                  <c:v>1.2071006000041962</c:v>
                </c:pt>
                <c:pt idx="17">
                  <c:v>2.4491124000051059</c:v>
                </c:pt>
                <c:pt idx="18">
                  <c:v>5.0477023999555968</c:v>
                </c:pt>
              </c:numCache>
            </c:numRef>
          </c:yVal>
          <c:smooth val="0"/>
          <c:extLst>
            <c:ext xmlns:c16="http://schemas.microsoft.com/office/drawing/2014/chart" uri="{C3380CC4-5D6E-409C-BE32-E72D297353CC}">
              <c16:uniqueId val="{00000000-2535-412C-938C-06047E115559}"/>
            </c:ext>
          </c:extLst>
        </c:ser>
        <c:ser>
          <c:idx val="1"/>
          <c:order val="1"/>
          <c:tx>
            <c:strRef>
              <c:f>TimingResults!$G$60</c:f>
              <c:strCache>
                <c:ptCount val="1"/>
                <c:pt idx="0">
                  <c:v>sdkn104</c:v>
                </c:pt>
              </c:strCache>
            </c:strRef>
          </c:tx>
          <c:spPr>
            <a:ln w="19050" cap="rnd">
              <a:solidFill>
                <a:schemeClr val="accent2"/>
              </a:solidFill>
              <a:round/>
            </a:ln>
            <a:effectLst/>
          </c:spPr>
          <c:marker>
            <c:symbol val="none"/>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TimingResults!$G$87:$G$105</c:f>
              <c:numCache>
                <c:formatCode>General</c:formatCode>
                <c:ptCount val="19"/>
                <c:pt idx="0">
                  <c:v>1.8520001322031021E-4</c:v>
                </c:pt>
                <c:pt idx="1">
                  <c:v>1.5970999957062304E-3</c:v>
                </c:pt>
                <c:pt idx="2">
                  <c:v>2.3792000138200819E-3</c:v>
                </c:pt>
                <c:pt idx="3">
                  <c:v>2.877499966416508E-3</c:v>
                </c:pt>
                <c:pt idx="4">
                  <c:v>3.1575000029988587E-3</c:v>
                </c:pt>
                <c:pt idx="5">
                  <c:v>3.0798999941907823E-3</c:v>
                </c:pt>
                <c:pt idx="6">
                  <c:v>4.1082000243477523E-3</c:v>
                </c:pt>
                <c:pt idx="7">
                  <c:v>6.6938999807462096E-3</c:v>
                </c:pt>
                <c:pt idx="8">
                  <c:v>8.7649999768473208E-3</c:v>
                </c:pt>
                <c:pt idx="9">
                  <c:v>1.3265400019008666E-2</c:v>
                </c:pt>
                <c:pt idx="10">
                  <c:v>2.2877199982758611E-2</c:v>
                </c:pt>
                <c:pt idx="11">
                  <c:v>3.8544400013051927E-2</c:v>
                </c:pt>
                <c:pt idx="12">
                  <c:v>7.5406100018881261E-2</c:v>
                </c:pt>
                <c:pt idx="13">
                  <c:v>0.15760430000955239</c:v>
                </c:pt>
                <c:pt idx="14">
                  <c:v>0.36195819999556988</c:v>
                </c:pt>
                <c:pt idx="15">
                  <c:v>0.71530960005475208</c:v>
                </c:pt>
                <c:pt idx="16">
                  <c:v>1.4191500999731943</c:v>
                </c:pt>
                <c:pt idx="17">
                  <c:v>2.6872797000105493</c:v>
                </c:pt>
                <c:pt idx="18">
                  <c:v>5.5357220000005327</c:v>
                </c:pt>
              </c:numCache>
            </c:numRef>
          </c:yVal>
          <c:smooth val="0"/>
          <c:extLst>
            <c:ext xmlns:c16="http://schemas.microsoft.com/office/drawing/2014/chart" uri="{C3380CC4-5D6E-409C-BE32-E72D297353CC}">
              <c16:uniqueId val="{00000001-2535-412C-938C-06047E115559}"/>
            </c:ext>
          </c:extLst>
        </c:ser>
        <c:ser>
          <c:idx val="2"/>
          <c:order val="2"/>
          <c:tx>
            <c:strRef>
              <c:f>TimingResults!$H$60</c:f>
              <c:strCache>
                <c:ptCount val="1"/>
                <c:pt idx="0">
                  <c:v>ws-garcia</c:v>
                </c:pt>
              </c:strCache>
            </c:strRef>
          </c:tx>
          <c:spPr>
            <a:ln w="19050" cap="rnd">
              <a:solidFill>
                <a:schemeClr val="accent3"/>
              </a:solidFill>
              <a:round/>
            </a:ln>
            <a:effectLst/>
          </c:spPr>
          <c:marker>
            <c:symbol val="none"/>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TimingResults!$H$87:$H$105</c:f>
              <c:numCache>
                <c:formatCode>General</c:formatCode>
                <c:ptCount val="19"/>
                <c:pt idx="0">
                  <c:v>9.6888999687507749E-3</c:v>
                </c:pt>
                <c:pt idx="1">
                  <c:v>9.9251999636180699E-3</c:v>
                </c:pt>
                <c:pt idx="2">
                  <c:v>8.8327999692410231E-3</c:v>
                </c:pt>
                <c:pt idx="3">
                  <c:v>1.5239599975757301E-2</c:v>
                </c:pt>
                <c:pt idx="4">
                  <c:v>7.8877999912947416E-3</c:v>
                </c:pt>
                <c:pt idx="5">
                  <c:v>9.0455999597907066E-3</c:v>
                </c:pt>
                <c:pt idx="6">
                  <c:v>1.1186300020199269E-2</c:v>
                </c:pt>
                <c:pt idx="7">
                  <c:v>1.6411999997217208E-2</c:v>
                </c:pt>
                <c:pt idx="8">
                  <c:v>1.5632800001185387E-2</c:v>
                </c:pt>
                <c:pt idx="9">
                  <c:v>2.3752200009766966E-2</c:v>
                </c:pt>
                <c:pt idx="10">
                  <c:v>3.568600001744926E-2</c:v>
                </c:pt>
                <c:pt idx="11">
                  <c:v>6.8562100001145154E-2</c:v>
                </c:pt>
                <c:pt idx="12">
                  <c:v>0.12767460005125031</c:v>
                </c:pt>
                <c:pt idx="13">
                  <c:v>0.25710689998231828</c:v>
                </c:pt>
                <c:pt idx="14">
                  <c:v>0.50500019994797185</c:v>
                </c:pt>
                <c:pt idx="15">
                  <c:v>1.0083282000268809</c:v>
                </c:pt>
                <c:pt idx="16">
                  <c:v>2.2021798000205308</c:v>
                </c:pt>
                <c:pt idx="17">
                  <c:v>4.2579978999565355</c:v>
                </c:pt>
                <c:pt idx="18">
                  <c:v>8.5431922999559902</c:v>
                </c:pt>
              </c:numCache>
            </c:numRef>
          </c:yVal>
          <c:smooth val="0"/>
          <c:extLst>
            <c:ext xmlns:c16="http://schemas.microsoft.com/office/drawing/2014/chart" uri="{C3380CC4-5D6E-409C-BE32-E72D297353CC}">
              <c16:uniqueId val="{00000002-2535-412C-938C-06047E115559}"/>
            </c:ext>
          </c:extLst>
        </c:ser>
        <c:ser>
          <c:idx val="3"/>
          <c:order val="3"/>
          <c:tx>
            <c:strRef>
              <c:f>TimingResults!$I$60</c:f>
              <c:strCache>
                <c:ptCount val="1"/>
                <c:pt idx="0">
                  <c:v>sFileShow</c:v>
                </c:pt>
              </c:strCache>
            </c:strRef>
          </c:tx>
          <c:spPr>
            <a:ln w="19050" cap="rnd">
              <a:solidFill>
                <a:schemeClr val="accent4"/>
              </a:solidFill>
              <a:round/>
            </a:ln>
            <a:effectLst/>
          </c:spPr>
          <c:marker>
            <c:symbol val="none"/>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TimingResults!$I$87:$I$105</c:f>
              <c:numCache>
                <c:formatCode>General</c:formatCode>
                <c:ptCount val="19"/>
                <c:pt idx="0">
                  <c:v>1.5064000035636127E-3</c:v>
                </c:pt>
                <c:pt idx="1">
                  <c:v>6.1789999017491937E-4</c:v>
                </c:pt>
                <c:pt idx="2">
                  <c:v>7.1110000135377049E-4</c:v>
                </c:pt>
                <c:pt idx="3">
                  <c:v>1.2467000051401556E-3</c:v>
                </c:pt>
                <c:pt idx="4">
                  <c:v>1.1700000031851232E-3</c:v>
                </c:pt>
                <c:pt idx="5">
                  <c:v>1.6870999825187027E-3</c:v>
                </c:pt>
                <c:pt idx="6">
                  <c:v>2.7343999827280641E-3</c:v>
                </c:pt>
                <c:pt idx="7">
                  <c:v>3.7069999962113798E-3</c:v>
                </c:pt>
                <c:pt idx="8">
                  <c:v>5.3994000190868974E-3</c:v>
                </c:pt>
                <c:pt idx="9">
                  <c:v>1.0510099993553013E-2</c:v>
                </c:pt>
                <c:pt idx="10">
                  <c:v>2.1401499980129302E-2</c:v>
                </c:pt>
                <c:pt idx="11">
                  <c:v>3.6316199984867126E-2</c:v>
                </c:pt>
                <c:pt idx="12">
                  <c:v>6.7383799992967397E-2</c:v>
                </c:pt>
                <c:pt idx="13">
                  <c:v>0.15480670001124963</c:v>
                </c:pt>
                <c:pt idx="14">
                  <c:v>0.31227920000674203</c:v>
                </c:pt>
                <c:pt idx="15">
                  <c:v>0.63447360001737252</c:v>
                </c:pt>
                <c:pt idx="16">
                  <c:v>1.2208626000210643</c:v>
                </c:pt>
                <c:pt idx="17">
                  <c:v>2.5784895999822766</c:v>
                </c:pt>
                <c:pt idx="18">
                  <c:v>5.3749654999701306</c:v>
                </c:pt>
              </c:numCache>
            </c:numRef>
          </c:yVal>
          <c:smooth val="0"/>
          <c:extLst>
            <c:ext xmlns:c16="http://schemas.microsoft.com/office/drawing/2014/chart" uri="{C3380CC4-5D6E-409C-BE32-E72D297353CC}">
              <c16:uniqueId val="{00000003-2535-412C-938C-06047E115559}"/>
            </c:ext>
          </c:extLst>
        </c:ser>
        <c:dLbls>
          <c:showLegendKey val="0"/>
          <c:showVal val="0"/>
          <c:showCatName val="0"/>
          <c:showSerName val="0"/>
          <c:showPercent val="0"/>
          <c:showBubbleSize val="0"/>
        </c:dLbls>
        <c:axId val="512556623"/>
        <c:axId val="512544975"/>
      </c:scatterChart>
      <c:valAx>
        <c:axId val="51255662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4975"/>
        <c:crosses val="autoZero"/>
        <c:crossBetween val="midCat"/>
      </c:valAx>
      <c:valAx>
        <c:axId val="512544975"/>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566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TimingResults!$F$60</c:f>
              <c:strCache>
                <c:ptCount val="1"/>
                <c:pt idx="0">
                  <c:v>CSVRead</c:v>
                </c:pt>
              </c:strCache>
            </c:strRef>
          </c:tx>
          <c:spPr>
            <a:ln w="19050" cap="rnd">
              <a:solidFill>
                <a:schemeClr val="accent1"/>
              </a:solidFill>
              <a:round/>
            </a:ln>
            <a:effectLst/>
          </c:spPr>
          <c:marker>
            <c:symbol val="none"/>
          </c:marker>
          <c:xVal>
            <c:numRef>
              <c:f>TimingResults!$C$114:$C$132</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TimingResults!$F$114:$F$132</c:f>
              <c:numCache>
                <c:formatCode>General</c:formatCode>
                <c:ptCount val="19"/>
                <c:pt idx="0">
                  <c:v>1.5399000258184969E-3</c:v>
                </c:pt>
                <c:pt idx="1">
                  <c:v>1.5999999595806003E-3</c:v>
                </c:pt>
                <c:pt idx="2">
                  <c:v>1.5388000174425542E-3</c:v>
                </c:pt>
                <c:pt idx="3">
                  <c:v>1.9582999520935118E-3</c:v>
                </c:pt>
                <c:pt idx="4">
                  <c:v>2.2586999693885446E-3</c:v>
                </c:pt>
                <c:pt idx="5">
                  <c:v>2.6264000334776938E-3</c:v>
                </c:pt>
                <c:pt idx="6">
                  <c:v>4.1746000060811639E-3</c:v>
                </c:pt>
                <c:pt idx="7">
                  <c:v>4.2828999576158822E-3</c:v>
                </c:pt>
                <c:pt idx="8">
                  <c:v>6.2814000411890447E-3</c:v>
                </c:pt>
                <c:pt idx="9">
                  <c:v>9.17849998222664E-3</c:v>
                </c:pt>
                <c:pt idx="10">
                  <c:v>1.7133699962869287E-2</c:v>
                </c:pt>
                <c:pt idx="11">
                  <c:v>3.3850000007078052E-2</c:v>
                </c:pt>
                <c:pt idx="12">
                  <c:v>8.4826700040139258E-2</c:v>
                </c:pt>
                <c:pt idx="13">
                  <c:v>0.15064960002200678</c:v>
                </c:pt>
                <c:pt idx="14">
                  <c:v>0.32176980003714561</c:v>
                </c:pt>
                <c:pt idx="15">
                  <c:v>0.639093000034336</c:v>
                </c:pt>
                <c:pt idx="16">
                  <c:v>1.290572699974291</c:v>
                </c:pt>
                <c:pt idx="17">
                  <c:v>2.5631426000036299</c:v>
                </c:pt>
                <c:pt idx="18">
                  <c:v>5.284593699965626</c:v>
                </c:pt>
              </c:numCache>
            </c:numRef>
          </c:yVal>
          <c:smooth val="0"/>
          <c:extLst>
            <c:ext xmlns:c16="http://schemas.microsoft.com/office/drawing/2014/chart" uri="{C3380CC4-5D6E-409C-BE32-E72D297353CC}">
              <c16:uniqueId val="{00000000-31BA-4B9E-AB73-ACFAE6FB007A}"/>
            </c:ext>
          </c:extLst>
        </c:ser>
        <c:ser>
          <c:idx val="1"/>
          <c:order val="1"/>
          <c:tx>
            <c:strRef>
              <c:f>TimingResults!$G$60</c:f>
              <c:strCache>
                <c:ptCount val="1"/>
                <c:pt idx="0">
                  <c:v>sdkn104</c:v>
                </c:pt>
              </c:strCache>
            </c:strRef>
          </c:tx>
          <c:spPr>
            <a:ln w="19050" cap="rnd">
              <a:solidFill>
                <a:schemeClr val="accent2"/>
              </a:solidFill>
              <a:round/>
            </a:ln>
            <a:effectLst/>
          </c:spPr>
          <c:marker>
            <c:symbol val="none"/>
          </c:marker>
          <c:xVal>
            <c:numRef>
              <c:f>TimingResults!$C$114:$C$132</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TimingResults!$G$114:$G$132</c:f>
              <c:numCache>
                <c:formatCode>General</c:formatCode>
                <c:ptCount val="19"/>
                <c:pt idx="0">
                  <c:v>2.3040000814944506E-4</c:v>
                </c:pt>
                <c:pt idx="1">
                  <c:v>3.1590001890435815E-4</c:v>
                </c:pt>
                <c:pt idx="2">
                  <c:v>2.9260001610964537E-4</c:v>
                </c:pt>
                <c:pt idx="3">
                  <c:v>4.8640003660693765E-4</c:v>
                </c:pt>
                <c:pt idx="4">
                  <c:v>7.0099998265504837E-4</c:v>
                </c:pt>
                <c:pt idx="5">
                  <c:v>1.1728000245057046E-3</c:v>
                </c:pt>
                <c:pt idx="6">
                  <c:v>2.1917999838478863E-3</c:v>
                </c:pt>
                <c:pt idx="7">
                  <c:v>3.2834999728947878E-3</c:v>
                </c:pt>
                <c:pt idx="8">
                  <c:v>5.7935999939218163E-3</c:v>
                </c:pt>
                <c:pt idx="9">
                  <c:v>9.2061000177636743E-3</c:v>
                </c:pt>
                <c:pt idx="10">
                  <c:v>1.8738900020252913E-2</c:v>
                </c:pt>
                <c:pt idx="11">
                  <c:v>3.7471799994818866E-2</c:v>
                </c:pt>
                <c:pt idx="12">
                  <c:v>8.3468500000890344E-2</c:v>
                </c:pt>
                <c:pt idx="13">
                  <c:v>0.1614558000001125</c:v>
                </c:pt>
                <c:pt idx="14">
                  <c:v>0.33968490001279861</c:v>
                </c:pt>
                <c:pt idx="15">
                  <c:v>0.69856869999784976</c:v>
                </c:pt>
                <c:pt idx="16">
                  <c:v>1.44255689997226</c:v>
                </c:pt>
                <c:pt idx="17">
                  <c:v>2.8150680999970064</c:v>
                </c:pt>
                <c:pt idx="18">
                  <c:v>5.9948627999983728</c:v>
                </c:pt>
              </c:numCache>
            </c:numRef>
          </c:yVal>
          <c:smooth val="0"/>
          <c:extLst>
            <c:ext xmlns:c16="http://schemas.microsoft.com/office/drawing/2014/chart" uri="{C3380CC4-5D6E-409C-BE32-E72D297353CC}">
              <c16:uniqueId val="{00000001-31BA-4B9E-AB73-ACFAE6FB007A}"/>
            </c:ext>
          </c:extLst>
        </c:ser>
        <c:ser>
          <c:idx val="2"/>
          <c:order val="2"/>
          <c:tx>
            <c:strRef>
              <c:f>TimingResults!$H$60</c:f>
              <c:strCache>
                <c:ptCount val="1"/>
                <c:pt idx="0">
                  <c:v>ws-garcia</c:v>
                </c:pt>
              </c:strCache>
            </c:strRef>
          </c:tx>
          <c:spPr>
            <a:ln w="19050" cap="rnd">
              <a:solidFill>
                <a:schemeClr val="accent3"/>
              </a:solidFill>
              <a:round/>
            </a:ln>
            <a:effectLst/>
          </c:spPr>
          <c:marker>
            <c:symbol val="none"/>
          </c:marker>
          <c:xVal>
            <c:numRef>
              <c:f>TimingResults!$C$114:$C$132</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TimingResults!$H$114:$H$132</c:f>
              <c:numCache>
                <c:formatCode>General</c:formatCode>
                <c:ptCount val="19"/>
                <c:pt idx="0">
                  <c:v>2.8573299990966916E-2</c:v>
                </c:pt>
                <c:pt idx="1">
                  <c:v>5.987199954688549E-3</c:v>
                </c:pt>
                <c:pt idx="2">
                  <c:v>3.4118000185117126E-3</c:v>
                </c:pt>
                <c:pt idx="3">
                  <c:v>7.0588000235147774E-3</c:v>
                </c:pt>
                <c:pt idx="4">
                  <c:v>5.2741999970749021E-3</c:v>
                </c:pt>
                <c:pt idx="5">
                  <c:v>5.9200999676249921E-3</c:v>
                </c:pt>
                <c:pt idx="6">
                  <c:v>7.722900016233325E-3</c:v>
                </c:pt>
                <c:pt idx="7">
                  <c:v>8.3867000066675246E-3</c:v>
                </c:pt>
                <c:pt idx="8">
                  <c:v>1.2339799955952913E-2</c:v>
                </c:pt>
                <c:pt idx="9">
                  <c:v>1.6768599976785481E-2</c:v>
                </c:pt>
                <c:pt idx="10">
                  <c:v>3.1352200021501631E-2</c:v>
                </c:pt>
                <c:pt idx="11">
                  <c:v>5.6908000027760863E-2</c:v>
                </c:pt>
                <c:pt idx="12">
                  <c:v>0.12147100002039224</c:v>
                </c:pt>
                <c:pt idx="13">
                  <c:v>0.24931290000677109</c:v>
                </c:pt>
                <c:pt idx="14">
                  <c:v>0.46902389999013394</c:v>
                </c:pt>
                <c:pt idx="15">
                  <c:v>0.97862319997511804</c:v>
                </c:pt>
                <c:pt idx="16">
                  <c:v>2.1599765999708325</c:v>
                </c:pt>
                <c:pt idx="17">
                  <c:v>4.1450997000210918</c:v>
                </c:pt>
                <c:pt idx="18">
                  <c:v>8.3426641999976709</c:v>
                </c:pt>
              </c:numCache>
            </c:numRef>
          </c:yVal>
          <c:smooth val="0"/>
          <c:extLst>
            <c:ext xmlns:c16="http://schemas.microsoft.com/office/drawing/2014/chart" uri="{C3380CC4-5D6E-409C-BE32-E72D297353CC}">
              <c16:uniqueId val="{00000002-31BA-4B9E-AB73-ACFAE6FB007A}"/>
            </c:ext>
          </c:extLst>
        </c:ser>
        <c:ser>
          <c:idx val="3"/>
          <c:order val="3"/>
          <c:tx>
            <c:strRef>
              <c:f>TimingResults!$I$60</c:f>
              <c:strCache>
                <c:ptCount val="1"/>
                <c:pt idx="0">
                  <c:v>sFileShow</c:v>
                </c:pt>
              </c:strCache>
            </c:strRef>
          </c:tx>
          <c:spPr>
            <a:ln w="19050" cap="rnd">
              <a:solidFill>
                <a:schemeClr val="accent4"/>
              </a:solidFill>
              <a:round/>
            </a:ln>
            <a:effectLst/>
          </c:spPr>
          <c:marker>
            <c:symbol val="none"/>
          </c:marker>
          <c:xVal>
            <c:numRef>
              <c:f>TimingResults!$C$114:$C$132</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TimingResults!$I$114:$I$132</c:f>
              <c:numCache>
                <c:formatCode>General</c:formatCode>
                <c:ptCount val="19"/>
                <c:pt idx="0">
                  <c:v>5.9929996496066451E-4</c:v>
                </c:pt>
                <c:pt idx="1">
                  <c:v>5.2910001249983907E-4</c:v>
                </c:pt>
                <c:pt idx="2">
                  <c:v>7.2069995803758502E-4</c:v>
                </c:pt>
                <c:pt idx="3">
                  <c:v>9.1030000476166606E-4</c:v>
                </c:pt>
                <c:pt idx="4">
                  <c:v>1.1006999993696809E-3</c:v>
                </c:pt>
                <c:pt idx="5">
                  <c:v>1.4991999487392604E-3</c:v>
                </c:pt>
                <c:pt idx="6">
                  <c:v>2.5259999674744904E-3</c:v>
                </c:pt>
                <c:pt idx="7">
                  <c:v>3.1402999884448946E-3</c:v>
                </c:pt>
                <c:pt idx="8">
                  <c:v>4.8802000237628818E-3</c:v>
                </c:pt>
                <c:pt idx="9">
                  <c:v>8.1518000224605203E-3</c:v>
                </c:pt>
                <c:pt idx="10">
                  <c:v>1.6752599971368909E-2</c:v>
                </c:pt>
                <c:pt idx="11">
                  <c:v>3.3841600001323968E-2</c:v>
                </c:pt>
                <c:pt idx="12">
                  <c:v>7.4109100038185716E-2</c:v>
                </c:pt>
                <c:pt idx="13">
                  <c:v>0.14558000001125038</c:v>
                </c:pt>
                <c:pt idx="14">
                  <c:v>0.32459610002115369</c:v>
                </c:pt>
                <c:pt idx="15">
                  <c:v>0.64445089997025207</c:v>
                </c:pt>
                <c:pt idx="16">
                  <c:v>1.3156023999908939</c:v>
                </c:pt>
                <c:pt idx="17">
                  <c:v>2.7062682999530807</c:v>
                </c:pt>
                <c:pt idx="18">
                  <c:v>5.5218378999852575</c:v>
                </c:pt>
              </c:numCache>
            </c:numRef>
          </c:yVal>
          <c:smooth val="0"/>
          <c:extLst>
            <c:ext xmlns:c16="http://schemas.microsoft.com/office/drawing/2014/chart" uri="{C3380CC4-5D6E-409C-BE32-E72D297353CC}">
              <c16:uniqueId val="{00000003-31BA-4B9E-AB73-ACFAE6FB007A}"/>
            </c:ext>
          </c:extLst>
        </c:ser>
        <c:dLbls>
          <c:showLegendKey val="0"/>
          <c:showVal val="0"/>
          <c:showCatName val="0"/>
          <c:showSerName val="0"/>
          <c:showPercent val="0"/>
          <c:showBubbleSize val="0"/>
        </c:dLbls>
        <c:axId val="512556623"/>
        <c:axId val="512544975"/>
      </c:scatterChart>
      <c:valAx>
        <c:axId val="51255662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4975"/>
        <c:crosses val="autoZero"/>
        <c:crossBetween val="midCat"/>
      </c:valAx>
      <c:valAx>
        <c:axId val="512544975"/>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566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TimingResults!$F$139</c:f>
              <c:strCache>
                <c:ptCount val="1"/>
                <c:pt idx="0">
                  <c:v>CSVRead</c:v>
                </c:pt>
              </c:strCache>
            </c:strRef>
          </c:tx>
          <c:spPr>
            <a:ln w="19050" cap="rnd">
              <a:solidFill>
                <a:schemeClr val="accent1"/>
              </a:solidFill>
              <a:round/>
            </a:ln>
            <a:effectLst/>
          </c:spPr>
          <c:marker>
            <c:symbol val="none"/>
          </c:marker>
          <c:xVal>
            <c:numRef>
              <c:f>TimingResults!$D$140:$D$153</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TimingResults!$F$140:$F$153</c:f>
              <c:numCache>
                <c:formatCode>General</c:formatCode>
                <c:ptCount val="14"/>
                <c:pt idx="0">
                  <c:v>1.5417999820783734E-3</c:v>
                </c:pt>
                <c:pt idx="1">
                  <c:v>2.2516999975778162E-2</c:v>
                </c:pt>
                <c:pt idx="2">
                  <c:v>2.7448499982710928E-2</c:v>
                </c:pt>
                <c:pt idx="3">
                  <c:v>2.1669199981261045E-2</c:v>
                </c:pt>
                <c:pt idx="4">
                  <c:v>2.4037300026975572E-2</c:v>
                </c:pt>
                <c:pt idx="5">
                  <c:v>2.4327999970410019E-2</c:v>
                </c:pt>
                <c:pt idx="6">
                  <c:v>2.5217799993697554E-2</c:v>
                </c:pt>
                <c:pt idx="7">
                  <c:v>2.5036000006366521E-2</c:v>
                </c:pt>
                <c:pt idx="8">
                  <c:v>2.5768499996047467E-2</c:v>
                </c:pt>
                <c:pt idx="9">
                  <c:v>2.2877200040966272E-2</c:v>
                </c:pt>
                <c:pt idx="10">
                  <c:v>2.8058699972461909E-2</c:v>
                </c:pt>
                <c:pt idx="11">
                  <c:v>4.0653300005942583E-2</c:v>
                </c:pt>
                <c:pt idx="12">
                  <c:v>5.7805999997071922E-2</c:v>
                </c:pt>
                <c:pt idx="13">
                  <c:v>0.10531640000408515</c:v>
                </c:pt>
              </c:numCache>
            </c:numRef>
          </c:yVal>
          <c:smooth val="0"/>
          <c:extLst>
            <c:ext xmlns:c16="http://schemas.microsoft.com/office/drawing/2014/chart" uri="{C3380CC4-5D6E-409C-BE32-E72D297353CC}">
              <c16:uniqueId val="{00000000-7BC5-4E41-BBB7-5048E559D22C}"/>
            </c:ext>
          </c:extLst>
        </c:ser>
        <c:ser>
          <c:idx val="1"/>
          <c:order val="1"/>
          <c:tx>
            <c:strRef>
              <c:f>TimingResults!$G$139</c:f>
              <c:strCache>
                <c:ptCount val="1"/>
                <c:pt idx="0">
                  <c:v>sdkn104</c:v>
                </c:pt>
              </c:strCache>
            </c:strRef>
          </c:tx>
          <c:spPr>
            <a:ln w="19050" cap="rnd">
              <a:solidFill>
                <a:schemeClr val="accent2"/>
              </a:solidFill>
              <a:round/>
            </a:ln>
            <a:effectLst/>
          </c:spPr>
          <c:marker>
            <c:symbol val="none"/>
          </c:marker>
          <c:xVal>
            <c:numRef>
              <c:f>TimingResults!$D$140:$D$153</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TimingResults!$G$140:$G$153</c:f>
              <c:numCache>
                <c:formatCode>General</c:formatCode>
                <c:ptCount val="14"/>
                <c:pt idx="0">
                  <c:v>2.8189999284222722E-4</c:v>
                </c:pt>
                <c:pt idx="1">
                  <c:v>1.5251999720931053E-3</c:v>
                </c:pt>
                <c:pt idx="2">
                  <c:v>2.311200019903481E-3</c:v>
                </c:pt>
                <c:pt idx="3">
                  <c:v>1.8705000402405858E-3</c:v>
                </c:pt>
                <c:pt idx="4">
                  <c:v>2.2332000080496073E-3</c:v>
                </c:pt>
                <c:pt idx="5">
                  <c:v>3.1921999761834741E-3</c:v>
                </c:pt>
                <c:pt idx="6">
                  <c:v>4.1580999968573451E-3</c:v>
                </c:pt>
                <c:pt idx="7">
                  <c:v>5.1117999828420579E-3</c:v>
                </c:pt>
                <c:pt idx="8">
                  <c:v>6.5739999990910292E-3</c:v>
                </c:pt>
                <c:pt idx="9">
                  <c:v>8.8500999845564365E-3</c:v>
                </c:pt>
                <c:pt idx="10">
                  <c:v>1.6489999950863421E-2</c:v>
                </c:pt>
                <c:pt idx="11">
                  <c:v>2.9770399967674166E-2</c:v>
                </c:pt>
                <c:pt idx="12">
                  <c:v>5.5650299997068942E-2</c:v>
                </c:pt>
                <c:pt idx="13">
                  <c:v>0.11661389999790117</c:v>
                </c:pt>
              </c:numCache>
            </c:numRef>
          </c:yVal>
          <c:smooth val="0"/>
          <c:extLst>
            <c:ext xmlns:c16="http://schemas.microsoft.com/office/drawing/2014/chart" uri="{C3380CC4-5D6E-409C-BE32-E72D297353CC}">
              <c16:uniqueId val="{00000001-7BC5-4E41-BBB7-5048E559D22C}"/>
            </c:ext>
          </c:extLst>
        </c:ser>
        <c:ser>
          <c:idx val="2"/>
          <c:order val="2"/>
          <c:tx>
            <c:strRef>
              <c:f>TimingResults!$H$139</c:f>
              <c:strCache>
                <c:ptCount val="1"/>
                <c:pt idx="0">
                  <c:v>ws-garcia</c:v>
                </c:pt>
              </c:strCache>
            </c:strRef>
          </c:tx>
          <c:spPr>
            <a:ln w="19050" cap="rnd">
              <a:solidFill>
                <a:schemeClr val="accent3"/>
              </a:solidFill>
              <a:round/>
            </a:ln>
            <a:effectLst/>
          </c:spPr>
          <c:marker>
            <c:symbol val="none"/>
          </c:marker>
          <c:xVal>
            <c:numRef>
              <c:f>TimingResults!$D$140:$D$153</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TimingResults!$H$140:$H$153</c:f>
              <c:numCache>
                <c:formatCode>General</c:formatCode>
                <c:ptCount val="14"/>
                <c:pt idx="0">
                  <c:v>3.0835799989290535E-2</c:v>
                </c:pt>
                <c:pt idx="1">
                  <c:v>3.2947300001978874E-2</c:v>
                </c:pt>
                <c:pt idx="2">
                  <c:v>1.852610002970323E-2</c:v>
                </c:pt>
                <c:pt idx="3">
                  <c:v>1.1154800013173372E-2</c:v>
                </c:pt>
                <c:pt idx="4">
                  <c:v>8.2300999783910811E-3</c:v>
                </c:pt>
                <c:pt idx="5">
                  <c:v>1.1466700001619756E-2</c:v>
                </c:pt>
                <c:pt idx="6">
                  <c:v>1.8898600013926625E-2</c:v>
                </c:pt>
                <c:pt idx="7">
                  <c:v>3.1909499957691878E-2</c:v>
                </c:pt>
                <c:pt idx="8">
                  <c:v>7.5667999975848943E-2</c:v>
                </c:pt>
                <c:pt idx="9">
                  <c:v>0.23245269997278228</c:v>
                </c:pt>
                <c:pt idx="10">
                  <c:v>0.96684710000408813</c:v>
                </c:pt>
                <c:pt idx="11">
                  <c:v>3.7320699000265449</c:v>
                </c:pt>
                <c:pt idx="12">
                  <c:v>14.053766099968925</c:v>
                </c:pt>
                <c:pt idx="13">
                  <c:v>57.082776500028558</c:v>
                </c:pt>
              </c:numCache>
            </c:numRef>
          </c:yVal>
          <c:smooth val="0"/>
          <c:extLst>
            <c:ext xmlns:c16="http://schemas.microsoft.com/office/drawing/2014/chart" uri="{C3380CC4-5D6E-409C-BE32-E72D297353CC}">
              <c16:uniqueId val="{00000002-7BC5-4E41-BBB7-5048E559D22C}"/>
            </c:ext>
          </c:extLst>
        </c:ser>
        <c:ser>
          <c:idx val="3"/>
          <c:order val="3"/>
          <c:tx>
            <c:strRef>
              <c:f>TimingResults!$I$139</c:f>
              <c:strCache>
                <c:ptCount val="1"/>
                <c:pt idx="0">
                  <c:v>sFileShow</c:v>
                </c:pt>
              </c:strCache>
            </c:strRef>
          </c:tx>
          <c:spPr>
            <a:ln w="19050" cap="rnd">
              <a:solidFill>
                <a:schemeClr val="accent4"/>
              </a:solidFill>
              <a:round/>
            </a:ln>
            <a:effectLst/>
          </c:spPr>
          <c:marker>
            <c:symbol val="none"/>
          </c:marker>
          <c:xVal>
            <c:numRef>
              <c:f>TimingResults!$D$140:$D$153</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TimingResults!$I$140:$I$153</c:f>
              <c:numCache>
                <c:formatCode>General</c:formatCode>
                <c:ptCount val="14"/>
                <c:pt idx="0">
                  <c:v>6.3389999559149146E-4</c:v>
                </c:pt>
                <c:pt idx="1">
                  <c:v>5.4939999245107174E-4</c:v>
                </c:pt>
                <c:pt idx="2">
                  <c:v>7.9710001591593027E-4</c:v>
                </c:pt>
                <c:pt idx="3">
                  <c:v>1.1713000130839646E-3</c:v>
                </c:pt>
                <c:pt idx="4">
                  <c:v>1.0115000186488032E-3</c:v>
                </c:pt>
                <c:pt idx="5">
                  <c:v>1.5243000234477222E-3</c:v>
                </c:pt>
                <c:pt idx="6">
                  <c:v>2.4454999947920442E-3</c:v>
                </c:pt>
                <c:pt idx="7">
                  <c:v>2.6375000015832484E-3</c:v>
                </c:pt>
                <c:pt idx="8">
                  <c:v>3.4879000158980489E-3</c:v>
                </c:pt>
                <c:pt idx="9">
                  <c:v>6.000800000037998E-3</c:v>
                </c:pt>
                <c:pt idx="10">
                  <c:v>1.2007799989078194E-2</c:v>
                </c:pt>
                <c:pt idx="11">
                  <c:v>2.3623699962627143E-2</c:v>
                </c:pt>
                <c:pt idx="12">
                  <c:v>5.0664299982599914E-2</c:v>
                </c:pt>
                <c:pt idx="13">
                  <c:v>0.11500150000210851</c:v>
                </c:pt>
              </c:numCache>
            </c:numRef>
          </c:yVal>
          <c:smooth val="0"/>
          <c:extLst>
            <c:ext xmlns:c16="http://schemas.microsoft.com/office/drawing/2014/chart" uri="{C3380CC4-5D6E-409C-BE32-E72D297353CC}">
              <c16:uniqueId val="{00000003-7BC5-4E41-BBB7-5048E559D22C}"/>
            </c:ext>
          </c:extLst>
        </c:ser>
        <c:dLbls>
          <c:showLegendKey val="0"/>
          <c:showVal val="0"/>
          <c:showCatName val="0"/>
          <c:showSerName val="0"/>
          <c:showPercent val="0"/>
          <c:showBubbleSize val="0"/>
        </c:dLbls>
        <c:axId val="1865678768"/>
        <c:axId val="1865686672"/>
      </c:scatterChart>
      <c:valAx>
        <c:axId val="186567876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686672"/>
        <c:crosses val="autoZero"/>
        <c:crossBetween val="midCat"/>
      </c:valAx>
      <c:valAx>
        <c:axId val="186568667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678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TimingResults!$F$3</c:f>
              <c:strCache>
                <c:ptCount val="1"/>
                <c:pt idx="0">
                  <c:v>CSVRead</c:v>
                </c:pt>
              </c:strCache>
            </c:strRef>
          </c:tx>
          <c:spPr>
            <a:ln w="19050" cap="rnd">
              <a:solidFill>
                <a:schemeClr val="accent1"/>
              </a:solidFill>
              <a:round/>
            </a:ln>
            <a:effectLst/>
          </c:spPr>
          <c:marker>
            <c:symbol val="none"/>
          </c:marker>
          <c:xVal>
            <c:numRef>
              <c:f>TimingResults!$C$4:$C$25</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TimingResults!$F$4:$F$25</c:f>
              <c:numCache>
                <c:formatCode>General</c:formatCode>
                <c:ptCount val="22"/>
                <c:pt idx="0">
                  <c:v>3.2079999800771475E-4</c:v>
                </c:pt>
                <c:pt idx="1">
                  <c:v>1.3907000538893044E-3</c:v>
                </c:pt>
                <c:pt idx="2">
                  <c:v>1.457100035622716E-3</c:v>
                </c:pt>
                <c:pt idx="3">
                  <c:v>2.8709000325761735E-3</c:v>
                </c:pt>
                <c:pt idx="4">
                  <c:v>1.6668000025674701E-3</c:v>
                </c:pt>
                <c:pt idx="5">
                  <c:v>2.5147999986074865E-3</c:v>
                </c:pt>
                <c:pt idx="6">
                  <c:v>3.4070999827235937E-3</c:v>
                </c:pt>
                <c:pt idx="7">
                  <c:v>2.1640000049956143E-3</c:v>
                </c:pt>
                <c:pt idx="8">
                  <c:v>2.268599986564368E-3</c:v>
                </c:pt>
                <c:pt idx="9">
                  <c:v>2.5906999944709241E-3</c:v>
                </c:pt>
                <c:pt idx="10">
                  <c:v>3.7761999992653728E-3</c:v>
                </c:pt>
                <c:pt idx="11">
                  <c:v>4.8218999872915447E-3</c:v>
                </c:pt>
                <c:pt idx="12">
                  <c:v>8.338899991940707E-3</c:v>
                </c:pt>
                <c:pt idx="13">
                  <c:v>1.5329299960285425E-2</c:v>
                </c:pt>
                <c:pt idx="14">
                  <c:v>3.0944300000555813E-2</c:v>
                </c:pt>
                <c:pt idx="15">
                  <c:v>6.7925000039394945E-2</c:v>
                </c:pt>
                <c:pt idx="16">
                  <c:v>0.1322232999955304</c:v>
                </c:pt>
                <c:pt idx="17">
                  <c:v>0.2817157999961637</c:v>
                </c:pt>
                <c:pt idx="18">
                  <c:v>0.67035590001614764</c:v>
                </c:pt>
                <c:pt idx="19">
                  <c:v>1.7941322000115179</c:v>
                </c:pt>
                <c:pt idx="20">
                  <c:v>5.0547991000348702</c:v>
                </c:pt>
                <c:pt idx="21">
                  <c:v>16.479525400034618</c:v>
                </c:pt>
              </c:numCache>
            </c:numRef>
          </c:yVal>
          <c:smooth val="0"/>
          <c:extLst>
            <c:ext xmlns:c16="http://schemas.microsoft.com/office/drawing/2014/chart" uri="{C3380CC4-5D6E-409C-BE32-E72D297353CC}">
              <c16:uniqueId val="{00000000-83D4-4E0C-9EF9-E8D75DC93EF9}"/>
            </c:ext>
          </c:extLst>
        </c:ser>
        <c:ser>
          <c:idx val="1"/>
          <c:order val="1"/>
          <c:tx>
            <c:strRef>
              <c:f>TimingResults!$G$3</c:f>
              <c:strCache>
                <c:ptCount val="1"/>
                <c:pt idx="0">
                  <c:v>sdkn104</c:v>
                </c:pt>
              </c:strCache>
            </c:strRef>
          </c:tx>
          <c:spPr>
            <a:ln w="19050" cap="rnd">
              <a:solidFill>
                <a:schemeClr val="accent2"/>
              </a:solidFill>
              <a:round/>
            </a:ln>
            <a:effectLst/>
          </c:spPr>
          <c:marker>
            <c:symbol val="none"/>
          </c:marker>
          <c:xVal>
            <c:numRef>
              <c:f>TimingResults!$C$4:$C$25</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TimingResults!$G$4:$G$25</c:f>
              <c:numCache>
                <c:formatCode>General</c:formatCode>
                <c:ptCount val="22"/>
                <c:pt idx="0">
                  <c:v>1.7750001279637218E-4</c:v>
                </c:pt>
                <c:pt idx="1">
                  <c:v>2.1520000882446766E-4</c:v>
                </c:pt>
                <c:pt idx="2">
                  <c:v>2.4660001508891582E-4</c:v>
                </c:pt>
                <c:pt idx="3">
                  <c:v>4.2280001798644662E-4</c:v>
                </c:pt>
                <c:pt idx="4">
                  <c:v>2.7540000155568123E-4</c:v>
                </c:pt>
                <c:pt idx="5">
                  <c:v>4.7050003195181489E-4</c:v>
                </c:pt>
                <c:pt idx="6">
                  <c:v>6.2880001496523619E-4</c:v>
                </c:pt>
                <c:pt idx="7">
                  <c:v>8.5930002387613058E-4</c:v>
                </c:pt>
                <c:pt idx="8">
                  <c:v>6.4139999449253082E-4</c:v>
                </c:pt>
                <c:pt idx="9">
                  <c:v>9.8549999529495835E-4</c:v>
                </c:pt>
                <c:pt idx="10">
                  <c:v>1.6467000241391361E-3</c:v>
                </c:pt>
                <c:pt idx="11">
                  <c:v>2.5647999718785286E-3</c:v>
                </c:pt>
                <c:pt idx="12">
                  <c:v>4.6234000474214554E-3</c:v>
                </c:pt>
                <c:pt idx="13">
                  <c:v>9.1866000439040363E-3</c:v>
                </c:pt>
                <c:pt idx="14">
                  <c:v>1.8327899975702167E-2</c:v>
                </c:pt>
                <c:pt idx="15">
                  <c:v>3.7158400053158402E-2</c:v>
                </c:pt>
                <c:pt idx="16">
                  <c:v>8.6558600014541298E-2</c:v>
                </c:pt>
                <c:pt idx="17">
                  <c:v>0.15215899999020621</c:v>
                </c:pt>
                <c:pt idx="18">
                  <c:v>0.33121909998590127</c:v>
                </c:pt>
                <c:pt idx="19">
                  <c:v>0.66031099995598197</c:v>
                </c:pt>
                <c:pt idx="20">
                  <c:v>1.3424448000150733</c:v>
                </c:pt>
                <c:pt idx="21">
                  <c:v>2.6453000000328757</c:v>
                </c:pt>
              </c:numCache>
            </c:numRef>
          </c:yVal>
          <c:smooth val="0"/>
          <c:extLst>
            <c:ext xmlns:c16="http://schemas.microsoft.com/office/drawing/2014/chart" uri="{C3380CC4-5D6E-409C-BE32-E72D297353CC}">
              <c16:uniqueId val="{00000001-83D4-4E0C-9EF9-E8D75DC93EF9}"/>
            </c:ext>
          </c:extLst>
        </c:ser>
        <c:ser>
          <c:idx val="2"/>
          <c:order val="2"/>
          <c:tx>
            <c:strRef>
              <c:f>TimingResults!$H$3</c:f>
              <c:strCache>
                <c:ptCount val="1"/>
                <c:pt idx="0">
                  <c:v>ws-garcia</c:v>
                </c:pt>
              </c:strCache>
            </c:strRef>
          </c:tx>
          <c:spPr>
            <a:ln w="19050" cap="rnd">
              <a:solidFill>
                <a:schemeClr val="accent3"/>
              </a:solidFill>
              <a:round/>
            </a:ln>
            <a:effectLst/>
          </c:spPr>
          <c:marker>
            <c:symbol val="none"/>
          </c:marker>
          <c:xVal>
            <c:numRef>
              <c:f>TimingResults!$C$4:$C$25</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TimingResults!$H$4:$H$25</c:f>
              <c:numCache>
                <c:formatCode>General</c:formatCode>
                <c:ptCount val="22"/>
                <c:pt idx="0">
                  <c:v>2.913409995380789E-2</c:v>
                </c:pt>
                <c:pt idx="1">
                  <c:v>2.97660002252087E-3</c:v>
                </c:pt>
                <c:pt idx="2">
                  <c:v>3.5303999902680516E-3</c:v>
                </c:pt>
                <c:pt idx="3">
                  <c:v>1.5170800033956766E-2</c:v>
                </c:pt>
                <c:pt idx="4">
                  <c:v>3.8840000052005053E-3</c:v>
                </c:pt>
                <c:pt idx="5">
                  <c:v>6.7989000235684216E-3</c:v>
                </c:pt>
                <c:pt idx="6">
                  <c:v>6.6484000417403877E-3</c:v>
                </c:pt>
                <c:pt idx="7">
                  <c:v>7.4389999499544501E-3</c:v>
                </c:pt>
                <c:pt idx="8">
                  <c:v>4.841199959628284E-3</c:v>
                </c:pt>
                <c:pt idx="9">
                  <c:v>5.4884999990463257E-3</c:v>
                </c:pt>
                <c:pt idx="10">
                  <c:v>7.8352999989874661E-3</c:v>
                </c:pt>
                <c:pt idx="11">
                  <c:v>1.0728900029789656E-2</c:v>
                </c:pt>
                <c:pt idx="12">
                  <c:v>1.8054599990136921E-2</c:v>
                </c:pt>
                <c:pt idx="13">
                  <c:v>3.3267799997702241E-2</c:v>
                </c:pt>
                <c:pt idx="14">
                  <c:v>6.5643500012811273E-2</c:v>
                </c:pt>
                <c:pt idx="15">
                  <c:v>0.13885929994285107</c:v>
                </c:pt>
                <c:pt idx="16">
                  <c:v>0.26650759996846318</c:v>
                </c:pt>
                <c:pt idx="17">
                  <c:v>0.52334140002494678</c:v>
                </c:pt>
                <c:pt idx="18">
                  <c:v>1.0348379000206478</c:v>
                </c:pt>
                <c:pt idx="19">
                  <c:v>2.3724132000352256</c:v>
                </c:pt>
                <c:pt idx="20">
                  <c:v>4.4980971000040881</c:v>
                </c:pt>
                <c:pt idx="21">
                  <c:v>9.2946402000379749</c:v>
                </c:pt>
              </c:numCache>
            </c:numRef>
          </c:yVal>
          <c:smooth val="0"/>
          <c:extLst>
            <c:ext xmlns:c16="http://schemas.microsoft.com/office/drawing/2014/chart" uri="{C3380CC4-5D6E-409C-BE32-E72D297353CC}">
              <c16:uniqueId val="{00000002-83D4-4E0C-9EF9-E8D75DC93EF9}"/>
            </c:ext>
          </c:extLst>
        </c:ser>
        <c:ser>
          <c:idx val="3"/>
          <c:order val="3"/>
          <c:tx>
            <c:strRef>
              <c:f>TimingResults!$I$3</c:f>
              <c:strCache>
                <c:ptCount val="1"/>
                <c:pt idx="0">
                  <c:v>sFileShow</c:v>
                </c:pt>
              </c:strCache>
            </c:strRef>
          </c:tx>
          <c:spPr>
            <a:ln w="19050" cap="rnd">
              <a:solidFill>
                <a:schemeClr val="accent4"/>
              </a:solidFill>
              <a:round/>
            </a:ln>
            <a:effectLst/>
          </c:spPr>
          <c:marker>
            <c:symbol val="none"/>
          </c:marker>
          <c:xVal>
            <c:numRef>
              <c:f>TimingResults!$C$4:$C$25</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TimingResults!$I$4:$I$25</c:f>
              <c:numCache>
                <c:formatCode>General</c:formatCode>
                <c:ptCount val="22"/>
                <c:pt idx="0">
                  <c:v>4.9940001918002963E-4</c:v>
                </c:pt>
                <c:pt idx="1">
                  <c:v>4.2339996434748173E-4</c:v>
                </c:pt>
                <c:pt idx="2">
                  <c:v>5.2579998737201095E-4</c:v>
                </c:pt>
                <c:pt idx="3">
                  <c:v>6.5390003146603703E-4</c:v>
                </c:pt>
                <c:pt idx="4">
                  <c:v>6.8180001107975841E-4</c:v>
                </c:pt>
                <c:pt idx="5">
                  <c:v>8.5630000103265047E-4</c:v>
                </c:pt>
                <c:pt idx="6">
                  <c:v>8.580000139772892E-4</c:v>
                </c:pt>
                <c:pt idx="7">
                  <c:v>1.0155999916605651E-3</c:v>
                </c:pt>
                <c:pt idx="8">
                  <c:v>1.194500015117228E-3</c:v>
                </c:pt>
                <c:pt idx="9">
                  <c:v>1.8201000057160854E-3</c:v>
                </c:pt>
                <c:pt idx="10">
                  <c:v>3.0936000403016806E-3</c:v>
                </c:pt>
                <c:pt idx="11">
                  <c:v>4.7195000224746764E-3</c:v>
                </c:pt>
                <c:pt idx="12">
                  <c:v>8.6770000052638352E-3</c:v>
                </c:pt>
                <c:pt idx="13">
                  <c:v>1.7028199974447489E-2</c:v>
                </c:pt>
                <c:pt idx="14">
                  <c:v>4.1080700000748038E-2</c:v>
                </c:pt>
                <c:pt idx="15">
                  <c:v>6.7482999991625547E-2</c:v>
                </c:pt>
                <c:pt idx="16">
                  <c:v>0.15778090001549572</c:v>
                </c:pt>
                <c:pt idx="17">
                  <c:v>0.31716980005148798</c:v>
                </c:pt>
                <c:pt idx="18">
                  <c:v>0.73024530004477128</c:v>
                </c:pt>
                <c:pt idx="19">
                  <c:v>1.8446328000281937</c:v>
                </c:pt>
                <c:pt idx="20">
                  <c:v>5.4279147000052035</c:v>
                </c:pt>
                <c:pt idx="21">
                  <c:v>17.825208499969449</c:v>
                </c:pt>
              </c:numCache>
            </c:numRef>
          </c:yVal>
          <c:smooth val="0"/>
          <c:extLst>
            <c:ext xmlns:c16="http://schemas.microsoft.com/office/drawing/2014/chart" uri="{C3380CC4-5D6E-409C-BE32-E72D297353CC}">
              <c16:uniqueId val="{00000003-83D4-4E0C-9EF9-E8D75DC93EF9}"/>
            </c:ext>
          </c:extLst>
        </c:ser>
        <c:dLbls>
          <c:showLegendKey val="0"/>
          <c:showVal val="0"/>
          <c:showCatName val="0"/>
          <c:showSerName val="0"/>
          <c:showPercent val="0"/>
          <c:showBubbleSize val="0"/>
        </c:dLbls>
        <c:axId val="2102766543"/>
        <c:axId val="2102778607"/>
      </c:scatterChart>
      <c:valAx>
        <c:axId val="21027665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778607"/>
        <c:crosses val="autoZero"/>
        <c:crossBetween val="midCat"/>
      </c:valAx>
      <c:valAx>
        <c:axId val="2102778607"/>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766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TimingResults!$F$3</c:f>
              <c:strCache>
                <c:ptCount val="1"/>
                <c:pt idx="0">
                  <c:v>CSVRead</c:v>
                </c:pt>
              </c:strCache>
            </c:strRef>
          </c:tx>
          <c:spPr>
            <a:ln w="19050" cap="rnd">
              <a:solidFill>
                <a:schemeClr val="accent1"/>
              </a:solidFill>
              <a:round/>
            </a:ln>
            <a:effectLst/>
          </c:spPr>
          <c:marker>
            <c:symbol val="none"/>
          </c:marker>
          <c:xVal>
            <c:numRef>
              <c:f>TimingResults!$C$32:$C$52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TimingResults!$F$32:$F$52</c:f>
              <c:numCache>
                <c:formatCode>General</c:formatCode>
                <c:ptCount val="21"/>
                <c:pt idx="0">
                  <c:v>1.8179899954702705E-2</c:v>
                </c:pt>
                <c:pt idx="1">
                  <c:v>1.9339599995873868E-2</c:v>
                </c:pt>
                <c:pt idx="2">
                  <c:v>2.3327499977312982E-2</c:v>
                </c:pt>
                <c:pt idx="3">
                  <c:v>1.8184699991252273E-2</c:v>
                </c:pt>
                <c:pt idx="4">
                  <c:v>1.7601200030185282E-2</c:v>
                </c:pt>
                <c:pt idx="5">
                  <c:v>2.032760001020506E-2</c:v>
                </c:pt>
                <c:pt idx="6">
                  <c:v>2.133810002123937E-2</c:v>
                </c:pt>
                <c:pt idx="7">
                  <c:v>2.5524600001517683E-2</c:v>
                </c:pt>
                <c:pt idx="8">
                  <c:v>2.9022299975622445E-2</c:v>
                </c:pt>
                <c:pt idx="9">
                  <c:v>3.6473000014666468E-2</c:v>
                </c:pt>
                <c:pt idx="10">
                  <c:v>5.41794000309892E-2</c:v>
                </c:pt>
                <c:pt idx="11">
                  <c:v>6.9989999989047647E-2</c:v>
                </c:pt>
                <c:pt idx="12">
                  <c:v>0.12828790000639856</c:v>
                </c:pt>
                <c:pt idx="13">
                  <c:v>0.27685999998357147</c:v>
                </c:pt>
                <c:pt idx="14">
                  <c:v>0.58802419999847189</c:v>
                </c:pt>
                <c:pt idx="15">
                  <c:v>1.2125935999793001</c:v>
                </c:pt>
                <c:pt idx="16">
                  <c:v>2.2865692999912426</c:v>
                </c:pt>
                <c:pt idx="17">
                  <c:v>4.5887397999758832</c:v>
                </c:pt>
                <c:pt idx="18">
                  <c:v>12.322421199991368</c:v>
                </c:pt>
                <c:pt idx="19">
                  <c:v>23.627644599997438</c:v>
                </c:pt>
                <c:pt idx="20">
                  <c:v>46.560167099989485</c:v>
                </c:pt>
              </c:numCache>
            </c:numRef>
          </c:yVal>
          <c:smooth val="0"/>
          <c:extLst>
            <c:ext xmlns:c16="http://schemas.microsoft.com/office/drawing/2014/chart" uri="{C3380CC4-5D6E-409C-BE32-E72D297353CC}">
              <c16:uniqueId val="{00000000-AF35-44D6-BF21-F656D0EA73DE}"/>
            </c:ext>
          </c:extLst>
        </c:ser>
        <c:ser>
          <c:idx val="1"/>
          <c:order val="1"/>
          <c:tx>
            <c:strRef>
              <c:f>TimingResults!$G$3</c:f>
              <c:strCache>
                <c:ptCount val="1"/>
                <c:pt idx="0">
                  <c:v>sdkn104</c:v>
                </c:pt>
              </c:strCache>
            </c:strRef>
          </c:tx>
          <c:spPr>
            <a:ln w="19050" cap="rnd">
              <a:solidFill>
                <a:schemeClr val="accent2"/>
              </a:solidFill>
              <a:round/>
            </a:ln>
            <a:effectLst/>
          </c:spPr>
          <c:marker>
            <c:symbol val="none"/>
          </c:marker>
          <c:xVal>
            <c:numRef>
              <c:f>TimingResults!$C$32:$C$52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TimingResults!$G$32:$G$52</c:f>
              <c:numCache>
                <c:formatCode>General</c:formatCode>
                <c:ptCount val="21"/>
                <c:pt idx="0">
                  <c:v>1.5562999760732055E-3</c:v>
                </c:pt>
                <c:pt idx="1">
                  <c:v>1.949199999216944E-3</c:v>
                </c:pt>
                <c:pt idx="2">
                  <c:v>1.8907000194303691E-3</c:v>
                </c:pt>
                <c:pt idx="3">
                  <c:v>1.8610999686643481E-3</c:v>
                </c:pt>
                <c:pt idx="4">
                  <c:v>2.9724999913014472E-3</c:v>
                </c:pt>
                <c:pt idx="5">
                  <c:v>3.2639999990351498E-3</c:v>
                </c:pt>
                <c:pt idx="6">
                  <c:v>4.8446999862790108E-3</c:v>
                </c:pt>
                <c:pt idx="7">
                  <c:v>6.7735000047832727E-3</c:v>
                </c:pt>
                <c:pt idx="8">
                  <c:v>1.1430999962612987E-2</c:v>
                </c:pt>
                <c:pt idx="9">
                  <c:v>2.9402699961792678E-2</c:v>
                </c:pt>
                <c:pt idx="10">
                  <c:v>3.6470199993345886E-2</c:v>
                </c:pt>
                <c:pt idx="11">
                  <c:v>6.9381800014525652E-2</c:v>
                </c:pt>
                <c:pt idx="12">
                  <c:v>0.13998660002835095</c:v>
                </c:pt>
                <c:pt idx="13">
                  <c:v>0.31107629998587072</c:v>
                </c:pt>
                <c:pt idx="14">
                  <c:v>0.62765830004354939</c:v>
                </c:pt>
                <c:pt idx="15">
                  <c:v>1.2679920999798924</c:v>
                </c:pt>
                <c:pt idx="16">
                  <c:v>2.6616911999881268</c:v>
                </c:pt>
                <c:pt idx="17">
                  <c:v>5.1571332999737933</c:v>
                </c:pt>
                <c:pt idx="18">
                  <c:v>14.625754799984861</c:v>
                </c:pt>
                <c:pt idx="19">
                  <c:v>22.865447799966205</c:v>
                </c:pt>
                <c:pt idx="20">
                  <c:v>48.012556099973153</c:v>
                </c:pt>
              </c:numCache>
            </c:numRef>
          </c:yVal>
          <c:smooth val="0"/>
          <c:extLst>
            <c:ext xmlns:c16="http://schemas.microsoft.com/office/drawing/2014/chart" uri="{C3380CC4-5D6E-409C-BE32-E72D297353CC}">
              <c16:uniqueId val="{00000001-AF35-44D6-BF21-F656D0EA73DE}"/>
            </c:ext>
          </c:extLst>
        </c:ser>
        <c:ser>
          <c:idx val="2"/>
          <c:order val="2"/>
          <c:tx>
            <c:strRef>
              <c:f>TimingResults!$H$3</c:f>
              <c:strCache>
                <c:ptCount val="1"/>
                <c:pt idx="0">
                  <c:v>ws-garcia</c:v>
                </c:pt>
              </c:strCache>
            </c:strRef>
          </c:tx>
          <c:spPr>
            <a:ln w="19050" cap="rnd">
              <a:solidFill>
                <a:schemeClr val="accent3"/>
              </a:solidFill>
              <a:round/>
            </a:ln>
            <a:effectLst/>
          </c:spPr>
          <c:marker>
            <c:symbol val="none"/>
          </c:marker>
          <c:xVal>
            <c:numRef>
              <c:f>TimingResults!$C$32:$C$52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TimingResults!$H$32:$H$52</c:f>
              <c:numCache>
                <c:formatCode>General</c:formatCode>
                <c:ptCount val="21"/>
                <c:pt idx="0">
                  <c:v>2.8271300019696355E-2</c:v>
                </c:pt>
                <c:pt idx="1">
                  <c:v>2.9418000020086765E-2</c:v>
                </c:pt>
                <c:pt idx="2">
                  <c:v>2.9011500009801239E-2</c:v>
                </c:pt>
                <c:pt idx="3">
                  <c:v>2.7539899980183691E-2</c:v>
                </c:pt>
                <c:pt idx="4">
                  <c:v>2.9160900041460991E-2</c:v>
                </c:pt>
                <c:pt idx="5">
                  <c:v>3.4178699948824942E-2</c:v>
                </c:pt>
                <c:pt idx="6">
                  <c:v>3.604889998678118E-2</c:v>
                </c:pt>
                <c:pt idx="7">
                  <c:v>4.3004499981179833E-2</c:v>
                </c:pt>
                <c:pt idx="8">
                  <c:v>5.2068600023631006E-2</c:v>
                </c:pt>
                <c:pt idx="9">
                  <c:v>9.0127000003121793E-2</c:v>
                </c:pt>
                <c:pt idx="10">
                  <c:v>0.12537460000021383</c:v>
                </c:pt>
                <c:pt idx="11">
                  <c:v>0.19568030000664294</c:v>
                </c:pt>
                <c:pt idx="12">
                  <c:v>0.3479584000306204</c:v>
                </c:pt>
                <c:pt idx="13">
                  <c:v>0.66322789998957887</c:v>
                </c:pt>
                <c:pt idx="14">
                  <c:v>1.2863594000227749</c:v>
                </c:pt>
                <c:pt idx="15">
                  <c:v>2.5870676999911666</c:v>
                </c:pt>
                <c:pt idx="16">
                  <c:v>5.1012806000071578</c:v>
                </c:pt>
                <c:pt idx="17">
                  <c:v>10.229652799956966</c:v>
                </c:pt>
                <c:pt idx="18">
                  <c:v>24.49725600000238</c:v>
                </c:pt>
                <c:pt idx="19">
                  <c:v>45.54529320000438</c:v>
                </c:pt>
                <c:pt idx="20">
                  <c:v>101.22473249997711</c:v>
                </c:pt>
              </c:numCache>
            </c:numRef>
          </c:yVal>
          <c:smooth val="0"/>
          <c:extLst>
            <c:ext xmlns:c16="http://schemas.microsoft.com/office/drawing/2014/chart" uri="{C3380CC4-5D6E-409C-BE32-E72D297353CC}">
              <c16:uniqueId val="{00000002-AF35-44D6-BF21-F656D0EA73DE}"/>
            </c:ext>
          </c:extLst>
        </c:ser>
        <c:ser>
          <c:idx val="3"/>
          <c:order val="3"/>
          <c:tx>
            <c:strRef>
              <c:f>TimingResults!$I$3</c:f>
              <c:strCache>
                <c:ptCount val="1"/>
                <c:pt idx="0">
                  <c:v>sFileShow</c:v>
                </c:pt>
              </c:strCache>
            </c:strRef>
          </c:tx>
          <c:spPr>
            <a:ln w="19050" cap="rnd">
              <a:solidFill>
                <a:schemeClr val="accent4"/>
              </a:solidFill>
              <a:round/>
            </a:ln>
            <a:effectLst/>
          </c:spPr>
          <c:marker>
            <c:symbol val="none"/>
          </c:marker>
          <c:xVal>
            <c:numRef>
              <c:f>TimingResults!$C$32:$C$52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TimingResults!$I$32:$I$52</c:f>
              <c:numCache>
                <c:formatCode>General</c:formatCode>
                <c:ptCount val="21"/>
                <c:pt idx="0">
                  <c:v>5.932999774813652E-4</c:v>
                </c:pt>
                <c:pt idx="1">
                  <c:v>6.4969999948516488E-4</c:v>
                </c:pt>
                <c:pt idx="2">
                  <c:v>7.4200000381097198E-4</c:v>
                </c:pt>
                <c:pt idx="3">
                  <c:v>7.3640001937747002E-4</c:v>
                </c:pt>
                <c:pt idx="4">
                  <c:v>1.1572000221349299E-3</c:v>
                </c:pt>
                <c:pt idx="5">
                  <c:v>1.5587999951094389E-3</c:v>
                </c:pt>
                <c:pt idx="6">
                  <c:v>2.5102000217884779E-3</c:v>
                </c:pt>
                <c:pt idx="7">
                  <c:v>4.9598999903537333E-3</c:v>
                </c:pt>
                <c:pt idx="8">
                  <c:v>8.0393999814987183E-3</c:v>
                </c:pt>
                <c:pt idx="9">
                  <c:v>2.125210000667721E-2</c:v>
                </c:pt>
                <c:pt idx="10">
                  <c:v>2.9656199971213937E-2</c:v>
                </c:pt>
                <c:pt idx="11">
                  <c:v>5.6241400016006082E-2</c:v>
                </c:pt>
                <c:pt idx="12">
                  <c:v>0.12315530003979802</c:v>
                </c:pt>
                <c:pt idx="13">
                  <c:v>0.26438589999452233</c:v>
                </c:pt>
                <c:pt idx="14">
                  <c:v>0.54473640001378953</c:v>
                </c:pt>
                <c:pt idx="15">
                  <c:v>1.1053473000065424</c:v>
                </c:pt>
                <c:pt idx="16">
                  <c:v>2.2238371000275947</c:v>
                </c:pt>
                <c:pt idx="17">
                  <c:v>4.4329809999908321</c:v>
                </c:pt>
                <c:pt idx="18">
                  <c:v>9.3305993999820203</c:v>
                </c:pt>
                <c:pt idx="19">
                  <c:v>21.92931509995833</c:v>
                </c:pt>
                <c:pt idx="20">
                  <c:v>47.276866000029258</c:v>
                </c:pt>
              </c:numCache>
            </c:numRef>
          </c:yVal>
          <c:smooth val="0"/>
          <c:extLst>
            <c:ext xmlns:c16="http://schemas.microsoft.com/office/drawing/2014/chart" uri="{C3380CC4-5D6E-409C-BE32-E72D297353CC}">
              <c16:uniqueId val="{00000003-AF35-44D6-BF21-F656D0EA73DE}"/>
            </c:ext>
          </c:extLst>
        </c:ser>
        <c:dLbls>
          <c:showLegendKey val="0"/>
          <c:showVal val="0"/>
          <c:showCatName val="0"/>
          <c:showSerName val="0"/>
          <c:showPercent val="0"/>
          <c:showBubbleSize val="0"/>
        </c:dLbls>
        <c:axId val="2102766543"/>
        <c:axId val="2102778607"/>
      </c:scatterChart>
      <c:valAx>
        <c:axId val="21027665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778607"/>
        <c:crosses val="autoZero"/>
        <c:crossBetween val="midCat"/>
      </c:valAx>
      <c:valAx>
        <c:axId val="2102778607"/>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766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TimingResults!$F$168</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TimingResults!$A$169:$A$183</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TimingResults!$F$169:$F$183</c:f>
              <c:numCache>
                <c:formatCode>General</c:formatCode>
                <c:ptCount val="15"/>
                <c:pt idx="0">
                  <c:v>3.6099600023590028E-2</c:v>
                </c:pt>
                <c:pt idx="1">
                  <c:v>2.4519000027794391E-2</c:v>
                </c:pt>
                <c:pt idx="2">
                  <c:v>3.4826999995857477E-2</c:v>
                </c:pt>
                <c:pt idx="3">
                  <c:v>3.635099995881319E-2</c:v>
                </c:pt>
                <c:pt idx="4">
                  <c:v>3.306489996612072E-2</c:v>
                </c:pt>
                <c:pt idx="5">
                  <c:v>4.074870003387332E-2</c:v>
                </c:pt>
                <c:pt idx="6">
                  <c:v>4.6508999948855489E-2</c:v>
                </c:pt>
                <c:pt idx="7">
                  <c:v>7.4064399988856167E-2</c:v>
                </c:pt>
                <c:pt idx="8">
                  <c:v>0.13002929999493062</c:v>
                </c:pt>
                <c:pt idx="9">
                  <c:v>0.24016960000153631</c:v>
                </c:pt>
                <c:pt idx="10">
                  <c:v>0.45435370004270226</c:v>
                </c:pt>
                <c:pt idx="11">
                  <c:v>0.88605839997762814</c:v>
                </c:pt>
                <c:pt idx="12">
                  <c:v>2.0322426999919116</c:v>
                </c:pt>
                <c:pt idx="13">
                  <c:v>4.0254432000219822</c:v>
                </c:pt>
                <c:pt idx="14">
                  <c:v>8.8397963999886997</c:v>
                </c:pt>
              </c:numCache>
            </c:numRef>
          </c:yVal>
          <c:smooth val="0"/>
          <c:extLst>
            <c:ext xmlns:c16="http://schemas.microsoft.com/office/drawing/2014/chart" uri="{C3380CC4-5D6E-409C-BE32-E72D297353CC}">
              <c16:uniqueId val="{00000000-83C8-48A0-9E7B-E875D5147E59}"/>
            </c:ext>
          </c:extLst>
        </c:ser>
        <c:ser>
          <c:idx val="1"/>
          <c:order val="1"/>
          <c:tx>
            <c:strRef>
              <c:f>TimingResults!$G$168</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TimingResults!$A$169:$A$183</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TimingResults!$G$169:$G$183</c:f>
              <c:numCache>
                <c:formatCode>General</c:formatCode>
                <c:ptCount val="15"/>
                <c:pt idx="0">
                  <c:v>1.1297700053546578E-2</c:v>
                </c:pt>
                <c:pt idx="1">
                  <c:v>1.1613300011958927E-2</c:v>
                </c:pt>
                <c:pt idx="2">
                  <c:v>1.2533299974165857E-2</c:v>
                </c:pt>
                <c:pt idx="3">
                  <c:v>1.3834099983796477E-2</c:v>
                </c:pt>
                <c:pt idx="4">
                  <c:v>1.9030100025702268E-2</c:v>
                </c:pt>
                <c:pt idx="5">
                  <c:v>2.5379300001077354E-2</c:v>
                </c:pt>
                <c:pt idx="6">
                  <c:v>3.451550001045689E-2</c:v>
                </c:pt>
                <c:pt idx="7">
                  <c:v>6.0503799992147833E-2</c:v>
                </c:pt>
                <c:pt idx="8">
                  <c:v>0.11582160001853481</c:v>
                </c:pt>
                <c:pt idx="9">
                  <c:v>0.22236569999950007</c:v>
                </c:pt>
                <c:pt idx="10">
                  <c:v>0.43688180000754073</c:v>
                </c:pt>
                <c:pt idx="11">
                  <c:v>0.84726650000084192</c:v>
                </c:pt>
                <c:pt idx="12">
                  <c:v>1.7686819999944419</c:v>
                </c:pt>
                <c:pt idx="13">
                  <c:v>3.4155573000316508</c:v>
                </c:pt>
                <c:pt idx="14">
                  <c:v>8.039520199992694</c:v>
                </c:pt>
              </c:numCache>
            </c:numRef>
          </c:yVal>
          <c:smooth val="0"/>
          <c:extLst>
            <c:ext xmlns:c16="http://schemas.microsoft.com/office/drawing/2014/chart" uri="{C3380CC4-5D6E-409C-BE32-E72D297353CC}">
              <c16:uniqueId val="{00000001-83C8-48A0-9E7B-E875D5147E59}"/>
            </c:ext>
          </c:extLst>
        </c:ser>
        <c:ser>
          <c:idx val="2"/>
          <c:order val="2"/>
          <c:tx>
            <c:strRef>
              <c:f>TimingResults!$H$168</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TimingResults!$A$169:$A$183</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TimingResults!$H$169:$H$183</c:f>
              <c:numCache>
                <c:formatCode>General</c:formatCode>
                <c:ptCount val="15"/>
                <c:pt idx="0">
                  <c:v>3.8700200035236776E-2</c:v>
                </c:pt>
                <c:pt idx="1">
                  <c:v>4.9728100013453513E-2</c:v>
                </c:pt>
                <c:pt idx="2">
                  <c:v>3.7826000014320016E-2</c:v>
                </c:pt>
                <c:pt idx="3">
                  <c:v>3.8158600043971092E-2</c:v>
                </c:pt>
                <c:pt idx="4">
                  <c:v>3.8478399976156652E-2</c:v>
                </c:pt>
                <c:pt idx="5">
                  <c:v>3.0453100043814629E-2</c:v>
                </c:pt>
                <c:pt idx="6">
                  <c:v>2.9400800005532801E-2</c:v>
                </c:pt>
                <c:pt idx="7">
                  <c:v>3.7317699985578656E-2</c:v>
                </c:pt>
                <c:pt idx="8">
                  <c:v>6.1532099964097142E-2</c:v>
                </c:pt>
                <c:pt idx="9">
                  <c:v>0.10702549997949973</c:v>
                </c:pt>
                <c:pt idx="10">
                  <c:v>0.23520769999595359</c:v>
                </c:pt>
                <c:pt idx="11">
                  <c:v>0.56024500000057742</c:v>
                </c:pt>
                <c:pt idx="12">
                  <c:v>2.5030348000000231</c:v>
                </c:pt>
                <c:pt idx="13">
                  <c:v>9.0889015000429936</c:v>
                </c:pt>
                <c:pt idx="14">
                  <c:v>55.269652899994981</c:v>
                </c:pt>
              </c:numCache>
            </c:numRef>
          </c:yVal>
          <c:smooth val="0"/>
          <c:extLst>
            <c:ext xmlns:c16="http://schemas.microsoft.com/office/drawing/2014/chart" uri="{C3380CC4-5D6E-409C-BE32-E72D297353CC}">
              <c16:uniqueId val="{00000002-83C8-48A0-9E7B-E875D5147E59}"/>
            </c:ext>
          </c:extLst>
        </c:ser>
        <c:ser>
          <c:idx val="3"/>
          <c:order val="3"/>
          <c:tx>
            <c:strRef>
              <c:f>TimingResults!$I$168</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TimingResults!$A$169:$A$183</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TimingResults!$I$169:$I$183</c:f>
              <c:numCache>
                <c:formatCode>General</c:formatCode>
                <c:ptCount val="15"/>
                <c:pt idx="0">
                  <c:v>8.0300999688915908E-3</c:v>
                </c:pt>
                <c:pt idx="1">
                  <c:v>1.1890600027982146E-2</c:v>
                </c:pt>
                <c:pt idx="2">
                  <c:v>1.1122199997771531E-2</c:v>
                </c:pt>
                <c:pt idx="3">
                  <c:v>1.3336099975276738E-2</c:v>
                </c:pt>
                <c:pt idx="4">
                  <c:v>2.195000002393499E-2</c:v>
                </c:pt>
                <c:pt idx="5">
                  <c:v>2.6707899989560246E-2</c:v>
                </c:pt>
                <c:pt idx="6">
                  <c:v>3.8520500005688518E-2</c:v>
                </c:pt>
                <c:pt idx="7">
                  <c:v>6.3987699977587909E-2</c:v>
                </c:pt>
                <c:pt idx="8">
                  <c:v>0.12071129999822006</c:v>
                </c:pt>
                <c:pt idx="9">
                  <c:v>0.22877639997750521</c:v>
                </c:pt>
                <c:pt idx="10">
                  <c:v>0.44169609999516979</c:v>
                </c:pt>
                <c:pt idx="11">
                  <c:v>0.91864559997338802</c:v>
                </c:pt>
                <c:pt idx="12">
                  <c:v>2.103057499974966</c:v>
                </c:pt>
                <c:pt idx="13">
                  <c:v>3.5497687000315636</c:v>
                </c:pt>
                <c:pt idx="14">
                  <c:v>10.032261299958918</c:v>
                </c:pt>
              </c:numCache>
            </c:numRef>
          </c:yVal>
          <c:smooth val="0"/>
          <c:extLst>
            <c:ext xmlns:c16="http://schemas.microsoft.com/office/drawing/2014/chart" uri="{C3380CC4-5D6E-409C-BE32-E72D297353CC}">
              <c16:uniqueId val="{00000003-83C8-48A0-9E7B-E875D5147E59}"/>
            </c:ext>
          </c:extLst>
        </c:ser>
        <c:dLbls>
          <c:showLegendKey val="0"/>
          <c:showVal val="0"/>
          <c:showCatName val="0"/>
          <c:showSerName val="0"/>
          <c:showPercent val="0"/>
          <c:showBubbleSize val="0"/>
        </c:dLbls>
        <c:axId val="1469022175"/>
        <c:axId val="1469022591"/>
      </c:scatterChart>
      <c:valAx>
        <c:axId val="1469022175"/>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022591"/>
        <c:crosses val="autoZero"/>
        <c:crossBetween val="midCat"/>
      </c:valAx>
      <c:valAx>
        <c:axId val="1469022591"/>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02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878680</xdr:colOff>
      <xdr:row>28</xdr:row>
      <xdr:rowOff>0</xdr:rowOff>
    </xdr:from>
    <xdr:to>
      <xdr:col>9</xdr:col>
      <xdr:colOff>5450680</xdr:colOff>
      <xdr:row>56</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59</xdr:row>
      <xdr:rowOff>0</xdr:rowOff>
    </xdr:from>
    <xdr:to>
      <xdr:col>25</xdr:col>
      <xdr:colOff>0</xdr:colOff>
      <xdr:row>83</xdr:row>
      <xdr:rowOff>180974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85</xdr:row>
      <xdr:rowOff>1</xdr:rowOff>
    </xdr:from>
    <xdr:to>
      <xdr:col>25</xdr:col>
      <xdr:colOff>0</xdr:colOff>
      <xdr:row>110</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112</xdr:row>
      <xdr:rowOff>0</xdr:rowOff>
    </xdr:from>
    <xdr:to>
      <xdr:col>25</xdr:col>
      <xdr:colOff>0</xdr:colOff>
      <xdr:row>136</xdr:row>
      <xdr:rowOff>180974</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796016</xdr:colOff>
      <xdr:row>138</xdr:row>
      <xdr:rowOff>12245</xdr:rowOff>
    </xdr:from>
    <xdr:to>
      <xdr:col>24</xdr:col>
      <xdr:colOff>646338</xdr:colOff>
      <xdr:row>163</xdr:row>
      <xdr:rowOff>0</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2</xdr:row>
      <xdr:rowOff>0</xdr:rowOff>
    </xdr:from>
    <xdr:to>
      <xdr:col>25</xdr:col>
      <xdr:colOff>0</xdr:colOff>
      <xdr:row>27</xdr:row>
      <xdr:rowOff>1</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0</xdr:colOff>
      <xdr:row>30</xdr:row>
      <xdr:rowOff>0</xdr:rowOff>
    </xdr:from>
    <xdr:to>
      <xdr:col>25</xdr:col>
      <xdr:colOff>0</xdr:colOff>
      <xdr:row>55</xdr:row>
      <xdr:rowOff>1</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0</xdr:colOff>
      <xdr:row>166</xdr:row>
      <xdr:rowOff>180974</xdr:rowOff>
    </xdr:from>
    <xdr:to>
      <xdr:col>25</xdr:col>
      <xdr:colOff>0</xdr:colOff>
      <xdr:row>191</xdr:row>
      <xdr:rowOff>180974</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election activeCell="P14" sqref="P14"/>
    </sheetView>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4" t="s">
        <v>53</v>
      </c>
    </row>
    <row r="3" spans="1:17" x14ac:dyDescent="0.45">
      <c r="B3" s="22" t="s">
        <v>51</v>
      </c>
      <c r="G3" s="23" t="s">
        <v>82</v>
      </c>
    </row>
    <row r="4" spans="1:17" x14ac:dyDescent="0.45">
      <c r="B4" t="s">
        <v>0</v>
      </c>
      <c r="C4" s="15" t="s">
        <v>50</v>
      </c>
      <c r="G4" s="30" t="s">
        <v>83</v>
      </c>
    </row>
    <row r="5" spans="1:17" x14ac:dyDescent="0.45">
      <c r="B5" t="s">
        <v>12</v>
      </c>
      <c r="C5" s="16" t="b">
        <v>1</v>
      </c>
      <c r="G5" s="25" t="s">
        <v>54</v>
      </c>
    </row>
    <row r="6" spans="1:17" x14ac:dyDescent="0.45">
      <c r="B6" t="s">
        <v>1</v>
      </c>
      <c r="C6" s="15" t="s">
        <v>17</v>
      </c>
      <c r="G6" s="46" t="s">
        <v>257</v>
      </c>
    </row>
    <row r="7" spans="1:17" x14ac:dyDescent="0.45">
      <c r="B7" t="s">
        <v>13</v>
      </c>
      <c r="C7" s="15" t="s">
        <v>18</v>
      </c>
      <c r="G7" s="28" t="s">
        <v>56</v>
      </c>
    </row>
    <row r="8" spans="1:17" x14ac:dyDescent="0.45">
      <c r="B8" t="s">
        <v>14</v>
      </c>
      <c r="C8" s="16" t="b">
        <v>0</v>
      </c>
      <c r="G8" s="26" t="s">
        <v>55</v>
      </c>
    </row>
    <row r="9" spans="1:17" x14ac:dyDescent="0.45">
      <c r="B9" t="s">
        <v>15</v>
      </c>
      <c r="C9" s="16" t="s">
        <v>16</v>
      </c>
    </row>
    <row r="10" spans="1:17" x14ac:dyDescent="0.45">
      <c r="C10" s="16"/>
      <c r="P10" s="23" t="s">
        <v>65</v>
      </c>
    </row>
    <row r="11" spans="1:17" x14ac:dyDescent="0.45">
      <c r="B11" s="10" t="s">
        <v>97</v>
      </c>
      <c r="C11" s="16"/>
      <c r="P11" s="17" t="b">
        <f ca="1">AND(ROWS(B13:C52)=ROWS(_xlfn.ANCHORARRAY(J13)),COLUMNS(B13:C52)=COLUMNS(_xlfn.ANCHORARRAY(J13)),AND(_xlfn.ANCHORARRAY(P13)))</f>
        <v>1</v>
      </c>
    </row>
    <row r="12" spans="1:17" x14ac:dyDescent="0.45">
      <c r="B12" s="22" t="s">
        <v>61</v>
      </c>
      <c r="E12" s="23" t="s">
        <v>64</v>
      </c>
      <c r="F12" s="23"/>
      <c r="G12" s="22" t="s">
        <v>63</v>
      </c>
      <c r="J12" s="22" t="s">
        <v>62</v>
      </c>
      <c r="M12" s="22" t="s">
        <v>52</v>
      </c>
      <c r="P12" t="s">
        <v>19</v>
      </c>
    </row>
    <row r="13" spans="1:17" x14ac:dyDescent="0.45">
      <c r="B13" s="27" t="str" cm="1">
        <f t="array" aca="1" ref="B13:C52" ca="1">RandomVariants(40,2,TRUE,Unicode,EOL)</f>
        <v>Here_x000D_
be_x000D_
line_x000D_
feeds</v>
      </c>
      <c r="C13" s="27" t="str">
        <f ca="1"/>
        <v/>
      </c>
      <c r="E13" t="str" cm="1">
        <f t="array" aca="1" ref="E13" ca="1">CSVWrite(FileName,B13:C52,QuoteAllStrings,DateFormat,DateTimeFormat,,Unicode,EOL,FALSE)</f>
        <v>C:\Temp\TestFile.CSV</v>
      </c>
      <c r="G13" s="27" t="str" cm="1">
        <f t="array" aca="1" ref="G13:G56" ca="1">CSVRead(E13,,FALSE)</f>
        <v>"Here</v>
      </c>
      <c r="J13" s="27" t="str" cm="1">
        <f t="array" aca="1" ref="J13:K52" ca="1">CSVRead(E13,FALSE)</f>
        <v>Here_x000D_
be_x000D_
line_x000D_
feeds</v>
      </c>
      <c r="K13" s="27" t="str">
        <f ca="1"/>
        <v/>
      </c>
      <c r="M13" s="27" t="str" cm="1">
        <f t="array" aca="1" ref="M13:N52" ca="1">CSVRead(E13,TRUE,,DateFormat)</f>
        <v>Here_x000D_
be_x000D_
line_x000D_
feeds</v>
      </c>
      <c r="N13" s="27" t="str">
        <f ca="1"/>
        <v/>
      </c>
      <c r="P13" s="17" t="b" cm="1">
        <f t="array" aca="1" ref="P13:Q52" ca="1">[1]!sArrayEquals(_xlfn.ANCHORARRAY(B13),_xlfn.ANCHORARRAY(M13))</f>
        <v>1</v>
      </c>
      <c r="Q13" s="17" t="b">
        <f ca="1"/>
        <v>1</v>
      </c>
    </row>
    <row r="14" spans="1:17" x14ac:dyDescent="0.45">
      <c r="B14" s="27" t="str">
        <f ca="1"/>
        <v>-20.1859003211701</v>
      </c>
      <c r="C14" s="27" t="e">
        <f ca="1"/>
      </c>
      <c r="G14" s="27" t="str">
        <f ca="1"/>
        <v>be</v>
      </c>
      <c r="J14" s="27" t="str">
        <f ca="1"/>
        <v>-20.1859003211701</v>
      </c>
      <c r="K14" s="27" t="str">
        <f ca="1"/>
        <v>#CONNECT!</v>
      </c>
      <c r="M14" s="27" t="str">
        <f ca="1"/>
        <v>-20.1859003211701</v>
      </c>
      <c r="N14" s="27" t="e">
        <f ca="1"/>
      </c>
      <c r="P14" s="17" t="b">
        <f ca="1"/>
        <v>1</v>
      </c>
      <c r="Q14" s="17" t="b">
        <f ca="1"/>
        <v>1</v>
      </c>
    </row>
    <row r="15" spans="1:17" x14ac:dyDescent="0.45">
      <c r="B15" s="27">
        <f ca="1"/>
        <v>-3.7224250600495001E-5</v>
      </c>
      <c r="C15" s="27" t="str">
        <f ca="1"/>
        <v>TRUE</v>
      </c>
      <c r="G15" s="27" t="str">
        <f ca="1"/>
        <v>line</v>
      </c>
      <c r="J15" s="27" t="str">
        <f ca="1"/>
        <v>-3.7224250600495E-05</v>
      </c>
      <c r="K15" s="27" t="str">
        <f ca="1"/>
        <v>TRUE</v>
      </c>
      <c r="M15" s="27">
        <f ca="1"/>
        <v>-3.7224250600495001E-5</v>
      </c>
      <c r="N15" s="27" t="str">
        <f ca="1"/>
        <v>TRUE</v>
      </c>
      <c r="P15" s="17" t="b">
        <f ca="1"/>
        <v>1</v>
      </c>
      <c r="Q15" s="17" t="b">
        <f ca="1"/>
        <v>1</v>
      </c>
    </row>
    <row r="16" spans="1:17" x14ac:dyDescent="0.45">
      <c r="B16" s="40" t="str">
        <f ca="1"/>
        <v>TRUE</v>
      </c>
      <c r="C16" s="27">
        <f ca="1"/>
        <v>52518</v>
      </c>
      <c r="G16" s="27" t="str">
        <f ca="1"/>
        <v>feeds",""</v>
      </c>
      <c r="J16" s="40" t="str">
        <f ca="1"/>
        <v>TRUE</v>
      </c>
      <c r="K16" s="27" t="str">
        <f ca="1"/>
        <v>52518</v>
      </c>
      <c r="M16" s="40" t="str">
        <f ca="1"/>
        <v>TRUE</v>
      </c>
      <c r="N16" s="27">
        <f ca="1"/>
        <v>52518</v>
      </c>
      <c r="P16" s="17" t="b">
        <f ca="1"/>
        <v>1</v>
      </c>
      <c r="Q16" s="17" t="b">
        <f ca="1"/>
        <v>1</v>
      </c>
    </row>
    <row r="17" spans="2:17" x14ac:dyDescent="0.45">
      <c r="B17" s="27" t="str">
        <f ca="1"/>
        <v>g^YX+JH_x000D_
A[vAFwd</v>
      </c>
      <c r="C17" s="27" t="str">
        <f ca="1"/>
        <v/>
      </c>
      <c r="G17" s="27" t="str">
        <f ca="1"/>
        <v>"-20.1859003211701",#CONNECT!</v>
      </c>
      <c r="J17" s="27" t="str">
        <f ca="1"/>
        <v>g^YX+JH_x000D_
A[vAFwd</v>
      </c>
      <c r="K17" s="27" t="str">
        <f ca="1"/>
        <v/>
      </c>
      <c r="M17" s="27" t="str">
        <f ca="1"/>
        <v>g^YX+JH_x000D_
A[vAFwd</v>
      </c>
      <c r="N17" s="27" t="str">
        <f ca="1"/>
        <v/>
      </c>
      <c r="P17" s="17" t="b">
        <f ca="1"/>
        <v>1</v>
      </c>
      <c r="Q17" s="17" t="b">
        <f ca="1"/>
        <v>1</v>
      </c>
    </row>
    <row r="18" spans="2:17" x14ac:dyDescent="0.45">
      <c r="B18" s="27" t="str">
        <f ca="1"/>
        <v>3.89104643325565E-02</v>
      </c>
      <c r="C18" s="27" t="str">
        <f ca="1"/>
        <v>1986-Aug-18</v>
      </c>
      <c r="G18" s="27" t="str">
        <f ca="1"/>
        <v>-3.7224250600495E-05,"TRUE"</v>
      </c>
      <c r="J18" s="27" t="str">
        <f ca="1"/>
        <v>3.89104643325565E-02</v>
      </c>
      <c r="K18" s="27" t="str">
        <f ca="1"/>
        <v>1986-Aug-18</v>
      </c>
      <c r="M18" s="27" t="str">
        <f ca="1"/>
        <v>3.89104643325565E-02</v>
      </c>
      <c r="N18" s="27" t="str">
        <f ca="1"/>
        <v>1986-Aug-18</v>
      </c>
      <c r="P18" s="17" t="b">
        <f ca="1"/>
        <v>1</v>
      </c>
      <c r="Q18" s="17" t="b">
        <f ca="1"/>
        <v>1</v>
      </c>
    </row>
    <row r="19" spans="2:17" x14ac:dyDescent="0.45">
      <c r="B19" s="27" t="str">
        <f ca="1"/>
        <v/>
      </c>
      <c r="C19" s="27" t="str">
        <f ca="1"/>
        <v>;m:qd[S6JdoZDdd</v>
      </c>
      <c r="G19" s="27" t="str">
        <f ca="1"/>
        <v>"TRUE",52518</v>
      </c>
      <c r="J19" s="27" t="str">
        <f ca="1"/>
        <v/>
      </c>
      <c r="K19" s="27" t="str">
        <f ca="1"/>
        <v>;m:qd[S6JdoZDdd</v>
      </c>
      <c r="M19" s="27" t="str">
        <f ca="1"/>
        <v/>
      </c>
      <c r="N19" s="27" t="str">
        <f ca="1"/>
        <v>;m:qd[S6JdoZDdd</v>
      </c>
      <c r="P19" s="17" t="b">
        <f ca="1"/>
        <v>1</v>
      </c>
      <c r="Q19" s="17" t="b">
        <f ca="1"/>
        <v>1</v>
      </c>
    </row>
    <row r="20" spans="2:17" x14ac:dyDescent="0.45">
      <c r="B20" s="27">
        <f ca="1"/>
        <v>0</v>
      </c>
      <c r="C20" s="27">
        <f ca="1"/>
        <v>826574</v>
      </c>
      <c r="G20" s="27" t="str">
        <f ca="1"/>
        <v>"g^YX+JH</v>
      </c>
      <c r="J20" s="27" t="str">
        <f ca="1"/>
        <v>0</v>
      </c>
      <c r="K20" s="27" t="str">
        <f ca="1"/>
        <v>826574</v>
      </c>
      <c r="M20" s="27">
        <f ca="1"/>
        <v>0</v>
      </c>
      <c r="N20" s="27">
        <f ca="1"/>
        <v>826574</v>
      </c>
      <c r="P20" s="17" t="b">
        <f ca="1"/>
        <v>1</v>
      </c>
      <c r="Q20" s="17" t="b">
        <f ca="1"/>
        <v>1</v>
      </c>
    </row>
    <row r="21" spans="2:17" x14ac:dyDescent="0.45">
      <c r="B21" s="27" t="b">
        <f ca="1"/>
        <v>1</v>
      </c>
      <c r="C21" s="27" t="e">
        <f ca="1"/>
        <v>#VALUE!</v>
      </c>
      <c r="G21" s="27" t="str">
        <f ca="1"/>
        <v>A[vAFwd",""</v>
      </c>
      <c r="J21" s="27" t="str">
        <f ca="1"/>
        <v>True</v>
      </c>
      <c r="K21" s="27" t="str">
        <f ca="1"/>
        <v>#VALUE!</v>
      </c>
      <c r="M21" s="27" t="b">
        <f ca="1"/>
        <v>1</v>
      </c>
      <c r="N21" s="27" t="e">
        <f ca="1"/>
        <v>#VALUE!</v>
      </c>
      <c r="P21" s="17" t="b">
        <f ca="1"/>
        <v>1</v>
      </c>
      <c r="Q21" s="17" t="b">
        <f ca="1"/>
        <v>1</v>
      </c>
    </row>
    <row r="22" spans="2:17" x14ac:dyDescent="0.45">
      <c r="B22" s="27">
        <f ca="1"/>
        <v>-1.61007196218906E-8</v>
      </c>
      <c r="C22" s="27">
        <f ca="1"/>
        <v>-550593</v>
      </c>
      <c r="G22" s="27" t="str">
        <f ca="1"/>
        <v>"3.89104643325565E-02","1986-Aug-18"</v>
      </c>
      <c r="J22" s="27" t="str">
        <f ca="1"/>
        <v>-1.61007196218906E-08</v>
      </c>
      <c r="K22" s="27" t="str">
        <f ca="1"/>
        <v>-550593</v>
      </c>
      <c r="M22" s="27">
        <f ca="1"/>
        <v>-1.61007196218906E-8</v>
      </c>
      <c r="N22" s="27">
        <f ca="1"/>
        <v>-550593</v>
      </c>
      <c r="P22" s="17" t="b">
        <f ca="1"/>
        <v>1</v>
      </c>
      <c r="Q22" s="17" t="b">
        <f ca="1"/>
        <v>1</v>
      </c>
    </row>
    <row r="23" spans="2:17" x14ac:dyDescent="0.45">
      <c r="B23" s="27">
        <f ca="1"/>
        <v>1.0653370505473601</v>
      </c>
      <c r="C23" s="27" t="str">
        <f ca="1"/>
        <v>8514866.45496918</v>
      </c>
      <c r="G23" s="27" t="str">
        <f ca="1"/>
        <v>"",";m:qd[S6JdoZDdd"</v>
      </c>
      <c r="J23" s="27" t="str">
        <f ca="1"/>
        <v>1.06533705054736</v>
      </c>
      <c r="K23" s="27" t="str">
        <f ca="1"/>
        <v>8514866.45496918</v>
      </c>
      <c r="M23" s="27">
        <f ca="1"/>
        <v>1.0653370505473601</v>
      </c>
      <c r="N23" s="27" t="str">
        <f ca="1"/>
        <v>8514866.45496918</v>
      </c>
      <c r="P23" s="17" t="b">
        <f ca="1"/>
        <v>1</v>
      </c>
      <c r="Q23" s="17" t="b">
        <f ca="1"/>
        <v>1</v>
      </c>
    </row>
    <row r="24" spans="2:17" x14ac:dyDescent="0.45">
      <c r="B24" s="27">
        <f ca="1"/>
        <v>41627848.2210242</v>
      </c>
      <c r="C24" s="27">
        <f ca="1"/>
        <v>61017</v>
      </c>
      <c r="G24" s="27" t="str">
        <f ca="1"/>
        <v>0,826574</v>
      </c>
      <c r="J24" s="27" t="str">
        <f ca="1"/>
        <v>41627848.2210242</v>
      </c>
      <c r="K24" s="27" t="str">
        <f ca="1"/>
        <v>61017</v>
      </c>
      <c r="M24" s="27">
        <f ca="1"/>
        <v>41627848.2210242</v>
      </c>
      <c r="N24" s="27">
        <f ca="1"/>
        <v>61017</v>
      </c>
      <c r="P24" s="17" t="b">
        <f ca="1"/>
        <v>1</v>
      </c>
      <c r="Q24" s="17" t="b">
        <f ca="1"/>
        <v>1</v>
      </c>
    </row>
    <row r="25" spans="2:17" x14ac:dyDescent="0.45">
      <c r="B25" s="27" t="b">
        <f ca="1"/>
        <v>0</v>
      </c>
      <c r="C25" s="27">
        <f ca="1"/>
        <v>-774009</v>
      </c>
      <c r="G25" s="27" t="str">
        <f ca="1"/>
        <v>True,#VALUE!</v>
      </c>
      <c r="J25" s="27" t="str">
        <f ca="1"/>
        <v>False</v>
      </c>
      <c r="K25" s="27" t="str">
        <f ca="1"/>
        <v>-774009</v>
      </c>
      <c r="M25" s="27" t="b">
        <f ca="1"/>
        <v>0</v>
      </c>
      <c r="N25" s="27">
        <f ca="1"/>
        <v>-774009</v>
      </c>
      <c r="P25" s="17" t="b">
        <f ca="1"/>
        <v>1</v>
      </c>
      <c r="Q25" s="17" t="b">
        <f ca="1"/>
        <v>1</v>
      </c>
    </row>
    <row r="26" spans="2:17" x14ac:dyDescent="0.45">
      <c r="B26" s="27" t="str">
        <f ca="1"/>
        <v>1971-Jan-23</v>
      </c>
      <c r="C26" s="27" t="str">
        <f ca="1"/>
        <v>-435660.667902059</v>
      </c>
      <c r="G26" s="27" t="str">
        <f ca="1"/>
        <v>-1.61007196218906E-08,-550593</v>
      </c>
      <c r="J26" s="27" t="str">
        <f ca="1"/>
        <v>1971-Jan-23</v>
      </c>
      <c r="K26" s="27" t="str">
        <f ca="1"/>
        <v>-435660.667902059</v>
      </c>
      <c r="M26" s="27" t="str">
        <f ca="1"/>
        <v>1971-Jan-23</v>
      </c>
      <c r="N26" s="27" t="str">
        <f ca="1"/>
        <v>-435660.667902059</v>
      </c>
      <c r="P26" s="17" t="b">
        <f ca="1"/>
        <v>1</v>
      </c>
      <c r="Q26" s="17" t="b">
        <f ca="1"/>
        <v>1</v>
      </c>
    </row>
    <row r="27" spans="2:17" x14ac:dyDescent="0.45">
      <c r="B27" s="27" t="e">
        <f ca="1"/>
      </c>
      <c r="C27" s="27" t="str">
        <f ca="1"/>
        <v/>
      </c>
      <c r="G27" s="27" t="str">
        <f ca="1"/>
        <v>1.06533705054736,"8514866.45496918"</v>
      </c>
      <c r="J27" s="27" t="str">
        <f ca="1"/>
        <v>#CALC!</v>
      </c>
      <c r="K27" s="27" t="str">
        <f ca="1"/>
        <v/>
      </c>
      <c r="M27" s="27" t="e">
        <f ca="1"/>
      </c>
      <c r="N27" s="27" t="str">
        <f ca="1"/>
        <v/>
      </c>
      <c r="P27" s="17" t="b">
        <f ca="1"/>
        <v>1</v>
      </c>
      <c r="Q27" s="17" t="b">
        <f ca="1"/>
        <v>1</v>
      </c>
    </row>
    <row r="28" spans="2:17" x14ac:dyDescent="0.45">
      <c r="B28" s="27" t="str">
        <f ca="1"/>
        <v>TRUE</v>
      </c>
      <c r="C28" s="27" t="e">
        <f ca="1"/>
        <v>#NUM!</v>
      </c>
      <c r="G28" s="27" t="str">
        <f ca="1"/>
        <v>41627848.2210242,61017</v>
      </c>
      <c r="J28" s="27" t="str">
        <f ca="1"/>
        <v>TRUE</v>
      </c>
      <c r="K28" s="27" t="str">
        <f ca="1"/>
        <v>#NUM!</v>
      </c>
      <c r="M28" s="27" t="str">
        <f ca="1"/>
        <v>TRUE</v>
      </c>
      <c r="N28" s="27" t="e">
        <f ca="1"/>
        <v>#NUM!</v>
      </c>
      <c r="P28" s="17" t="b">
        <f ca="1"/>
        <v>1</v>
      </c>
      <c r="Q28" s="17" t="b">
        <f ca="1"/>
        <v>1</v>
      </c>
    </row>
    <row r="29" spans="2:17" x14ac:dyDescent="0.45">
      <c r="B29" s="27" t="str">
        <f ca="1"/>
        <v>TRUE</v>
      </c>
      <c r="C29" s="27">
        <f ca="1"/>
        <v>112742</v>
      </c>
      <c r="G29" s="27" t="str">
        <f ca="1"/>
        <v>False,-774009</v>
      </c>
      <c r="J29" s="27" t="str">
        <f ca="1"/>
        <v>TRUE</v>
      </c>
      <c r="K29" s="27" t="str">
        <f ca="1"/>
        <v>112742</v>
      </c>
      <c r="M29" s="27" t="str">
        <f ca="1"/>
        <v>TRUE</v>
      </c>
      <c r="N29" s="27">
        <f ca="1"/>
        <v>112742</v>
      </c>
      <c r="P29" s="17" t="b">
        <f ca="1"/>
        <v>1</v>
      </c>
      <c r="Q29" s="17" t="b">
        <f ca="1"/>
        <v>1</v>
      </c>
    </row>
    <row r="30" spans="2:17" x14ac:dyDescent="0.45">
      <c r="B30" s="27">
        <f ca="1"/>
        <v>41370</v>
      </c>
      <c r="C30" s="27">
        <f ca="1"/>
        <v>0.62035405635426999</v>
      </c>
      <c r="G30" s="27" t="str">
        <f ca="1"/>
        <v>"1971-Jan-23","-435660.667902059"</v>
      </c>
      <c r="J30" s="27" t="str">
        <f ca="1"/>
        <v>41370</v>
      </c>
      <c r="K30" s="27" t="str">
        <f ca="1"/>
        <v>0.62035405635427</v>
      </c>
      <c r="M30" s="27">
        <f ca="1"/>
        <v>41370</v>
      </c>
      <c r="N30" s="27">
        <f ca="1"/>
        <v>0.62035405635426999</v>
      </c>
      <c r="P30" s="17" t="b">
        <f ca="1"/>
        <v>1</v>
      </c>
      <c r="Q30" s="17" t="b">
        <f ca="1"/>
        <v>1</v>
      </c>
    </row>
    <row r="31" spans="2:17" x14ac:dyDescent="0.45">
      <c r="B31" s="27" t="b">
        <f ca="1"/>
        <v>0</v>
      </c>
      <c r="C31" s="27">
        <f ca="1"/>
        <v>-325204</v>
      </c>
      <c r="G31" s="27" t="str">
        <f ca="1"/>
        <v>#CALC!,""</v>
      </c>
      <c r="J31" s="27" t="str">
        <f ca="1"/>
        <v>False</v>
      </c>
      <c r="K31" s="27" t="str">
        <f ca="1"/>
        <v>-325204</v>
      </c>
      <c r="M31" s="27" t="b">
        <f ca="1"/>
        <v>0</v>
      </c>
      <c r="N31" s="27">
        <f ca="1"/>
        <v>-325204</v>
      </c>
      <c r="P31" s="17" t="b">
        <f ca="1"/>
        <v>1</v>
      </c>
      <c r="Q31" s="17" t="b">
        <f ca="1"/>
        <v>1</v>
      </c>
    </row>
    <row r="32" spans="2:17" x14ac:dyDescent="0.45">
      <c r="B32" s="27" t="b">
        <f ca="1"/>
        <v>0</v>
      </c>
      <c r="C32" s="27" t="str">
        <f ca="1"/>
        <v>Y4V6AZcaE</v>
      </c>
      <c r="G32" s="27" t="str">
        <f ca="1"/>
        <v>"TRUE",#NUM!</v>
      </c>
      <c r="J32" s="27" t="str">
        <f ca="1"/>
        <v>False</v>
      </c>
      <c r="K32" s="27" t="str">
        <f ca="1"/>
        <v>Y4V6AZcaE</v>
      </c>
      <c r="M32" s="27" t="b">
        <f ca="1"/>
        <v>0</v>
      </c>
      <c r="N32" s="27" t="str">
        <f ca="1"/>
        <v>Y4V6AZcaE</v>
      </c>
      <c r="P32" s="17" t="b">
        <f ca="1"/>
        <v>1</v>
      </c>
      <c r="Q32" s="17" t="b">
        <f ca="1"/>
        <v>1</v>
      </c>
    </row>
    <row r="33" spans="2:17" x14ac:dyDescent="0.45">
      <c r="B33" s="27" t="e">
        <f ca="1"/>
      </c>
      <c r="C33" s="27" t="b">
        <f ca="1"/>
        <v>0</v>
      </c>
      <c r="G33" s="27" t="str">
        <f ca="1"/>
        <v>"TRUE",112742</v>
      </c>
      <c r="J33" s="27" t="str">
        <f ca="1"/>
        <v>#FIELD!</v>
      </c>
      <c r="K33" s="27" t="str">
        <f ca="1"/>
        <v>False</v>
      </c>
      <c r="M33" s="27" t="e">
        <f ca="1"/>
      </c>
      <c r="N33" s="27" t="b">
        <f ca="1"/>
        <v>0</v>
      </c>
      <c r="P33" s="17" t="b">
        <f ca="1"/>
        <v>1</v>
      </c>
      <c r="Q33" s="17" t="b">
        <f ca="1"/>
        <v>1</v>
      </c>
    </row>
    <row r="34" spans="2:17" x14ac:dyDescent="0.45">
      <c r="B34" s="27">
        <f ca="1"/>
        <v>39023</v>
      </c>
      <c r="C34" s="27" t="str">
        <f ca="1"/>
        <v/>
      </c>
      <c r="G34" s="27" t="str">
        <f ca="1"/>
        <v>41370,0.62035405635427</v>
      </c>
      <c r="J34" s="27" t="str">
        <f ca="1"/>
        <v>39023</v>
      </c>
      <c r="K34" s="27" t="str">
        <f ca="1"/>
        <v/>
      </c>
      <c r="M34" s="27">
        <f ca="1"/>
        <v>39023</v>
      </c>
      <c r="N34" s="27" t="str">
        <f ca="1"/>
        <v/>
      </c>
      <c r="P34" s="17" t="b">
        <f ca="1"/>
        <v>1</v>
      </c>
      <c r="Q34" s="17" t="b">
        <f ca="1"/>
        <v>1</v>
      </c>
    </row>
    <row r="35" spans="2:17" x14ac:dyDescent="0.45">
      <c r="B35" s="27" t="b">
        <f ca="1"/>
        <v>0</v>
      </c>
      <c r="C35" s="27" t="e">
        <f ca="1"/>
      </c>
      <c r="G35" s="27" t="str">
        <f ca="1"/>
        <v>False,-325204</v>
      </c>
      <c r="J35" s="27" t="str">
        <f ca="1"/>
        <v>False</v>
      </c>
      <c r="K35" s="27" t="str">
        <f ca="1"/>
        <v>#UNKNOWN!</v>
      </c>
      <c r="M35" s="27" t="b">
        <f ca="1"/>
        <v>0</v>
      </c>
      <c r="N35" s="27" t="e">
        <f ca="1"/>
      </c>
      <c r="P35" s="17" t="b">
        <f ca="1"/>
        <v>1</v>
      </c>
      <c r="Q35" s="17" t="b">
        <f ca="1"/>
        <v>1</v>
      </c>
    </row>
    <row r="36" spans="2:17" x14ac:dyDescent="0.45">
      <c r="B36" s="27" t="str">
        <f ca="1"/>
        <v/>
      </c>
      <c r="C36" s="27" t="str">
        <f ca="1"/>
        <v>1978-Mar-01</v>
      </c>
      <c r="G36" s="27" t="str">
        <f ca="1"/>
        <v>False,"Y4V6AZcaE"</v>
      </c>
      <c r="J36" s="27" t="str">
        <f ca="1"/>
        <v/>
      </c>
      <c r="K36" s="27" t="str">
        <f ca="1"/>
        <v>1978-Mar-01</v>
      </c>
      <c r="M36" s="27" t="str">
        <f ca="1"/>
        <v/>
      </c>
      <c r="N36" s="27" t="str">
        <f ca="1"/>
        <v>1978-Mar-01</v>
      </c>
      <c r="P36" s="17" t="b">
        <f ca="1"/>
        <v>1</v>
      </c>
      <c r="Q36" s="17" t="b">
        <f ca="1"/>
        <v>1</v>
      </c>
    </row>
    <row r="37" spans="2:17" x14ac:dyDescent="0.45">
      <c r="B37" s="27">
        <f ca="1"/>
        <v>60095</v>
      </c>
      <c r="C37" s="27" t="str">
        <f ca="1"/>
        <v>FALSE</v>
      </c>
      <c r="G37" s="27" t="str">
        <f ca="1"/>
        <v>#FIELD!,False</v>
      </c>
      <c r="J37" s="27" t="str">
        <f ca="1"/>
        <v>60095</v>
      </c>
      <c r="K37" s="27" t="str">
        <f ca="1"/>
        <v>FALSE</v>
      </c>
      <c r="M37" s="27">
        <f ca="1"/>
        <v>60095</v>
      </c>
      <c r="N37" s="27" t="str">
        <f ca="1"/>
        <v>FALSE</v>
      </c>
      <c r="P37" s="17" t="b">
        <f ca="1"/>
        <v>1</v>
      </c>
      <c r="Q37" s="17" t="b">
        <f ca="1"/>
        <v>1</v>
      </c>
    </row>
    <row r="38" spans="2:17" x14ac:dyDescent="0.45">
      <c r="B38" s="27" t="e">
        <f ca="1"/>
      </c>
      <c r="C38" s="27">
        <f ca="1"/>
        <v>0</v>
      </c>
      <c r="G38" s="27" t="str">
        <f ca="1"/>
        <v>39023,""</v>
      </c>
      <c r="J38" s="27" t="str">
        <f ca="1"/>
        <v>#CALC!</v>
      </c>
      <c r="K38" s="27" t="str">
        <f ca="1"/>
        <v>0</v>
      </c>
      <c r="M38" s="27" t="e">
        <f ca="1"/>
      </c>
      <c r="N38" s="27">
        <f ca="1"/>
        <v>0</v>
      </c>
      <c r="P38" s="17" t="b">
        <f ca="1"/>
        <v>1</v>
      </c>
      <c r="Q38" s="17" t="b">
        <f ca="1"/>
        <v>1</v>
      </c>
    </row>
    <row r="39" spans="2:17" x14ac:dyDescent="0.45">
      <c r="B39" s="27" t="str">
        <f ca="1"/>
        <v>@+</v>
      </c>
      <c r="C39" s="27" t="e">
        <f ca="1"/>
        <v>#N/A</v>
      </c>
      <c r="G39" s="27" t="str">
        <f ca="1"/>
        <v>False,#UNKNOWN!</v>
      </c>
      <c r="J39" s="27" t="str">
        <f ca="1"/>
        <v>@+</v>
      </c>
      <c r="K39" s="27" t="str">
        <f ca="1"/>
        <v>#GETTING_DATA!</v>
      </c>
      <c r="M39" s="27" t="str">
        <f ca="1"/>
        <v>@+</v>
      </c>
      <c r="N39" s="27" t="e">
        <f ca="1"/>
        <v>#N/A</v>
      </c>
      <c r="P39" s="17" t="b">
        <f ca="1"/>
        <v>1</v>
      </c>
      <c r="Q39" s="17" t="b">
        <f ca="1"/>
        <v>1</v>
      </c>
    </row>
    <row r="40" spans="2:17" x14ac:dyDescent="0.45">
      <c r="B40" s="27" t="str">
        <f ca="1"/>
        <v>2052-Oct-08</v>
      </c>
      <c r="C40" s="27">
        <f ca="1"/>
        <v>0</v>
      </c>
      <c r="G40" s="27" t="str">
        <f ca="1"/>
        <v>"","1978-Mar-01"</v>
      </c>
      <c r="J40" s="27" t="str">
        <f ca="1"/>
        <v>2052-Oct-08</v>
      </c>
      <c r="K40" s="27" t="str">
        <f ca="1"/>
        <v>0</v>
      </c>
      <c r="M40" s="27" t="str">
        <f ca="1"/>
        <v>2052-Oct-08</v>
      </c>
      <c r="N40" s="27">
        <f ca="1"/>
        <v>0</v>
      </c>
      <c r="P40" s="17" t="b">
        <f ca="1"/>
        <v>1</v>
      </c>
      <c r="Q40" s="17" t="b">
        <f ca="1"/>
        <v>1</v>
      </c>
    </row>
    <row r="41" spans="2:17" x14ac:dyDescent="0.45">
      <c r="B41" s="27" t="str">
        <f ca="1"/>
        <v>FALSE</v>
      </c>
      <c r="C41" s="27" t="e">
        <f ca="1"/>
        <v>#N/A</v>
      </c>
      <c r="G41" s="27" t="str">
        <f ca="1"/>
        <v>60095,"FALSE"</v>
      </c>
      <c r="J41" s="27" t="str">
        <f ca="1"/>
        <v>FALSE</v>
      </c>
      <c r="K41" s="27" t="str">
        <f ca="1"/>
        <v>#GETTING_DATA!</v>
      </c>
      <c r="M41" s="27" t="str">
        <f ca="1"/>
        <v>FALSE</v>
      </c>
      <c r="N41" s="27" t="e">
        <f ca="1"/>
        <v>#N/A</v>
      </c>
      <c r="P41" s="17" t="b">
        <f ca="1"/>
        <v>1</v>
      </c>
      <c r="Q41" s="17" t="b">
        <f ca="1"/>
        <v>1</v>
      </c>
    </row>
    <row r="42" spans="2:17" x14ac:dyDescent="0.45">
      <c r="B42" s="27" t="str">
        <f ca="1"/>
        <v>TRUE</v>
      </c>
      <c r="C42" s="27" t="str">
        <f ca="1"/>
        <v>-2.27451205635687E-08</v>
      </c>
      <c r="G42" s="27" t="str">
        <f ca="1"/>
        <v>#CALC!,0</v>
      </c>
      <c r="J42" s="27" t="str">
        <f ca="1"/>
        <v>TRUE</v>
      </c>
      <c r="K42" s="27" t="str">
        <f ca="1"/>
        <v>-2.27451205635687E-08</v>
      </c>
      <c r="M42" s="27" t="str">
        <f ca="1"/>
        <v>TRUE</v>
      </c>
      <c r="N42" s="27" t="str">
        <f ca="1"/>
        <v>-2.27451205635687E-08</v>
      </c>
      <c r="P42" s="17" t="b">
        <f ca="1"/>
        <v>1</v>
      </c>
      <c r="Q42" s="17" t="b">
        <f ca="1"/>
        <v>1</v>
      </c>
    </row>
    <row r="43" spans="2:17" x14ac:dyDescent="0.45">
      <c r="B43" s="27">
        <f ca="1"/>
        <v>2.5045791034694301E-11</v>
      </c>
      <c r="C43" s="27" t="str">
        <f ca="1"/>
        <v>1.06701344660993E-05</v>
      </c>
      <c r="G43" s="27" t="str">
        <f ca="1"/>
        <v>"@+",#GETTING_DATA!</v>
      </c>
      <c r="J43" s="27" t="str">
        <f ca="1"/>
        <v>2.50457910346943E-11</v>
      </c>
      <c r="K43" s="27" t="str">
        <f ca="1"/>
        <v>1.06701344660993E-05</v>
      </c>
      <c r="M43" s="27">
        <f ca="1"/>
        <v>2.5045791034694301E-11</v>
      </c>
      <c r="N43" s="27" t="str">
        <f ca="1"/>
        <v>1.06701344660993E-05</v>
      </c>
      <c r="P43" s="17" t="b">
        <f ca="1"/>
        <v>1</v>
      </c>
      <c r="Q43" s="17" t="b">
        <f ca="1"/>
        <v>1</v>
      </c>
    </row>
    <row r="44" spans="2:17" x14ac:dyDescent="0.45">
      <c r="B44" s="27" t="b">
        <f ca="1"/>
        <v>1</v>
      </c>
      <c r="C44" s="27" t="str">
        <f ca="1"/>
        <v>&lt;gor%BvGN:[AuNO@PHy</v>
      </c>
      <c r="G44" s="27" t="str">
        <f ca="1"/>
        <v>"2052-Oct-08",0</v>
      </c>
      <c r="J44" s="27" t="str">
        <f ca="1"/>
        <v>True</v>
      </c>
      <c r="K44" s="27" t="str">
        <f ca="1"/>
        <v>&lt;gor%BvGN:[AuNO@PHy</v>
      </c>
      <c r="M44" s="27" t="b">
        <f ca="1"/>
        <v>1</v>
      </c>
      <c r="N44" s="27" t="str">
        <f ca="1"/>
        <v>&lt;gor%BvGN:[AuNO@PHy</v>
      </c>
      <c r="P44" s="17" t="b">
        <f ca="1"/>
        <v>1</v>
      </c>
      <c r="Q44" s="17" t="b">
        <f ca="1"/>
        <v>1</v>
      </c>
    </row>
    <row r="45" spans="2:17" x14ac:dyDescent="0.45">
      <c r="B45" s="27" t="str">
        <f ca="1"/>
        <v>+\dVGk&amp;S:9,O/</v>
      </c>
      <c r="C45" s="27" t="str">
        <f ca="1"/>
        <v>1985-Mar-09</v>
      </c>
      <c r="G45" s="27" t="str">
        <f ca="1"/>
        <v>"FALSE",#GETTING_DATA!</v>
      </c>
      <c r="J45" s="27" t="str">
        <f ca="1"/>
        <v>+\dVGk&amp;S:9,O/</v>
      </c>
      <c r="K45" s="27" t="str">
        <f ca="1"/>
        <v>1985-Mar-09</v>
      </c>
      <c r="M45" s="27" t="str">
        <f ca="1"/>
        <v>+\dVGk&amp;S:9,O/</v>
      </c>
      <c r="N45" s="27" t="str">
        <f ca="1"/>
        <v>1985-Mar-09</v>
      </c>
      <c r="P45" s="17" t="b">
        <f ca="1"/>
        <v>1</v>
      </c>
      <c r="Q45" s="17" t="b">
        <f ca="1"/>
        <v>1</v>
      </c>
    </row>
    <row r="46" spans="2:17" x14ac:dyDescent="0.45">
      <c r="B46" s="27" t="str">
        <f ca="1"/>
        <v/>
      </c>
      <c r="C46" s="27" t="str">
        <f ca="1"/>
        <v>sKV-7MpH#@&amp;z</v>
      </c>
      <c r="G46" s="27" t="str">
        <f ca="1"/>
        <v>"TRUE","-2.27451205635687E-08"</v>
      </c>
      <c r="J46" s="27" t="str">
        <f ca="1"/>
        <v/>
      </c>
      <c r="K46" s="27" t="str">
        <f ca="1"/>
        <v>sKV-7MpH#@&amp;z</v>
      </c>
      <c r="M46" s="27" t="str">
        <f ca="1"/>
        <v/>
      </c>
      <c r="N46" s="27" t="str">
        <f ca="1"/>
        <v>sKV-7MpH#@&amp;z</v>
      </c>
      <c r="P46" s="17" t="b">
        <f ca="1"/>
        <v>1</v>
      </c>
      <c r="Q46" s="17" t="b">
        <f ca="1"/>
        <v>1</v>
      </c>
    </row>
    <row r="47" spans="2:17" x14ac:dyDescent="0.45">
      <c r="B47" s="27" t="b">
        <f ca="1"/>
        <v>1</v>
      </c>
      <c r="C47" s="27" t="str">
        <f ca="1"/>
        <v>p&lt;4L?^%3jWFs8W_F%lS</v>
      </c>
      <c r="G47" s="27" t="str">
        <f ca="1"/>
        <v>2.50457910346943E-11,"1.06701344660993E-05"</v>
      </c>
      <c r="J47" s="27" t="str">
        <f ca="1"/>
        <v>True</v>
      </c>
      <c r="K47" s="27" t="str">
        <f ca="1"/>
        <v>p&lt;4L?^%3jWFs8W_F%lS</v>
      </c>
      <c r="M47" s="27" t="b">
        <f ca="1"/>
        <v>1</v>
      </c>
      <c r="N47" s="27" t="str">
        <f ca="1"/>
        <v>p&lt;4L?^%3jWFs8W_F%lS</v>
      </c>
      <c r="P47" s="17" t="b">
        <f ca="1"/>
        <v>1</v>
      </c>
      <c r="Q47" s="17" t="b">
        <f ca="1"/>
        <v>1</v>
      </c>
    </row>
    <row r="48" spans="2:17" x14ac:dyDescent="0.45">
      <c r="B48" s="27">
        <f ca="1"/>
        <v>2.0622486797476098E-3</v>
      </c>
      <c r="C48" s="27" t="str">
        <f ca="1"/>
        <v>1.03145916998291E-09</v>
      </c>
      <c r="G48" s="27" t="str">
        <f ca="1"/>
        <v>True,"&lt;gor%BvGN:[AuNO@PHy"</v>
      </c>
      <c r="J48" s="27" t="str">
        <f ca="1"/>
        <v>2.06224867974761E-03</v>
      </c>
      <c r="K48" s="27" t="str">
        <f ca="1"/>
        <v>1.03145916998291E-09</v>
      </c>
      <c r="M48" s="27">
        <f ca="1"/>
        <v>2.0622486797476098E-3</v>
      </c>
      <c r="N48" s="27" t="str">
        <f ca="1"/>
        <v>1.03145916998291E-09</v>
      </c>
      <c r="P48" s="17" t="b">
        <f ca="1"/>
        <v>1</v>
      </c>
      <c r="Q48" s="17" t="b">
        <f ca="1"/>
        <v>1</v>
      </c>
    </row>
    <row r="49" spans="2:17" x14ac:dyDescent="0.45">
      <c r="B49" s="27" t="str">
        <f ca="1"/>
        <v>R\eTQD_[nu`</v>
      </c>
      <c r="C49" s="27" t="str">
        <f ca="1"/>
        <v>FALSE</v>
      </c>
      <c r="G49" s="27" t="str">
        <f ca="1"/>
        <v>"+\dVGk&amp;S:9,O/","1985-Mar-09"</v>
      </c>
      <c r="J49" s="27" t="str">
        <f ca="1"/>
        <v>R\eTQD_[nu`</v>
      </c>
      <c r="K49" s="27" t="str">
        <f ca="1"/>
        <v>FALSE</v>
      </c>
      <c r="M49" s="27" t="str">
        <f ca="1"/>
        <v>R\eTQD_[nu`</v>
      </c>
      <c r="N49" s="27" t="str">
        <f ca="1"/>
        <v>FALSE</v>
      </c>
      <c r="P49" s="17" t="b">
        <f ca="1"/>
        <v>1</v>
      </c>
      <c r="Q49" s="17" t="b">
        <f ca="1"/>
        <v>1</v>
      </c>
    </row>
    <row r="50" spans="2:17" x14ac:dyDescent="0.45">
      <c r="B50" s="27">
        <f ca="1"/>
        <v>33314</v>
      </c>
      <c r="C50" s="27" t="str">
        <f ca="1"/>
        <v>TRUE</v>
      </c>
      <c r="G50" s="27" t="str">
        <f ca="1"/>
        <v>"","sKV-7MpH#@&amp;z"</v>
      </c>
      <c r="J50" s="27" t="str">
        <f ca="1"/>
        <v>33314</v>
      </c>
      <c r="K50" s="27" t="str">
        <f ca="1"/>
        <v>TRUE</v>
      </c>
      <c r="M50" s="27">
        <f ca="1"/>
        <v>33314</v>
      </c>
      <c r="N50" s="27" t="str">
        <f ca="1"/>
        <v>TRUE</v>
      </c>
      <c r="P50" s="17" t="b">
        <f ca="1"/>
        <v>1</v>
      </c>
      <c r="Q50" s="17" t="b">
        <f ca="1"/>
        <v>1</v>
      </c>
    </row>
    <row r="51" spans="2:17" x14ac:dyDescent="0.45">
      <c r="B51" s="27" t="str">
        <f ca="1"/>
        <v>2045-Apr-27</v>
      </c>
      <c r="C51" s="27">
        <f ca="1"/>
        <v>-3.0639670176734E-4</v>
      </c>
      <c r="G51" s="27" t="str">
        <f ca="1"/>
        <v>True,"p&lt;4L?^%3jWFs8W_F%lS"</v>
      </c>
      <c r="J51" s="27" t="str">
        <f ca="1"/>
        <v>2045-Apr-27</v>
      </c>
      <c r="K51" s="27" t="str">
        <f ca="1"/>
        <v>-3.0639670176734E-04</v>
      </c>
      <c r="M51" s="27" t="str">
        <f ca="1"/>
        <v>2045-Apr-27</v>
      </c>
      <c r="N51" s="27">
        <f ca="1"/>
        <v>-3.0639670176734E-4</v>
      </c>
      <c r="P51" s="17" t="b">
        <f ca="1"/>
        <v>1</v>
      </c>
      <c r="Q51" s="17" t="b">
        <f ca="1"/>
        <v>1</v>
      </c>
    </row>
    <row r="52" spans="2:17" x14ac:dyDescent="0.45">
      <c r="B52" s="27" t="str">
        <f ca="1"/>
        <v>1985-May-06</v>
      </c>
      <c r="C52" s="27" t="str">
        <f ca="1"/>
        <v>-5.36582694463779E-07</v>
      </c>
      <c r="G52" s="27" t="str">
        <f ca="1"/>
        <v>2.06224867974761E-03,"1.03145916998291E-09"</v>
      </c>
      <c r="J52" s="27" t="str">
        <f ca="1"/>
        <v>1985-May-06</v>
      </c>
      <c r="K52" s="27" t="str">
        <f ca="1"/>
        <v>-5.36582694463779E-07</v>
      </c>
      <c r="M52" s="27" t="str">
        <f ca="1"/>
        <v>1985-May-06</v>
      </c>
      <c r="N52" s="27" t="str">
        <f ca="1"/>
        <v>-5.36582694463779E-07</v>
      </c>
      <c r="P52" s="17" t="b">
        <f ca="1"/>
        <v>1</v>
      </c>
      <c r="Q52" s="17" t="b">
        <f ca="1"/>
        <v>1</v>
      </c>
    </row>
    <row r="53" spans="2:17" x14ac:dyDescent="0.45">
      <c r="G53" s="27" t="str">
        <f ca="1"/>
        <v>"R\eTQD_[nu`","FALSE"</v>
      </c>
    </row>
    <row r="54" spans="2:17" x14ac:dyDescent="0.45">
      <c r="G54" s="27" t="str">
        <f ca="1"/>
        <v>33314,"TRUE"</v>
      </c>
    </row>
    <row r="55" spans="2:17" x14ac:dyDescent="0.45">
      <c r="G55" s="27" t="str">
        <f ca="1"/>
        <v>"2045-Apr-27",-3.0639670176734E-04</v>
      </c>
    </row>
    <row r="56" spans="2:17" x14ac:dyDescent="0.45">
      <c r="G56" s="27" t="str">
        <f ca="1"/>
        <v>"1985-May-06","-5.36582694463779E-07"</v>
      </c>
    </row>
    <row r="57" spans="2:17" x14ac:dyDescent="0.45">
      <c r="G57" s="27"/>
    </row>
    <row r="58" spans="2:17" x14ac:dyDescent="0.45">
      <c r="G58" s="27"/>
    </row>
    <row r="59" spans="2:17" x14ac:dyDescent="0.45">
      <c r="G59" s="27"/>
    </row>
    <row r="60" spans="2:17" x14ac:dyDescent="0.45">
      <c r="G60" s="27"/>
    </row>
    <row r="61" spans="2:17" x14ac:dyDescent="0.45">
      <c r="G61" s="27"/>
    </row>
    <row r="62" spans="2:17" x14ac:dyDescent="0.45">
      <c r="G62" s="27"/>
    </row>
    <row r="63" spans="2:17" x14ac:dyDescent="0.45">
      <c r="G63" s="27"/>
    </row>
    <row r="64" spans="2:17" x14ac:dyDescent="0.45">
      <c r="G64" s="27"/>
    </row>
    <row r="65" spans="7:7" x14ac:dyDescent="0.45">
      <c r="G65" s="27"/>
    </row>
    <row r="66" spans="7:7" x14ac:dyDescent="0.45">
      <c r="G66" s="27"/>
    </row>
    <row r="67" spans="7:7" x14ac:dyDescent="0.45">
      <c r="G67" s="27"/>
    </row>
    <row r="68" spans="7:7" x14ac:dyDescent="0.45">
      <c r="G68" s="27"/>
    </row>
    <row r="69" spans="7:7" x14ac:dyDescent="0.45">
      <c r="G69" s="27"/>
    </row>
    <row r="70" spans="7:7" x14ac:dyDescent="0.45">
      <c r="G70" s="27"/>
    </row>
    <row r="71" spans="7:7" x14ac:dyDescent="0.45">
      <c r="G71" s="27"/>
    </row>
    <row r="72" spans="7:7" x14ac:dyDescent="0.45">
      <c r="G72" s="27"/>
    </row>
    <row r="73" spans="7:7" x14ac:dyDescent="0.45">
      <c r="G73" s="27"/>
    </row>
    <row r="74" spans="7:7" x14ac:dyDescent="0.45">
      <c r="G74" s="27"/>
    </row>
    <row r="75" spans="7:7" x14ac:dyDescent="0.45">
      <c r="G75" s="27"/>
    </row>
    <row r="76" spans="7:7" x14ac:dyDescent="0.45">
      <c r="G76" s="27"/>
    </row>
    <row r="77" spans="7:7" x14ac:dyDescent="0.45">
      <c r="G77" s="27"/>
    </row>
    <row r="78" spans="7:7" x14ac:dyDescent="0.45">
      <c r="G78" s="27"/>
    </row>
    <row r="79" spans="7:7" x14ac:dyDescent="0.45">
      <c r="G79" s="27"/>
    </row>
    <row r="80" spans="7:7" x14ac:dyDescent="0.45">
      <c r="G80" s="29"/>
    </row>
    <row r="81" spans="7:7" x14ac:dyDescent="0.45">
      <c r="G81" s="29"/>
    </row>
    <row r="82" spans="7:7" x14ac:dyDescent="0.45">
      <c r="G82" s="29"/>
    </row>
    <row r="83" spans="7:7" x14ac:dyDescent="0.45">
      <c r="G83" s="29"/>
    </row>
    <row r="84" spans="7:7" x14ac:dyDescent="0.45">
      <c r="G84" s="29"/>
    </row>
  </sheetData>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I95"/>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9" ht="28.5" x14ac:dyDescent="0.85">
      <c r="B1" s="1" t="s">
        <v>48</v>
      </c>
    </row>
    <row r="3" spans="2:9" x14ac:dyDescent="0.45">
      <c r="B3" s="32" t="s">
        <v>44</v>
      </c>
      <c r="C3" s="32" t="s">
        <v>45</v>
      </c>
      <c r="H3" s="32" t="s">
        <v>44</v>
      </c>
      <c r="I3" s="32" t="s">
        <v>45</v>
      </c>
    </row>
    <row r="4" spans="2:9" ht="42.75" x14ac:dyDescent="0.45">
      <c r="B4" s="33" t="s">
        <v>43</v>
      </c>
      <c r="C4" s="33" t="s">
        <v>29</v>
      </c>
      <c r="H4" s="33" t="s">
        <v>64</v>
      </c>
      <c r="I4" s="36" t="s">
        <v>71</v>
      </c>
    </row>
    <row r="5" spans="2:9" x14ac:dyDescent="0.45">
      <c r="B5" s="32" t="s">
        <v>42</v>
      </c>
      <c r="C5" s="32" t="s">
        <v>46</v>
      </c>
      <c r="H5" s="32" t="s">
        <v>42</v>
      </c>
      <c r="I5" s="32" t="s">
        <v>46</v>
      </c>
    </row>
    <row r="6" spans="2:9" x14ac:dyDescent="0.45">
      <c r="B6" s="34" t="s">
        <v>0</v>
      </c>
      <c r="C6" s="34" t="s" cm="1">
        <v>30</v>
      </c>
      <c r="H6" s="34" t="s">
        <v>0</v>
      </c>
      <c r="I6" s="36" t="s">
        <v>30</v>
      </c>
    </row>
    <row r="7" spans="2:9" ht="42.75" x14ac:dyDescent="0.45">
      <c r="B7" s="34" t="s">
        <v>20</v>
      </c>
      <c r="C7" s="34" t="s">
        <v>41</v>
      </c>
      <c r="H7" s="34" t="s">
        <v>69</v>
      </c>
      <c r="I7" s="36" t="s">
        <v>76</v>
      </c>
    </row>
    <row r="8" spans="2:9" ht="57" x14ac:dyDescent="0.45">
      <c r="B8" s="35" t="s">
        <v>21</v>
      </c>
      <c r="C8" s="34" t="s">
        <v>31</v>
      </c>
      <c r="H8" s="34" t="s">
        <v>12</v>
      </c>
      <c r="I8" s="34" t="s">
        <v>72</v>
      </c>
    </row>
    <row r="9" spans="2:9" ht="42.75" x14ac:dyDescent="0.45">
      <c r="B9" s="35" t="s">
        <v>1</v>
      </c>
      <c r="C9" s="34" t="s">
        <v>33</v>
      </c>
      <c r="H9" s="34" t="s">
        <v>1</v>
      </c>
      <c r="I9" s="34" t="s">
        <v>73</v>
      </c>
    </row>
    <row r="10" spans="2:9" ht="42.75" x14ac:dyDescent="0.45">
      <c r="B10" s="34" t="s">
        <v>22</v>
      </c>
      <c r="C10" s="34" t="s">
        <v>35</v>
      </c>
      <c r="H10" s="34" t="s">
        <v>13</v>
      </c>
      <c r="I10" s="36" t="s">
        <v>81</v>
      </c>
    </row>
    <row r="11" spans="2:9" ht="28.5" x14ac:dyDescent="0.45">
      <c r="B11" s="34" t="s">
        <v>23</v>
      </c>
      <c r="C11" s="34" t="s">
        <v>36</v>
      </c>
      <c r="H11" s="34" t="s">
        <v>21</v>
      </c>
      <c r="I11" s="34" t="s">
        <v>74</v>
      </c>
    </row>
    <row r="12" spans="2:9" ht="28.5" x14ac:dyDescent="0.45">
      <c r="B12" s="34" t="s">
        <v>24</v>
      </c>
      <c r="C12" s="34" t="s">
        <v>37</v>
      </c>
      <c r="H12" s="34" t="s">
        <v>14</v>
      </c>
      <c r="I12" s="34" t="s">
        <v>77</v>
      </c>
    </row>
    <row r="13" spans="2:9" ht="28.5" x14ac:dyDescent="0.45">
      <c r="B13" s="34" t="s">
        <v>25</v>
      </c>
      <c r="C13" s="34" t="s">
        <v>38</v>
      </c>
      <c r="H13" s="34" t="s">
        <v>15</v>
      </c>
      <c r="I13" s="34" t="s">
        <v>75</v>
      </c>
    </row>
    <row r="14" spans="2:9" ht="42.75" x14ac:dyDescent="0.45">
      <c r="B14" s="34" t="s">
        <v>26</v>
      </c>
      <c r="C14" s="34" t="s">
        <v>32</v>
      </c>
      <c r="H14" s="34" t="s">
        <v>70</v>
      </c>
      <c r="I14" s="34" t="s">
        <v>80</v>
      </c>
    </row>
    <row r="15" spans="2:9" ht="57" x14ac:dyDescent="0.45">
      <c r="B15" s="34" t="s">
        <v>14</v>
      </c>
      <c r="C15" s="34" t="s">
        <v>39</v>
      </c>
      <c r="H15" s="34" t="s">
        <v>49</v>
      </c>
      <c r="I15" s="37" t="s">
        <v>79</v>
      </c>
    </row>
    <row r="16" spans="2:9" ht="28.5" x14ac:dyDescent="0.45">
      <c r="B16" s="34" t="s">
        <v>27</v>
      </c>
      <c r="C16" s="34" t="s">
        <v>40</v>
      </c>
    </row>
    <row r="17" spans="2:8" ht="28.5" x14ac:dyDescent="0.45">
      <c r="B17" s="34" t="s">
        <v>28</v>
      </c>
      <c r="C17" s="34" t="s">
        <v>34</v>
      </c>
    </row>
    <row r="18" spans="2:8" ht="185.25" x14ac:dyDescent="0.45">
      <c r="B18" s="34" t="s">
        <v>49</v>
      </c>
      <c r="C18" s="36" t="s">
        <v>78</v>
      </c>
    </row>
    <row r="19" spans="2:8" x14ac:dyDescent="0.45">
      <c r="C19" s="10"/>
    </row>
    <row r="20" spans="2:8" x14ac:dyDescent="0.45">
      <c r="C20" s="10"/>
    </row>
    <row r="21" spans="2:8" x14ac:dyDescent="0.45">
      <c r="B21" s="19" t="s">
        <v>95</v>
      </c>
    </row>
    <row r="22" spans="2:8" x14ac:dyDescent="0.45">
      <c r="B22" s="20" t="str" cm="1">
        <f t="array" aca="1" ref="B22:B39" ca="1">CodeToRegister(B4,C4,C6:C17)</f>
        <v>Sub RegisterCSVRead()</v>
      </c>
      <c r="H22" s="20" t="str" cm="1">
        <f t="array" aca="1" ref="H22:H36" ca="1">CodeToRegister(H4,I4,I6:I14)</f>
        <v>Sub RegisterCSVWrite()</v>
      </c>
    </row>
    <row r="23" spans="2:8" x14ac:dyDescent="0.45">
      <c r="B23" s="20" t="str">
        <f ca="1"/>
        <v xml:space="preserve">    Const FnDesc = "Returns the contents of a comma-separated file on disk as an array."</v>
      </c>
      <c r="H23" s="20" t="str">
        <f ca="1"/>
        <v xml:space="preserve">    Const FnDesc = "Creates a csv file on disk containing the data in the array Data. Any existing file of the same name is overwritten. If successful, the function returns the name of the file written, otherwise an error string. "</v>
      </c>
    </row>
    <row r="24" spans="2:8" x14ac:dyDescent="0.45">
      <c r="B24" s="20" t="str">
        <f ca="1"/>
        <v xml:space="preserve">    Dim ArgDescs() As String</v>
      </c>
      <c r="H24" s="20" t="str">
        <f ca="1"/>
        <v xml:space="preserve">    Dim ArgDescs() As String</v>
      </c>
    </row>
    <row r="25" spans="2:8" x14ac:dyDescent="0.45">
      <c r="B25" s="20" t="str">
        <f ca="1"/>
        <v xml:space="preserve">    ReDim ArgDescs(1 To 12)</v>
      </c>
      <c r="H25" s="20" t="str">
        <f ca="1"/>
        <v xml:space="preserve">    ReDim ArgDescs(1 To 9)</v>
      </c>
    </row>
    <row r="26" spans="2:8" x14ac:dyDescent="0.45">
      <c r="B26" s="21" t="str">
        <f ca="1"/>
        <v xml:space="preserve">    ArgDescs(1) = "The full name of the file, including the path."</v>
      </c>
      <c r="H26" s="20" t="str">
        <f ca="1"/>
        <v xml:space="preserve">    ArgDescs(1) = "The full name of the file, including the path."</v>
      </c>
    </row>
    <row r="27" spans="2:8" x14ac:dyDescent="0.45">
      <c r="B27" s="20" t="str">
        <f ca="1"/>
        <v xml:space="preserve">    ArgDescs(2) = "TRUE to convert Numbers, Dates, Logicals and Excel Errors into their typed values, or FALSE to leave as strings. For more control enter a string containing the letters N,D,L, and E eg ""NL"" to convert just numbers and logicals, not dates or errors."</v>
      </c>
      <c r="H27" s="20" t="str">
        <f ca="1"/>
        <v xml:space="preserve">    ArgDescs(2) = "An array of arbitrary data. Elements may be strings, numbers, dates, Booleans, empty, Excel errors or null values."</v>
      </c>
    </row>
    <row r="28" spans="2:8" x14ac:dyDescent="0.45">
      <c r="B28" s="20" t="str">
        <f ca="1"/>
        <v xml:space="preserve">    ArgDescs(3) = "Delimiter character. Defaults to the first instance of comma, tab, semi-colon, colon or vertical bar found in the file outside quoted regions. Enter FALSE to to see the file's raw contents as would be displayed in a text editor."</v>
      </c>
      <c r="H28" s="20" t="str">
        <f ca="1"/>
        <v xml:space="preserve">    ArgDescs(3) = "If TRUE (the default) then ALL strings are quoted before being written to file. Otherwise (FALSE) only strings containing characters comma, line feed, carriage return or double quote are quoted. Double quotes are always escaped by a second double quote."</v>
      </c>
    </row>
    <row r="29" spans="2:8" x14ac:dyDescent="0.45">
      <c r="B29" s="20" t="str">
        <f ca="1"/>
        <v xml:space="preserve">    ArgDescs(4) = "The format of dates in the file such as D-M-Y, M-D-Y or Y/M/D. If omitted a value is read from Windows regional settings. Repeated D's (or M's or Y's) are equivalent to single instances, so that d-m-y and DD-MMM-YYYY are equivalent."</v>
      </c>
      <c r="H29" s="20" t="str">
        <f ca="1"/>
        <v xml:space="preserve">    ArgDescs(4) = "A format string, such as 'yyyy-mm-dd' that determine how dates (e.g. cells formatted as dates) appear in the file."</v>
      </c>
    </row>
    <row r="30" spans="2:8" x14ac:dyDescent="0.45">
      <c r="B30" s="20" t="str">
        <f ca="1"/>
        <v xml:space="preserve">    ArgDescs(5) = "The ""row"" in the file at which reading starts. Optional and defaults to 1 to read from the first row."</v>
      </c>
      <c r="H30" s="20" t="str">
        <f ca="1"/>
        <v xml:space="preserve">    ArgDescs(5) = "A format string, such as 'yyyy-mm-dd hh:mm:ss' that determine how elements of dates with time appear in the file. Currently the companion function CVSRead is not capable of interpreting fields written in DateTime format."</v>
      </c>
    </row>
    <row r="31" spans="2:8" x14ac:dyDescent="0.45">
      <c r="B31" s="20" t="str">
        <f ca="1"/>
        <v xml:space="preserve">    ArgDescs(6) = "The ""column"" in the file at which reading starts. Optional and defaults to 1 to read from the first column."</v>
      </c>
      <c r="H31" s="20" t="str">
        <f ca="1"/>
        <v xml:space="preserve">    ArgDescs(6) = "If TRUE then the file written is encoded as unicode. Defaults to FALSE for an ascii file."</v>
      </c>
    </row>
    <row r="32" spans="2:8" x14ac:dyDescent="0.45">
      <c r="B32" s="20" t="str">
        <f ca="1"/>
        <v xml:space="preserve">    ArgDescs(7) = "The number of rows to read from the file. If omitted (or zero), all rows from StartRow to the end of the file are read."</v>
      </c>
      <c r="H32" s="20" t="str">
        <f ca="1"/>
        <v xml:space="preserve">    ArgDescs(7) = "If FALSE (the default) the file written will be ascii. If TRUE the file written will be Unicode."</v>
      </c>
    </row>
    <row r="33" spans="2:8" x14ac:dyDescent="0.45">
      <c r="B33" s="20" t="str">
        <f ca="1"/>
        <v xml:space="preserve">    ArgDescs(8) = "The number of columns to read from the file. If omitted (or zero), all columns from StartColumn are read."</v>
      </c>
      <c r="H33" s="20" t="str">
        <f ca="1"/>
        <v xml:space="preserve">    ArgDescs(8) = "Enter the required line ending character as ""Windows"" (or ascii 13 plus ascii 10), or ""Unix"" (or ascii 10) or ""Mac"" (or ascii 13). If omitted defaults to ""Windows""."</v>
      </c>
    </row>
    <row r="34" spans="2:8" x14ac:dyDescent="0.45">
      <c r="B34" s="20" t="str">
        <f ca="1"/>
        <v xml:space="preserve">    ArgDescs(9) = """Windows"" (or ascii 13 + 10, or FALSE), ""Unix"" (or ascii 10, or TRUE) or ""Mac"" (or ascii 13)  to specify line-endings, or ""Mixed"" for inconsistent line endings. Omit to infer from the first line ending found outside quoted regions."</v>
      </c>
      <c r="H34" s="20" t="str">
        <f ca="1"/>
        <v xml:space="preserve">    ArgDescs(9) = "This argument is for develop purposes only, it will soon be removed."</v>
      </c>
    </row>
    <row r="35" spans="2:8" x14ac:dyDescent="0.45">
      <c r="B35" s="20" t="str">
        <f ca="1"/>
        <v xml:space="preserve">    ArgDescs(10) = "Enter TRUE if the file is unicode, FALSE if the file is ascii. Omit to guess (via function sFileIsUnicode)."</v>
      </c>
      <c r="H35" s="20" t="str">
        <f ca="1"/>
        <v xml:space="preserve">    Application.MacroOptions "CSVWrite", FnDesc, , , , , , , , , ArgDescs</v>
      </c>
    </row>
    <row r="36" spans="2:8" x14ac:dyDescent="0.45">
      <c r="B36" s="20" t="str">
        <f ca="1"/>
        <v xml:space="preserve">    ArgDescs(11) = "Value to represent empty fields (successive delimiters) in the file. May be a string or an Empty value. Optional and defaults to the zero-length string."</v>
      </c>
      <c r="H36" s="20" t="str">
        <f ca="1"/>
        <v>End Sub</v>
      </c>
    </row>
    <row r="37" spans="2:8" x14ac:dyDescent="0.45">
      <c r="B37" s="20" t="str">
        <f ca="1"/>
        <v xml:space="preserve">    ArgDescs(12) = "The character that represents a decimal point. If omitted, then the value from Windows regional settings is used."</v>
      </c>
    </row>
    <row r="38" spans="2:8" x14ac:dyDescent="0.45">
      <c r="B38" s="20" t="str">
        <f ca="1"/>
        <v xml:space="preserve">    Application.MacroOptions "CSVRead", FnDesc, , , , , , , , , ArgDescs</v>
      </c>
    </row>
    <row r="39" spans="2:8" x14ac:dyDescent="0.45">
      <c r="B39" s="20" t="str">
        <f ca="1"/>
        <v>End Sub</v>
      </c>
    </row>
    <row r="40" spans="2:8" x14ac:dyDescent="0.45">
      <c r="B40" s="20"/>
    </row>
    <row r="42" spans="2:8" x14ac:dyDescent="0.45">
      <c r="B42" s="18" t="s">
        <v>47</v>
      </c>
      <c r="H42" s="18" t="s">
        <v>47</v>
      </c>
    </row>
    <row r="43" spans="2:8" x14ac:dyDescent="0.45">
      <c r="B43" s="20" t="str" cm="1">
        <f t="array" aca="1" ref="B43:B91" ca="1">HelpForVBE(B4,C4,B6:B17,C6:C17,C18)</f>
        <v>'---------------------------------------------------------------------------------------------------------</v>
      </c>
      <c r="H43" s="20" t="str" cm="1">
        <f t="array" aca="1" ref="H43:H73" ca="1">HelpForVBE(H4,I4,H6:H14,I6:I14,I15)</f>
        <v>'---------------------------------------------------------------------------------------------------------</v>
      </c>
    </row>
    <row r="44" spans="2:8" x14ac:dyDescent="0.45">
      <c r="B44" s="20" t="str">
        <f ca="1"/>
        <v>' Procedure : CSVRead</v>
      </c>
      <c r="H44" s="20" t="str">
        <f ca="1"/>
        <v>' Procedure : CSVWrite</v>
      </c>
    </row>
    <row r="45" spans="2:8" x14ac:dyDescent="0.45">
      <c r="B45" s="20" t="str">
        <f ca="1"/>
        <v>' Purpose   : Returns the contents of a comma-separated file on disk as an array.</v>
      </c>
      <c r="H45" s="20" t="str">
        <f ca="1"/>
        <v>' Purpose   : Creates a csv file on disk containing the data in the array Data. Any existing file of the</v>
      </c>
    </row>
    <row r="46" spans="2:8" x14ac:dyDescent="0.45">
      <c r="B46" s="20" t="str">
        <f ca="1"/>
        <v>' Arguments</v>
      </c>
      <c r="H46" s="20" t="str">
        <f ca="1"/>
        <v>'             same name is overwritten. If successful, the function returns the name of the</v>
      </c>
    </row>
    <row r="47" spans="2:8" x14ac:dyDescent="0.45">
      <c r="B47" s="20" t="str">
        <f ca="1"/>
        <v>' FileName  : The full name of the file, including the path.</v>
      </c>
      <c r="H47" s="20" t="str">
        <f ca="1"/>
        <v xml:space="preserve">'             file written, otherwise an error string. </v>
      </c>
    </row>
    <row r="48" spans="2:8" x14ac:dyDescent="0.45">
      <c r="B48" s="20" t="str">
        <f ca="1"/>
        <v>' TypeConversion: TRUE to convert Numbers, Dates, Logicals and Excel Errors into their typed values, or</v>
      </c>
      <c r="H48" s="20" t="str">
        <f ca="1"/>
        <v>' Arguments</v>
      </c>
    </row>
    <row r="49" spans="2:8" x14ac:dyDescent="0.45">
      <c r="B49" s="20" t="str">
        <f ca="1"/>
        <v>'             FALSE to leave as strings. For more control enter a string containing the</v>
      </c>
      <c r="H49" s="20" t="str">
        <f ca="1"/>
        <v>' FileName  : The full name of the file, including the path.</v>
      </c>
    </row>
    <row r="50" spans="2:8" x14ac:dyDescent="0.45">
      <c r="B50" s="20" t="str">
        <f ca="1"/>
        <v>'             letters N,D,L, and E eg "NL" to convert just numbers and logicals, not dates</v>
      </c>
      <c r="H50" s="20" t="str">
        <f ca="1"/>
        <v>' Data      : An array of arbitrary data. Elements may be strings, numbers, dates, Booleans, empty,</v>
      </c>
    </row>
    <row r="51" spans="2:8" x14ac:dyDescent="0.45">
      <c r="B51" s="20" t="str">
        <f ca="1"/>
        <v>'             or errors.</v>
      </c>
      <c r="H51" s="20" t="str">
        <f ca="1"/>
        <v>'             Excel errors or null values.</v>
      </c>
    </row>
    <row r="52" spans="2:8" x14ac:dyDescent="0.45">
      <c r="B52" s="20" t="str">
        <f ca="1"/>
        <v>' Delimiter : Delimiter character. Defaults to the first instance of comma, tab, semi-colon, colon or</v>
      </c>
      <c r="H52" s="20" t="str">
        <f ca="1"/>
        <v>' QuoteAllStrings: If TRUE (the default) then ALL strings are quoted before being written to file. Otherwise</v>
      </c>
    </row>
    <row r="53" spans="2:8" x14ac:dyDescent="0.45">
      <c r="B53" s="20" t="str">
        <f ca="1"/>
        <v>'             vertical bar found in the file outside quoted regions. Enter FALSE to to see</v>
      </c>
      <c r="H53" s="20" t="str">
        <f ca="1"/>
        <v>'             (FALSE) only strings containing characters comma, line feed, carriage return</v>
      </c>
    </row>
    <row r="54" spans="2:8" x14ac:dyDescent="0.45">
      <c r="B54" s="20" t="str">
        <f ca="1"/>
        <v>'             the file's raw contents as would be displayed in a text editor.</v>
      </c>
      <c r="H54" s="20" t="str">
        <f ca="1"/>
        <v>'             or double quote are quoted. Double quotes are always escaped by a second</v>
      </c>
    </row>
    <row r="55" spans="2:8" x14ac:dyDescent="0.45">
      <c r="B55" s="20" t="str">
        <f ca="1"/>
        <v>' DateFormat: The format of dates in the file such as D-M-Y, M-D-Y or Y/M/D. If omitted a value is read</v>
      </c>
      <c r="H55" s="20" t="str">
        <f ca="1"/>
        <v>'             double quote.</v>
      </c>
    </row>
    <row r="56" spans="2:8" x14ac:dyDescent="0.45">
      <c r="B56" s="20" t="str">
        <f ca="1"/>
        <v>'             from Windows regional settings. Repeated D's (or M's or Y's) are equivalent</v>
      </c>
      <c r="H56" s="20" t="str">
        <f ca="1"/>
        <v>' DateFormat: A format string, such as 'yyyy-mm-dd' that determine how dates (e.g. cells formatted as</v>
      </c>
    </row>
    <row r="57" spans="2:8" x14ac:dyDescent="0.45">
      <c r="B57" s="20" t="str">
        <f ca="1"/>
        <v>'             to single instances, so that d-m-y and DD-MMM-YYYY are equivalent.</v>
      </c>
      <c r="H57" s="20" t="str">
        <f ca="1"/>
        <v>'             dates) appear in the file.</v>
      </c>
    </row>
    <row r="58" spans="2:8" x14ac:dyDescent="0.45">
      <c r="B58" s="20" t="str">
        <f ca="1"/>
        <v>' StartRow  : The "row" in the file at which reading starts. Optional and defaults to 1 to read from the</v>
      </c>
      <c r="H58" s="20" t="str">
        <f ca="1"/>
        <v>' DateTimeFormat: A format string, such as 'yyyy-mm-dd hh:mm:ss' that determine how elements of dates with</v>
      </c>
    </row>
    <row r="59" spans="2:8" x14ac:dyDescent="0.45">
      <c r="B59" s="20" t="str">
        <f ca="1"/>
        <v>'             first row.</v>
      </c>
      <c r="H59" s="20" t="str">
        <f ca="1"/>
        <v>'             time appear in the file. Currently the companion function CVSRead is not</v>
      </c>
    </row>
    <row r="60" spans="2:8" x14ac:dyDescent="0.45">
      <c r="B60" s="20" t="str">
        <f ca="1"/>
        <v>' StartCol  : The "column" in the file at which reading starts. Optional and defaults to 1 to read from</v>
      </c>
      <c r="H60" s="20" t="str">
        <f ca="1"/>
        <v>'             capable of interpreting fields written in DateTime format.</v>
      </c>
    </row>
    <row r="61" spans="2:8" x14ac:dyDescent="0.45">
      <c r="B61" s="20" t="str">
        <f ca="1"/>
        <v>'             the first column.</v>
      </c>
      <c r="H61" s="20" t="str">
        <f ca="1"/>
        <v>' Delimiter : If TRUE then the file written is encoded as unicode. Defaults to FALSE for an ascii file.</v>
      </c>
    </row>
    <row r="62" spans="2:8" x14ac:dyDescent="0.45">
      <c r="B62" s="20" t="str">
        <f ca="1"/>
        <v>' NumRows   : The number of rows to read from the file. If omitted (or zero), all rows from StartRow to</v>
      </c>
      <c r="H62" s="20" t="str">
        <f ca="1"/>
        <v>' Unicode   : If FALSE (the default) the file written will be ascii. If TRUE the file written will be</v>
      </c>
    </row>
    <row r="63" spans="2:8" x14ac:dyDescent="0.45">
      <c r="B63" s="20" t="str">
        <f ca="1"/>
        <v>'             the end of the file are read.</v>
      </c>
      <c r="H63" s="20" t="str">
        <f ca="1"/>
        <v>'             Unicode.</v>
      </c>
    </row>
    <row r="64" spans="2:8" x14ac:dyDescent="0.45">
      <c r="B64" s="20" t="str">
        <f ca="1"/>
        <v>' NumCols   : The number of columns to read from the file. If omitted (or zero), all columns from</v>
      </c>
      <c r="H64" s="20" t="str">
        <f ca="1"/>
        <v>' EOL       : Enter the required line ending character as "Windows" (or ascii 13 plus ascii 10), or</v>
      </c>
    </row>
    <row r="65" spans="2:8" x14ac:dyDescent="0.45">
      <c r="B65" s="20" t="str">
        <f ca="1"/>
        <v>'             StartColumn are read.</v>
      </c>
      <c r="H65" s="20" t="str">
        <f ca="1"/>
        <v>'             "Unix" (or ascii 10) or "Mac" (or ascii 13). If omitted defaults to</v>
      </c>
    </row>
    <row r="66" spans="2:8" x14ac:dyDescent="0.45">
      <c r="B66" s="20" t="str">
        <f ca="1"/>
        <v>' LineEndings: "Windows" (or ascii 13 + 10, or FALSE), "Unix" (or ascii 10, or TRUE) or "Mac" (or ascii</v>
      </c>
      <c r="H66" s="20" t="str">
        <f ca="1"/>
        <v>'             "Windows".</v>
      </c>
    </row>
    <row r="67" spans="2:8" x14ac:dyDescent="0.45">
      <c r="B67" s="20" t="str">
        <f ca="1"/>
        <v>'             13)  to specify line-endings, or "Mixed" for inconsistent line endings. Omit</v>
      </c>
      <c r="H67" s="20" t="str">
        <f ca="1"/>
        <v>' Ragged    : This argument is for develop purposes only, it will soon be removed.</v>
      </c>
    </row>
    <row r="68" spans="2:8" x14ac:dyDescent="0.45">
      <c r="B68" s="20" t="str">
        <f ca="1"/>
        <v>'             to infer from the first line ending found outside quoted regions.</v>
      </c>
      <c r="H68" s="20" t="str">
        <f ca="1"/>
        <v>'</v>
      </c>
    </row>
    <row r="69" spans="2:8" x14ac:dyDescent="0.45">
      <c r="B69" s="20" t="str">
        <f ca="1"/>
        <v>' Unicode   : Enter TRUE if the file is unicode, FALSE if the file is ascii. Omit to guess (via function</v>
      </c>
      <c r="H69" s="20" t="str">
        <f ca="1"/>
        <v>' Notes     : See also CSVRead which is the inverse of this function.</v>
      </c>
    </row>
    <row r="70" spans="2:8" x14ac:dyDescent="0.45">
      <c r="B70" s="20" t="str">
        <f ca="1"/>
        <v>'             sFileIsUnicode).</v>
      </c>
      <c r="H70" s="20" t="str">
        <f ca="1"/>
        <v xml:space="preserve">'             </v>
      </c>
    </row>
    <row r="71" spans="2:8" x14ac:dyDescent="0.45">
      <c r="B71" s="20" t="str">
        <f ca="1"/>
        <v>' ShowMissingsAs: Value to represent empty fields (successive delimiters) in the file. May be a string or an</v>
      </c>
      <c r="H71" s="20" t="str">
        <f ca="1"/>
        <v>'             For definition of the CSV format see</v>
      </c>
    </row>
    <row r="72" spans="2:8" x14ac:dyDescent="0.45">
      <c r="B72" s="20" t="str">
        <f ca="1"/>
        <v>'             Empty value. Optional and defaults to the zero-length string.</v>
      </c>
      <c r="H72" s="20" t="str">
        <f ca="1"/>
        <v>'             https://tools.ietf.org/html/rfc4180#section-2</v>
      </c>
    </row>
    <row r="73" spans="2:8" x14ac:dyDescent="0.45">
      <c r="B73" s="20" t="str">
        <f ca="1"/>
        <v>' DecimalSeparator: The character that represents a decimal point. If omitted, then the value from Windows</v>
      </c>
      <c r="H73" s="20" t="str">
        <f ca="1"/>
        <v>'---------------------------------------------------------------------------------------------------------</v>
      </c>
    </row>
    <row r="74" spans="2:8" x14ac:dyDescent="0.45">
      <c r="B74" s="20" t="str">
        <f ca="1"/>
        <v>'             regional settings is used.</v>
      </c>
      <c r="H74" s="20"/>
    </row>
    <row r="75" spans="2:8" x14ac:dyDescent="0.45">
      <c r="B75" s="20" t="str">
        <f ca="1"/>
        <v>'</v>
      </c>
      <c r="H75" s="20"/>
    </row>
    <row r="76" spans="2:8" x14ac:dyDescent="0.45">
      <c r="B76" s="20" t="str">
        <f ca="1"/>
        <v>' Notes     : See also CSVWrite for which this function is the inverse.</v>
      </c>
      <c r="H76" s="20"/>
    </row>
    <row r="77" spans="2:8" x14ac:dyDescent="0.45">
      <c r="B77" s="20" t="str">
        <f ca="1"/>
        <v xml:space="preserve">'             </v>
      </c>
      <c r="H77" s="20"/>
    </row>
    <row r="78" spans="2:8" x14ac:dyDescent="0.45">
      <c r="B78" s="20" t="str">
        <f ca="1"/>
        <v>'             The function handles all csv files that conform to the standards described in</v>
      </c>
      <c r="H78" s="20"/>
    </row>
    <row r="79" spans="2:8" x14ac:dyDescent="0.45">
      <c r="B79" s="20" t="str">
        <f ca="1"/>
        <v>'             RFC4180  https://www.rfc-editor.org/rfc/rfc4180.txt including files with</v>
      </c>
      <c r="H79" s="20"/>
    </row>
    <row r="80" spans="2:8" x14ac:dyDescent="0.45">
      <c r="B80" s="20" t="str">
        <f ca="1"/>
        <v>'             quoted fields.</v>
      </c>
      <c r="H80" s="20"/>
    </row>
    <row r="81" spans="2:8" x14ac:dyDescent="0.45">
      <c r="B81" s="20" t="str">
        <f ca="1"/>
        <v xml:space="preserve">'             </v>
      </c>
      <c r="H81" s="20"/>
    </row>
    <row r="82" spans="2:8" x14ac:dyDescent="0.45">
      <c r="B82" s="20" t="str">
        <f ca="1"/>
        <v>'             In addition the function handles files which break some of those standards:</v>
      </c>
      <c r="H82" s="20"/>
    </row>
    <row r="83" spans="2:8" x14ac:dyDescent="0.45">
      <c r="B83" s="20" t="str">
        <f ca="1"/>
        <v>'             * Not all lines of the file need have the same number of fields. The function</v>
      </c>
      <c r="H83" s="20"/>
    </row>
    <row r="84" spans="2:8" x14ac:dyDescent="0.45">
      <c r="B84" s="20" t="str">
        <f ca="1"/>
        <v>'             "pads" with the value given by ShowMissingsAs.</v>
      </c>
      <c r="H84" s="20"/>
    </row>
    <row r="85" spans="2:8" x14ac:dyDescent="0.45">
      <c r="B85" s="20" t="str">
        <f ca="1"/>
        <v>'             * Fields which start with a double quote but do not end with a double quote</v>
      </c>
      <c r="H85" s="20"/>
    </row>
    <row r="86" spans="2:8" x14ac:dyDescent="0.45">
      <c r="B86" s="20" t="str">
        <f ca="1"/>
        <v>'             are handled by being returned unchanged. Necessarily such fields have an even</v>
      </c>
      <c r="H86" s="20"/>
    </row>
    <row r="87" spans="2:8" x14ac:dyDescent="0.45">
      <c r="B87" s="20" t="str">
        <f ca="1"/>
        <v>'             number of double quotes, or otherwise the field will be treated as the last</v>
      </c>
      <c r="H87" s="20"/>
    </row>
    <row r="88" spans="2:8" x14ac:dyDescent="0.45">
      <c r="B88" s="20" t="str">
        <f ca="1"/>
        <v>'             field in the file.</v>
      </c>
      <c r="H88" s="20"/>
    </row>
    <row r="89" spans="2:8" x14ac:dyDescent="0.45">
      <c r="B89" s="20" t="str">
        <f ca="1"/>
        <v>'             * The standard states that csv files should have Windows-style line endings,</v>
      </c>
      <c r="H89" s="20"/>
    </row>
    <row r="90" spans="2:8" x14ac:dyDescent="0.45">
      <c r="B90" s="20" t="str">
        <f ca="1"/>
        <v>'             but the function supports Windows, Unix and (old) Mac line endings.</v>
      </c>
      <c r="H90" s="20"/>
    </row>
    <row r="91" spans="2:8" x14ac:dyDescent="0.45">
      <c r="B91" s="20" t="str">
        <f ca="1"/>
        <v>'---------------------------------------------------------------------------------------------------------</v>
      </c>
      <c r="H91" s="20"/>
    </row>
    <row r="92" spans="2:8" x14ac:dyDescent="0.45">
      <c r="B92" s="20"/>
      <c r="H92" s="20"/>
    </row>
    <row r="93" spans="2:8" x14ac:dyDescent="0.45">
      <c r="B93" s="20"/>
      <c r="H93" s="20"/>
    </row>
    <row r="94" spans="2:8" x14ac:dyDescent="0.45">
      <c r="B94" s="20"/>
      <c r="H94" s="20"/>
    </row>
    <row r="95" spans="2:8" x14ac:dyDescent="0.45">
      <c r="B95" s="20"/>
      <c r="H95"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20"/>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57</v>
      </c>
      <c r="U3" s="18" t="s">
        <v>87</v>
      </c>
    </row>
    <row r="4" spans="2:21" x14ac:dyDescent="0.45">
      <c r="I4" s="38" t="s">
        <v>58</v>
      </c>
      <c r="U4" s="31" t="s">
        <v>88</v>
      </c>
    </row>
    <row r="5" spans="2:21" x14ac:dyDescent="0.45">
      <c r="B5" s="2" t="s">
        <v>3</v>
      </c>
      <c r="C5" s="6" t="s">
        <v>4</v>
      </c>
      <c r="D5" s="48" t="s">
        <v>5</v>
      </c>
      <c r="E5" s="3" t="s">
        <v>6</v>
      </c>
      <c r="F5" s="8" t="s">
        <v>7</v>
      </c>
      <c r="I5" t="s">
        <v>59</v>
      </c>
      <c r="U5" s="31" t="s">
        <v>89</v>
      </c>
    </row>
    <row r="6" spans="2:21" x14ac:dyDescent="0.45">
      <c r="B6" s="47">
        <v>6</v>
      </c>
      <c r="C6" s="11">
        <v>44414</v>
      </c>
      <c r="D6" s="49">
        <v>0.66607638888672227</v>
      </c>
      <c r="E6" s="12" t="s">
        <v>8</v>
      </c>
      <c r="F6" s="14" t="s">
        <v>258</v>
      </c>
      <c r="I6" t="s">
        <v>60</v>
      </c>
    </row>
    <row r="7" spans="2:21" x14ac:dyDescent="0.45">
      <c r="B7" s="39">
        <v>5</v>
      </c>
      <c r="C7" s="11">
        <v>44412</v>
      </c>
      <c r="D7" s="49">
        <v>0.34912037036701804</v>
      </c>
      <c r="E7" s="12" t="s">
        <v>8</v>
      </c>
      <c r="F7" s="14" t="s">
        <v>98</v>
      </c>
      <c r="I7" t="s">
        <v>66</v>
      </c>
    </row>
    <row r="8" spans="2:21" x14ac:dyDescent="0.45">
      <c r="B8" s="39">
        <v>4</v>
      </c>
      <c r="C8" s="11">
        <v>44411</v>
      </c>
      <c r="D8" s="49">
        <v>0.37682870370190358</v>
      </c>
      <c r="E8" s="12" t="s">
        <v>8</v>
      </c>
      <c r="F8" s="13" t="s">
        <v>85</v>
      </c>
      <c r="I8" s="38" t="s">
        <v>67</v>
      </c>
    </row>
    <row r="9" spans="2:21" x14ac:dyDescent="0.45">
      <c r="B9" s="39">
        <v>3</v>
      </c>
      <c r="C9" s="11">
        <v>44406</v>
      </c>
      <c r="D9" s="49">
        <v>0.59842592592758592</v>
      </c>
      <c r="E9" s="12" t="s">
        <v>8</v>
      </c>
      <c r="F9" s="13" t="s">
        <v>11</v>
      </c>
      <c r="I9" t="s">
        <v>68</v>
      </c>
    </row>
    <row r="10" spans="2:21" x14ac:dyDescent="0.45">
      <c r="B10" s="39">
        <v>2</v>
      </c>
      <c r="C10" s="11">
        <v>44406</v>
      </c>
      <c r="D10" s="49">
        <v>0.57677083333692281</v>
      </c>
      <c r="E10" s="12" t="s">
        <v>8</v>
      </c>
      <c r="F10" s="14" t="s">
        <v>10</v>
      </c>
      <c r="I10" s="38" t="s">
        <v>84</v>
      </c>
    </row>
    <row r="11" spans="2:21" x14ac:dyDescent="0.45">
      <c r="B11" s="4">
        <v>1</v>
      </c>
      <c r="C11" s="7">
        <v>44400</v>
      </c>
      <c r="D11" s="50">
        <v>0.58872685184906004</v>
      </c>
      <c r="E11" s="5" t="s">
        <v>8</v>
      </c>
      <c r="F11" s="9" t="s">
        <v>9</v>
      </c>
      <c r="I11" s="10" t="s">
        <v>93</v>
      </c>
    </row>
    <row r="12" spans="2:21" x14ac:dyDescent="0.45">
      <c r="I12" s="10" t="s">
        <v>90</v>
      </c>
    </row>
    <row r="13" spans="2:21" x14ac:dyDescent="0.45">
      <c r="I13" t="s">
        <v>91</v>
      </c>
    </row>
    <row r="14" spans="2:21" x14ac:dyDescent="0.45">
      <c r="I14" t="s">
        <v>92</v>
      </c>
    </row>
    <row r="15" spans="2:21" x14ac:dyDescent="0.45">
      <c r="I15" s="10" t="s">
        <v>94</v>
      </c>
    </row>
    <row r="16" spans="2:21" x14ac:dyDescent="0.45">
      <c r="I16" s="10" t="s">
        <v>96</v>
      </c>
    </row>
    <row r="17" spans="9:9" x14ac:dyDescent="0.45">
      <c r="I17" s="10" t="s">
        <v>100</v>
      </c>
    </row>
    <row r="20" spans="9:9" x14ac:dyDescent="0.45">
      <c r="I20" s="18" t="s">
        <v>86</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30B5-1B64-4C7B-8E9E-D37FF8342CFE}">
  <sheetPr codeName="Sheet1"/>
  <dimension ref="A3:O183"/>
  <sheetViews>
    <sheetView showGridLines="0" showRowColHeaders="0" zoomScaleNormal="100" workbookViewId="0"/>
  </sheetViews>
  <sheetFormatPr defaultRowHeight="14.25" x14ac:dyDescent="0.45"/>
  <cols>
    <col min="2" max="2" width="17.33203125" bestFit="1" customWidth="1"/>
    <col min="3" max="3" width="9.6640625" bestFit="1" customWidth="1"/>
    <col min="6" max="6" width="12.73046875" bestFit="1" customWidth="1"/>
    <col min="7" max="8" width="9.73046875" bestFit="1" customWidth="1"/>
    <col min="9" max="9" width="9.73046875" customWidth="1"/>
    <col min="10" max="10" width="4.9296875" bestFit="1" customWidth="1"/>
    <col min="11" max="11" width="5.6640625" bestFit="1" customWidth="1"/>
    <col min="12" max="12" width="4.9296875" bestFit="1" customWidth="1"/>
    <col min="13" max="13" width="88.6640625" bestFit="1" customWidth="1"/>
    <col min="14" max="14" width="11.1328125" bestFit="1" customWidth="1"/>
    <col min="15" max="15" width="10.6640625" bestFit="1" customWidth="1"/>
  </cols>
  <sheetData>
    <row r="3" spans="2:14" x14ac:dyDescent="0.45">
      <c r="B3" t="s">
        <v>101</v>
      </c>
      <c r="C3" t="s">
        <v>24</v>
      </c>
      <c r="D3" t="s">
        <v>25</v>
      </c>
      <c r="E3" t="s">
        <v>128</v>
      </c>
      <c r="F3" t="s">
        <v>43</v>
      </c>
      <c r="G3" t="s">
        <v>102</v>
      </c>
      <c r="H3" t="s">
        <v>103</v>
      </c>
      <c r="I3" t="s">
        <v>125</v>
      </c>
      <c r="J3" t="s">
        <v>126</v>
      </c>
      <c r="K3" t="s">
        <v>127</v>
      </c>
      <c r="L3" t="s">
        <v>212</v>
      </c>
      <c r="M3" t="s">
        <v>0</v>
      </c>
      <c r="N3" t="s">
        <v>104</v>
      </c>
    </row>
    <row r="4" spans="2:14" x14ac:dyDescent="0.45">
      <c r="B4" t="s">
        <v>99</v>
      </c>
      <c r="C4" s="41">
        <v>1</v>
      </c>
      <c r="D4">
        <v>1</v>
      </c>
      <c r="E4" t="b">
        <v>1</v>
      </c>
      <c r="F4">
        <v>3.2079999800771475E-4</v>
      </c>
      <c r="G4">
        <v>1.7750001279637218E-4</v>
      </c>
      <c r="H4">
        <v>2.913409995380789E-2</v>
      </c>
      <c r="I4">
        <v>4.9940001918002963E-4</v>
      </c>
      <c r="J4" t="b">
        <v>1</v>
      </c>
      <c r="K4" t="b">
        <v>1</v>
      </c>
      <c r="L4" t="b">
        <v>1</v>
      </c>
      <c r="M4" t="s">
        <v>105</v>
      </c>
      <c r="N4" s="41">
        <v>3</v>
      </c>
    </row>
    <row r="5" spans="2:14" x14ac:dyDescent="0.45">
      <c r="B5" t="s">
        <v>99</v>
      </c>
      <c r="C5" s="41">
        <v>2</v>
      </c>
      <c r="D5">
        <v>1</v>
      </c>
      <c r="E5" t="b">
        <v>1</v>
      </c>
      <c r="F5">
        <v>1.3907000538893044E-3</v>
      </c>
      <c r="G5">
        <v>2.1520000882446766E-4</v>
      </c>
      <c r="H5">
        <v>2.97660002252087E-3</v>
      </c>
      <c r="I5">
        <v>4.2339996434748173E-4</v>
      </c>
      <c r="J5" t="b">
        <v>1</v>
      </c>
      <c r="K5" t="b">
        <v>1</v>
      </c>
      <c r="L5" t="b">
        <v>1</v>
      </c>
      <c r="M5" t="s">
        <v>152</v>
      </c>
      <c r="N5" s="41">
        <v>6</v>
      </c>
    </row>
    <row r="6" spans="2:14" x14ac:dyDescent="0.45">
      <c r="B6" t="s">
        <v>99</v>
      </c>
      <c r="C6" s="41">
        <v>4</v>
      </c>
      <c r="D6">
        <v>1</v>
      </c>
      <c r="E6" t="b">
        <v>1</v>
      </c>
      <c r="F6">
        <v>1.457100035622716E-3</v>
      </c>
      <c r="G6">
        <v>2.4660001508891582E-4</v>
      </c>
      <c r="H6">
        <v>3.5303999902680516E-3</v>
      </c>
      <c r="I6">
        <v>5.2579998737201095E-4</v>
      </c>
      <c r="J6" t="b">
        <v>1</v>
      </c>
      <c r="K6" t="b">
        <v>1</v>
      </c>
      <c r="L6" t="b">
        <v>1</v>
      </c>
      <c r="M6" t="s">
        <v>153</v>
      </c>
      <c r="N6" s="41">
        <v>12</v>
      </c>
    </row>
    <row r="7" spans="2:14" x14ac:dyDescent="0.45">
      <c r="B7" t="s">
        <v>99</v>
      </c>
      <c r="C7" s="41">
        <v>8</v>
      </c>
      <c r="D7">
        <v>1</v>
      </c>
      <c r="E7" t="b">
        <v>1</v>
      </c>
      <c r="F7">
        <v>2.8709000325761735E-3</v>
      </c>
      <c r="G7">
        <v>4.2280001798644662E-4</v>
      </c>
      <c r="H7">
        <v>1.5170800033956766E-2</v>
      </c>
      <c r="I7">
        <v>6.5390003146603703E-4</v>
      </c>
      <c r="J7" t="b">
        <v>1</v>
      </c>
      <c r="K7" t="b">
        <v>1</v>
      </c>
      <c r="L7" t="b">
        <v>1</v>
      </c>
      <c r="M7" t="s">
        <v>154</v>
      </c>
      <c r="N7" s="41">
        <v>24</v>
      </c>
    </row>
    <row r="8" spans="2:14" x14ac:dyDescent="0.45">
      <c r="B8" t="s">
        <v>99</v>
      </c>
      <c r="C8" s="41">
        <v>16</v>
      </c>
      <c r="D8">
        <v>1</v>
      </c>
      <c r="E8" t="b">
        <v>1</v>
      </c>
      <c r="F8">
        <v>1.6668000025674701E-3</v>
      </c>
      <c r="G8">
        <v>2.7540000155568123E-4</v>
      </c>
      <c r="H8">
        <v>3.8840000052005053E-3</v>
      </c>
      <c r="I8">
        <v>6.8180001107975841E-4</v>
      </c>
      <c r="J8" t="b">
        <v>1</v>
      </c>
      <c r="K8" t="b">
        <v>1</v>
      </c>
      <c r="L8" t="b">
        <v>1</v>
      </c>
      <c r="M8" t="s">
        <v>155</v>
      </c>
      <c r="N8" s="41">
        <v>48</v>
      </c>
    </row>
    <row r="9" spans="2:14" x14ac:dyDescent="0.45">
      <c r="B9" t="s">
        <v>99</v>
      </c>
      <c r="C9" s="41">
        <v>32</v>
      </c>
      <c r="D9">
        <v>1</v>
      </c>
      <c r="E9" t="b">
        <v>1</v>
      </c>
      <c r="F9">
        <v>2.5147999986074865E-3</v>
      </c>
      <c r="G9">
        <v>4.7050003195181489E-4</v>
      </c>
      <c r="H9">
        <v>6.7989000235684216E-3</v>
      </c>
      <c r="I9">
        <v>8.5630000103265047E-4</v>
      </c>
      <c r="J9" t="b">
        <v>1</v>
      </c>
      <c r="K9" t="b">
        <v>1</v>
      </c>
      <c r="L9" t="b">
        <v>1</v>
      </c>
      <c r="M9" t="s">
        <v>156</v>
      </c>
      <c r="N9" s="41">
        <v>96</v>
      </c>
    </row>
    <row r="10" spans="2:14" x14ac:dyDescent="0.45">
      <c r="B10" t="s">
        <v>99</v>
      </c>
      <c r="C10" s="41">
        <v>64</v>
      </c>
      <c r="D10">
        <v>1</v>
      </c>
      <c r="E10" t="b">
        <v>1</v>
      </c>
      <c r="F10">
        <v>3.4070999827235937E-3</v>
      </c>
      <c r="G10">
        <v>6.2880001496523619E-4</v>
      </c>
      <c r="H10">
        <v>6.6484000417403877E-3</v>
      </c>
      <c r="I10">
        <v>8.580000139772892E-4</v>
      </c>
      <c r="J10" t="b">
        <v>1</v>
      </c>
      <c r="K10" t="b">
        <v>1</v>
      </c>
      <c r="L10" t="b">
        <v>1</v>
      </c>
      <c r="M10" t="s">
        <v>157</v>
      </c>
      <c r="N10" s="41">
        <v>192</v>
      </c>
    </row>
    <row r="11" spans="2:14" x14ac:dyDescent="0.45">
      <c r="B11" t="s">
        <v>99</v>
      </c>
      <c r="C11" s="41">
        <v>128</v>
      </c>
      <c r="D11">
        <v>1</v>
      </c>
      <c r="E11" t="b">
        <v>1</v>
      </c>
      <c r="F11">
        <v>2.1640000049956143E-3</v>
      </c>
      <c r="G11">
        <v>8.5930002387613058E-4</v>
      </c>
      <c r="H11">
        <v>7.4389999499544501E-3</v>
      </c>
      <c r="I11">
        <v>1.0155999916605651E-3</v>
      </c>
      <c r="J11" t="b">
        <v>1</v>
      </c>
      <c r="K11" t="b">
        <v>1</v>
      </c>
      <c r="L11" t="b">
        <v>1</v>
      </c>
      <c r="M11" t="s">
        <v>158</v>
      </c>
      <c r="N11" s="41">
        <v>384</v>
      </c>
    </row>
    <row r="12" spans="2:14" x14ac:dyDescent="0.45">
      <c r="B12" t="s">
        <v>99</v>
      </c>
      <c r="C12" s="41">
        <v>256</v>
      </c>
      <c r="D12">
        <v>1</v>
      </c>
      <c r="E12" t="b">
        <v>1</v>
      </c>
      <c r="F12">
        <v>2.268599986564368E-3</v>
      </c>
      <c r="G12">
        <v>6.4139999449253082E-4</v>
      </c>
      <c r="H12">
        <v>4.841199959628284E-3</v>
      </c>
      <c r="I12">
        <v>1.194500015117228E-3</v>
      </c>
      <c r="J12" t="b">
        <v>1</v>
      </c>
      <c r="K12" t="b">
        <v>1</v>
      </c>
      <c r="L12" t="b">
        <v>1</v>
      </c>
      <c r="M12" t="s">
        <v>159</v>
      </c>
      <c r="N12" s="41">
        <v>768</v>
      </c>
    </row>
    <row r="13" spans="2:14" x14ac:dyDescent="0.45">
      <c r="B13" t="s">
        <v>99</v>
      </c>
      <c r="C13" s="41">
        <v>512</v>
      </c>
      <c r="D13">
        <v>1</v>
      </c>
      <c r="E13" t="b">
        <v>1</v>
      </c>
      <c r="F13">
        <v>2.5906999944709241E-3</v>
      </c>
      <c r="G13">
        <v>9.8549999529495835E-4</v>
      </c>
      <c r="H13">
        <v>5.4884999990463257E-3</v>
      </c>
      <c r="I13">
        <v>1.8201000057160854E-3</v>
      </c>
      <c r="J13" t="b">
        <v>1</v>
      </c>
      <c r="K13" t="b">
        <v>1</v>
      </c>
      <c r="L13" t="b">
        <v>1</v>
      </c>
      <c r="M13" t="s">
        <v>160</v>
      </c>
      <c r="N13" s="41">
        <v>1536</v>
      </c>
    </row>
    <row r="14" spans="2:14" x14ac:dyDescent="0.45">
      <c r="B14" t="s">
        <v>99</v>
      </c>
      <c r="C14" s="41">
        <v>1024</v>
      </c>
      <c r="D14">
        <v>1</v>
      </c>
      <c r="E14" t="b">
        <v>1</v>
      </c>
      <c r="F14">
        <v>3.7761999992653728E-3</v>
      </c>
      <c r="G14">
        <v>1.6467000241391361E-3</v>
      </c>
      <c r="H14">
        <v>7.8352999989874661E-3</v>
      </c>
      <c r="I14">
        <v>3.0936000403016806E-3</v>
      </c>
      <c r="J14" t="b">
        <v>1</v>
      </c>
      <c r="K14" t="b">
        <v>1</v>
      </c>
      <c r="L14" t="b">
        <v>1</v>
      </c>
      <c r="M14" t="s">
        <v>161</v>
      </c>
      <c r="N14" s="41">
        <v>3072</v>
      </c>
    </row>
    <row r="15" spans="2:14" x14ac:dyDescent="0.45">
      <c r="B15" t="s">
        <v>99</v>
      </c>
      <c r="C15" s="41">
        <v>2048</v>
      </c>
      <c r="D15">
        <v>1</v>
      </c>
      <c r="E15" t="b">
        <v>1</v>
      </c>
      <c r="F15">
        <v>4.8218999872915447E-3</v>
      </c>
      <c r="G15">
        <v>2.5647999718785286E-3</v>
      </c>
      <c r="H15">
        <v>1.0728900029789656E-2</v>
      </c>
      <c r="I15">
        <v>4.7195000224746764E-3</v>
      </c>
      <c r="J15" t="b">
        <v>1</v>
      </c>
      <c r="K15" t="b">
        <v>1</v>
      </c>
      <c r="L15" t="b">
        <v>1</v>
      </c>
      <c r="M15" t="s">
        <v>162</v>
      </c>
      <c r="N15" s="41">
        <v>6144</v>
      </c>
    </row>
    <row r="16" spans="2:14" x14ac:dyDescent="0.45">
      <c r="B16" t="s">
        <v>99</v>
      </c>
      <c r="C16" s="41">
        <v>4096</v>
      </c>
      <c r="D16">
        <v>1</v>
      </c>
      <c r="E16" t="b">
        <v>1</v>
      </c>
      <c r="F16">
        <v>8.338899991940707E-3</v>
      </c>
      <c r="G16">
        <v>4.6234000474214554E-3</v>
      </c>
      <c r="H16">
        <v>1.8054599990136921E-2</v>
      </c>
      <c r="I16">
        <v>8.6770000052638352E-3</v>
      </c>
      <c r="J16" t="b">
        <v>1</v>
      </c>
      <c r="K16" t="b">
        <v>1</v>
      </c>
      <c r="L16" t="b">
        <v>1</v>
      </c>
      <c r="M16" t="s">
        <v>163</v>
      </c>
      <c r="N16" s="41">
        <v>12288</v>
      </c>
    </row>
    <row r="17" spans="2:14" x14ac:dyDescent="0.45">
      <c r="B17" t="s">
        <v>99</v>
      </c>
      <c r="C17" s="41">
        <v>8192</v>
      </c>
      <c r="D17">
        <v>1</v>
      </c>
      <c r="E17" t="b">
        <v>1</v>
      </c>
      <c r="F17">
        <v>1.5329299960285425E-2</v>
      </c>
      <c r="G17">
        <v>9.1866000439040363E-3</v>
      </c>
      <c r="H17">
        <v>3.3267799997702241E-2</v>
      </c>
      <c r="I17">
        <v>1.7028199974447489E-2</v>
      </c>
      <c r="J17" t="b">
        <v>1</v>
      </c>
      <c r="K17" t="b">
        <v>1</v>
      </c>
      <c r="L17" t="b">
        <v>1</v>
      </c>
      <c r="M17" t="s">
        <v>164</v>
      </c>
      <c r="N17" s="41">
        <v>24576</v>
      </c>
    </row>
    <row r="18" spans="2:14" x14ac:dyDescent="0.45">
      <c r="B18" t="s">
        <v>99</v>
      </c>
      <c r="C18" s="41">
        <v>16384</v>
      </c>
      <c r="D18">
        <v>1</v>
      </c>
      <c r="E18" t="b">
        <v>1</v>
      </c>
      <c r="F18">
        <v>3.0944300000555813E-2</v>
      </c>
      <c r="G18">
        <v>1.8327899975702167E-2</v>
      </c>
      <c r="H18">
        <v>6.5643500012811273E-2</v>
      </c>
      <c r="I18">
        <v>4.1080700000748038E-2</v>
      </c>
      <c r="J18" t="b">
        <v>1</v>
      </c>
      <c r="K18" t="b">
        <v>1</v>
      </c>
      <c r="L18" t="b">
        <v>1</v>
      </c>
      <c r="M18" t="s">
        <v>165</v>
      </c>
      <c r="N18" s="41">
        <v>49152</v>
      </c>
    </row>
    <row r="19" spans="2:14" x14ac:dyDescent="0.45">
      <c r="B19" t="s">
        <v>99</v>
      </c>
      <c r="C19" s="41">
        <v>32768</v>
      </c>
      <c r="D19">
        <v>1</v>
      </c>
      <c r="E19" t="b">
        <v>1</v>
      </c>
      <c r="F19">
        <v>6.7925000039394945E-2</v>
      </c>
      <c r="G19">
        <v>3.7158400053158402E-2</v>
      </c>
      <c r="H19">
        <v>0.13885929994285107</v>
      </c>
      <c r="I19">
        <v>6.7482999991625547E-2</v>
      </c>
      <c r="J19" t="b">
        <v>1</v>
      </c>
      <c r="K19" t="b">
        <v>1</v>
      </c>
      <c r="L19" t="b">
        <v>1</v>
      </c>
      <c r="M19" t="s">
        <v>166</v>
      </c>
      <c r="N19" s="41">
        <v>98304</v>
      </c>
    </row>
    <row r="20" spans="2:14" x14ac:dyDescent="0.45">
      <c r="B20" t="s">
        <v>99</v>
      </c>
      <c r="C20" s="41">
        <v>65536</v>
      </c>
      <c r="D20">
        <v>1</v>
      </c>
      <c r="E20" t="b">
        <v>1</v>
      </c>
      <c r="F20">
        <v>0.1322232999955304</v>
      </c>
      <c r="G20">
        <v>8.6558600014541298E-2</v>
      </c>
      <c r="H20">
        <v>0.26650759996846318</v>
      </c>
      <c r="I20">
        <v>0.15778090001549572</v>
      </c>
      <c r="J20" t="b">
        <v>1</v>
      </c>
      <c r="K20" t="b">
        <v>1</v>
      </c>
      <c r="L20" t="b">
        <v>1</v>
      </c>
      <c r="M20" t="s">
        <v>167</v>
      </c>
      <c r="N20" s="41">
        <v>196608</v>
      </c>
    </row>
    <row r="21" spans="2:14" x14ac:dyDescent="0.45">
      <c r="B21" t="s">
        <v>99</v>
      </c>
      <c r="C21" s="41">
        <v>131072</v>
      </c>
      <c r="D21">
        <v>1</v>
      </c>
      <c r="E21" t="b">
        <v>0</v>
      </c>
      <c r="F21">
        <v>0.2817157999961637</v>
      </c>
      <c r="G21">
        <v>0.15215899999020621</v>
      </c>
      <c r="H21">
        <v>0.52334140002494678</v>
      </c>
      <c r="I21">
        <v>0.31716980005148798</v>
      </c>
      <c r="J21" t="s">
        <v>131</v>
      </c>
      <c r="K21" t="s">
        <v>131</v>
      </c>
      <c r="L21" t="s">
        <v>131</v>
      </c>
      <c r="M21" t="s">
        <v>168</v>
      </c>
      <c r="N21" s="41">
        <v>393216</v>
      </c>
    </row>
    <row r="22" spans="2:14" x14ac:dyDescent="0.45">
      <c r="B22" t="s">
        <v>99</v>
      </c>
      <c r="C22" s="41">
        <v>262144</v>
      </c>
      <c r="D22">
        <v>1</v>
      </c>
      <c r="E22" t="b">
        <v>0</v>
      </c>
      <c r="F22">
        <v>0.67035590001614764</v>
      </c>
      <c r="G22">
        <v>0.33121909998590127</v>
      </c>
      <c r="H22">
        <v>1.0348379000206478</v>
      </c>
      <c r="I22">
        <v>0.73024530004477128</v>
      </c>
      <c r="J22" t="s">
        <v>131</v>
      </c>
      <c r="K22" t="s">
        <v>131</v>
      </c>
      <c r="L22" t="s">
        <v>131</v>
      </c>
      <c r="M22" t="s">
        <v>169</v>
      </c>
      <c r="N22" s="41">
        <v>786432</v>
      </c>
    </row>
    <row r="23" spans="2:14" x14ac:dyDescent="0.45">
      <c r="B23" t="s">
        <v>99</v>
      </c>
      <c r="C23" s="41">
        <v>524288</v>
      </c>
      <c r="D23">
        <v>1</v>
      </c>
      <c r="E23" t="b">
        <v>0</v>
      </c>
      <c r="F23">
        <v>1.7941322000115179</v>
      </c>
      <c r="G23">
        <v>0.66031099995598197</v>
      </c>
      <c r="H23">
        <v>2.3724132000352256</v>
      </c>
      <c r="I23">
        <v>1.8446328000281937</v>
      </c>
      <c r="J23" t="s">
        <v>131</v>
      </c>
      <c r="K23" t="s">
        <v>131</v>
      </c>
      <c r="L23" t="s">
        <v>131</v>
      </c>
      <c r="M23" t="s">
        <v>170</v>
      </c>
      <c r="N23" s="41">
        <v>1572864</v>
      </c>
    </row>
    <row r="24" spans="2:14" x14ac:dyDescent="0.45">
      <c r="B24" t="s">
        <v>99</v>
      </c>
      <c r="C24" s="41">
        <v>1048576</v>
      </c>
      <c r="D24">
        <v>1</v>
      </c>
      <c r="E24" t="b">
        <v>0</v>
      </c>
      <c r="F24">
        <v>5.0547991000348702</v>
      </c>
      <c r="G24">
        <v>1.3424448000150733</v>
      </c>
      <c r="H24">
        <v>4.4980971000040881</v>
      </c>
      <c r="I24">
        <v>5.4279147000052035</v>
      </c>
      <c r="J24" t="s">
        <v>131</v>
      </c>
      <c r="K24" t="s">
        <v>131</v>
      </c>
      <c r="L24" t="s">
        <v>131</v>
      </c>
      <c r="M24" t="s">
        <v>171</v>
      </c>
      <c r="N24" s="41">
        <v>3145728</v>
      </c>
    </row>
    <row r="25" spans="2:14" x14ac:dyDescent="0.45">
      <c r="B25" t="s">
        <v>99</v>
      </c>
      <c r="C25" s="41">
        <v>2097152</v>
      </c>
      <c r="D25">
        <v>1</v>
      </c>
      <c r="E25" t="b">
        <v>0</v>
      </c>
      <c r="F25">
        <v>16.479525400034618</v>
      </c>
      <c r="G25">
        <v>2.6453000000328757</v>
      </c>
      <c r="H25">
        <v>9.2946402000379749</v>
      </c>
      <c r="I25">
        <v>17.825208499969449</v>
      </c>
      <c r="J25" t="s">
        <v>131</v>
      </c>
      <c r="K25" t="s">
        <v>131</v>
      </c>
      <c r="L25" t="s">
        <v>131</v>
      </c>
      <c r="M25" t="s">
        <v>172</v>
      </c>
      <c r="N25" s="41">
        <v>6291456</v>
      </c>
    </row>
    <row r="26" spans="2:14" x14ac:dyDescent="0.45">
      <c r="C26" s="44"/>
      <c r="N26" s="44"/>
    </row>
    <row r="27" spans="2:14" x14ac:dyDescent="0.45">
      <c r="C27" s="44"/>
      <c r="N27" s="44"/>
    </row>
    <row r="28" spans="2:14" x14ac:dyDescent="0.45">
      <c r="C28" s="44"/>
      <c r="N28" s="44"/>
    </row>
    <row r="31" spans="2:14" x14ac:dyDescent="0.45">
      <c r="B31" t="s">
        <v>101</v>
      </c>
      <c r="C31" t="s">
        <v>24</v>
      </c>
      <c r="D31" t="s">
        <v>25</v>
      </c>
      <c r="E31" t="s">
        <v>128</v>
      </c>
      <c r="F31" t="s">
        <v>43</v>
      </c>
      <c r="G31" t="s">
        <v>102</v>
      </c>
      <c r="H31" t="s">
        <v>103</v>
      </c>
      <c r="I31" t="s">
        <v>125</v>
      </c>
      <c r="J31" t="s">
        <v>126</v>
      </c>
      <c r="K31" t="s">
        <v>127</v>
      </c>
      <c r="L31" t="s">
        <v>212</v>
      </c>
      <c r="M31" t="s">
        <v>0</v>
      </c>
      <c r="N31" t="s">
        <v>104</v>
      </c>
    </row>
    <row r="32" spans="2:14" x14ac:dyDescent="0.45">
      <c r="B32" t="s">
        <v>129</v>
      </c>
      <c r="C32" s="41">
        <v>1</v>
      </c>
      <c r="D32">
        <v>20</v>
      </c>
      <c r="E32" t="b">
        <v>1</v>
      </c>
      <c r="F32">
        <v>1.8179899954702705E-2</v>
      </c>
      <c r="G32">
        <v>1.5562999760732055E-3</v>
      </c>
      <c r="H32">
        <v>2.8271300019696355E-2</v>
      </c>
      <c r="I32">
        <v>5.932999774813652E-4</v>
      </c>
      <c r="J32" t="b">
        <v>1</v>
      </c>
      <c r="K32" t="b">
        <v>1</v>
      </c>
      <c r="L32" t="b">
        <v>1</v>
      </c>
      <c r="M32" t="s">
        <v>130</v>
      </c>
      <c r="N32" s="41">
        <v>301</v>
      </c>
    </row>
    <row r="33" spans="2:14" x14ac:dyDescent="0.45">
      <c r="B33" t="s">
        <v>129</v>
      </c>
      <c r="C33" s="41">
        <v>2</v>
      </c>
      <c r="D33">
        <v>20</v>
      </c>
      <c r="E33" t="b">
        <v>0</v>
      </c>
      <c r="F33">
        <v>1.9339599995873868E-2</v>
      </c>
      <c r="G33">
        <v>1.949199999216944E-3</v>
      </c>
      <c r="H33">
        <v>2.9418000020086765E-2</v>
      </c>
      <c r="I33">
        <v>6.4969999948516488E-4</v>
      </c>
      <c r="J33" t="s">
        <v>131</v>
      </c>
      <c r="K33" t="s">
        <v>131</v>
      </c>
      <c r="L33" t="s">
        <v>131</v>
      </c>
      <c r="M33" t="s">
        <v>132</v>
      </c>
      <c r="N33" s="41">
        <v>602</v>
      </c>
    </row>
    <row r="34" spans="2:14" x14ac:dyDescent="0.45">
      <c r="B34" t="s">
        <v>129</v>
      </c>
      <c r="C34" s="41">
        <v>4</v>
      </c>
      <c r="D34">
        <v>20</v>
      </c>
      <c r="E34" t="b">
        <v>0</v>
      </c>
      <c r="F34">
        <v>2.3327499977312982E-2</v>
      </c>
      <c r="G34">
        <v>1.8907000194303691E-3</v>
      </c>
      <c r="H34">
        <v>2.9011500009801239E-2</v>
      </c>
      <c r="I34">
        <v>7.4200000381097198E-4</v>
      </c>
      <c r="J34" t="s">
        <v>131</v>
      </c>
      <c r="K34" t="s">
        <v>131</v>
      </c>
      <c r="L34" t="s">
        <v>131</v>
      </c>
      <c r="M34" t="s">
        <v>133</v>
      </c>
      <c r="N34" s="41">
        <v>1204</v>
      </c>
    </row>
    <row r="35" spans="2:14" x14ac:dyDescent="0.45">
      <c r="B35" t="s">
        <v>129</v>
      </c>
      <c r="C35" s="41">
        <v>8</v>
      </c>
      <c r="D35">
        <v>20</v>
      </c>
      <c r="E35" t="b">
        <v>0</v>
      </c>
      <c r="F35">
        <v>1.8184699991252273E-2</v>
      </c>
      <c r="G35">
        <v>1.8610999686643481E-3</v>
      </c>
      <c r="H35">
        <v>2.7539899980183691E-2</v>
      </c>
      <c r="I35">
        <v>7.3640001937747002E-4</v>
      </c>
      <c r="J35" t="s">
        <v>131</v>
      </c>
      <c r="K35" t="s">
        <v>131</v>
      </c>
      <c r="L35" t="s">
        <v>131</v>
      </c>
      <c r="M35" t="s">
        <v>134</v>
      </c>
      <c r="N35" s="41">
        <v>2408</v>
      </c>
    </row>
    <row r="36" spans="2:14" x14ac:dyDescent="0.45">
      <c r="B36" t="s">
        <v>129</v>
      </c>
      <c r="C36" s="41">
        <v>16</v>
      </c>
      <c r="D36">
        <v>20</v>
      </c>
      <c r="E36" t="b">
        <v>0</v>
      </c>
      <c r="F36">
        <v>1.7601200030185282E-2</v>
      </c>
      <c r="G36">
        <v>2.9724999913014472E-3</v>
      </c>
      <c r="H36">
        <v>2.9160900041460991E-2</v>
      </c>
      <c r="I36">
        <v>1.1572000221349299E-3</v>
      </c>
      <c r="J36" t="s">
        <v>131</v>
      </c>
      <c r="K36" t="s">
        <v>131</v>
      </c>
      <c r="L36" t="s">
        <v>131</v>
      </c>
      <c r="M36" t="s">
        <v>135</v>
      </c>
      <c r="N36" s="41">
        <v>4816</v>
      </c>
    </row>
    <row r="37" spans="2:14" x14ac:dyDescent="0.45">
      <c r="B37" t="s">
        <v>129</v>
      </c>
      <c r="C37" s="41">
        <v>32</v>
      </c>
      <c r="D37">
        <v>20</v>
      </c>
      <c r="E37" t="b">
        <v>0</v>
      </c>
      <c r="F37">
        <v>2.032760001020506E-2</v>
      </c>
      <c r="G37">
        <v>3.2639999990351498E-3</v>
      </c>
      <c r="H37">
        <v>3.4178699948824942E-2</v>
      </c>
      <c r="I37">
        <v>1.5587999951094389E-3</v>
      </c>
      <c r="J37" t="s">
        <v>131</v>
      </c>
      <c r="K37" t="s">
        <v>131</v>
      </c>
      <c r="L37" t="s">
        <v>131</v>
      </c>
      <c r="M37" t="s">
        <v>136</v>
      </c>
      <c r="N37" s="41">
        <v>9632</v>
      </c>
    </row>
    <row r="38" spans="2:14" x14ac:dyDescent="0.45">
      <c r="B38" t="s">
        <v>129</v>
      </c>
      <c r="C38" s="41">
        <v>64</v>
      </c>
      <c r="D38">
        <v>20</v>
      </c>
      <c r="E38" t="b">
        <v>0</v>
      </c>
      <c r="F38">
        <v>2.133810002123937E-2</v>
      </c>
      <c r="G38">
        <v>4.8446999862790108E-3</v>
      </c>
      <c r="H38">
        <v>3.604889998678118E-2</v>
      </c>
      <c r="I38">
        <v>2.5102000217884779E-3</v>
      </c>
      <c r="J38" t="s">
        <v>131</v>
      </c>
      <c r="K38" t="s">
        <v>131</v>
      </c>
      <c r="L38" t="s">
        <v>131</v>
      </c>
      <c r="M38" t="s">
        <v>137</v>
      </c>
      <c r="N38" s="41">
        <v>19264</v>
      </c>
    </row>
    <row r="39" spans="2:14" x14ac:dyDescent="0.45">
      <c r="B39" t="s">
        <v>129</v>
      </c>
      <c r="C39" s="41">
        <v>128</v>
      </c>
      <c r="D39">
        <v>20</v>
      </c>
      <c r="E39" t="b">
        <v>0</v>
      </c>
      <c r="F39">
        <v>2.5524600001517683E-2</v>
      </c>
      <c r="G39">
        <v>6.7735000047832727E-3</v>
      </c>
      <c r="H39">
        <v>4.3004499981179833E-2</v>
      </c>
      <c r="I39">
        <v>4.9598999903537333E-3</v>
      </c>
      <c r="J39" t="s">
        <v>131</v>
      </c>
      <c r="K39" t="s">
        <v>131</v>
      </c>
      <c r="L39" t="s">
        <v>131</v>
      </c>
      <c r="M39" t="s">
        <v>138</v>
      </c>
      <c r="N39" s="41">
        <v>38528</v>
      </c>
    </row>
    <row r="40" spans="2:14" x14ac:dyDescent="0.45">
      <c r="B40" t="s">
        <v>129</v>
      </c>
      <c r="C40" s="41">
        <v>256</v>
      </c>
      <c r="D40">
        <v>20</v>
      </c>
      <c r="E40" t="b">
        <v>0</v>
      </c>
      <c r="F40">
        <v>2.9022299975622445E-2</v>
      </c>
      <c r="G40">
        <v>1.1430999962612987E-2</v>
      </c>
      <c r="H40">
        <v>5.2068600023631006E-2</v>
      </c>
      <c r="I40">
        <v>8.0393999814987183E-3</v>
      </c>
      <c r="J40" t="s">
        <v>131</v>
      </c>
      <c r="K40" t="s">
        <v>131</v>
      </c>
      <c r="L40" t="s">
        <v>131</v>
      </c>
      <c r="M40" t="s">
        <v>139</v>
      </c>
      <c r="N40" s="41">
        <v>77056</v>
      </c>
    </row>
    <row r="41" spans="2:14" x14ac:dyDescent="0.45">
      <c r="B41" t="s">
        <v>129</v>
      </c>
      <c r="C41" s="41">
        <v>512</v>
      </c>
      <c r="D41">
        <v>20</v>
      </c>
      <c r="E41" t="b">
        <v>0</v>
      </c>
      <c r="F41">
        <v>3.6473000014666468E-2</v>
      </c>
      <c r="G41">
        <v>2.9402699961792678E-2</v>
      </c>
      <c r="H41">
        <v>9.0127000003121793E-2</v>
      </c>
      <c r="I41">
        <v>2.125210000667721E-2</v>
      </c>
      <c r="J41" t="s">
        <v>131</v>
      </c>
      <c r="K41" t="s">
        <v>131</v>
      </c>
      <c r="L41" t="s">
        <v>131</v>
      </c>
      <c r="M41" t="s">
        <v>140</v>
      </c>
      <c r="N41" s="41">
        <v>154112</v>
      </c>
    </row>
    <row r="42" spans="2:14" x14ac:dyDescent="0.45">
      <c r="B42" t="s">
        <v>129</v>
      </c>
      <c r="C42" s="41">
        <v>1024</v>
      </c>
      <c r="D42">
        <v>20</v>
      </c>
      <c r="E42" t="b">
        <v>0</v>
      </c>
      <c r="F42">
        <v>5.41794000309892E-2</v>
      </c>
      <c r="G42">
        <v>3.6470199993345886E-2</v>
      </c>
      <c r="H42">
        <v>0.12537460000021383</v>
      </c>
      <c r="I42">
        <v>2.9656199971213937E-2</v>
      </c>
      <c r="J42" t="s">
        <v>131</v>
      </c>
      <c r="K42" t="s">
        <v>131</v>
      </c>
      <c r="L42" t="s">
        <v>131</v>
      </c>
      <c r="M42" t="s">
        <v>141</v>
      </c>
      <c r="N42" s="41">
        <v>308224</v>
      </c>
    </row>
    <row r="43" spans="2:14" x14ac:dyDescent="0.45">
      <c r="B43" t="s">
        <v>129</v>
      </c>
      <c r="C43" s="41">
        <v>2048</v>
      </c>
      <c r="D43">
        <v>20</v>
      </c>
      <c r="E43" t="b">
        <v>0</v>
      </c>
      <c r="F43">
        <v>6.9989999989047647E-2</v>
      </c>
      <c r="G43">
        <v>6.9381800014525652E-2</v>
      </c>
      <c r="H43">
        <v>0.19568030000664294</v>
      </c>
      <c r="I43">
        <v>5.6241400016006082E-2</v>
      </c>
      <c r="J43" t="s">
        <v>131</v>
      </c>
      <c r="K43" t="s">
        <v>131</v>
      </c>
      <c r="L43" t="s">
        <v>131</v>
      </c>
      <c r="M43" t="s">
        <v>142</v>
      </c>
      <c r="N43" s="41">
        <v>616448</v>
      </c>
    </row>
    <row r="44" spans="2:14" x14ac:dyDescent="0.45">
      <c r="B44" t="s">
        <v>129</v>
      </c>
      <c r="C44" s="41">
        <v>4096</v>
      </c>
      <c r="D44">
        <v>20</v>
      </c>
      <c r="E44" t="b">
        <v>0</v>
      </c>
      <c r="F44">
        <v>0.12828790000639856</v>
      </c>
      <c r="G44">
        <v>0.13998660002835095</v>
      </c>
      <c r="H44">
        <v>0.3479584000306204</v>
      </c>
      <c r="I44">
        <v>0.12315530003979802</v>
      </c>
      <c r="J44" t="s">
        <v>131</v>
      </c>
      <c r="K44" t="s">
        <v>131</v>
      </c>
      <c r="L44" t="s">
        <v>131</v>
      </c>
      <c r="M44" t="s">
        <v>143</v>
      </c>
      <c r="N44" s="41">
        <v>1232896</v>
      </c>
    </row>
    <row r="45" spans="2:14" x14ac:dyDescent="0.45">
      <c r="B45" t="s">
        <v>129</v>
      </c>
      <c r="C45" s="41">
        <v>8192</v>
      </c>
      <c r="D45">
        <v>20</v>
      </c>
      <c r="E45" t="b">
        <v>0</v>
      </c>
      <c r="F45">
        <v>0.27685999998357147</v>
      </c>
      <c r="G45">
        <v>0.31107629998587072</v>
      </c>
      <c r="H45">
        <v>0.66322789998957887</v>
      </c>
      <c r="I45">
        <v>0.26438589999452233</v>
      </c>
      <c r="J45" t="s">
        <v>131</v>
      </c>
      <c r="K45" t="s">
        <v>131</v>
      </c>
      <c r="L45" t="s">
        <v>131</v>
      </c>
      <c r="M45" t="s">
        <v>144</v>
      </c>
      <c r="N45" s="41">
        <v>2465792</v>
      </c>
    </row>
    <row r="46" spans="2:14" x14ac:dyDescent="0.45">
      <c r="B46" t="s">
        <v>129</v>
      </c>
      <c r="C46" s="41">
        <v>16384</v>
      </c>
      <c r="D46">
        <v>20</v>
      </c>
      <c r="E46" t="b">
        <v>0</v>
      </c>
      <c r="F46">
        <v>0.58802419999847189</v>
      </c>
      <c r="G46">
        <v>0.62765830004354939</v>
      </c>
      <c r="H46">
        <v>1.2863594000227749</v>
      </c>
      <c r="I46">
        <v>0.54473640001378953</v>
      </c>
      <c r="J46" t="s">
        <v>131</v>
      </c>
      <c r="K46" t="s">
        <v>131</v>
      </c>
      <c r="L46" t="s">
        <v>131</v>
      </c>
      <c r="M46" t="s">
        <v>145</v>
      </c>
      <c r="N46" s="41">
        <v>4931584</v>
      </c>
    </row>
    <row r="47" spans="2:14" x14ac:dyDescent="0.45">
      <c r="B47" t="s">
        <v>129</v>
      </c>
      <c r="C47" s="41">
        <v>32768</v>
      </c>
      <c r="D47">
        <v>20</v>
      </c>
      <c r="E47" t="b">
        <v>0</v>
      </c>
      <c r="F47">
        <v>1.2125935999793001</v>
      </c>
      <c r="G47">
        <v>1.2679920999798924</v>
      </c>
      <c r="H47">
        <v>2.5870676999911666</v>
      </c>
      <c r="I47">
        <v>1.1053473000065424</v>
      </c>
      <c r="J47" t="s">
        <v>131</v>
      </c>
      <c r="K47" t="s">
        <v>131</v>
      </c>
      <c r="L47" t="s">
        <v>131</v>
      </c>
      <c r="M47" t="s">
        <v>146</v>
      </c>
      <c r="N47" s="41">
        <v>9863168</v>
      </c>
    </row>
    <row r="48" spans="2:14" x14ac:dyDescent="0.45">
      <c r="B48" t="s">
        <v>129</v>
      </c>
      <c r="C48" s="41">
        <v>65536</v>
      </c>
      <c r="D48">
        <v>20</v>
      </c>
      <c r="E48" t="b">
        <v>1</v>
      </c>
      <c r="F48">
        <v>2.2865692999912426</v>
      </c>
      <c r="G48">
        <v>2.6616911999881268</v>
      </c>
      <c r="H48">
        <v>5.1012806000071578</v>
      </c>
      <c r="I48">
        <v>2.2238371000275947</v>
      </c>
      <c r="J48" t="b">
        <v>1</v>
      </c>
      <c r="K48" t="b">
        <v>1</v>
      </c>
      <c r="L48" t="b">
        <v>1</v>
      </c>
      <c r="M48" t="s">
        <v>147</v>
      </c>
      <c r="N48" s="41">
        <v>19726336</v>
      </c>
    </row>
    <row r="49" spans="2:15" x14ac:dyDescent="0.45">
      <c r="B49" t="s">
        <v>129</v>
      </c>
      <c r="C49" s="41">
        <v>131072</v>
      </c>
      <c r="D49">
        <v>20</v>
      </c>
      <c r="E49" t="b">
        <v>0</v>
      </c>
      <c r="F49">
        <v>4.5887397999758832</v>
      </c>
      <c r="G49">
        <v>5.1571332999737933</v>
      </c>
      <c r="H49">
        <v>10.229652799956966</v>
      </c>
      <c r="I49">
        <v>4.4329809999908321</v>
      </c>
      <c r="J49" t="s">
        <v>131</v>
      </c>
      <c r="K49" t="s">
        <v>131</v>
      </c>
      <c r="L49" t="s">
        <v>131</v>
      </c>
      <c r="M49" t="s">
        <v>148</v>
      </c>
      <c r="N49" s="41">
        <v>39452672</v>
      </c>
    </row>
    <row r="50" spans="2:15" x14ac:dyDescent="0.45">
      <c r="B50" t="s">
        <v>129</v>
      </c>
      <c r="C50" s="41">
        <v>262144</v>
      </c>
      <c r="D50">
        <v>20</v>
      </c>
      <c r="E50" t="b">
        <v>0</v>
      </c>
      <c r="F50">
        <v>12.322421199991368</v>
      </c>
      <c r="G50">
        <v>14.625754799984861</v>
      </c>
      <c r="H50">
        <v>24.49725600000238</v>
      </c>
      <c r="I50">
        <v>9.3305993999820203</v>
      </c>
      <c r="J50" t="s">
        <v>131</v>
      </c>
      <c r="K50" t="s">
        <v>131</v>
      </c>
      <c r="L50" t="s">
        <v>131</v>
      </c>
      <c r="M50" t="s">
        <v>149</v>
      </c>
      <c r="N50" s="41">
        <v>78905344</v>
      </c>
      <c r="O50" s="44"/>
    </row>
    <row r="51" spans="2:15" x14ac:dyDescent="0.45">
      <c r="B51" t="s">
        <v>129</v>
      </c>
      <c r="C51" s="41">
        <v>524288</v>
      </c>
      <c r="D51">
        <v>20</v>
      </c>
      <c r="E51" t="b">
        <v>0</v>
      </c>
      <c r="F51">
        <v>23.627644599997438</v>
      </c>
      <c r="G51">
        <v>22.865447799966205</v>
      </c>
      <c r="H51">
        <v>45.54529320000438</v>
      </c>
      <c r="I51">
        <v>21.92931509995833</v>
      </c>
      <c r="J51" t="s">
        <v>131</v>
      </c>
      <c r="K51" t="s">
        <v>131</v>
      </c>
      <c r="L51" t="s">
        <v>131</v>
      </c>
      <c r="M51" t="s">
        <v>150</v>
      </c>
      <c r="N51" s="41">
        <v>157810688</v>
      </c>
      <c r="O51" s="44"/>
    </row>
    <row r="52" spans="2:15" x14ac:dyDescent="0.45">
      <c r="B52" t="s">
        <v>129</v>
      </c>
      <c r="C52" s="41">
        <v>1048576</v>
      </c>
      <c r="D52">
        <v>20</v>
      </c>
      <c r="E52" t="b">
        <v>0</v>
      </c>
      <c r="F52">
        <v>46.560167099989485</v>
      </c>
      <c r="G52">
        <v>48.012556099973153</v>
      </c>
      <c r="H52">
        <v>101.22473249997711</v>
      </c>
      <c r="I52">
        <v>47.276866000029258</v>
      </c>
      <c r="J52" t="s">
        <v>131</v>
      </c>
      <c r="K52" t="s">
        <v>131</v>
      </c>
      <c r="L52" t="s">
        <v>131</v>
      </c>
      <c r="M52" t="s">
        <v>151</v>
      </c>
      <c r="N52" s="41">
        <v>315621376</v>
      </c>
      <c r="O52" s="44"/>
    </row>
    <row r="60" spans="2:15" x14ac:dyDescent="0.45">
      <c r="B60" t="s">
        <v>101</v>
      </c>
      <c r="C60" t="s">
        <v>24</v>
      </c>
      <c r="D60" t="s">
        <v>25</v>
      </c>
      <c r="E60" t="s">
        <v>128</v>
      </c>
      <c r="F60" t="s">
        <v>43</v>
      </c>
      <c r="G60" t="s">
        <v>102</v>
      </c>
      <c r="H60" t="s">
        <v>103</v>
      </c>
      <c r="I60" t="s">
        <v>125</v>
      </c>
      <c r="J60" t="s">
        <v>126</v>
      </c>
      <c r="K60" t="s">
        <v>127</v>
      </c>
      <c r="L60" t="s">
        <v>212</v>
      </c>
      <c r="M60" t="s">
        <v>0</v>
      </c>
      <c r="N60" t="s">
        <v>104</v>
      </c>
    </row>
    <row r="61" spans="2:15" x14ac:dyDescent="0.45">
      <c r="B61" t="str">
        <f t="shared" ref="B61:B79" ca="1" si="0">"""x"&amp;CHAR(13)&amp;CHAR(10)&amp;"y"""</f>
        <v>"x_x000D_
y"</v>
      </c>
      <c r="C61" s="42">
        <v>1</v>
      </c>
      <c r="D61" s="43">
        <v>10</v>
      </c>
      <c r="E61" s="43" t="b">
        <v>0</v>
      </c>
      <c r="F61">
        <v>1.7555999802425504E-3</v>
      </c>
      <c r="G61" s="43">
        <v>2.6020000223070383E-4</v>
      </c>
      <c r="H61" s="43">
        <v>1.0273599997162819E-2</v>
      </c>
      <c r="I61" s="43">
        <v>5.7030003517866135E-4</v>
      </c>
      <c r="J61" s="43" t="s">
        <v>131</v>
      </c>
      <c r="K61" s="43" t="s">
        <v>131</v>
      </c>
      <c r="L61" s="43" t="s">
        <v>131</v>
      </c>
      <c r="M61" s="43" t="s">
        <v>106</v>
      </c>
      <c r="N61" s="42">
        <v>71</v>
      </c>
    </row>
    <row r="62" spans="2:15" x14ac:dyDescent="0.45">
      <c r="B62" t="str">
        <f t="shared" ca="1" si="0"/>
        <v>"x_x000D_
y"</v>
      </c>
      <c r="C62" s="42">
        <v>2</v>
      </c>
      <c r="D62" s="43">
        <v>10</v>
      </c>
      <c r="E62" s="43" t="b">
        <v>0</v>
      </c>
      <c r="F62">
        <v>2.112920000217855E-2</v>
      </c>
      <c r="G62" s="43">
        <v>1.7334999865852296E-3</v>
      </c>
      <c r="H62" s="43">
        <v>3.2194399973377585E-2</v>
      </c>
      <c r="I62" s="43">
        <v>5.8029999490827322E-4</v>
      </c>
      <c r="J62" s="43" t="s">
        <v>131</v>
      </c>
      <c r="K62" s="43" t="s">
        <v>131</v>
      </c>
      <c r="L62" s="43" t="s">
        <v>131</v>
      </c>
      <c r="M62" s="43" t="s">
        <v>107</v>
      </c>
      <c r="N62" s="42">
        <v>142</v>
      </c>
    </row>
    <row r="63" spans="2:15" x14ac:dyDescent="0.45">
      <c r="B63" t="str">
        <f t="shared" ca="1" si="0"/>
        <v>"x_x000D_
y"</v>
      </c>
      <c r="C63" s="42">
        <v>4</v>
      </c>
      <c r="D63" s="43">
        <v>10</v>
      </c>
      <c r="E63" s="43" t="b">
        <v>1</v>
      </c>
      <c r="F63">
        <v>1.8712300050538033E-2</v>
      </c>
      <c r="G63" s="43">
        <v>2.4469000054523349E-3</v>
      </c>
      <c r="H63" s="43">
        <v>1.3069799984805286E-2</v>
      </c>
      <c r="I63" s="43">
        <v>1.248900021892041E-3</v>
      </c>
      <c r="J63" s="43" t="b">
        <v>1</v>
      </c>
      <c r="K63" s="43" t="b">
        <v>1</v>
      </c>
      <c r="L63" s="43" t="b">
        <v>1</v>
      </c>
      <c r="M63" s="43" t="s">
        <v>108</v>
      </c>
      <c r="N63" s="42">
        <v>284</v>
      </c>
    </row>
    <row r="64" spans="2:15" x14ac:dyDescent="0.45">
      <c r="B64" t="str">
        <f t="shared" ca="1" si="0"/>
        <v>"x_x000D_
y"</v>
      </c>
      <c r="C64" s="42">
        <v>8</v>
      </c>
      <c r="D64" s="43">
        <v>10</v>
      </c>
      <c r="E64" s="43" t="b">
        <v>0</v>
      </c>
      <c r="F64">
        <v>2.4477900005877018E-2</v>
      </c>
      <c r="G64" s="43">
        <v>2.803900046274066E-3</v>
      </c>
      <c r="H64" s="43">
        <v>1.4141399995423853E-2</v>
      </c>
      <c r="I64" s="43">
        <v>1.3220999971963465E-3</v>
      </c>
      <c r="J64" s="43" t="s">
        <v>131</v>
      </c>
      <c r="K64" s="43" t="s">
        <v>131</v>
      </c>
      <c r="L64" s="43" t="s">
        <v>131</v>
      </c>
      <c r="M64" s="43" t="s">
        <v>109</v>
      </c>
      <c r="N64" s="42">
        <v>568</v>
      </c>
    </row>
    <row r="65" spans="2:14" x14ac:dyDescent="0.45">
      <c r="B65" t="str">
        <f t="shared" ca="1" si="0"/>
        <v>"x_x000D_
y"</v>
      </c>
      <c r="C65" s="42">
        <v>16</v>
      </c>
      <c r="D65" s="43">
        <v>10</v>
      </c>
      <c r="E65" s="43" t="b">
        <v>0</v>
      </c>
      <c r="F65">
        <v>1.7943099956028163E-2</v>
      </c>
      <c r="G65" s="43">
        <v>2.2653000196442008E-3</v>
      </c>
      <c r="H65" s="43">
        <v>3.7341999995987862E-2</v>
      </c>
      <c r="I65" s="43">
        <v>1.2121000327169895E-3</v>
      </c>
      <c r="J65" s="43" t="s">
        <v>131</v>
      </c>
      <c r="K65" s="43" t="s">
        <v>131</v>
      </c>
      <c r="L65" s="43" t="s">
        <v>131</v>
      </c>
      <c r="M65" s="43" t="s">
        <v>110</v>
      </c>
      <c r="N65" s="42">
        <v>1136</v>
      </c>
    </row>
    <row r="66" spans="2:14" x14ac:dyDescent="0.45">
      <c r="B66" t="str">
        <f t="shared" ca="1" si="0"/>
        <v>"x_x000D_
y"</v>
      </c>
      <c r="C66" s="42">
        <v>32</v>
      </c>
      <c r="D66" s="43">
        <v>10</v>
      </c>
      <c r="E66" s="43" t="b">
        <v>0</v>
      </c>
      <c r="F66">
        <v>3.1487600004766136E-2</v>
      </c>
      <c r="G66" s="43">
        <v>4.5527999754995108E-3</v>
      </c>
      <c r="H66" s="43">
        <v>3.3549699990544468E-2</v>
      </c>
      <c r="I66" s="43">
        <v>2.0540000405162573E-3</v>
      </c>
      <c r="J66" s="43" t="s">
        <v>131</v>
      </c>
      <c r="K66" s="43" t="s">
        <v>131</v>
      </c>
      <c r="L66" s="43" t="s">
        <v>131</v>
      </c>
      <c r="M66" s="43" t="s">
        <v>111</v>
      </c>
      <c r="N66" s="42">
        <v>2272</v>
      </c>
    </row>
    <row r="67" spans="2:14" x14ac:dyDescent="0.45">
      <c r="B67" t="str">
        <f t="shared" ca="1" si="0"/>
        <v>"x_x000D_
y"</v>
      </c>
      <c r="C67" s="42">
        <v>64</v>
      </c>
      <c r="D67" s="43">
        <v>10</v>
      </c>
      <c r="E67" s="43" t="b">
        <v>0</v>
      </c>
      <c r="F67">
        <v>2.4171900004148483E-2</v>
      </c>
      <c r="G67" s="43">
        <v>5.0217999960295856E-3</v>
      </c>
      <c r="H67" s="43">
        <v>3.4643799997866154E-2</v>
      </c>
      <c r="I67" s="43">
        <v>3.0568999936804175E-3</v>
      </c>
      <c r="J67" s="43" t="s">
        <v>131</v>
      </c>
      <c r="K67" s="43" t="s">
        <v>131</v>
      </c>
      <c r="L67" s="43" t="s">
        <v>131</v>
      </c>
      <c r="M67" s="43" t="s">
        <v>112</v>
      </c>
      <c r="N67" s="42">
        <v>4544</v>
      </c>
    </row>
    <row r="68" spans="2:14" x14ac:dyDescent="0.45">
      <c r="B68" t="str">
        <f t="shared" ca="1" si="0"/>
        <v>"x_x000D_
y"</v>
      </c>
      <c r="C68" s="42">
        <v>128</v>
      </c>
      <c r="D68" s="43">
        <v>10</v>
      </c>
      <c r="E68" s="43" t="b">
        <v>0</v>
      </c>
      <c r="F68">
        <v>2.6855400006752461E-2</v>
      </c>
      <c r="G68" s="43">
        <v>6.6475000348873436E-3</v>
      </c>
      <c r="H68" s="43">
        <v>5.3029300004709512E-2</v>
      </c>
      <c r="I68" s="43">
        <v>5.8347999583929777E-3</v>
      </c>
      <c r="J68" s="43" t="s">
        <v>131</v>
      </c>
      <c r="K68" s="43" t="s">
        <v>131</v>
      </c>
      <c r="L68" s="43" t="s">
        <v>131</v>
      </c>
      <c r="M68" s="43" t="s">
        <v>113</v>
      </c>
      <c r="N68" s="42">
        <v>9088</v>
      </c>
    </row>
    <row r="69" spans="2:14" x14ac:dyDescent="0.45">
      <c r="B69" t="str">
        <f t="shared" ca="1" si="0"/>
        <v>"x_x000D_
y"</v>
      </c>
      <c r="C69" s="42">
        <v>256</v>
      </c>
      <c r="D69" s="43">
        <v>10</v>
      </c>
      <c r="E69" s="43" t="b">
        <v>0</v>
      </c>
      <c r="F69">
        <v>2.4344399978872389E-2</v>
      </c>
      <c r="G69" s="43">
        <v>8.0743000144138932E-3</v>
      </c>
      <c r="H69" s="43">
        <v>8.4318000008352101E-2</v>
      </c>
      <c r="I69" s="43">
        <v>1.2681500054895878E-2</v>
      </c>
      <c r="J69" s="43" t="s">
        <v>131</v>
      </c>
      <c r="K69" s="43" t="s">
        <v>131</v>
      </c>
      <c r="L69" s="43" t="s">
        <v>131</v>
      </c>
      <c r="M69" s="43" t="s">
        <v>114</v>
      </c>
      <c r="N69" s="42">
        <v>18176</v>
      </c>
    </row>
    <row r="70" spans="2:14" x14ac:dyDescent="0.45">
      <c r="B70" t="str">
        <f t="shared" ca="1" si="0"/>
        <v>"x_x000D_
y"</v>
      </c>
      <c r="C70" s="42">
        <v>512</v>
      </c>
      <c r="D70" s="43">
        <v>10</v>
      </c>
      <c r="E70" s="43" t="b">
        <v>0</v>
      </c>
      <c r="F70">
        <v>3.0764799972530454E-2</v>
      </c>
      <c r="G70" s="43">
        <v>2.2358799993526191E-2</v>
      </c>
      <c r="H70" s="43">
        <v>0.15119909995701164</v>
      </c>
      <c r="I70" s="43">
        <v>1.6309200029354542E-2</v>
      </c>
      <c r="J70" s="43" t="s">
        <v>131</v>
      </c>
      <c r="K70" s="43" t="s">
        <v>131</v>
      </c>
      <c r="L70" s="43" t="s">
        <v>131</v>
      </c>
      <c r="M70" s="43" t="s">
        <v>115</v>
      </c>
      <c r="N70" s="42">
        <v>36352</v>
      </c>
    </row>
    <row r="71" spans="2:14" x14ac:dyDescent="0.45">
      <c r="B71" t="str">
        <f t="shared" ca="1" si="0"/>
        <v>"x_x000D_
y"</v>
      </c>
      <c r="C71" s="42">
        <v>1024</v>
      </c>
      <c r="D71" s="43">
        <v>10</v>
      </c>
      <c r="E71" s="43" t="b">
        <v>1</v>
      </c>
      <c r="F71">
        <v>4.0582100045867264E-2</v>
      </c>
      <c r="G71" s="43">
        <v>2.4749599979259074E-2</v>
      </c>
      <c r="H71" s="43">
        <v>0.30115489999298006</v>
      </c>
      <c r="I71" s="43">
        <v>3.2818700012285262E-2</v>
      </c>
      <c r="J71" s="43" t="b">
        <v>1</v>
      </c>
      <c r="K71" s="43" t="b">
        <v>1</v>
      </c>
      <c r="L71" s="43" t="b">
        <v>1</v>
      </c>
      <c r="M71" s="43" t="s">
        <v>116</v>
      </c>
      <c r="N71" s="42">
        <v>72704</v>
      </c>
    </row>
    <row r="72" spans="2:14" x14ac:dyDescent="0.45">
      <c r="B72" t="str">
        <f t="shared" ca="1" si="0"/>
        <v>"x_x000D_
y"</v>
      </c>
      <c r="C72" s="42">
        <v>2048</v>
      </c>
      <c r="D72" s="43">
        <v>10</v>
      </c>
      <c r="E72" s="43" t="b">
        <v>0</v>
      </c>
      <c r="F72">
        <v>7.0018999977037311E-2</v>
      </c>
      <c r="G72" s="43">
        <v>4.8297800007276237E-2</v>
      </c>
      <c r="H72" s="43">
        <v>0.59464249998563901</v>
      </c>
      <c r="I72" s="43">
        <v>7.2072800016030669E-2</v>
      </c>
      <c r="J72" s="43" t="s">
        <v>131</v>
      </c>
      <c r="K72" s="43" t="s">
        <v>131</v>
      </c>
      <c r="L72" s="43" t="s">
        <v>131</v>
      </c>
      <c r="M72" s="43" t="s">
        <v>117</v>
      </c>
      <c r="N72" s="42">
        <v>145408</v>
      </c>
    </row>
    <row r="73" spans="2:14" x14ac:dyDescent="0.45">
      <c r="B73" t="str">
        <f t="shared" ca="1" si="0"/>
        <v>"x_x000D_
y"</v>
      </c>
      <c r="C73" s="42">
        <v>4096</v>
      </c>
      <c r="D73" s="43">
        <v>10</v>
      </c>
      <c r="E73" s="43" t="b">
        <v>0</v>
      </c>
      <c r="F73">
        <v>0.10501539998222142</v>
      </c>
      <c r="G73" s="43">
        <v>9.4256600015796721E-2</v>
      </c>
      <c r="H73" s="43">
        <v>1.1738733999663964</v>
      </c>
      <c r="I73" s="43">
        <v>0.13807899999665096</v>
      </c>
      <c r="J73" s="43" t="s">
        <v>131</v>
      </c>
      <c r="K73" s="43" t="s">
        <v>131</v>
      </c>
      <c r="L73" s="43" t="s">
        <v>131</v>
      </c>
      <c r="M73" s="43" t="s">
        <v>118</v>
      </c>
      <c r="N73" s="42">
        <v>290816</v>
      </c>
    </row>
    <row r="74" spans="2:14" x14ac:dyDescent="0.45">
      <c r="B74" t="str">
        <f t="shared" ca="1" si="0"/>
        <v>"x_x000D_
y"</v>
      </c>
      <c r="C74" s="42">
        <v>8192</v>
      </c>
      <c r="D74" s="43">
        <v>10</v>
      </c>
      <c r="E74" s="43" t="b">
        <v>0</v>
      </c>
      <c r="F74">
        <v>0.17823070002486929</v>
      </c>
      <c r="G74" s="43">
        <v>0.1916573999915272</v>
      </c>
      <c r="H74" s="43">
        <v>2.3379694000468589</v>
      </c>
      <c r="I74" s="43">
        <v>0.27212790003977716</v>
      </c>
      <c r="J74" s="43" t="s">
        <v>131</v>
      </c>
      <c r="K74" s="43" t="s">
        <v>131</v>
      </c>
      <c r="L74" s="43" t="s">
        <v>131</v>
      </c>
      <c r="M74" s="43" t="s">
        <v>119</v>
      </c>
      <c r="N74" s="42">
        <v>581632</v>
      </c>
    </row>
    <row r="75" spans="2:14" x14ac:dyDescent="0.45">
      <c r="B75" t="str">
        <f t="shared" ca="1" si="0"/>
        <v>"x_x000D_
y"</v>
      </c>
      <c r="C75" s="42">
        <v>16384</v>
      </c>
      <c r="D75" s="43">
        <v>10</v>
      </c>
      <c r="E75" s="43" t="b">
        <v>0</v>
      </c>
      <c r="F75">
        <v>0.37917059997562319</v>
      </c>
      <c r="G75" s="43">
        <v>0.41541929997038096</v>
      </c>
      <c r="H75" s="43">
        <v>4.6768958999891765</v>
      </c>
      <c r="I75" s="43">
        <v>0.5833262000232935</v>
      </c>
      <c r="J75" s="43" t="s">
        <v>131</v>
      </c>
      <c r="K75" s="43" t="s">
        <v>131</v>
      </c>
      <c r="L75" s="43" t="s">
        <v>131</v>
      </c>
      <c r="M75" s="43" t="s">
        <v>120</v>
      </c>
      <c r="N75" s="42">
        <v>1163264</v>
      </c>
    </row>
    <row r="76" spans="2:14" x14ac:dyDescent="0.45">
      <c r="B76" t="str">
        <f t="shared" ca="1" si="0"/>
        <v>"x_x000D_
y"</v>
      </c>
      <c r="C76" s="42">
        <v>32768</v>
      </c>
      <c r="D76" s="43">
        <v>10</v>
      </c>
      <c r="E76" s="43" t="b">
        <v>0</v>
      </c>
      <c r="F76">
        <v>0.77002619998529553</v>
      </c>
      <c r="G76" s="43">
        <v>0.8224851000122726</v>
      </c>
      <c r="H76" s="43">
        <v>9.4637495999922976</v>
      </c>
      <c r="I76" s="43">
        <v>1.1757496999925934</v>
      </c>
      <c r="J76" s="43" t="s">
        <v>131</v>
      </c>
      <c r="K76" s="43" t="s">
        <v>131</v>
      </c>
      <c r="L76" s="43" t="s">
        <v>131</v>
      </c>
      <c r="M76" s="43" t="s">
        <v>121</v>
      </c>
      <c r="N76" s="42">
        <v>2326528</v>
      </c>
    </row>
    <row r="77" spans="2:14" x14ac:dyDescent="0.45">
      <c r="B77" t="str">
        <f t="shared" ca="1" si="0"/>
        <v>"x_x000D_
y"</v>
      </c>
      <c r="C77" s="42">
        <v>65536</v>
      </c>
      <c r="D77" s="43">
        <v>10</v>
      </c>
      <c r="E77" s="43" t="b">
        <v>0</v>
      </c>
      <c r="F77">
        <v>1.6642457999987528</v>
      </c>
      <c r="G77" s="43">
        <v>1.7081724000163376</v>
      </c>
      <c r="H77" s="43">
        <v>19.822413100046106</v>
      </c>
      <c r="I77" s="43">
        <v>2.3444957000319846</v>
      </c>
      <c r="J77" s="43" t="s">
        <v>131</v>
      </c>
      <c r="K77" s="43" t="s">
        <v>131</v>
      </c>
      <c r="L77" s="43" t="s">
        <v>131</v>
      </c>
      <c r="M77" s="43" t="s">
        <v>122</v>
      </c>
      <c r="N77" s="42">
        <v>4653056</v>
      </c>
    </row>
    <row r="78" spans="2:14" x14ac:dyDescent="0.45">
      <c r="B78" t="str">
        <f t="shared" ca="1" si="0"/>
        <v>"x_x000D_
y"</v>
      </c>
      <c r="C78" s="42">
        <v>131072</v>
      </c>
      <c r="D78" s="43">
        <v>10</v>
      </c>
      <c r="E78" s="43" t="b">
        <v>0</v>
      </c>
      <c r="F78">
        <v>3.2990397999528795</v>
      </c>
      <c r="G78" s="43">
        <v>3.5694544999860227</v>
      </c>
      <c r="H78" s="43">
        <v>44.142142199969385</v>
      </c>
      <c r="I78" s="43">
        <v>4.8791090999729931</v>
      </c>
      <c r="J78" s="43" t="s">
        <v>131</v>
      </c>
      <c r="K78" s="43" t="s">
        <v>131</v>
      </c>
      <c r="L78" s="43" t="s">
        <v>131</v>
      </c>
      <c r="M78" s="43" t="s">
        <v>123</v>
      </c>
      <c r="N78" s="42">
        <v>9306112</v>
      </c>
    </row>
    <row r="79" spans="2:14" x14ac:dyDescent="0.45">
      <c r="B79" t="str">
        <f t="shared" ca="1" si="0"/>
        <v>"x_x000D_
y"</v>
      </c>
      <c r="C79" s="42">
        <v>262144</v>
      </c>
      <c r="D79" s="43">
        <v>10</v>
      </c>
      <c r="E79" s="43" t="b">
        <v>0</v>
      </c>
      <c r="F79">
        <v>6.8207692999858409</v>
      </c>
      <c r="G79" s="43">
        <v>7.7252067999797873</v>
      </c>
      <c r="H79" s="43">
        <v>94.044817900052294</v>
      </c>
      <c r="I79" s="43">
        <v>10.438702499959618</v>
      </c>
      <c r="J79" s="43" t="s">
        <v>131</v>
      </c>
      <c r="K79" s="43" t="s">
        <v>131</v>
      </c>
      <c r="L79" s="43" t="s">
        <v>131</v>
      </c>
      <c r="M79" s="43" t="s">
        <v>124</v>
      </c>
      <c r="N79" s="42">
        <v>18612224</v>
      </c>
    </row>
    <row r="86" spans="2:14" x14ac:dyDescent="0.45">
      <c r="B86" t="s">
        <v>101</v>
      </c>
      <c r="C86" t="s">
        <v>24</v>
      </c>
      <c r="D86" t="s">
        <v>25</v>
      </c>
      <c r="E86" t="s">
        <v>128</v>
      </c>
      <c r="F86" t="s">
        <v>43</v>
      </c>
      <c r="G86" t="s">
        <v>102</v>
      </c>
      <c r="H86" t="s">
        <v>103</v>
      </c>
      <c r="I86" t="s">
        <v>125</v>
      </c>
      <c r="J86" t="s">
        <v>126</v>
      </c>
      <c r="K86" t="s">
        <v>127</v>
      </c>
      <c r="L86" t="s">
        <v>212</v>
      </c>
      <c r="M86" t="s">
        <v>0</v>
      </c>
      <c r="N86" t="s">
        <v>104</v>
      </c>
    </row>
    <row r="87" spans="2:14" x14ac:dyDescent="0.45">
      <c r="B87">
        <v>0.71905720709757637</v>
      </c>
      <c r="C87" s="42">
        <v>1</v>
      </c>
      <c r="D87" s="43">
        <v>10</v>
      </c>
      <c r="E87" s="43" t="b">
        <v>0</v>
      </c>
      <c r="F87">
        <v>1.2962000328116119E-3</v>
      </c>
      <c r="G87" s="43">
        <v>1.8520001322031021E-4</v>
      </c>
      <c r="H87" s="43">
        <v>9.6888999687507749E-3</v>
      </c>
      <c r="I87" s="43">
        <v>1.5064000035636127E-3</v>
      </c>
      <c r="J87" s="43" t="s">
        <v>131</v>
      </c>
      <c r="K87" s="43" t="s">
        <v>131</v>
      </c>
      <c r="L87" s="43" t="s">
        <v>131</v>
      </c>
      <c r="M87" s="43" t="s">
        <v>173</v>
      </c>
      <c r="N87" s="42">
        <v>181</v>
      </c>
    </row>
    <row r="88" spans="2:14" x14ac:dyDescent="0.45">
      <c r="B88">
        <v>0.71905720709757637</v>
      </c>
      <c r="C88" s="42">
        <v>2</v>
      </c>
      <c r="D88" s="43">
        <v>10</v>
      </c>
      <c r="E88" s="43" t="b">
        <v>0</v>
      </c>
      <c r="F88">
        <v>1.961779996054247E-2</v>
      </c>
      <c r="G88" s="43">
        <v>1.5970999957062304E-3</v>
      </c>
      <c r="H88" s="43">
        <v>9.9251999636180699E-3</v>
      </c>
      <c r="I88" s="43">
        <v>6.1789999017491937E-4</v>
      </c>
      <c r="J88" s="43" t="s">
        <v>131</v>
      </c>
      <c r="K88" s="43" t="s">
        <v>131</v>
      </c>
      <c r="L88" s="43" t="s">
        <v>131</v>
      </c>
      <c r="M88" s="43" t="s">
        <v>174</v>
      </c>
      <c r="N88" s="42">
        <v>362</v>
      </c>
    </row>
    <row r="89" spans="2:14" x14ac:dyDescent="0.45">
      <c r="B89">
        <v>0.71905720709757637</v>
      </c>
      <c r="C89" s="42">
        <v>4</v>
      </c>
      <c r="D89" s="43">
        <v>10</v>
      </c>
      <c r="E89" s="43" t="b">
        <v>1</v>
      </c>
      <c r="F89">
        <v>1.8679700035136193E-2</v>
      </c>
      <c r="G89" s="43">
        <v>2.3792000138200819E-3</v>
      </c>
      <c r="H89" s="43">
        <v>8.8327999692410231E-3</v>
      </c>
      <c r="I89" s="43">
        <v>7.1110000135377049E-4</v>
      </c>
      <c r="J89" s="43" t="b">
        <v>1</v>
      </c>
      <c r="K89" s="43" t="b">
        <v>1</v>
      </c>
      <c r="L89" s="43" t="b">
        <v>1</v>
      </c>
      <c r="M89" s="43" t="s">
        <v>175</v>
      </c>
      <c r="N89" s="42">
        <v>724</v>
      </c>
    </row>
    <row r="90" spans="2:14" x14ac:dyDescent="0.45">
      <c r="B90">
        <v>0.71905720709757637</v>
      </c>
      <c r="C90" s="42">
        <v>8</v>
      </c>
      <c r="D90" s="43">
        <v>10</v>
      </c>
      <c r="E90" s="43" t="b">
        <v>0</v>
      </c>
      <c r="F90">
        <v>2.4935199995525181E-2</v>
      </c>
      <c r="G90" s="43">
        <v>2.877499966416508E-3</v>
      </c>
      <c r="H90" s="43">
        <v>1.5239599975757301E-2</v>
      </c>
      <c r="I90" s="43">
        <v>1.2467000051401556E-3</v>
      </c>
      <c r="J90" s="43" t="s">
        <v>131</v>
      </c>
      <c r="K90" s="43" t="s">
        <v>131</v>
      </c>
      <c r="L90" s="43" t="s">
        <v>131</v>
      </c>
      <c r="M90" s="43" t="s">
        <v>176</v>
      </c>
      <c r="N90" s="42">
        <v>1448</v>
      </c>
    </row>
    <row r="91" spans="2:14" x14ac:dyDescent="0.45">
      <c r="B91">
        <v>0.71905720709757637</v>
      </c>
      <c r="C91" s="42">
        <v>16</v>
      </c>
      <c r="D91" s="43">
        <v>10</v>
      </c>
      <c r="E91" s="43" t="b">
        <v>0</v>
      </c>
      <c r="F91">
        <v>2.2212699986994267E-2</v>
      </c>
      <c r="G91" s="43">
        <v>3.1575000029988587E-3</v>
      </c>
      <c r="H91" s="43">
        <v>7.8877999912947416E-3</v>
      </c>
      <c r="I91" s="43">
        <v>1.1700000031851232E-3</v>
      </c>
      <c r="J91" s="43" t="s">
        <v>131</v>
      </c>
      <c r="K91" s="43" t="s">
        <v>131</v>
      </c>
      <c r="L91" s="43" t="s">
        <v>131</v>
      </c>
      <c r="M91" s="43" t="s">
        <v>177</v>
      </c>
      <c r="N91" s="42">
        <v>2896</v>
      </c>
    </row>
    <row r="92" spans="2:14" x14ac:dyDescent="0.45">
      <c r="B92">
        <v>0.71905720709757637</v>
      </c>
      <c r="C92" s="42">
        <v>32</v>
      </c>
      <c r="D92" s="43">
        <v>10</v>
      </c>
      <c r="E92" s="43" t="b">
        <v>0</v>
      </c>
      <c r="F92">
        <v>2.5369100039824843E-2</v>
      </c>
      <c r="G92" s="43">
        <v>3.0798999941907823E-3</v>
      </c>
      <c r="H92" s="43">
        <v>9.0455999597907066E-3</v>
      </c>
      <c r="I92" s="43">
        <v>1.6870999825187027E-3</v>
      </c>
      <c r="J92" s="43" t="s">
        <v>131</v>
      </c>
      <c r="K92" s="43" t="s">
        <v>131</v>
      </c>
      <c r="L92" s="43" t="s">
        <v>131</v>
      </c>
      <c r="M92" s="43" t="s">
        <v>178</v>
      </c>
      <c r="N92" s="42">
        <v>5792</v>
      </c>
    </row>
    <row r="93" spans="2:14" x14ac:dyDescent="0.45">
      <c r="B93">
        <v>0.71905720709757637</v>
      </c>
      <c r="C93" s="42">
        <v>64</v>
      </c>
      <c r="D93" s="43">
        <v>10</v>
      </c>
      <c r="E93" s="43" t="b">
        <v>0</v>
      </c>
      <c r="F93">
        <v>2.9583600000478327E-2</v>
      </c>
      <c r="G93" s="43">
        <v>4.1082000243477523E-3</v>
      </c>
      <c r="H93" s="43">
        <v>1.1186300020199269E-2</v>
      </c>
      <c r="I93" s="43">
        <v>2.7343999827280641E-3</v>
      </c>
      <c r="J93" s="43" t="s">
        <v>131</v>
      </c>
      <c r="K93" s="43" t="s">
        <v>131</v>
      </c>
      <c r="L93" s="43" t="s">
        <v>131</v>
      </c>
      <c r="M93" s="43" t="s">
        <v>179</v>
      </c>
      <c r="N93" s="42">
        <v>11584</v>
      </c>
    </row>
    <row r="94" spans="2:14" x14ac:dyDescent="0.45">
      <c r="B94">
        <v>0.71905720709757637</v>
      </c>
      <c r="C94" s="42">
        <v>128</v>
      </c>
      <c r="D94" s="43">
        <v>10</v>
      </c>
      <c r="E94" s="43" t="b">
        <v>0</v>
      </c>
      <c r="F94">
        <v>3.4079500008374453E-2</v>
      </c>
      <c r="G94" s="43">
        <v>6.6938999807462096E-3</v>
      </c>
      <c r="H94" s="43">
        <v>1.6411999997217208E-2</v>
      </c>
      <c r="I94" s="43">
        <v>3.7069999962113798E-3</v>
      </c>
      <c r="J94" s="43" t="s">
        <v>131</v>
      </c>
      <c r="K94" s="43" t="s">
        <v>131</v>
      </c>
      <c r="L94" s="43" t="s">
        <v>131</v>
      </c>
      <c r="M94" s="43" t="s">
        <v>180</v>
      </c>
      <c r="N94" s="42">
        <v>23168</v>
      </c>
    </row>
    <row r="95" spans="2:14" x14ac:dyDescent="0.45">
      <c r="B95">
        <v>0.71905720709757637</v>
      </c>
      <c r="C95" s="42">
        <v>256</v>
      </c>
      <c r="D95" s="43">
        <v>10</v>
      </c>
      <c r="E95" s="43" t="b">
        <v>0</v>
      </c>
      <c r="F95">
        <v>4.3135699990671128E-2</v>
      </c>
      <c r="G95" s="43">
        <v>8.7649999768473208E-3</v>
      </c>
      <c r="H95" s="43">
        <v>1.5632800001185387E-2</v>
      </c>
      <c r="I95" s="43">
        <v>5.3994000190868974E-3</v>
      </c>
      <c r="J95" s="43" t="s">
        <v>131</v>
      </c>
      <c r="K95" s="43" t="s">
        <v>131</v>
      </c>
      <c r="L95" s="43" t="s">
        <v>131</v>
      </c>
      <c r="M95" s="43" t="s">
        <v>181</v>
      </c>
      <c r="N95" s="42">
        <v>46336</v>
      </c>
    </row>
    <row r="96" spans="2:14" x14ac:dyDescent="0.45">
      <c r="B96">
        <v>0.71905720709757637</v>
      </c>
      <c r="C96" s="42">
        <v>512</v>
      </c>
      <c r="D96" s="43">
        <v>10</v>
      </c>
      <c r="E96" s="43" t="b">
        <v>0</v>
      </c>
      <c r="F96">
        <v>4.0729000000283122E-2</v>
      </c>
      <c r="G96" s="43">
        <v>1.3265400019008666E-2</v>
      </c>
      <c r="H96" s="43">
        <v>2.3752200009766966E-2</v>
      </c>
      <c r="I96" s="43">
        <v>1.0510099993553013E-2</v>
      </c>
      <c r="J96" s="43" t="s">
        <v>131</v>
      </c>
      <c r="K96" s="43" t="s">
        <v>131</v>
      </c>
      <c r="L96" s="43" t="s">
        <v>131</v>
      </c>
      <c r="M96" s="43" t="s">
        <v>182</v>
      </c>
      <c r="N96" s="42">
        <v>92672</v>
      </c>
    </row>
    <row r="97" spans="2:14" x14ac:dyDescent="0.45">
      <c r="B97">
        <v>0.71905720709757637</v>
      </c>
      <c r="C97" s="42">
        <v>1024</v>
      </c>
      <c r="D97" s="43">
        <v>10</v>
      </c>
      <c r="E97" s="43" t="b">
        <v>1</v>
      </c>
      <c r="F97">
        <v>4.3037499999627471E-2</v>
      </c>
      <c r="G97" s="43">
        <v>2.2877199982758611E-2</v>
      </c>
      <c r="H97" s="43">
        <v>3.568600001744926E-2</v>
      </c>
      <c r="I97" s="43">
        <v>2.1401499980129302E-2</v>
      </c>
      <c r="J97" s="43" t="b">
        <v>1</v>
      </c>
      <c r="K97" s="43" t="b">
        <v>1</v>
      </c>
      <c r="L97" s="43" t="b">
        <v>1</v>
      </c>
      <c r="M97" s="43" t="s">
        <v>183</v>
      </c>
      <c r="N97" s="42">
        <v>185344</v>
      </c>
    </row>
    <row r="98" spans="2:14" x14ac:dyDescent="0.45">
      <c r="B98">
        <v>0.71905720709757637</v>
      </c>
      <c r="C98" s="42">
        <v>2048</v>
      </c>
      <c r="D98" s="43">
        <v>10</v>
      </c>
      <c r="E98" s="43" t="b">
        <v>0</v>
      </c>
      <c r="F98">
        <v>5.6666800053790212E-2</v>
      </c>
      <c r="G98" s="43">
        <v>3.8544400013051927E-2</v>
      </c>
      <c r="H98" s="43">
        <v>6.8562100001145154E-2</v>
      </c>
      <c r="I98" s="43">
        <v>3.6316199984867126E-2</v>
      </c>
      <c r="J98" s="43" t="s">
        <v>131</v>
      </c>
      <c r="K98" s="43" t="s">
        <v>131</v>
      </c>
      <c r="L98" s="43" t="s">
        <v>131</v>
      </c>
      <c r="M98" s="43" t="s">
        <v>184</v>
      </c>
      <c r="N98" s="42">
        <v>370688</v>
      </c>
    </row>
    <row r="99" spans="2:14" x14ac:dyDescent="0.45">
      <c r="B99">
        <v>0.71905720709757637</v>
      </c>
      <c r="C99" s="42">
        <v>4096</v>
      </c>
      <c r="D99" s="43">
        <v>10</v>
      </c>
      <c r="E99" s="43" t="b">
        <v>0</v>
      </c>
      <c r="F99">
        <v>8.4201199992094189E-2</v>
      </c>
      <c r="G99" s="43">
        <v>7.5406100018881261E-2</v>
      </c>
      <c r="H99" s="43">
        <v>0.12767460005125031</v>
      </c>
      <c r="I99" s="43">
        <v>6.7383799992967397E-2</v>
      </c>
      <c r="J99" s="43" t="s">
        <v>131</v>
      </c>
      <c r="K99" s="43" t="s">
        <v>131</v>
      </c>
      <c r="L99" s="43" t="s">
        <v>131</v>
      </c>
      <c r="M99" s="43" t="s">
        <v>185</v>
      </c>
      <c r="N99" s="42">
        <v>741376</v>
      </c>
    </row>
    <row r="100" spans="2:14" x14ac:dyDescent="0.45">
      <c r="B100">
        <v>0.71905720709757637</v>
      </c>
      <c r="C100" s="42">
        <v>8192</v>
      </c>
      <c r="D100" s="43">
        <v>10</v>
      </c>
      <c r="E100" s="43" t="b">
        <v>0</v>
      </c>
      <c r="F100">
        <v>0.14783829997759312</v>
      </c>
      <c r="G100" s="43">
        <v>0.15760430000955239</v>
      </c>
      <c r="H100" s="43">
        <v>0.25710689998231828</v>
      </c>
      <c r="I100" s="43">
        <v>0.15480670001124963</v>
      </c>
      <c r="J100" s="43" t="s">
        <v>131</v>
      </c>
      <c r="K100" s="43" t="s">
        <v>131</v>
      </c>
      <c r="L100" s="43" t="s">
        <v>131</v>
      </c>
      <c r="M100" s="43" t="s">
        <v>186</v>
      </c>
      <c r="N100" s="42">
        <v>1482752</v>
      </c>
    </row>
    <row r="101" spans="2:14" x14ac:dyDescent="0.45">
      <c r="B101">
        <v>0.71905720709757637</v>
      </c>
      <c r="C101" s="42">
        <v>16384</v>
      </c>
      <c r="D101" s="43">
        <v>10</v>
      </c>
      <c r="E101" s="43" t="b">
        <v>0</v>
      </c>
      <c r="F101">
        <v>0.32274989999132231</v>
      </c>
      <c r="G101" s="43">
        <v>0.36195819999556988</v>
      </c>
      <c r="H101" s="43">
        <v>0.50500019994797185</v>
      </c>
      <c r="I101" s="43">
        <v>0.31227920000674203</v>
      </c>
      <c r="J101" s="43" t="s">
        <v>131</v>
      </c>
      <c r="K101" s="43" t="s">
        <v>131</v>
      </c>
      <c r="L101" s="43" t="s">
        <v>131</v>
      </c>
      <c r="M101" s="43" t="s">
        <v>187</v>
      </c>
      <c r="N101" s="42">
        <v>2965504</v>
      </c>
    </row>
    <row r="102" spans="2:14" x14ac:dyDescent="0.45">
      <c r="B102">
        <v>0.71905720709757637</v>
      </c>
      <c r="C102" s="42">
        <v>32768</v>
      </c>
      <c r="D102" s="43">
        <v>10</v>
      </c>
      <c r="E102" s="43" t="b">
        <v>0</v>
      </c>
      <c r="F102">
        <v>0.64394819998415187</v>
      </c>
      <c r="G102" s="43">
        <v>0.71530960005475208</v>
      </c>
      <c r="H102" s="43">
        <v>1.0083282000268809</v>
      </c>
      <c r="I102" s="43">
        <v>0.63447360001737252</v>
      </c>
      <c r="J102" s="43" t="s">
        <v>131</v>
      </c>
      <c r="K102" s="43" t="s">
        <v>131</v>
      </c>
      <c r="L102" s="43" t="s">
        <v>131</v>
      </c>
      <c r="M102" s="43" t="s">
        <v>188</v>
      </c>
      <c r="N102" s="42">
        <v>5931008</v>
      </c>
    </row>
    <row r="103" spans="2:14" x14ac:dyDescent="0.45">
      <c r="B103">
        <v>0.71905720709757637</v>
      </c>
      <c r="C103" s="42">
        <v>65536</v>
      </c>
      <c r="D103" s="43">
        <v>10</v>
      </c>
      <c r="E103" s="43" t="b">
        <v>0</v>
      </c>
      <c r="F103">
        <v>1.2071006000041962</v>
      </c>
      <c r="G103" s="43">
        <v>1.4191500999731943</v>
      </c>
      <c r="H103" s="43">
        <v>2.2021798000205308</v>
      </c>
      <c r="I103" s="43">
        <v>1.2208626000210643</v>
      </c>
      <c r="J103" s="43" t="s">
        <v>131</v>
      </c>
      <c r="K103" s="43" t="s">
        <v>131</v>
      </c>
      <c r="L103" s="43" t="s">
        <v>131</v>
      </c>
      <c r="M103" s="43" t="s">
        <v>189</v>
      </c>
      <c r="N103" s="42">
        <v>11862016</v>
      </c>
    </row>
    <row r="104" spans="2:14" x14ac:dyDescent="0.45">
      <c r="B104">
        <v>0.71905720709757637</v>
      </c>
      <c r="C104" s="42">
        <v>131072</v>
      </c>
      <c r="D104" s="43">
        <v>10</v>
      </c>
      <c r="E104" s="43" t="b">
        <v>0</v>
      </c>
      <c r="F104">
        <v>2.4491124000051059</v>
      </c>
      <c r="G104" s="43">
        <v>2.6872797000105493</v>
      </c>
      <c r="H104" s="43">
        <v>4.2579978999565355</v>
      </c>
      <c r="I104" s="43">
        <v>2.5784895999822766</v>
      </c>
      <c r="J104" s="43" t="s">
        <v>131</v>
      </c>
      <c r="K104" s="43" t="s">
        <v>131</v>
      </c>
      <c r="L104" s="43" t="s">
        <v>131</v>
      </c>
      <c r="M104" s="43" t="s">
        <v>190</v>
      </c>
      <c r="N104" s="42">
        <v>23724032</v>
      </c>
    </row>
    <row r="105" spans="2:14" x14ac:dyDescent="0.45">
      <c r="B105">
        <v>0.71905720709757637</v>
      </c>
      <c r="C105" s="42">
        <v>262144</v>
      </c>
      <c r="D105" s="43">
        <v>10</v>
      </c>
      <c r="E105" s="43" t="b">
        <v>0</v>
      </c>
      <c r="F105">
        <v>5.0477023999555968</v>
      </c>
      <c r="G105" s="43">
        <v>5.5357220000005327</v>
      </c>
      <c r="H105" s="43">
        <v>8.5431922999559902</v>
      </c>
      <c r="I105" s="43">
        <v>5.3749654999701306</v>
      </c>
      <c r="J105" s="43" t="s">
        <v>131</v>
      </c>
      <c r="K105" s="43" t="s">
        <v>131</v>
      </c>
      <c r="L105" s="43" t="s">
        <v>131</v>
      </c>
      <c r="M105" s="43" t="s">
        <v>191</v>
      </c>
      <c r="N105" s="42">
        <v>47448064</v>
      </c>
    </row>
    <row r="113" spans="2:14" x14ac:dyDescent="0.45">
      <c r="B113" t="s">
        <v>101</v>
      </c>
      <c r="C113" t="s">
        <v>24</v>
      </c>
      <c r="D113" t="s">
        <v>25</v>
      </c>
      <c r="E113" t="s">
        <v>128</v>
      </c>
      <c r="F113" t="s">
        <v>43</v>
      </c>
      <c r="G113" t="s">
        <v>102</v>
      </c>
      <c r="H113" t="s">
        <v>103</v>
      </c>
      <c r="I113" t="s">
        <v>125</v>
      </c>
      <c r="J113" t="s">
        <v>126</v>
      </c>
      <c r="K113" t="s">
        <v>127</v>
      </c>
      <c r="L113" t="s">
        <v>212</v>
      </c>
      <c r="M113" t="s">
        <v>0</v>
      </c>
      <c r="N113" t="s">
        <v>104</v>
      </c>
    </row>
    <row r="114" spans="2:14" x14ac:dyDescent="0.45">
      <c r="B114" t="s">
        <v>192</v>
      </c>
      <c r="C114" s="42">
        <v>1</v>
      </c>
      <c r="D114" s="43">
        <v>10</v>
      </c>
      <c r="E114" s="43" t="b">
        <v>0</v>
      </c>
      <c r="F114">
        <v>1.5399000258184969E-3</v>
      </c>
      <c r="G114" s="43">
        <v>2.3040000814944506E-4</v>
      </c>
      <c r="H114" s="43">
        <v>2.8573299990966916E-2</v>
      </c>
      <c r="I114" s="43">
        <v>5.9929996496066451E-4</v>
      </c>
      <c r="J114" s="43" t="s">
        <v>131</v>
      </c>
      <c r="K114" s="43" t="s">
        <v>131</v>
      </c>
      <c r="L114" s="43" t="s">
        <v>131</v>
      </c>
      <c r="M114" s="43" t="s">
        <v>193</v>
      </c>
      <c r="N114" s="42">
        <v>201</v>
      </c>
    </row>
    <row r="115" spans="2:14" x14ac:dyDescent="0.45">
      <c r="B115" t="s">
        <v>192</v>
      </c>
      <c r="C115" s="42">
        <v>2</v>
      </c>
      <c r="D115" s="43">
        <v>10</v>
      </c>
      <c r="E115" s="43" t="b">
        <v>0</v>
      </c>
      <c r="F115">
        <v>1.5999999595806003E-3</v>
      </c>
      <c r="G115" s="43">
        <v>3.1590001890435815E-4</v>
      </c>
      <c r="H115" s="43">
        <v>5.987199954688549E-3</v>
      </c>
      <c r="I115" s="43">
        <v>5.2910001249983907E-4</v>
      </c>
      <c r="J115" s="43" t="s">
        <v>131</v>
      </c>
      <c r="K115" s="43" t="s">
        <v>131</v>
      </c>
      <c r="L115" s="43" t="s">
        <v>131</v>
      </c>
      <c r="M115" s="43" t="s">
        <v>194</v>
      </c>
      <c r="N115" s="42">
        <v>402</v>
      </c>
    </row>
    <row r="116" spans="2:14" x14ac:dyDescent="0.45">
      <c r="B116" t="s">
        <v>192</v>
      </c>
      <c r="C116" s="42">
        <v>4</v>
      </c>
      <c r="D116" s="43">
        <v>10</v>
      </c>
      <c r="E116" s="43" t="b">
        <v>1</v>
      </c>
      <c r="F116">
        <v>1.5388000174425542E-3</v>
      </c>
      <c r="G116" s="43">
        <v>2.9260001610964537E-4</v>
      </c>
      <c r="H116" s="43">
        <v>3.4118000185117126E-3</v>
      </c>
      <c r="I116" s="43">
        <v>7.2069995803758502E-4</v>
      </c>
      <c r="J116" s="43" t="b">
        <v>1</v>
      </c>
      <c r="K116" s="43" t="b">
        <v>1</v>
      </c>
      <c r="L116" s="43" t="b">
        <v>1</v>
      </c>
      <c r="M116" s="43" t="s">
        <v>195</v>
      </c>
      <c r="N116" s="42">
        <v>804</v>
      </c>
    </row>
    <row r="117" spans="2:14" x14ac:dyDescent="0.45">
      <c r="B117" t="s">
        <v>192</v>
      </c>
      <c r="C117" s="42">
        <v>8</v>
      </c>
      <c r="D117" s="43">
        <v>10</v>
      </c>
      <c r="E117" s="43" t="b">
        <v>0</v>
      </c>
      <c r="F117">
        <v>1.9582999520935118E-3</v>
      </c>
      <c r="G117" s="43">
        <v>4.8640003660693765E-4</v>
      </c>
      <c r="H117" s="43">
        <v>7.0588000235147774E-3</v>
      </c>
      <c r="I117" s="43">
        <v>9.1030000476166606E-4</v>
      </c>
      <c r="J117" s="43" t="s">
        <v>131</v>
      </c>
      <c r="K117" s="43" t="s">
        <v>131</v>
      </c>
      <c r="L117" s="43" t="s">
        <v>131</v>
      </c>
      <c r="M117" s="43" t="s">
        <v>196</v>
      </c>
      <c r="N117" s="42">
        <v>1608</v>
      </c>
    </row>
    <row r="118" spans="2:14" x14ac:dyDescent="0.45">
      <c r="B118" t="s">
        <v>192</v>
      </c>
      <c r="C118" s="42">
        <v>16</v>
      </c>
      <c r="D118" s="43">
        <v>10</v>
      </c>
      <c r="E118" s="43" t="b">
        <v>0</v>
      </c>
      <c r="F118">
        <v>2.2586999693885446E-3</v>
      </c>
      <c r="G118" s="43">
        <v>7.0099998265504837E-4</v>
      </c>
      <c r="H118" s="43">
        <v>5.2741999970749021E-3</v>
      </c>
      <c r="I118" s="43">
        <v>1.1006999993696809E-3</v>
      </c>
      <c r="J118" s="43" t="s">
        <v>131</v>
      </c>
      <c r="K118" s="43" t="s">
        <v>131</v>
      </c>
      <c r="L118" s="43" t="s">
        <v>131</v>
      </c>
      <c r="M118" s="43" t="s">
        <v>197</v>
      </c>
      <c r="N118" s="42">
        <v>3216</v>
      </c>
    </row>
    <row r="119" spans="2:14" x14ac:dyDescent="0.45">
      <c r="B119" t="s">
        <v>192</v>
      </c>
      <c r="C119" s="42">
        <v>32</v>
      </c>
      <c r="D119" s="43">
        <v>10</v>
      </c>
      <c r="E119" s="43" t="b">
        <v>0</v>
      </c>
      <c r="F119">
        <v>2.6264000334776938E-3</v>
      </c>
      <c r="G119" s="43">
        <v>1.1728000245057046E-3</v>
      </c>
      <c r="H119" s="43">
        <v>5.9200999676249921E-3</v>
      </c>
      <c r="I119" s="43">
        <v>1.4991999487392604E-3</v>
      </c>
      <c r="J119" s="43" t="s">
        <v>131</v>
      </c>
      <c r="K119" s="43" t="s">
        <v>131</v>
      </c>
      <c r="L119" s="43" t="s">
        <v>131</v>
      </c>
      <c r="M119" s="43" t="s">
        <v>198</v>
      </c>
      <c r="N119" s="42">
        <v>6432</v>
      </c>
    </row>
    <row r="120" spans="2:14" x14ac:dyDescent="0.45">
      <c r="B120" t="s">
        <v>192</v>
      </c>
      <c r="C120" s="42">
        <v>64</v>
      </c>
      <c r="D120" s="43">
        <v>10</v>
      </c>
      <c r="E120" s="43" t="b">
        <v>0</v>
      </c>
      <c r="F120">
        <v>4.1746000060811639E-3</v>
      </c>
      <c r="G120" s="43">
        <v>2.1917999838478863E-3</v>
      </c>
      <c r="H120" s="43">
        <v>7.722900016233325E-3</v>
      </c>
      <c r="I120" s="43">
        <v>2.5259999674744904E-3</v>
      </c>
      <c r="J120" s="43" t="s">
        <v>131</v>
      </c>
      <c r="K120" s="43" t="s">
        <v>131</v>
      </c>
      <c r="L120" s="43" t="s">
        <v>131</v>
      </c>
      <c r="M120" s="43" t="s">
        <v>199</v>
      </c>
      <c r="N120" s="42">
        <v>12864</v>
      </c>
    </row>
    <row r="121" spans="2:14" x14ac:dyDescent="0.45">
      <c r="B121" t="s">
        <v>192</v>
      </c>
      <c r="C121" s="42">
        <v>128</v>
      </c>
      <c r="D121" s="43">
        <v>10</v>
      </c>
      <c r="E121" s="43" t="b">
        <v>0</v>
      </c>
      <c r="F121">
        <v>4.2828999576158822E-3</v>
      </c>
      <c r="G121" s="43">
        <v>3.2834999728947878E-3</v>
      </c>
      <c r="H121" s="43">
        <v>8.3867000066675246E-3</v>
      </c>
      <c r="I121" s="43">
        <v>3.1402999884448946E-3</v>
      </c>
      <c r="J121" s="43" t="s">
        <v>131</v>
      </c>
      <c r="K121" s="43" t="s">
        <v>131</v>
      </c>
      <c r="L121" s="43" t="s">
        <v>131</v>
      </c>
      <c r="M121" s="43" t="s">
        <v>200</v>
      </c>
      <c r="N121" s="42">
        <v>25728</v>
      </c>
    </row>
    <row r="122" spans="2:14" x14ac:dyDescent="0.45">
      <c r="B122" t="s">
        <v>192</v>
      </c>
      <c r="C122" s="42">
        <v>256</v>
      </c>
      <c r="D122" s="43">
        <v>10</v>
      </c>
      <c r="E122" s="43" t="b">
        <v>0</v>
      </c>
      <c r="F122">
        <v>6.2814000411890447E-3</v>
      </c>
      <c r="G122" s="43">
        <v>5.7935999939218163E-3</v>
      </c>
      <c r="H122" s="43">
        <v>1.2339799955952913E-2</v>
      </c>
      <c r="I122" s="43">
        <v>4.8802000237628818E-3</v>
      </c>
      <c r="J122" s="43" t="s">
        <v>131</v>
      </c>
      <c r="K122" s="43" t="s">
        <v>131</v>
      </c>
      <c r="L122" s="43" t="s">
        <v>131</v>
      </c>
      <c r="M122" s="43" t="s">
        <v>201</v>
      </c>
      <c r="N122" s="42">
        <v>51456</v>
      </c>
    </row>
    <row r="123" spans="2:14" x14ac:dyDescent="0.45">
      <c r="B123" t="s">
        <v>192</v>
      </c>
      <c r="C123" s="42">
        <v>512</v>
      </c>
      <c r="D123" s="43">
        <v>10</v>
      </c>
      <c r="E123" s="43" t="b">
        <v>0</v>
      </c>
      <c r="F123">
        <v>9.17849998222664E-3</v>
      </c>
      <c r="G123" s="43">
        <v>9.2061000177636743E-3</v>
      </c>
      <c r="H123" s="43">
        <v>1.6768599976785481E-2</v>
      </c>
      <c r="I123" s="43">
        <v>8.1518000224605203E-3</v>
      </c>
      <c r="J123" s="43" t="s">
        <v>131</v>
      </c>
      <c r="K123" s="43" t="s">
        <v>131</v>
      </c>
      <c r="L123" s="43" t="s">
        <v>131</v>
      </c>
      <c r="M123" s="43" t="s">
        <v>202</v>
      </c>
      <c r="N123" s="42">
        <v>102912</v>
      </c>
    </row>
    <row r="124" spans="2:14" x14ac:dyDescent="0.45">
      <c r="B124" t="s">
        <v>192</v>
      </c>
      <c r="C124" s="42">
        <v>1024</v>
      </c>
      <c r="D124" s="43">
        <v>10</v>
      </c>
      <c r="E124" s="43" t="b">
        <v>1</v>
      </c>
      <c r="F124">
        <v>1.7133699962869287E-2</v>
      </c>
      <c r="G124" s="43">
        <v>1.8738900020252913E-2</v>
      </c>
      <c r="H124" s="43">
        <v>3.1352200021501631E-2</v>
      </c>
      <c r="I124" s="43">
        <v>1.6752599971368909E-2</v>
      </c>
      <c r="J124" s="43" t="b">
        <v>1</v>
      </c>
      <c r="K124" s="43" t="b">
        <v>1</v>
      </c>
      <c r="L124" s="43" t="b">
        <v>1</v>
      </c>
      <c r="M124" s="43" t="s">
        <v>203</v>
      </c>
      <c r="N124" s="42">
        <v>205824</v>
      </c>
    </row>
    <row r="125" spans="2:14" x14ac:dyDescent="0.45">
      <c r="B125" t="s">
        <v>192</v>
      </c>
      <c r="C125" s="42">
        <v>2048</v>
      </c>
      <c r="D125" s="43">
        <v>10</v>
      </c>
      <c r="E125" s="43" t="b">
        <v>0</v>
      </c>
      <c r="F125">
        <v>3.3850000007078052E-2</v>
      </c>
      <c r="G125" s="43">
        <v>3.7471799994818866E-2</v>
      </c>
      <c r="H125" s="43">
        <v>5.6908000027760863E-2</v>
      </c>
      <c r="I125" s="43">
        <v>3.3841600001323968E-2</v>
      </c>
      <c r="J125" s="43" t="s">
        <v>131</v>
      </c>
      <c r="K125" s="43" t="s">
        <v>131</v>
      </c>
      <c r="L125" s="43" t="s">
        <v>131</v>
      </c>
      <c r="M125" s="43" t="s">
        <v>204</v>
      </c>
      <c r="N125" s="42">
        <v>411648</v>
      </c>
    </row>
    <row r="126" spans="2:14" x14ac:dyDescent="0.45">
      <c r="B126" t="s">
        <v>192</v>
      </c>
      <c r="C126" s="42">
        <v>4096</v>
      </c>
      <c r="D126" s="43">
        <v>10</v>
      </c>
      <c r="E126" s="43" t="b">
        <v>0</v>
      </c>
      <c r="F126">
        <v>8.4826700040139258E-2</v>
      </c>
      <c r="G126" s="43">
        <v>8.3468500000890344E-2</v>
      </c>
      <c r="H126" s="43">
        <v>0.12147100002039224</v>
      </c>
      <c r="I126" s="43">
        <v>7.4109100038185716E-2</v>
      </c>
      <c r="J126" s="43" t="s">
        <v>131</v>
      </c>
      <c r="K126" s="43" t="s">
        <v>131</v>
      </c>
      <c r="L126" s="43" t="s">
        <v>131</v>
      </c>
      <c r="M126" s="43" t="s">
        <v>205</v>
      </c>
      <c r="N126" s="42">
        <v>823296</v>
      </c>
    </row>
    <row r="127" spans="2:14" x14ac:dyDescent="0.45">
      <c r="B127" t="s">
        <v>192</v>
      </c>
      <c r="C127" s="42">
        <v>8192</v>
      </c>
      <c r="D127" s="43">
        <v>10</v>
      </c>
      <c r="E127" s="43" t="b">
        <v>0</v>
      </c>
      <c r="F127">
        <v>0.15064960002200678</v>
      </c>
      <c r="G127" s="43">
        <v>0.1614558000001125</v>
      </c>
      <c r="H127" s="43">
        <v>0.24931290000677109</v>
      </c>
      <c r="I127" s="43">
        <v>0.14558000001125038</v>
      </c>
      <c r="J127" s="43" t="s">
        <v>131</v>
      </c>
      <c r="K127" s="43" t="s">
        <v>131</v>
      </c>
      <c r="L127" s="43" t="s">
        <v>131</v>
      </c>
      <c r="M127" s="43" t="s">
        <v>206</v>
      </c>
      <c r="N127" s="42">
        <v>1646592</v>
      </c>
    </row>
    <row r="128" spans="2:14" x14ac:dyDescent="0.45">
      <c r="B128" t="s">
        <v>192</v>
      </c>
      <c r="C128" s="42">
        <v>16384</v>
      </c>
      <c r="D128" s="43">
        <v>10</v>
      </c>
      <c r="E128" s="43" t="b">
        <v>0</v>
      </c>
      <c r="F128">
        <v>0.32176980003714561</v>
      </c>
      <c r="G128" s="43">
        <v>0.33968490001279861</v>
      </c>
      <c r="H128" s="43">
        <v>0.46902389999013394</v>
      </c>
      <c r="I128" s="43">
        <v>0.32459610002115369</v>
      </c>
      <c r="J128" s="43" t="s">
        <v>131</v>
      </c>
      <c r="K128" s="43" t="s">
        <v>131</v>
      </c>
      <c r="L128" s="43" t="s">
        <v>131</v>
      </c>
      <c r="M128" s="43" t="s">
        <v>207</v>
      </c>
      <c r="N128" s="42">
        <v>3293184</v>
      </c>
    </row>
    <row r="129" spans="2:14" x14ac:dyDescent="0.45">
      <c r="B129" t="s">
        <v>192</v>
      </c>
      <c r="C129" s="42">
        <v>32768</v>
      </c>
      <c r="D129" s="43">
        <v>10</v>
      </c>
      <c r="E129" s="43" t="b">
        <v>0</v>
      </c>
      <c r="F129">
        <v>0.639093000034336</v>
      </c>
      <c r="G129" s="43">
        <v>0.69856869999784976</v>
      </c>
      <c r="H129" s="43">
        <v>0.97862319997511804</v>
      </c>
      <c r="I129" s="43">
        <v>0.64445089997025207</v>
      </c>
      <c r="J129" s="43" t="s">
        <v>131</v>
      </c>
      <c r="K129" s="43" t="s">
        <v>131</v>
      </c>
      <c r="L129" s="43" t="s">
        <v>131</v>
      </c>
      <c r="M129" s="43" t="s">
        <v>208</v>
      </c>
      <c r="N129" s="42">
        <v>6586368</v>
      </c>
    </row>
    <row r="130" spans="2:14" x14ac:dyDescent="0.45">
      <c r="B130" t="s">
        <v>192</v>
      </c>
      <c r="C130" s="42">
        <v>65536</v>
      </c>
      <c r="D130" s="43">
        <v>10</v>
      </c>
      <c r="E130" s="43" t="b">
        <v>0</v>
      </c>
      <c r="F130">
        <v>1.290572699974291</v>
      </c>
      <c r="G130" s="43">
        <v>1.44255689997226</v>
      </c>
      <c r="H130" s="43">
        <v>2.1599765999708325</v>
      </c>
      <c r="I130" s="43">
        <v>1.3156023999908939</v>
      </c>
      <c r="J130" s="43" t="s">
        <v>131</v>
      </c>
      <c r="K130" s="43" t="s">
        <v>131</v>
      </c>
      <c r="L130" s="43" t="s">
        <v>131</v>
      </c>
      <c r="M130" s="43" t="s">
        <v>209</v>
      </c>
      <c r="N130" s="42">
        <v>13172736</v>
      </c>
    </row>
    <row r="131" spans="2:14" x14ac:dyDescent="0.45">
      <c r="B131" t="s">
        <v>192</v>
      </c>
      <c r="C131" s="42">
        <v>131072</v>
      </c>
      <c r="D131" s="43">
        <v>10</v>
      </c>
      <c r="E131" s="43" t="b">
        <v>0</v>
      </c>
      <c r="F131">
        <v>2.5631426000036299</v>
      </c>
      <c r="G131" s="43">
        <v>2.8150680999970064</v>
      </c>
      <c r="H131" s="43">
        <v>4.1450997000210918</v>
      </c>
      <c r="I131" s="43">
        <v>2.7062682999530807</v>
      </c>
      <c r="J131" s="43" t="s">
        <v>131</v>
      </c>
      <c r="K131" s="43" t="s">
        <v>131</v>
      </c>
      <c r="L131" s="43" t="s">
        <v>131</v>
      </c>
      <c r="M131" s="43" t="s">
        <v>210</v>
      </c>
      <c r="N131" s="42">
        <v>26345472</v>
      </c>
    </row>
    <row r="132" spans="2:14" x14ac:dyDescent="0.45">
      <c r="B132" t="s">
        <v>192</v>
      </c>
      <c r="C132" s="42">
        <v>262144</v>
      </c>
      <c r="D132" s="43">
        <v>10</v>
      </c>
      <c r="E132" s="43" t="b">
        <v>0</v>
      </c>
      <c r="F132">
        <v>5.284593699965626</v>
      </c>
      <c r="G132" s="43">
        <v>5.9948627999983728</v>
      </c>
      <c r="H132" s="43">
        <v>8.3426641999976709</v>
      </c>
      <c r="I132" s="43">
        <v>5.5218378999852575</v>
      </c>
      <c r="J132" s="43" t="s">
        <v>131</v>
      </c>
      <c r="K132" s="43" t="s">
        <v>131</v>
      </c>
      <c r="L132" s="43" t="s">
        <v>131</v>
      </c>
      <c r="M132" s="43" t="s">
        <v>211</v>
      </c>
      <c r="N132" s="42">
        <v>52690944</v>
      </c>
    </row>
    <row r="139" spans="2:14" x14ac:dyDescent="0.45">
      <c r="B139" t="s">
        <v>101</v>
      </c>
      <c r="C139" t="s">
        <v>24</v>
      </c>
      <c r="D139" t="s">
        <v>25</v>
      </c>
      <c r="E139" t="s">
        <v>128</v>
      </c>
      <c r="F139" t="s">
        <v>43</v>
      </c>
      <c r="G139" t="s">
        <v>102</v>
      </c>
      <c r="H139" t="s">
        <v>103</v>
      </c>
      <c r="I139" t="s">
        <v>125</v>
      </c>
      <c r="J139" t="s">
        <v>126</v>
      </c>
      <c r="K139" t="s">
        <v>127</v>
      </c>
      <c r="L139" t="s">
        <v>212</v>
      </c>
      <c r="M139" t="s">
        <v>0</v>
      </c>
      <c r="N139" t="s">
        <v>104</v>
      </c>
    </row>
    <row r="140" spans="2:14" x14ac:dyDescent="0.45">
      <c r="B140" t="str">
        <f ca="1">REPT("x",16)</f>
        <v>xxxxxxxxxxxxxxxx</v>
      </c>
      <c r="C140" s="42">
        <v>8</v>
      </c>
      <c r="D140" s="43">
        <v>1</v>
      </c>
      <c r="E140" s="43" t="b">
        <v>1</v>
      </c>
      <c r="F140">
        <v>1.5417999820783734E-3</v>
      </c>
      <c r="G140" s="43">
        <v>2.8189999284222722E-4</v>
      </c>
      <c r="H140" s="43">
        <v>3.0835799989290535E-2</v>
      </c>
      <c r="I140" s="43">
        <v>6.3389999559149146E-4</v>
      </c>
      <c r="J140" s="43" t="b">
        <v>1</v>
      </c>
      <c r="K140" s="43" t="b">
        <v>1</v>
      </c>
      <c r="L140" s="43" t="b">
        <v>1</v>
      </c>
      <c r="M140" s="43" t="s">
        <v>242</v>
      </c>
      <c r="N140" s="42">
        <v>144</v>
      </c>
    </row>
    <row r="141" spans="2:14" x14ac:dyDescent="0.45">
      <c r="B141" t="str">
        <f t="shared" ref="B141:B153" ca="1" si="1">REPT("x",16)</f>
        <v>xxxxxxxxxxxxxxxx</v>
      </c>
      <c r="C141" s="42">
        <v>8</v>
      </c>
      <c r="D141" s="43">
        <v>2</v>
      </c>
      <c r="E141" s="43" t="b">
        <v>1</v>
      </c>
      <c r="F141">
        <v>2.2516999975778162E-2</v>
      </c>
      <c r="G141" s="43">
        <v>1.5251999720931053E-3</v>
      </c>
      <c r="H141" s="43">
        <v>3.2947300001978874E-2</v>
      </c>
      <c r="I141" s="43">
        <v>5.4939999245107174E-4</v>
      </c>
      <c r="J141" s="43" t="b">
        <v>1</v>
      </c>
      <c r="K141" s="43" t="b">
        <v>1</v>
      </c>
      <c r="L141" s="43" t="b">
        <v>1</v>
      </c>
      <c r="M141" s="43" t="s">
        <v>243</v>
      </c>
      <c r="N141" s="42">
        <v>280</v>
      </c>
    </row>
    <row r="142" spans="2:14" x14ac:dyDescent="0.45">
      <c r="B142" t="str">
        <f t="shared" ca="1" si="1"/>
        <v>xxxxxxxxxxxxxxxx</v>
      </c>
      <c r="C142" s="42">
        <v>8</v>
      </c>
      <c r="D142" s="43">
        <v>4</v>
      </c>
      <c r="E142" s="43" t="b">
        <v>1</v>
      </c>
      <c r="F142">
        <v>2.7448499982710928E-2</v>
      </c>
      <c r="G142" s="43">
        <v>2.311200019903481E-3</v>
      </c>
      <c r="H142" s="43">
        <v>1.852610002970323E-2</v>
      </c>
      <c r="I142" s="43">
        <v>7.9710001591593027E-4</v>
      </c>
      <c r="J142" s="43" t="b">
        <v>1</v>
      </c>
      <c r="K142" s="43" t="b">
        <v>1</v>
      </c>
      <c r="L142" s="43" t="b">
        <v>1</v>
      </c>
      <c r="M142" s="43" t="s">
        <v>244</v>
      </c>
      <c r="N142" s="42">
        <v>552</v>
      </c>
    </row>
    <row r="143" spans="2:14" x14ac:dyDescent="0.45">
      <c r="B143" t="str">
        <f t="shared" ca="1" si="1"/>
        <v>xxxxxxxxxxxxxxxx</v>
      </c>
      <c r="C143" s="42">
        <v>8</v>
      </c>
      <c r="D143" s="43">
        <v>8</v>
      </c>
      <c r="E143" s="43" t="b">
        <v>1</v>
      </c>
      <c r="F143">
        <v>2.1669199981261045E-2</v>
      </c>
      <c r="G143" s="43">
        <v>1.8705000402405858E-3</v>
      </c>
      <c r="H143" s="43">
        <v>1.1154800013173372E-2</v>
      </c>
      <c r="I143" s="43">
        <v>1.1713000130839646E-3</v>
      </c>
      <c r="J143" s="43" t="b">
        <v>1</v>
      </c>
      <c r="K143" s="43" t="b">
        <v>1</v>
      </c>
      <c r="L143" s="43" t="b">
        <v>1</v>
      </c>
      <c r="M143" s="43" t="s">
        <v>245</v>
      </c>
      <c r="N143" s="42">
        <v>1096</v>
      </c>
    </row>
    <row r="144" spans="2:14" x14ac:dyDescent="0.45">
      <c r="B144" t="str">
        <f t="shared" ca="1" si="1"/>
        <v>xxxxxxxxxxxxxxxx</v>
      </c>
      <c r="C144" s="42">
        <v>8</v>
      </c>
      <c r="D144" s="43">
        <v>16</v>
      </c>
      <c r="E144" s="43" t="b">
        <v>1</v>
      </c>
      <c r="F144">
        <v>2.4037300026975572E-2</v>
      </c>
      <c r="G144" s="43">
        <v>2.2332000080496073E-3</v>
      </c>
      <c r="H144" s="43">
        <v>8.2300999783910811E-3</v>
      </c>
      <c r="I144" s="43">
        <v>1.0115000186488032E-3</v>
      </c>
      <c r="J144" s="43" t="b">
        <v>1</v>
      </c>
      <c r="K144" s="43" t="b">
        <v>1</v>
      </c>
      <c r="L144" s="43" t="b">
        <v>1</v>
      </c>
      <c r="M144" s="43" t="s">
        <v>246</v>
      </c>
      <c r="N144" s="42">
        <v>2184</v>
      </c>
    </row>
    <row r="145" spans="2:14" x14ac:dyDescent="0.45">
      <c r="B145" t="str">
        <f t="shared" ca="1" si="1"/>
        <v>xxxxxxxxxxxxxxxx</v>
      </c>
      <c r="C145" s="42">
        <v>8</v>
      </c>
      <c r="D145" s="43">
        <v>32</v>
      </c>
      <c r="E145" s="43" t="b">
        <v>1</v>
      </c>
      <c r="F145">
        <v>2.4327999970410019E-2</v>
      </c>
      <c r="G145" s="43">
        <v>3.1921999761834741E-3</v>
      </c>
      <c r="H145" s="43">
        <v>1.1466700001619756E-2</v>
      </c>
      <c r="I145" s="43">
        <v>1.5243000234477222E-3</v>
      </c>
      <c r="J145" s="43" t="b">
        <v>1</v>
      </c>
      <c r="K145" s="43" t="b">
        <v>1</v>
      </c>
      <c r="L145" s="43" t="b">
        <v>1</v>
      </c>
      <c r="M145" s="43" t="s">
        <v>247</v>
      </c>
      <c r="N145" s="42">
        <v>4360</v>
      </c>
    </row>
    <row r="146" spans="2:14" x14ac:dyDescent="0.45">
      <c r="B146" t="str">
        <f t="shared" ca="1" si="1"/>
        <v>xxxxxxxxxxxxxxxx</v>
      </c>
      <c r="C146" s="42">
        <v>8</v>
      </c>
      <c r="D146" s="43">
        <v>64</v>
      </c>
      <c r="E146" s="43" t="b">
        <v>1</v>
      </c>
      <c r="F146">
        <v>2.5217799993697554E-2</v>
      </c>
      <c r="G146" s="43">
        <v>4.1580999968573451E-3</v>
      </c>
      <c r="H146" s="43">
        <v>1.8898600013926625E-2</v>
      </c>
      <c r="I146" s="43">
        <v>2.4454999947920442E-3</v>
      </c>
      <c r="J146" s="43" t="b">
        <v>1</v>
      </c>
      <c r="K146" s="43" t="b">
        <v>1</v>
      </c>
      <c r="L146" s="43" t="b">
        <v>1</v>
      </c>
      <c r="M146" s="43" t="s">
        <v>248</v>
      </c>
      <c r="N146" s="42">
        <v>8712</v>
      </c>
    </row>
    <row r="147" spans="2:14" x14ac:dyDescent="0.45">
      <c r="B147" t="str">
        <f t="shared" ca="1" si="1"/>
        <v>xxxxxxxxxxxxxxxx</v>
      </c>
      <c r="C147" s="42">
        <v>8</v>
      </c>
      <c r="D147" s="43">
        <v>128</v>
      </c>
      <c r="E147" s="43" t="b">
        <v>1</v>
      </c>
      <c r="F147">
        <v>2.5036000006366521E-2</v>
      </c>
      <c r="G147" s="43">
        <v>5.1117999828420579E-3</v>
      </c>
      <c r="H147" s="43">
        <v>3.1909499957691878E-2</v>
      </c>
      <c r="I147" s="43">
        <v>2.6375000015832484E-3</v>
      </c>
      <c r="J147" s="43" t="b">
        <v>1</v>
      </c>
      <c r="K147" s="43" t="b">
        <v>1</v>
      </c>
      <c r="L147" s="43" t="b">
        <v>1</v>
      </c>
      <c r="M147" s="43" t="s">
        <v>249</v>
      </c>
      <c r="N147" s="42">
        <v>17416</v>
      </c>
    </row>
    <row r="148" spans="2:14" x14ac:dyDescent="0.45">
      <c r="B148" t="str">
        <f t="shared" ca="1" si="1"/>
        <v>xxxxxxxxxxxxxxxx</v>
      </c>
      <c r="C148" s="42">
        <v>8</v>
      </c>
      <c r="D148" s="43">
        <v>256</v>
      </c>
      <c r="E148" s="43" t="b">
        <v>1</v>
      </c>
      <c r="F148">
        <v>2.5768499996047467E-2</v>
      </c>
      <c r="G148" s="43">
        <v>6.5739999990910292E-3</v>
      </c>
      <c r="H148" s="43">
        <v>7.5667999975848943E-2</v>
      </c>
      <c r="I148" s="43">
        <v>3.4879000158980489E-3</v>
      </c>
      <c r="J148" s="43" t="b">
        <v>1</v>
      </c>
      <c r="K148" s="43" t="b">
        <v>1</v>
      </c>
      <c r="L148" s="43" t="b">
        <v>1</v>
      </c>
      <c r="M148" s="43" t="s">
        <v>250</v>
      </c>
      <c r="N148" s="42">
        <v>34824</v>
      </c>
    </row>
    <row r="149" spans="2:14" x14ac:dyDescent="0.45">
      <c r="B149" t="str">
        <f t="shared" ca="1" si="1"/>
        <v>xxxxxxxxxxxxxxxx</v>
      </c>
      <c r="C149" s="42">
        <v>8</v>
      </c>
      <c r="D149" s="43">
        <v>512</v>
      </c>
      <c r="E149" s="43" t="b">
        <v>1</v>
      </c>
      <c r="F149">
        <v>2.2877200040966272E-2</v>
      </c>
      <c r="G149" s="43">
        <v>8.8500999845564365E-3</v>
      </c>
      <c r="H149" s="43">
        <v>0.23245269997278228</v>
      </c>
      <c r="I149" s="43">
        <v>6.000800000037998E-3</v>
      </c>
      <c r="J149" s="43" t="b">
        <v>1</v>
      </c>
      <c r="K149" s="43" t="b">
        <v>1</v>
      </c>
      <c r="L149" s="43" t="b">
        <v>1</v>
      </c>
      <c r="M149" s="43" t="s">
        <v>251</v>
      </c>
      <c r="N149" s="42">
        <v>69640</v>
      </c>
    </row>
    <row r="150" spans="2:14" x14ac:dyDescent="0.45">
      <c r="B150" t="str">
        <f t="shared" ca="1" si="1"/>
        <v>xxxxxxxxxxxxxxxx</v>
      </c>
      <c r="C150" s="42">
        <v>8</v>
      </c>
      <c r="D150" s="43">
        <v>1024</v>
      </c>
      <c r="E150" s="43" t="b">
        <v>1</v>
      </c>
      <c r="F150">
        <v>2.8058699972461909E-2</v>
      </c>
      <c r="G150" s="43">
        <v>1.6489999950863421E-2</v>
      </c>
      <c r="H150" s="43">
        <v>0.96684710000408813</v>
      </c>
      <c r="I150" s="43">
        <v>1.2007799989078194E-2</v>
      </c>
      <c r="J150" s="43" t="b">
        <v>1</v>
      </c>
      <c r="K150" s="43" t="b">
        <v>1</v>
      </c>
      <c r="L150" s="43" t="b">
        <v>1</v>
      </c>
      <c r="M150" s="43" t="s">
        <v>252</v>
      </c>
      <c r="N150" s="42">
        <v>139272</v>
      </c>
    </row>
    <row r="151" spans="2:14" x14ac:dyDescent="0.45">
      <c r="B151" t="str">
        <f t="shared" ca="1" si="1"/>
        <v>xxxxxxxxxxxxxxxx</v>
      </c>
      <c r="C151" s="42">
        <v>8</v>
      </c>
      <c r="D151" s="43">
        <v>2048</v>
      </c>
      <c r="E151" s="43" t="b">
        <v>1</v>
      </c>
      <c r="F151">
        <v>4.0653300005942583E-2</v>
      </c>
      <c r="G151" s="43">
        <v>2.9770399967674166E-2</v>
      </c>
      <c r="H151" s="43">
        <v>3.7320699000265449</v>
      </c>
      <c r="I151" s="43">
        <v>2.3623699962627143E-2</v>
      </c>
      <c r="J151" s="43" t="b">
        <v>1</v>
      </c>
      <c r="K151" s="43" t="b">
        <v>1</v>
      </c>
      <c r="L151" s="43" t="b">
        <v>1</v>
      </c>
      <c r="M151" s="43" t="s">
        <v>253</v>
      </c>
      <c r="N151" s="42">
        <v>278536</v>
      </c>
    </row>
    <row r="152" spans="2:14" x14ac:dyDescent="0.45">
      <c r="B152" t="str">
        <f t="shared" ca="1" si="1"/>
        <v>xxxxxxxxxxxxxxxx</v>
      </c>
      <c r="C152" s="42">
        <v>8</v>
      </c>
      <c r="D152" s="43">
        <v>4096</v>
      </c>
      <c r="E152" s="43" t="b">
        <v>1</v>
      </c>
      <c r="F152">
        <v>5.7805999997071922E-2</v>
      </c>
      <c r="G152" s="43">
        <v>5.5650299997068942E-2</v>
      </c>
      <c r="H152" s="43">
        <v>14.053766099968925</v>
      </c>
      <c r="I152" s="43">
        <v>5.0664299982599914E-2</v>
      </c>
      <c r="J152" s="43" t="b">
        <v>1</v>
      </c>
      <c r="K152" s="43" t="b">
        <v>1</v>
      </c>
      <c r="L152" s="43" t="b">
        <v>1</v>
      </c>
      <c r="M152" s="43" t="s">
        <v>254</v>
      </c>
      <c r="N152" s="42">
        <v>557064</v>
      </c>
    </row>
    <row r="153" spans="2:14" x14ac:dyDescent="0.45">
      <c r="B153" t="str">
        <f t="shared" ca="1" si="1"/>
        <v>xxxxxxxxxxxxxxxx</v>
      </c>
      <c r="C153" s="42">
        <v>8</v>
      </c>
      <c r="D153" s="43">
        <v>8192</v>
      </c>
      <c r="E153" s="43" t="b">
        <v>1</v>
      </c>
      <c r="F153">
        <v>0.10531640000408515</v>
      </c>
      <c r="G153" s="43">
        <v>0.11661389999790117</v>
      </c>
      <c r="H153" s="43">
        <v>57.082776500028558</v>
      </c>
      <c r="I153" s="43">
        <v>0.11500150000210851</v>
      </c>
      <c r="J153" s="43" t="b">
        <v>1</v>
      </c>
      <c r="K153" s="43" t="b">
        <v>1</v>
      </c>
      <c r="L153" s="43" t="b">
        <v>1</v>
      </c>
      <c r="M153" s="43" t="s">
        <v>255</v>
      </c>
      <c r="N153" s="42">
        <v>1114120</v>
      </c>
    </row>
    <row r="154" spans="2:14" x14ac:dyDescent="0.45">
      <c r="C154" s="42"/>
      <c r="D154" s="43"/>
      <c r="E154" s="43"/>
      <c r="G154" s="43"/>
      <c r="H154" s="43"/>
      <c r="I154" s="43"/>
      <c r="J154" s="43"/>
      <c r="K154" s="43"/>
      <c r="L154" s="43"/>
      <c r="M154" s="43"/>
      <c r="N154" s="42"/>
    </row>
    <row r="155" spans="2:14" x14ac:dyDescent="0.45">
      <c r="C155" s="42"/>
      <c r="D155" s="43"/>
      <c r="E155" s="43"/>
      <c r="G155" s="43"/>
      <c r="H155" s="43"/>
      <c r="I155" s="43"/>
      <c r="J155" s="43"/>
      <c r="K155" s="43"/>
      <c r="L155" s="43"/>
      <c r="M155" s="43"/>
      <c r="N155" s="42"/>
    </row>
    <row r="156" spans="2:14" x14ac:dyDescent="0.45">
      <c r="C156" s="42"/>
      <c r="D156" s="43"/>
      <c r="E156" s="43"/>
      <c r="G156" s="43"/>
      <c r="H156" s="43"/>
      <c r="I156" s="43"/>
      <c r="J156" s="43"/>
      <c r="K156" s="43"/>
      <c r="L156" s="43"/>
      <c r="M156" s="43"/>
      <c r="N156" s="42"/>
    </row>
    <row r="157" spans="2:14" x14ac:dyDescent="0.45">
      <c r="C157" s="42"/>
      <c r="D157" s="43"/>
      <c r="E157" s="43"/>
      <c r="G157" s="43"/>
      <c r="H157" s="43"/>
      <c r="I157" s="43"/>
      <c r="J157" s="43"/>
      <c r="K157" s="43"/>
      <c r="L157" s="43"/>
      <c r="M157" s="43"/>
      <c r="N157" s="42"/>
    </row>
    <row r="158" spans="2:14" x14ac:dyDescent="0.45">
      <c r="C158" s="42"/>
      <c r="D158" s="43"/>
      <c r="E158" s="43"/>
      <c r="G158" s="43"/>
      <c r="H158" s="43"/>
      <c r="I158" s="43"/>
      <c r="J158" s="43"/>
      <c r="K158" s="43"/>
      <c r="L158" s="43"/>
      <c r="M158" s="43"/>
      <c r="N158" s="42"/>
    </row>
    <row r="168" spans="1:14" x14ac:dyDescent="0.45">
      <c r="A168" t="s">
        <v>256</v>
      </c>
      <c r="B168" t="s">
        <v>101</v>
      </c>
      <c r="C168" t="s">
        <v>24</v>
      </c>
      <c r="D168" t="s">
        <v>25</v>
      </c>
      <c r="E168" t="s">
        <v>128</v>
      </c>
      <c r="F168" t="s">
        <v>43</v>
      </c>
      <c r="G168" t="s">
        <v>102</v>
      </c>
      <c r="H168" t="s">
        <v>103</v>
      </c>
      <c r="I168" t="s">
        <v>125</v>
      </c>
      <c r="J168" t="s">
        <v>126</v>
      </c>
      <c r="K168" t="s">
        <v>127</v>
      </c>
      <c r="L168" t="s">
        <v>212</v>
      </c>
      <c r="M168" t="s">
        <v>0</v>
      </c>
      <c r="N168" t="s">
        <v>104</v>
      </c>
    </row>
    <row r="169" spans="1:14" x14ac:dyDescent="0.45">
      <c r="A169" cm="1">
        <f t="array" aca="1" ref="A169:A183" ca="1">LEN(B169:B183)</f>
        <v>1</v>
      </c>
      <c r="B169" t="s">
        <v>99</v>
      </c>
      <c r="C169" s="44">
        <v>1024</v>
      </c>
      <c r="D169">
        <v>8</v>
      </c>
      <c r="E169" t="b">
        <v>1</v>
      </c>
      <c r="F169">
        <v>3.6099600023590028E-2</v>
      </c>
      <c r="G169">
        <v>1.1297700053546578E-2</v>
      </c>
      <c r="H169">
        <v>3.8700200035236776E-2</v>
      </c>
      <c r="I169">
        <v>8.0300999688915908E-3</v>
      </c>
      <c r="J169" t="b">
        <v>1</v>
      </c>
      <c r="K169" t="b">
        <v>1</v>
      </c>
      <c r="L169" t="b">
        <v>1</v>
      </c>
      <c r="M169" t="s">
        <v>227</v>
      </c>
      <c r="N169" s="45">
        <v>17408</v>
      </c>
    </row>
    <row r="170" spans="1:14" x14ac:dyDescent="0.45">
      <c r="A170">
        <f ca="1"/>
        <v>2</v>
      </c>
      <c r="B170" t="s">
        <v>213</v>
      </c>
      <c r="C170" s="44">
        <v>1024</v>
      </c>
      <c r="D170">
        <v>8</v>
      </c>
      <c r="E170" t="b">
        <v>1</v>
      </c>
      <c r="F170">
        <v>2.4519000027794391E-2</v>
      </c>
      <c r="G170">
        <v>1.1613300011958927E-2</v>
      </c>
      <c r="H170">
        <v>4.9728100013453513E-2</v>
      </c>
      <c r="I170">
        <v>1.1890600027982146E-2</v>
      </c>
      <c r="J170" t="b">
        <v>1</v>
      </c>
      <c r="K170" t="b">
        <v>1</v>
      </c>
      <c r="L170" t="b">
        <v>1</v>
      </c>
      <c r="M170" t="s">
        <v>228</v>
      </c>
      <c r="N170" s="45">
        <v>25600</v>
      </c>
    </row>
    <row r="171" spans="1:14" x14ac:dyDescent="0.45">
      <c r="A171">
        <f ca="1"/>
        <v>4</v>
      </c>
      <c r="B171" t="s">
        <v>214</v>
      </c>
      <c r="C171" s="44">
        <v>1024</v>
      </c>
      <c r="D171">
        <v>8</v>
      </c>
      <c r="E171" t="b">
        <v>1</v>
      </c>
      <c r="F171">
        <v>3.4826999995857477E-2</v>
      </c>
      <c r="G171">
        <v>1.2533299974165857E-2</v>
      </c>
      <c r="H171">
        <v>3.7826000014320016E-2</v>
      </c>
      <c r="I171">
        <v>1.1122199997771531E-2</v>
      </c>
      <c r="J171" t="b">
        <v>1</v>
      </c>
      <c r="K171" t="b">
        <v>1</v>
      </c>
      <c r="L171" t="b">
        <v>1</v>
      </c>
      <c r="M171" t="s">
        <v>229</v>
      </c>
      <c r="N171" s="45">
        <v>41984</v>
      </c>
    </row>
    <row r="172" spans="1:14" x14ac:dyDescent="0.45">
      <c r="A172">
        <f ca="1"/>
        <v>8</v>
      </c>
      <c r="B172" t="s">
        <v>215</v>
      </c>
      <c r="C172" s="44">
        <v>1024</v>
      </c>
      <c r="D172">
        <v>8</v>
      </c>
      <c r="E172" t="b">
        <v>1</v>
      </c>
      <c r="F172">
        <v>3.635099995881319E-2</v>
      </c>
      <c r="G172">
        <v>1.3834099983796477E-2</v>
      </c>
      <c r="H172">
        <v>3.8158600043971092E-2</v>
      </c>
      <c r="I172">
        <v>1.3336099975276738E-2</v>
      </c>
      <c r="J172" t="b">
        <v>1</v>
      </c>
      <c r="K172" t="b">
        <v>1</v>
      </c>
      <c r="L172" t="b">
        <v>1</v>
      </c>
      <c r="M172" t="s">
        <v>230</v>
      </c>
      <c r="N172" s="45">
        <v>74752</v>
      </c>
    </row>
    <row r="173" spans="1:14" x14ac:dyDescent="0.45">
      <c r="A173">
        <f ca="1"/>
        <v>16</v>
      </c>
      <c r="B173" t="s">
        <v>216</v>
      </c>
      <c r="C173" s="44">
        <v>1024</v>
      </c>
      <c r="D173">
        <v>8</v>
      </c>
      <c r="E173" t="b">
        <v>1</v>
      </c>
      <c r="F173">
        <v>3.306489996612072E-2</v>
      </c>
      <c r="G173">
        <v>1.9030100025702268E-2</v>
      </c>
      <c r="H173">
        <v>3.8478399976156652E-2</v>
      </c>
      <c r="I173">
        <v>2.195000002393499E-2</v>
      </c>
      <c r="J173" t="b">
        <v>1</v>
      </c>
      <c r="K173" t="b">
        <v>1</v>
      </c>
      <c r="L173" t="b">
        <v>1</v>
      </c>
      <c r="M173" t="s">
        <v>231</v>
      </c>
      <c r="N173" s="45">
        <v>140288</v>
      </c>
    </row>
    <row r="174" spans="1:14" x14ac:dyDescent="0.45">
      <c r="A174">
        <f ca="1"/>
        <v>32</v>
      </c>
      <c r="B174" t="s">
        <v>217</v>
      </c>
      <c r="C174" s="44">
        <v>1024</v>
      </c>
      <c r="D174">
        <v>8</v>
      </c>
      <c r="E174" t="b">
        <v>1</v>
      </c>
      <c r="F174">
        <v>4.074870003387332E-2</v>
      </c>
      <c r="G174">
        <v>2.5379300001077354E-2</v>
      </c>
      <c r="H174">
        <v>3.0453100043814629E-2</v>
      </c>
      <c r="I174">
        <v>2.6707899989560246E-2</v>
      </c>
      <c r="J174" t="b">
        <v>1</v>
      </c>
      <c r="K174" t="b">
        <v>1</v>
      </c>
      <c r="L174" t="b">
        <v>1</v>
      </c>
      <c r="M174" t="s">
        <v>232</v>
      </c>
      <c r="N174" s="45">
        <v>271360</v>
      </c>
    </row>
    <row r="175" spans="1:14" x14ac:dyDescent="0.45">
      <c r="A175">
        <f ca="1"/>
        <v>64</v>
      </c>
      <c r="B175" t="s">
        <v>218</v>
      </c>
      <c r="C175" s="44">
        <v>1024</v>
      </c>
      <c r="D175">
        <v>8</v>
      </c>
      <c r="E175" t="b">
        <v>1</v>
      </c>
      <c r="F175">
        <v>4.6508999948855489E-2</v>
      </c>
      <c r="G175">
        <v>3.451550001045689E-2</v>
      </c>
      <c r="H175">
        <v>2.9400800005532801E-2</v>
      </c>
      <c r="I175">
        <v>3.8520500005688518E-2</v>
      </c>
      <c r="J175" t="b">
        <v>1</v>
      </c>
      <c r="K175" t="b">
        <v>1</v>
      </c>
      <c r="L175" t="b">
        <v>1</v>
      </c>
      <c r="M175" t="s">
        <v>233</v>
      </c>
      <c r="N175" s="45">
        <v>533504</v>
      </c>
    </row>
    <row r="176" spans="1:14" x14ac:dyDescent="0.45">
      <c r="A176">
        <f ca="1"/>
        <v>128</v>
      </c>
      <c r="B176" t="s">
        <v>219</v>
      </c>
      <c r="C176" s="44">
        <v>1024</v>
      </c>
      <c r="D176">
        <v>8</v>
      </c>
      <c r="E176" t="b">
        <v>1</v>
      </c>
      <c r="F176">
        <v>7.4064399988856167E-2</v>
      </c>
      <c r="G176">
        <v>6.0503799992147833E-2</v>
      </c>
      <c r="H176">
        <v>3.7317699985578656E-2</v>
      </c>
      <c r="I176">
        <v>6.3987699977587909E-2</v>
      </c>
      <c r="J176" t="b">
        <v>1</v>
      </c>
      <c r="K176" t="b">
        <v>1</v>
      </c>
      <c r="L176" t="b">
        <v>1</v>
      </c>
      <c r="M176" t="s">
        <v>234</v>
      </c>
      <c r="N176" s="45">
        <v>1057792</v>
      </c>
    </row>
    <row r="177" spans="1:14" x14ac:dyDescent="0.45">
      <c r="A177">
        <f ca="1"/>
        <v>256</v>
      </c>
      <c r="B177" t="s">
        <v>220</v>
      </c>
      <c r="C177" s="44">
        <v>1024</v>
      </c>
      <c r="D177">
        <v>8</v>
      </c>
      <c r="E177" t="b">
        <v>1</v>
      </c>
      <c r="F177">
        <v>0.13002929999493062</v>
      </c>
      <c r="G177">
        <v>0.11582160001853481</v>
      </c>
      <c r="H177">
        <v>6.1532099964097142E-2</v>
      </c>
      <c r="I177">
        <v>0.12071129999822006</v>
      </c>
      <c r="J177" t="b">
        <v>1</v>
      </c>
      <c r="K177" t="b">
        <v>1</v>
      </c>
      <c r="L177" t="b">
        <v>1</v>
      </c>
      <c r="M177" t="s">
        <v>235</v>
      </c>
      <c r="N177" s="45">
        <v>2106368</v>
      </c>
    </row>
    <row r="178" spans="1:14" x14ac:dyDescent="0.45">
      <c r="A178">
        <f ca="1"/>
        <v>512</v>
      </c>
      <c r="B178" t="s">
        <v>221</v>
      </c>
      <c r="C178" s="44">
        <v>1024</v>
      </c>
      <c r="D178">
        <v>8</v>
      </c>
      <c r="E178" t="b">
        <v>1</v>
      </c>
      <c r="F178">
        <v>0.24016960000153631</v>
      </c>
      <c r="G178">
        <v>0.22236569999950007</v>
      </c>
      <c r="H178">
        <v>0.10702549997949973</v>
      </c>
      <c r="I178">
        <v>0.22877639997750521</v>
      </c>
      <c r="J178" t="b">
        <v>1</v>
      </c>
      <c r="K178" t="b">
        <v>1</v>
      </c>
      <c r="L178" t="b">
        <v>1</v>
      </c>
      <c r="M178" t="s">
        <v>236</v>
      </c>
      <c r="N178" s="45">
        <v>4203520</v>
      </c>
    </row>
    <row r="179" spans="1:14" x14ac:dyDescent="0.45">
      <c r="A179">
        <f ca="1"/>
        <v>1024</v>
      </c>
      <c r="B179" t="s">
        <v>222</v>
      </c>
      <c r="C179" s="44">
        <v>1024</v>
      </c>
      <c r="D179">
        <v>8</v>
      </c>
      <c r="E179" t="b">
        <v>1</v>
      </c>
      <c r="F179">
        <v>0.45435370004270226</v>
      </c>
      <c r="G179">
        <v>0.43688180000754073</v>
      </c>
      <c r="H179">
        <v>0.23520769999595359</v>
      </c>
      <c r="I179">
        <v>0.44169609999516979</v>
      </c>
      <c r="J179" t="b">
        <v>1</v>
      </c>
      <c r="K179" t="b">
        <v>1</v>
      </c>
      <c r="L179" t="b">
        <v>1</v>
      </c>
      <c r="M179" t="s">
        <v>237</v>
      </c>
      <c r="N179" s="45">
        <v>8397824</v>
      </c>
    </row>
    <row r="180" spans="1:14" x14ac:dyDescent="0.45">
      <c r="A180">
        <f ca="1"/>
        <v>2048</v>
      </c>
      <c r="B180" t="s">
        <v>223</v>
      </c>
      <c r="C180" s="44">
        <v>1024</v>
      </c>
      <c r="D180">
        <v>8</v>
      </c>
      <c r="E180" t="b">
        <v>1</v>
      </c>
      <c r="F180">
        <v>0.88605839997762814</v>
      </c>
      <c r="G180">
        <v>0.84726650000084192</v>
      </c>
      <c r="H180">
        <v>0.56024500000057742</v>
      </c>
      <c r="I180">
        <v>0.91864559997338802</v>
      </c>
      <c r="J180" t="b">
        <v>1</v>
      </c>
      <c r="K180" t="b">
        <v>1</v>
      </c>
      <c r="L180" t="b">
        <v>1</v>
      </c>
      <c r="M180" t="s">
        <v>238</v>
      </c>
      <c r="N180" s="45">
        <v>16786432</v>
      </c>
    </row>
    <row r="181" spans="1:14" x14ac:dyDescent="0.45">
      <c r="A181">
        <f ca="1"/>
        <v>4096</v>
      </c>
      <c r="B181" t="s">
        <v>224</v>
      </c>
      <c r="C181" s="44">
        <v>1024</v>
      </c>
      <c r="D181">
        <v>8</v>
      </c>
      <c r="E181" t="b">
        <v>1</v>
      </c>
      <c r="F181">
        <v>2.0322426999919116</v>
      </c>
      <c r="G181">
        <v>1.7686819999944419</v>
      </c>
      <c r="H181">
        <v>2.5030348000000231</v>
      </c>
      <c r="I181">
        <v>2.103057499974966</v>
      </c>
      <c r="J181" t="b">
        <v>1</v>
      </c>
      <c r="K181" t="b">
        <v>1</v>
      </c>
      <c r="L181" t="b">
        <v>1</v>
      </c>
      <c r="M181" t="s">
        <v>239</v>
      </c>
      <c r="N181" s="45">
        <v>33563648</v>
      </c>
    </row>
    <row r="182" spans="1:14" x14ac:dyDescent="0.45">
      <c r="A182">
        <f ca="1"/>
        <v>8192</v>
      </c>
      <c r="B182" t="s">
        <v>225</v>
      </c>
      <c r="C182" s="44">
        <v>1024</v>
      </c>
      <c r="D182">
        <v>8</v>
      </c>
      <c r="E182" t="b">
        <v>1</v>
      </c>
      <c r="F182">
        <v>4.0254432000219822</v>
      </c>
      <c r="G182">
        <v>3.4155573000316508</v>
      </c>
      <c r="H182">
        <v>9.0889015000429936</v>
      </c>
      <c r="I182">
        <v>3.5497687000315636</v>
      </c>
      <c r="J182" t="b">
        <v>1</v>
      </c>
      <c r="K182" t="b">
        <v>1</v>
      </c>
      <c r="L182" t="b">
        <v>1</v>
      </c>
      <c r="M182" t="s">
        <v>240</v>
      </c>
      <c r="N182" s="45">
        <v>67118080</v>
      </c>
    </row>
    <row r="183" spans="1:14" x14ac:dyDescent="0.45">
      <c r="A183">
        <f ca="1"/>
        <v>16384</v>
      </c>
      <c r="B183" t="s">
        <v>226</v>
      </c>
      <c r="C183" s="44">
        <v>1024</v>
      </c>
      <c r="D183">
        <v>8</v>
      </c>
      <c r="E183" t="b">
        <v>1</v>
      </c>
      <c r="F183">
        <v>8.8397963999886997</v>
      </c>
      <c r="G183">
        <v>8.039520199992694</v>
      </c>
      <c r="H183">
        <v>55.269652899994981</v>
      </c>
      <c r="I183">
        <v>10.032261299958918</v>
      </c>
      <c r="J183" t="b">
        <v>1</v>
      </c>
      <c r="K183" t="b">
        <v>1</v>
      </c>
      <c r="L183" t="b">
        <v>1</v>
      </c>
      <c r="M183" t="s">
        <v>241</v>
      </c>
      <c r="N183" s="45">
        <v>134226944</v>
      </c>
    </row>
  </sheetData>
  <sheetProtection sheet="1" objects="1" scenarios="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Demo</vt:lpstr>
      <vt:lpstr>Help</vt:lpstr>
      <vt:lpstr>Audit</vt:lpstr>
      <vt:lpstr>TimingResults</vt:lpstr>
      <vt:lpstr>DateFormat</vt:lpstr>
      <vt:lpstr>DateTimeFormat</vt:lpstr>
      <vt:lpstr>EOL</vt:lpstr>
      <vt:lpstr>FileName</vt:lpstr>
      <vt:lpstr>Audit!Headers</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2021-08-06T15:05:58Z</dcterms:modified>
</cp:coreProperties>
</file>