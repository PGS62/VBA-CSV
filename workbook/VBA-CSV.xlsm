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-CSV\workbook\"/>
    </mc:Choice>
  </mc:AlternateContent>
  <xr:revisionPtr revIDLastSave="0" documentId="13_ncr:1_{4D85E2DF-C11E-4429-9D1D-A32BE9F2EA84}" xr6:coauthVersionLast="47" xr6:coauthVersionMax="47" xr10:uidLastSave="{00000000-0000-0000-0000-000000000000}"/>
  <bookViews>
    <workbookView xWindow="32302" yWindow="-98" windowWidth="38596" windowHeight="21196" xr2:uid="{77FCC9C7-9D35-4681-82A7-05A68EE6D7BF}"/>
  </bookViews>
  <sheets>
    <sheet name="Demo" sheetId="1" r:id="rId1"/>
    <sheet name="Performance" sheetId="2" r:id="rId2"/>
    <sheet name="ConvertTypes" sheetId="5" r:id="rId3"/>
    <sheet name="TestFiles" sheetId="4" r:id="rId4"/>
    <sheet name="Audit" sheetId="3" r:id="rId5"/>
  </sheets>
  <functionGroups builtInGroupCount="19"/>
  <externalReferences>
    <externalReference r:id="rId6"/>
  </externalReferences>
  <definedNames>
    <definedName name="Comment">TestFiles!$T$10</definedName>
    <definedName name="ConvertTypes" localSheetId="3">TestFiles!$T$4</definedName>
    <definedName name="Data" localSheetId="2">ConvertTypes!$B$4:$C$13</definedName>
    <definedName name="Data" localSheetId="0">Demo!$B$13:$C$52</definedName>
    <definedName name="DateFormat" localSheetId="0">Demo!$C$5</definedName>
    <definedName name="DateFormat" localSheetId="3">TestFiles!$T$9</definedName>
    <definedName name="DateTimeFormat" localSheetId="0">Demo!$C$6</definedName>
    <definedName name="DecimalSeparator" localSheetId="3">TestFiles!$T$17</definedName>
    <definedName name="Delimiter" localSheetId="3">TestFiles!$T$5</definedName>
    <definedName name="DelimiterForXL">TestFiles!$T$6</definedName>
    <definedName name="EOL" localSheetId="0">Demo!$C$8</definedName>
    <definedName name="FileName" localSheetId="2">ConvertTypes!$C$16</definedName>
    <definedName name="FileName" localSheetId="0">Demo!$E$13</definedName>
    <definedName name="FileName" localSheetId="3">TestFiles!$D$7</definedName>
    <definedName name="FileName">Demo!$E$13</definedName>
    <definedName name="FileTable" localSheetId="3">TestFiles!$B$22:$T$180</definedName>
    <definedName name="Folder" localSheetId="3">TestFiles!$D$6</definedName>
    <definedName name="FormatsForXL">TestFiles!$T$7</definedName>
    <definedName name="Headers" localSheetId="4">Audit!$B$5:$F$5</definedName>
    <definedName name="IgnoreRepeated" localSheetId="3">TestFiles!$T$8</definedName>
    <definedName name="IndexToTest" localSheetId="3">TestFiles!$T$2</definedName>
    <definedName name="NumCols" localSheetId="3">TestFiles!$T$14</definedName>
    <definedName name="NumRows" localSheetId="3">TestFiles!$T$13</definedName>
    <definedName name="PutFormulasHere1" localSheetId="1">Performance!$E$6:$E$27</definedName>
    <definedName name="PutFormulasHere2" localSheetId="1">Performance!$E$33:$E$53</definedName>
    <definedName name="PutFormulasHere3" localSheetId="1">Performance!$E$60:$E$80</definedName>
    <definedName name="PutFormulasHere4" localSheetId="1">Performance!$E$87:$E$105</definedName>
    <definedName name="PutFormulasHere5" localSheetId="1">Performance!$E$114:$E$127</definedName>
    <definedName name="PutFormulasHere6" localSheetId="1">Performance!$E$141:$E$155</definedName>
    <definedName name="PutFormulasHere7" localSheetId="1">Performance!$E$168:$E$182</definedName>
    <definedName name="QuoteAllStrings" localSheetId="0">Demo!$C$4</definedName>
    <definedName name="ShowMissingsAs" localSheetId="3">TestFiles!$T$15</definedName>
    <definedName name="SkipToCol" localSheetId="3">TestFiles!$T$12</definedName>
    <definedName name="SkipToRow" localSheetId="3">TestFiles!$T$11</definedName>
    <definedName name="Unicode" localSheetId="0">Demo!$C$7</definedName>
    <definedName name="Unicode" localSheetId="3">TestFiles!$T$16</definedName>
    <definedName name="Windows" localSheetId="0">Demo!$C$4:$C$7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1" i="5" l="1" a="1"/>
  <c r="G21" i="5"/>
  <c r="I21" i="5" a="1"/>
  <c r="I21" i="5"/>
  <c r="K21" i="5" a="1"/>
  <c r="K21" i="5"/>
  <c r="M21" i="5" a="1"/>
  <c r="M21" i="5"/>
  <c r="O21" i="5" a="1"/>
  <c r="O21" i="5"/>
  <c r="Q21" i="5" a="1"/>
  <c r="Q21" i="5"/>
  <c r="S21" i="5" a="1"/>
  <c r="S21" i="5"/>
  <c r="U21" i="5" a="1"/>
  <c r="U21" i="5"/>
  <c r="W21" i="5" a="1"/>
  <c r="W21" i="5"/>
  <c r="Y21" i="5" a="1"/>
  <c r="Y21" i="5"/>
  <c r="AA21" i="5" a="1"/>
  <c r="AA21" i="5"/>
  <c r="AC21" i="5" a="1"/>
  <c r="AC21" i="5"/>
  <c r="AE21" i="5" a="1"/>
  <c r="AE21" i="5"/>
  <c r="AG21" i="5" a="1"/>
  <c r="AG21" i="5"/>
  <c r="AI21" i="5" a="1"/>
  <c r="AI21" i="5"/>
  <c r="AK21" i="5" a="1"/>
  <c r="AK21" i="5"/>
  <c r="E21" i="5" a="1"/>
  <c r="E21" i="5"/>
  <c r="B133" i="4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F107" i="4"/>
  <c r="F98" i="4"/>
  <c r="G80" i="4"/>
  <c r="V121" i="4"/>
  <c r="S3" i="4" a="1"/>
  <c r="S3" i="4" s="1"/>
  <c r="D7" i="4" l="1"/>
  <c r="B4" i="5" l="1" a="1"/>
  <c r="B4" i="5" s="1"/>
  <c r="B6" i="5" a="1"/>
  <c r="B6" i="5" s="1"/>
  <c r="B8" i="5" a="1"/>
  <c r="B8" i="5" s="1"/>
  <c r="B10" i="5" a="1"/>
  <c r="B10" i="5" s="1"/>
  <c r="B11" i="5" a="1"/>
  <c r="B11" i="5" s="1"/>
  <c r="B12" i="5" a="1"/>
  <c r="B12" i="5" s="1"/>
  <c r="B13" i="5" a="1"/>
  <c r="B13" i="5" s="1"/>
  <c r="C5" i="5"/>
  <c r="C7" i="5"/>
  <c r="V80" i="4" a="1"/>
  <c r="B7" i="5" l="1" a="1"/>
  <c r="B7" i="5" s="1"/>
  <c r="V80" i="4"/>
  <c r="T3" i="4" a="1"/>
  <c r="A141" i="2" a="1"/>
  <c r="A141" i="2" s="1"/>
  <c r="B127" i="2"/>
  <c r="A127" i="2" s="1"/>
  <c r="B126" i="2"/>
  <c r="A126" i="2" s="1"/>
  <c r="B125" i="2"/>
  <c r="A125" i="2" s="1"/>
  <c r="B124" i="2"/>
  <c r="A124" i="2"/>
  <c r="B123" i="2"/>
  <c r="A123" i="2"/>
  <c r="B122" i="2"/>
  <c r="A122" i="2" s="1"/>
  <c r="B121" i="2"/>
  <c r="A121" i="2" s="1"/>
  <c r="B120" i="2"/>
  <c r="A120" i="2"/>
  <c r="B119" i="2"/>
  <c r="A119" i="2"/>
  <c r="B118" i="2"/>
  <c r="A118" i="2" s="1"/>
  <c r="B117" i="2"/>
  <c r="A117" i="2" s="1"/>
  <c r="B116" i="2"/>
  <c r="A116" i="2"/>
  <c r="B115" i="2"/>
  <c r="A115" i="2"/>
  <c r="B114" i="2"/>
  <c r="A114" i="2" s="1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B80" i="2"/>
  <c r="A80" i="2" s="1"/>
  <c r="B79" i="2"/>
  <c r="A79" i="2" s="1"/>
  <c r="B78" i="2"/>
  <c r="A78" i="2"/>
  <c r="B77" i="2"/>
  <c r="A77" i="2"/>
  <c r="B76" i="2"/>
  <c r="A76" i="2" s="1"/>
  <c r="B75" i="2"/>
  <c r="A75" i="2" s="1"/>
  <c r="B74" i="2"/>
  <c r="A74" i="2" s="1"/>
  <c r="B73" i="2"/>
  <c r="A73" i="2"/>
  <c r="B72" i="2"/>
  <c r="A72" i="2" s="1"/>
  <c r="B71" i="2"/>
  <c r="A71" i="2" s="1"/>
  <c r="B70" i="2"/>
  <c r="A70" i="2"/>
  <c r="B69" i="2"/>
  <c r="A69" i="2" s="1"/>
  <c r="B68" i="2"/>
  <c r="A68" i="2" s="1"/>
  <c r="B67" i="2"/>
  <c r="A67" i="2" s="1"/>
  <c r="B66" i="2"/>
  <c r="A66" i="2"/>
  <c r="B65" i="2"/>
  <c r="A65" i="2"/>
  <c r="B64" i="2"/>
  <c r="A64" i="2" s="1"/>
  <c r="B63" i="2"/>
  <c r="A63" i="2" s="1"/>
  <c r="B62" i="2"/>
  <c r="A62" i="2"/>
  <c r="B61" i="2"/>
  <c r="A61" i="2" s="1"/>
  <c r="B60" i="2"/>
  <c r="A60" i="2" s="1"/>
  <c r="B53" i="2"/>
  <c r="A53" i="2" s="1"/>
  <c r="B52" i="2"/>
  <c r="A52" i="2" s="1"/>
  <c r="B51" i="2"/>
  <c r="A51" i="2" s="1"/>
  <c r="B50" i="2"/>
  <c r="A50" i="2" s="1"/>
  <c r="B49" i="2"/>
  <c r="A49" i="2" s="1"/>
  <c r="B48" i="2"/>
  <c r="A48" i="2" s="1"/>
  <c r="B47" i="2"/>
  <c r="A47" i="2" s="1"/>
  <c r="B46" i="2"/>
  <c r="A46" i="2" s="1"/>
  <c r="B45" i="2"/>
  <c r="A45" i="2" s="1"/>
  <c r="B44" i="2"/>
  <c r="A44" i="2" s="1"/>
  <c r="B43" i="2"/>
  <c r="A43" i="2"/>
  <c r="B42" i="2"/>
  <c r="A42" i="2" s="1"/>
  <c r="B41" i="2"/>
  <c r="A41" i="2" s="1"/>
  <c r="B40" i="2"/>
  <c r="A40" i="2"/>
  <c r="B39" i="2"/>
  <c r="A39" i="2" s="1"/>
  <c r="B38" i="2"/>
  <c r="A38" i="2" s="1"/>
  <c r="B37" i="2"/>
  <c r="A37" i="2" s="1"/>
  <c r="B36" i="2"/>
  <c r="A36" i="2" s="1"/>
  <c r="B35" i="2"/>
  <c r="A35" i="2" s="1"/>
  <c r="B34" i="2"/>
  <c r="A34" i="2" s="1"/>
  <c r="B33" i="2"/>
  <c r="A33" i="2" s="1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X80" i="4" a="1"/>
  <c r="C16" i="5" a="1"/>
  <c r="B13" i="1" a="1"/>
  <c r="X80" i="4" l="1"/>
  <c r="C16" i="5"/>
  <c r="T3" i="4"/>
  <c r="B13" i="1"/>
  <c r="B21" i="5" a="1"/>
  <c r="E13" i="1" a="1"/>
  <c r="V124" i="4" a="1"/>
  <c r="B21" i="5" l="1"/>
  <c r="V124" i="4"/>
  <c r="V122" i="4"/>
  <c r="V123" i="4"/>
  <c r="E13" i="1"/>
  <c r="G13" i="1" a="1"/>
  <c r="L13" i="1" a="1"/>
  <c r="I13" i="1" a="1"/>
  <c r="G13" i="1" l="1"/>
  <c r="L13" i="1"/>
  <c r="I13" i="1"/>
  <c r="O13" i="1" a="1"/>
  <c r="O13" i="1" l="1"/>
  <c r="O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Philip Swannell</author>
  </authors>
  <commentList>
    <comment ref="S21" authorId="0" shapeId="0" xr:uid="{74262CE5-5AA0-44B0-A827-5FD8651F518C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Correctly read by Excel? i.e. if we open the file as a CSV in Excel, do we get the correct result?</t>
        </r>
      </text>
    </comment>
    <comment ref="F36" authorId="0" shapeId="0" xr:uid="{FE9E2DB7-33FD-455F-8E57-9B8C3340E57F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F52" authorId="0" shapeId="0" xr:uid="{9D8EB399-FA6B-4A2E-910E-1974EC40C6E1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F63" authorId="0" shapeId="0" xr:uid="{5D167A18-1A0C-4668-9485-38173841330B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F101" authorId="0" shapeId="0" xr:uid="{38563D09-FDC2-4BD4-BE76-196F392D5CAE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
</t>
        </r>
      </text>
    </comment>
    <comment ref="F105" authorId="0" shapeId="0" xr:uid="{E79B7A66-4F7D-4A50-B450-CDBC909A6AF3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<sst xmlns="http://schemas.openxmlformats.org/spreadsheetml/2006/main" count="1367" uniqueCount="480">
  <si>
    <t>VBA-CSV functions CSVWrite and CSVRead</t>
  </si>
  <si>
    <t>Inputs to CSVWrite</t>
  </si>
  <si>
    <t>Colour key</t>
  </si>
  <si>
    <t>FileName</t>
  </si>
  <si>
    <t>Number (or Date, according to cell's NumberFormat)</t>
  </si>
  <si>
    <t>QuoteAllStrings</t>
  </si>
  <si>
    <t>String</t>
  </si>
  <si>
    <t>DateFormat</t>
  </si>
  <si>
    <t>yyyy-mmm-dd</t>
  </si>
  <si>
    <t>String with embedded line-feeds</t>
  </si>
  <si>
    <t>DateTimeFormat</t>
  </si>
  <si>
    <t>yyyy-mmm-dd hh:mm:ss</t>
  </si>
  <si>
    <t>Error</t>
  </si>
  <si>
    <t>Unicode</t>
  </si>
  <si>
    <t>EOL</t>
  </si>
  <si>
    <t>Windows</t>
  </si>
  <si>
    <t>All equal, i.e. "round trip" worked?</t>
  </si>
  <si>
    <t>3) Example calls to CSVRead:</t>
  </si>
  <si>
    <t>1) Generate data of random types to pass to CSVWrite</t>
  </si>
  <si>
    <t>2) Call CSVWrite</t>
  </si>
  <si>
    <t>B) ConvertTypes = FALSE. All fields returned as strings</t>
  </si>
  <si>
    <t>B) ConvertTypes = TRUE. Fields revert to their original types</t>
  </si>
  <si>
    <t>Equal?</t>
  </si>
  <si>
    <t>One column of 1-char fields.</t>
  </si>
  <si>
    <t>Field Length</t>
  </si>
  <si>
    <t>Each Field Contains</t>
  </si>
  <si>
    <t>Num Rows</t>
  </si>
  <si>
    <t>Num Cols</t>
  </si>
  <si>
    <t>CSVRead</t>
  </si>
  <si>
    <t>CSVRead_sdkn104</t>
  </si>
  <si>
    <t>CSVRead_ws_garcia</t>
  </si>
  <si>
    <t>NCalls
CSVRead</t>
  </si>
  <si>
    <t>NCalls
CSVRead_sdkn104</t>
  </si>
  <si>
    <t>NCalls
CSVRead_ws_garcia</t>
  </si>
  <si>
    <t>File</t>
  </si>
  <si>
    <t>Size</t>
  </si>
  <si>
    <t>x</t>
  </si>
  <si>
    <t>C:\Temp\CSVTest\CompareAgainstAlternatives\Windows_0001_x_001_Strings_length_1_Ascii_NotRagged.csv</t>
  </si>
  <si>
    <t>C:\Temp\CSVTest\CompareAgainstAlternatives\Windows_0002_x_001_Strings_length_1_Ascii_NotRagged.csv</t>
  </si>
  <si>
    <t>C:\Temp\CSVTest\CompareAgainstAlternatives\Windows_0004_x_001_Strings_length_1_Ascii_NotRagged.csv</t>
  </si>
  <si>
    <t>C:\Temp\CSVTest\CompareAgainstAlternatives\Windows_0008_x_001_Strings_length_1_Ascii_NotRagged.csv</t>
  </si>
  <si>
    <t>C:\Temp\CSVTest\CompareAgainstAlternatives\Windows_0016_x_001_Strings_length_1_Ascii_NotRagged.csv</t>
  </si>
  <si>
    <t>C:\Temp\CSVTest\CompareAgainstAlternatives\Windows_0032_x_001_Strings_length_1_Ascii_NotRagged.csv</t>
  </si>
  <si>
    <t>C:\Temp\CSVTest\CompareAgainstAlternatives\Windows_0064_x_001_Strings_length_1_Ascii_NotRagged.csv</t>
  </si>
  <si>
    <t>C:\Temp\CSVTest\CompareAgainstAlternatives\Windows_0128_x_001_Strings_length_1_Ascii_NotRagged.csv</t>
  </si>
  <si>
    <t>C:\Temp\CSVTest\CompareAgainstAlternatives\Windows_0256_x_001_Strings_length_1_Ascii_NotRagged.csv</t>
  </si>
  <si>
    <t>C:\Temp\CSVTest\CompareAgainstAlternatives\Windows_0512_x_001_Strings_length_1_Ascii_NotRagged.csv</t>
  </si>
  <si>
    <t>C:\Temp\CSVTest\CompareAgainstAlternatives\Windows_1024_x_001_Strings_length_1_Ascii_NotRagged.csv</t>
  </si>
  <si>
    <t>C:\Temp\CSVTest\CompareAgainstAlternatives\Windows_2048_x_001_Strings_length_1_Ascii_NotRagged.csv</t>
  </si>
  <si>
    <t>C:\Temp\CSVTest\CompareAgainstAlternatives\Windows_4096_x_001_Strings_length_1_Ascii_NotRagged.csv</t>
  </si>
  <si>
    <t>C:\Temp\CSVTest\CompareAgainstAlternatives\Windows_8192_x_001_Strings_length_1_Ascii_NotRagged.csv</t>
  </si>
  <si>
    <t>C:\Temp\CSVTest\CompareAgainstAlternatives\Windows_16384_x_001_Strings_length_1_Ascii_NotRagged.csv</t>
  </si>
  <si>
    <t>C:\Temp\CSVTest\CompareAgainstAlternatives\Windows_32768_x_001_Strings_length_1_Ascii_NotRagged.csv</t>
  </si>
  <si>
    <t>C:\Temp\CSVTest\CompareAgainstAlternatives\Windows_65536_x_001_Strings_length_1_Ascii_NotRagged.csv</t>
  </si>
  <si>
    <t>C:\Temp\CSVTest\CompareAgainstAlternatives\Windows_131072_x_001_Strings_length_1_Ascii_NotRagged.csv</t>
  </si>
  <si>
    <t>C:\Temp\CSVTest\CompareAgainstAlternatives\Windows_262144_x_001_Strings_length_1_Ascii_NotRagged.csv</t>
  </si>
  <si>
    <t>C:\Temp\CSVTest\CompareAgainstAlternatives\Windows_524288_x_001_Strings_length_1_Ascii_NotRagged.csv</t>
  </si>
  <si>
    <t>C:\Temp\CSVTest\CompareAgainstAlternatives\Windows_1048576_x_001_Strings_length_1_Ascii_NotRagged.csv</t>
  </si>
  <si>
    <t>C:\Temp\CSVTest\CompareAgainstAlternatives\Windows_2097152_x_001_Strings_length_1_Ascii_NotRagged.csv</t>
  </si>
  <si>
    <t>One column of 32-char fields.</t>
  </si>
  <si>
    <t>C:\Temp\CSVTest\CompareAgainstAlternatives\Windows_0001_x_001_Strings_length_32_Ascii_NotRagged.csv</t>
  </si>
  <si>
    <t>C:\Temp\CSVTest\CompareAgainstAlternatives\Windows_0002_x_001_Strings_length_32_Ascii_NotRagged.csv</t>
  </si>
  <si>
    <t>C:\Temp\CSVTest\CompareAgainstAlternatives\Windows_0004_x_001_Strings_length_32_Ascii_NotRagged.csv</t>
  </si>
  <si>
    <t>C:\Temp\CSVTest\CompareAgainstAlternatives\Windows_0008_x_001_Strings_length_32_Ascii_NotRagged.csv</t>
  </si>
  <si>
    <t>C:\Temp\CSVTest\CompareAgainstAlternatives\Windows_0016_x_001_Strings_length_32_Ascii_NotRagged.csv</t>
  </si>
  <si>
    <t>C:\Temp\CSVTest\CompareAgainstAlternatives\Windows_0032_x_001_Strings_length_32_Ascii_NotRagged.csv</t>
  </si>
  <si>
    <t>C:\Temp\CSVTest\CompareAgainstAlternatives\Windows_0064_x_001_Strings_length_32_Ascii_NotRagged.csv</t>
  </si>
  <si>
    <t>C:\Temp\CSVTest\CompareAgainstAlternatives\Windows_0128_x_001_Strings_length_32_Ascii_NotRagged.csv</t>
  </si>
  <si>
    <t>C:\Temp\CSVTest\CompareAgainstAlternatives\Windows_0256_x_001_Strings_length_32_Ascii_NotRagged.csv</t>
  </si>
  <si>
    <t>C:\Temp\CSVTest\CompareAgainstAlternatives\Windows_0512_x_001_Strings_length_32_Ascii_NotRagged.csv</t>
  </si>
  <si>
    <t>C:\Temp\CSVTest\CompareAgainstAlternatives\Windows_1024_x_001_Strings_length_32_Ascii_NotRagged.csv</t>
  </si>
  <si>
    <t>C:\Temp\CSVTest\CompareAgainstAlternatives\Windows_2048_x_001_Strings_length_32_Ascii_NotRagged.csv</t>
  </si>
  <si>
    <t>C:\Temp\CSVTest\CompareAgainstAlternatives\Windows_4096_x_001_Strings_length_32_Ascii_NotRagged.csv</t>
  </si>
  <si>
    <t>C:\Temp\CSVTest\CompareAgainstAlternatives\Windows_8192_x_001_Strings_length_32_Ascii_NotRagged.csv</t>
  </si>
  <si>
    <t>C:\Temp\CSVTest\CompareAgainstAlternatives\Windows_16384_x_001_Strings_length_32_Ascii_NotRagged.csv</t>
  </si>
  <si>
    <t>C:\Temp\CSVTest\CompareAgainstAlternatives\Windows_32768_x_001_Strings_length_32_Ascii_NotRagged.csv</t>
  </si>
  <si>
    <t>C:\Temp\CSVTest\CompareAgainstAlternatives\Windows_65536_x_001_Strings_length_32_Ascii_NotRagged.csv</t>
  </si>
  <si>
    <t>C:\Temp\CSVTest\CompareAgainstAlternatives\Windows_131072_x_001_Strings_length_32_Ascii_NotRagged.csv</t>
  </si>
  <si>
    <t>C:\Temp\CSVTest\CompareAgainstAlternatives\Windows_262144_x_001_Strings_length_32_Ascii_NotRagged.csv</t>
  </si>
  <si>
    <t>C:\Temp\CSVTest\CompareAgainstAlternatives\Windows_524288_x_001_Strings_length_32_Ascii_NotRagged.csv</t>
  </si>
  <si>
    <t>C:\Temp\CSVTest\CompareAgainstAlternatives\Windows_1048576_x_001_Strings_length_32_Ascii_NotRagged.csv</t>
  </si>
  <si>
    <t>One column of 20-char fields with embedded breaks.</t>
  </si>
  <si>
    <t>C:\Temp\CSVTest\CompareAgainstAlternatives\Windows_0001_x_001_Strings_length_20_Ascii_NotRagged.csv</t>
  </si>
  <si>
    <t>C:\Temp\CSVTest\CompareAgainstAlternatives\Windows_0002_x_001_Strings_length_20_Ascii_NotRagged.csv</t>
  </si>
  <si>
    <t>C:\Temp\CSVTest\CompareAgainstAlternatives\Windows_0004_x_001_Strings_length_20_Ascii_NotRagged.csv</t>
  </si>
  <si>
    <t>C:\Temp\CSVTest\CompareAgainstAlternatives\Windows_0008_x_001_Strings_length_20_Ascii_NotRagged.csv</t>
  </si>
  <si>
    <t>C:\Temp\CSVTest\CompareAgainstAlternatives\Windows_0016_x_001_Strings_length_20_Ascii_NotRagged.csv</t>
  </si>
  <si>
    <t>C:\Temp\CSVTest\CompareAgainstAlternatives\Windows_0032_x_001_Strings_length_20_Ascii_NotRagged.csv</t>
  </si>
  <si>
    <t>C:\Temp\CSVTest\CompareAgainstAlternatives\Windows_0064_x_001_Strings_length_20_Ascii_NotRagged.csv</t>
  </si>
  <si>
    <t>C:\Temp\CSVTest\CompareAgainstAlternatives\Windows_0128_x_001_Strings_length_20_Ascii_NotRagged.csv</t>
  </si>
  <si>
    <t>C:\Temp\CSVTest\CompareAgainstAlternatives\Windows_0256_x_001_Strings_length_20_Ascii_NotRagged.csv</t>
  </si>
  <si>
    <t>C:\Temp\CSVTest\CompareAgainstAlternatives\Windows_0512_x_001_Strings_length_20_Ascii_NotRagged.csv</t>
  </si>
  <si>
    <t>C:\Temp\CSVTest\CompareAgainstAlternatives\Windows_1024_x_001_Strings_length_20_Ascii_NotRagged.csv</t>
  </si>
  <si>
    <t>C:\Temp\CSVTest\CompareAgainstAlternatives\Windows_2048_x_001_Strings_length_20_Ascii_NotRagged.csv</t>
  </si>
  <si>
    <t>C:\Temp\CSVTest\CompareAgainstAlternatives\Windows_4096_x_001_Strings_length_20_Ascii_NotRagged.csv</t>
  </si>
  <si>
    <t>C:\Temp\CSVTest\CompareAgainstAlternatives\Windows_8192_x_001_Strings_length_20_Ascii_NotRagged.csv</t>
  </si>
  <si>
    <t>C:\Temp\CSVTest\CompareAgainstAlternatives\Windows_16384_x_001_Strings_length_20_Ascii_NotRagged.csv</t>
  </si>
  <si>
    <t>C:\Temp\CSVTest\CompareAgainstAlternatives\Windows_32768_x_001_Strings_length_20_Ascii_NotRagged.csv</t>
  </si>
  <si>
    <t>C:\Temp\CSVTest\CompareAgainstAlternatives\Windows_65536_x_001_Strings_length_20_Ascii_NotRagged.csv</t>
  </si>
  <si>
    <t>C:\Temp\CSVTest\CompareAgainstAlternatives\Windows_131072_x_001_Strings_length_20_Ascii_NotRagged.csv</t>
  </si>
  <si>
    <t>C:\Temp\CSVTest\CompareAgainstAlternatives\Windows_262144_x_001_Strings_length_20_Ascii_NotRagged.csv</t>
  </si>
  <si>
    <t>C:\Temp\CSVTest\CompareAgainstAlternatives\Windows_524288_x_001_Strings_length_20_Ascii_NotRagged.csv</t>
  </si>
  <si>
    <t>C:\Temp\CSVTest\CompareAgainstAlternatives\Windows_1048576_x_001_Strings_length_20_Ascii_NotRagged.csv</t>
  </si>
  <si>
    <t>10 columns of 17-char numeric fields (no quotes).</t>
  </si>
  <si>
    <t>C:\Temp\CSVTest\CompareAgainstAlternatives\Windows_0001_x_010_Doubles_Ascii_NotRagged.csv</t>
  </si>
  <si>
    <t>C:\Temp\CSVTest\CompareAgainstAlternatives\Windows_0002_x_010_Doubles_Ascii_NotRagged.csv</t>
  </si>
  <si>
    <t>C:\Temp\CSVTest\CompareAgainstAlternatives\Windows_0004_x_010_Doubles_Ascii_NotRagged.csv</t>
  </si>
  <si>
    <t>C:\Temp\CSVTest\CompareAgainstAlternatives\Windows_0008_x_010_Doubles_Ascii_NotRagged.csv</t>
  </si>
  <si>
    <t>C:\Temp\CSVTest\CompareAgainstAlternatives\Windows_0016_x_010_Doubles_Ascii_NotRagged.csv</t>
  </si>
  <si>
    <t>C:\Temp\CSVTest\CompareAgainstAlternatives\Windows_0032_x_010_Doubles_Ascii_NotRagged.csv</t>
  </si>
  <si>
    <t>C:\Temp\CSVTest\CompareAgainstAlternatives\Windows_0064_x_010_Doubles_Ascii_NotRagged.csv</t>
  </si>
  <si>
    <t>C:\Temp\CSVTest\CompareAgainstAlternatives\Windows_0128_x_010_Doubles_Ascii_NotRagged.csv</t>
  </si>
  <si>
    <t>C:\Temp\CSVTest\CompareAgainstAlternatives\Windows_0256_x_010_Doubles_Ascii_NotRagged.csv</t>
  </si>
  <si>
    <t>C:\Temp\CSVTest\CompareAgainstAlternatives\Windows_0512_x_010_Doubles_Ascii_NotRagged.csv</t>
  </si>
  <si>
    <t>C:\Temp\CSVTest\CompareAgainstAlternatives\Windows_1024_x_010_Doubles_Ascii_NotRagged.csv</t>
  </si>
  <si>
    <t>C:\Temp\CSVTest\CompareAgainstAlternatives\Windows_2048_x_010_Doubles_Ascii_NotRagged.csv</t>
  </si>
  <si>
    <t>C:\Temp\CSVTest\CompareAgainstAlternatives\Windows_4096_x_010_Doubles_Ascii_NotRagged.csv</t>
  </si>
  <si>
    <t>C:\Temp\CSVTest\CompareAgainstAlternatives\Windows_8192_x_010_Doubles_Ascii_NotRagged.csv</t>
  </si>
  <si>
    <t>C:\Temp\CSVTest\CompareAgainstAlternatives\Windows_16384_x_010_Doubles_Ascii_NotRagged.csv</t>
  </si>
  <si>
    <t>C:\Temp\CSVTest\CompareAgainstAlternatives\Windows_32768_x_010_Doubles_Ascii_NotRagged.csv</t>
  </si>
  <si>
    <t>C:\Temp\CSVTest\CompareAgainstAlternatives\Windows_65536_x_010_Doubles_Ascii_NotRagged.csv</t>
  </si>
  <si>
    <t>C:\Temp\CSVTest\CompareAgainstAlternatives\Windows_131072_x_010_Doubles_Ascii_NotRagged.csv</t>
  </si>
  <si>
    <t>C:\Temp\CSVTest\CompareAgainstAlternatives\Windows_262144_x_010_Doubles_Ascii_NotRagged.csv</t>
  </si>
  <si>
    <t>C:\Temp\CSVTest\CompareAgainstAlternatives\Windows_0008_x_001_Strings_length_16_Ascii_NotRagged.csv</t>
  </si>
  <si>
    <t>C:\Temp\CSVTest\CompareAgainstAlternatives\Windows_0008_x_002_Strings_length_16_Ascii_NotRagged.csv</t>
  </si>
  <si>
    <t>C:\Temp\CSVTest\CompareAgainstAlternatives\Windows_0008_x_004_Strings_length_16_Ascii_NotRagged.csv</t>
  </si>
  <si>
    <t>C:\Temp\CSVTest\CompareAgainstAlternatives\Windows_0008_x_008_Strings_length_16_Ascii_NotRagged.csv</t>
  </si>
  <si>
    <t>C:\Temp\CSVTest\CompareAgainstAlternatives\Windows_0008_x_016_Strings_length_16_Ascii_NotRagged.csv</t>
  </si>
  <si>
    <t>C:\Temp\CSVTest\CompareAgainstAlternatives\Windows_0008_x_032_Strings_length_16_Ascii_NotRagged.csv</t>
  </si>
  <si>
    <t>C:\Temp\CSVTest\CompareAgainstAlternatives\Windows_0008_x_064_Strings_length_16_Ascii_NotRagged.csv</t>
  </si>
  <si>
    <t>C:\Temp\CSVTest\CompareAgainstAlternatives\Windows_0008_x_128_Strings_length_16_Ascii_NotRagged.csv</t>
  </si>
  <si>
    <t>C:\Temp\CSVTest\CompareAgainstAlternatives\Windows_0008_x_256_Strings_length_16_Ascii_NotRagged.csv</t>
  </si>
  <si>
    <t>C:\Temp\CSVTest\CompareAgainstAlternatives\Windows_0008_x_512_Strings_length_16_Ascii_NotRagged.csv</t>
  </si>
  <si>
    <t>C:\Temp\CSVTest\CompareAgainstAlternatives\Windows_0008_x_1024_Strings_length_16_Ascii_NotRagged.csv</t>
  </si>
  <si>
    <t>C:\Temp\CSVTest\CompareAgainstAlternatives\Windows_0008_x_2048_Strings_length_16_Ascii_NotRagged.csv</t>
  </si>
  <si>
    <t>C:\Temp\CSVTest\CompareAgainstAlternatives\Windows_0008_x_4096_Strings_length_16_Ascii_NotRagged.csv</t>
  </si>
  <si>
    <t>C:\Temp\CSVTest\CompareAgainstAlternatives\Windows_0008_x_8192_Strings_length_16_Ascii_NotRagged.csv</t>
  </si>
  <si>
    <t>1024 rows, 8 columns. Fields not quoted.</t>
  </si>
  <si>
    <t>C:\Temp\CSVTest\CompareAgainstAlternatives\Windows_1024_x_008_Strings_length_1_Ascii_NotRagged.csv</t>
  </si>
  <si>
    <t>xx</t>
  </si>
  <si>
    <t>C:\Temp\CSVTest\CompareAgainstAlternatives\Windows_1024_x_008_Strings_length_2_Ascii_NotRagged.csv</t>
  </si>
  <si>
    <t>xxxx</t>
  </si>
  <si>
    <t>C:\Temp\CSVTest\CompareAgainstAlternatives\Windows_1024_x_008_Strings_length_4_Ascii_NotRagged.csv</t>
  </si>
  <si>
    <t>xxxxxxxx</t>
  </si>
  <si>
    <t>C:\Temp\CSVTest\CompareAgainstAlternatives\Windows_1024_x_008_Strings_length_8_Ascii_NotRagged.csv</t>
  </si>
  <si>
    <t>xxxxxxxxxxxxxxxx</t>
  </si>
  <si>
    <t>C:\Temp\CSVTest\CompareAgainstAlternatives\Windows_1024_x_008_Strings_length_16_Ascii_NotRagged.csv</t>
  </si>
  <si>
    <t>xxxxxxxxxxxxxxxxxxxxxxxxxxxxxxxx</t>
  </si>
  <si>
    <t>C:\Temp\CSVTest\CompareAgainstAlternatives\Windows_1024_x_008_Strings_length_32_Ascii_NotRagged.csv</t>
  </si>
  <si>
    <t>xxxxxxxxxxxxxxxxxxxxxxxxxxxxxxxxxxxxxxxxxxxxxxxxxxxxxxxxxxxxxxxx</t>
  </si>
  <si>
    <t>C:\Temp\CSVTest\CompareAgainstAlternatives\Windows_1024_x_008_Strings_length_64_Ascii_NotRagged.csv</t>
  </si>
  <si>
    <t>xxxxxxxxxxxxxxxxxxxxxxxxxxxxxxxxxxxxxxxxxxxxxxxxxxxxxxxxxxxxxxxxxxxxxxxxxxxxxxxxxxxxxxxxxxxxxxxxxxxxxxxxxxxxxxxxxxxxxxxxxxxxxxxx</t>
  </si>
  <si>
    <t>C:\Temp\CSVTest\CompareAgainstAlternatives\Windows_1024_x_008_Strings_length_128_Ascii_NotRagged.csv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</si>
  <si>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</si>
  <si>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C:\Temp\CSVTest\CompareAgainstAlternatives\Windows_1024_x_008_Strings_length_256_Ascii_NotRagged.csv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</si>
  <si>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</si>
  <si>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C:\Temp\CSVTest\CompareAgainstAlternatives\Windows_1024_x_008_Strings_length_512_Ascii_NotRagged.csv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</si>
  <si>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</si>
  <si>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C:\Temp\CSVTest\CompareAgainstAlternatives\Windows_1024_x_008_Strings_length_1024_Ascii_NotRagged.csv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</si>
  <si>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</si>
  <si>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C:\Temp\CSVTest\CompareAgainstAlternatives\Windows_1024_x_008_Strings_length_2048_Ascii_NotRagged.csv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</si>
  <si>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</si>
  <si>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C:\Temp\CSVTest\CompareAgainstAlternatives\Windows_1024_x_008_Strings_length_4096_Ascii_NotRagged.csv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</si>
  <si>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</si>
  <si>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C:\Temp\CSVTest\CompareAgainstAlternatives\Windows_1024_x_008_Strings_length_8192_Ascii_NotRagged.csv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</si>
  <si>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</si>
  <si>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C:\Temp\CSVTest\CompareAgainstAlternatives\Windows_1024_x_008_Strings_length_16384_Ascii_NotRagged.csv</t>
  </si>
  <si>
    <t>1024 rows, 8 columns. Fields quoted.</t>
  </si>
  <si>
    <t>"x"</t>
  </si>
  <si>
    <t>C:\Temp\CSVTest\CompareAgainstAlternatives\Windows_1024_x_008_Strings_length_3_Ascii_NotRagged.csv</t>
  </si>
  <si>
    <t>"xx"</t>
  </si>
  <si>
    <t>"xxxx"</t>
  </si>
  <si>
    <t>C:\Temp\CSVTest\CompareAgainstAlternatives\Windows_1024_x_008_Strings_length_6_Ascii_NotRagged.csv</t>
  </si>
  <si>
    <t>"xxxxxxxx"</t>
  </si>
  <si>
    <t>C:\Temp\CSVTest\CompareAgainstAlternatives\Windows_1024_x_008_Strings_length_10_Ascii_NotRagged.csv</t>
  </si>
  <si>
    <t>"xxxxxxxxxxxxxxxx"</t>
  </si>
  <si>
    <t>C:\Temp\CSVTest\CompareAgainstAlternatives\Windows_1024_x_008_Strings_length_18_Ascii_NotRagged.csv</t>
  </si>
  <si>
    <t>"xxxxxxxxxxxxxxxxxxxxxxxxxxxxxxxx"</t>
  </si>
  <si>
    <t>C:\Temp\CSVTest\CompareAgainstAlternatives\Windows_1024_x_008_Strings_length_34_Ascii_NotRagged.csv</t>
  </si>
  <si>
    <t>"xxxxxxxxxxxxxxxxxxxxxxxxxxxxxxxxxxxxxxxxxxxxxxxxxxxxxxxxxxxxxxxx"</t>
  </si>
  <si>
    <t>C:\Temp\CSVTest\CompareAgainstAlternatives\Windows_1024_x_008_Strings_length_66_Ascii_NotRagged.csv</t>
  </si>
  <si>
    <t>"xxxxxxxxxxxxxxxxxxxxxxxxxxxxxxxxxxxxxxxxxxxxxxxxxxxxxxxxxxxxxxxxxxxxxxxxxxxxxxxxxxxxxxxxxxxxxxxxxxxxxxxxxxxxxxxxxxxxxxxxxxxxxxxx"</t>
  </si>
  <si>
    <t>C:\Temp\CSVTest\CompareAgainstAlternatives\Windows_1024_x_008_Strings_length_130_Ascii_NotRagged.csv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</si>
  <si>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</si>
  <si>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C:\Temp\CSVTest\CompareAgainstAlternatives\Windows_1024_x_008_Strings_length_258_Ascii_NotRagged.csv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</si>
  <si>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</si>
  <si>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C:\Temp\CSVTest\CompareAgainstAlternatives\Windows_1024_x_008_Strings_length_514_Ascii_NotRagged.csv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</si>
  <si>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</si>
  <si>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C:\Temp\CSVTest\CompareAgainstAlternatives\Windows_1024_x_008_Strings_length_1026_Ascii_NotRagged.csv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</si>
  <si>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</si>
  <si>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C:\Temp\CSVTest\CompareAgainstAlternatives\Windows_1024_x_008_Strings_length_2050_Ascii_NotRagged.csv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</si>
  <si>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</si>
  <si>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C:\Temp\CSVTest\CompareAgainstAlternatives\Windows_1024_x_008_Strings_length_4098_Ascii_NotRagged.csv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</si>
  <si>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</si>
  <si>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C:\Temp\CSVTest\CompareAgainstAlternatives\Windows_1024_x_008_Strings_length_8194_Ascii_NotRagged.csv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</si>
  <si>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</si>
  <si>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C:\Temp\CSVTest\CompareAgainstAlternatives\Windows_1024_x_008_Strings_length_16386_Ascii_NotRagged.csv</t>
  </si>
  <si>
    <t>Audit</t>
  </si>
  <si>
    <t>TODO</t>
  </si>
  <si>
    <t>Alternatives to test against</t>
  </si>
  <si>
    <t>https://github.com/sdkn104/VBA-CSV</t>
  </si>
  <si>
    <t>Version</t>
  </si>
  <si>
    <t>Date</t>
  </si>
  <si>
    <t>Time</t>
  </si>
  <si>
    <t>Author</t>
  </si>
  <si>
    <t>Comment</t>
  </si>
  <si>
    <t>Write checklist for releases</t>
  </si>
  <si>
    <t>https://github.com/ws-garcia/VBA-CSV-interface</t>
  </si>
  <si>
    <t>Philip Swannell</t>
  </si>
  <si>
    <t>More work on IgnoreRepeated.</t>
  </si>
  <si>
    <t>Remove reference to my name in function headers</t>
  </si>
  <si>
    <t>Added argument IgnoreRepeated.</t>
  </si>
  <si>
    <t>Check out CSV.jl's test suite</t>
  </si>
  <si>
    <t>Reinstated conditional formatting on sheet Demo.</t>
  </si>
  <si>
    <t>Added a bunch of functions to modCSVTestDeps so that we no longer have dependency on SAI for testing.</t>
  </si>
  <si>
    <t>Removed Help sheet - broken out to separate workbook</t>
  </si>
  <si>
    <t>dep on sai has crept back in</t>
  </si>
  <si>
    <t>Help changes</t>
  </si>
  <si>
    <t>Work on Markdown help.</t>
  </si>
  <si>
    <t>Added argument ShowMissingsAs to CSVRead. Simplification of this workbook.</t>
  </si>
  <si>
    <t>Corrections to code comments.</t>
  </si>
  <si>
    <t>Code formatting.</t>
  </si>
  <si>
    <t>Method TimeThreeParsers now has TimeOut argument so that time to execute is averaged over the number of calls required to take (in total) the TimeOut value.</t>
  </si>
  <si>
    <t>Removed reference to SolumAddin.</t>
  </si>
  <si>
    <t>Renamed CSVRead_V3 as CSVRead</t>
  </si>
  <si>
    <t>Removed redundant modules. CSVWrite no longer has Ragged argument.</t>
  </si>
  <si>
    <t>Deleted functions CSVRead_V1 and CSVRead_V2</t>
  </si>
  <si>
    <t>Deleted 2 of the 3 sheets with timing results.</t>
  </si>
  <si>
    <t>Changed method SaveWorkbookAndExportModules to also save a backup to OneDrive.</t>
  </si>
  <si>
    <t>Bug fixes to handling of SkipNumRows etc.</t>
  </si>
  <si>
    <t>Added sheet `TimingResults (3)`</t>
  </si>
  <si>
    <t>CSVRead_V3 now supports SkipToRow and NumRows.</t>
  </si>
  <si>
    <t>CSVRead_V2 now supports SkipToCol and NumCols, not yet SkipToRow and NumRows though.</t>
  </si>
  <si>
    <t>Now have two functions CSVRead_V1 and CSVRead_V2</t>
  </si>
  <si>
    <t>Settled on fastest algo.</t>
  </si>
  <si>
    <t>Addd sheet "TimingResults" and module modCompareAgainstAlternatives.</t>
  </si>
  <si>
    <t>Added code to compare against https://github.com/sdkn104/VBA-CSV</t>
  </si>
  <si>
    <t>Rewrote code to split a string, rather than examining each character in VBA code, use InStr in a while loop to push the character examination down to C code.</t>
  </si>
  <si>
    <t>Code now compiles.</t>
  </si>
  <si>
    <t>Reimported sFileSaveCSV and sFileShow from SolumAddin verison 2199. Code does not yet compile</t>
  </si>
  <si>
    <t>First version. Start with SolumAddin's sFileShow to create CSVParse.</t>
  </si>
  <si>
    <t>Testing against test suite for Julia's CSV.jl</t>
  </si>
  <si>
    <t>Index</t>
  </si>
  <si>
    <t>ConvertTypes</t>
  </si>
  <si>
    <t>Delimiter</t>
  </si>
  <si>
    <t>IgnoreRepeated</t>
  </si>
  <si>
    <t>SkipToRow</t>
  </si>
  <si>
    <t>SkipToCol</t>
  </si>
  <si>
    <t>NumRows</t>
  </si>
  <si>
    <t>NumCols</t>
  </si>
  <si>
    <t>ShowMissingsAs</t>
  </si>
  <si>
    <t>DecimalSeparator</t>
  </si>
  <si>
    <t>Notes</t>
  </si>
  <si>
    <t/>
  </si>
  <si>
    <t>.</t>
  </si>
  <si>
    <t>CSVRead Delimiter = FALSE</t>
  </si>
  <si>
    <t>;</t>
  </si>
  <si>
    <t>,</t>
  </si>
  <si>
    <t xml:space="preserve"> </t>
  </si>
  <si>
    <t>OK</t>
  </si>
  <si>
    <t>Tests's Julia's parsing of times - I have no equivalent.</t>
  </si>
  <si>
    <t>Not relevant to us, we don't distinguish between Floats and Ints.</t>
  </si>
  <si>
    <t>Not relevant to us?</t>
  </si>
  <si>
    <t>D/M/Y</t>
  </si>
  <si>
    <t>OK!</t>
  </si>
  <si>
    <t>Not sure what this is supposed to test</t>
  </si>
  <si>
    <t>I don't have a "TrueStrings" argument but hard-wire...</t>
  </si>
  <si>
    <t>This file does not have windows line endings!</t>
  </si>
  <si>
    <t>Mmm should I allow sentinel values?</t>
  </si>
  <si>
    <t>Colnames have no special meaning in my world</t>
  </si>
  <si>
    <t>Mmmm. Should I add a MissingString argument?</t>
  </si>
  <si>
    <t>I don't support mixed date formats</t>
  </si>
  <si>
    <t>I don't support missingstring arg - this shows julia supports multiple such</t>
  </si>
  <si>
    <t>I don't support different leading and trailing quote chars</t>
  </si>
  <si>
    <t>I don't support zipped input</t>
  </si>
  <si>
    <t>I don't support headerrange</t>
  </si>
  <si>
    <t>::</t>
  </si>
  <si>
    <t>Not sure what this is designed to test!</t>
  </si>
  <si>
    <t>I don't support datetime</t>
  </si>
  <si>
    <t>I think file has no BOM</t>
  </si>
  <si>
    <t>CSVRead Fails, but then so does Notepad++!</t>
  </si>
  <si>
    <t>Not sure what this is testing? Notepad++ thinks it's a UTF8 file</t>
  </si>
  <si>
    <t>I don't support datetime or time</t>
  </si>
  <si>
    <t>File is tab delimited but with leading and trailing spaces</t>
  </si>
  <si>
    <t>OK! But should I support arbitrary sentinel values?</t>
  </si>
  <si>
    <t>OK est not really relevant as we don't try to have all elements of a column having the same type.</t>
  </si>
  <si>
    <t>OK! Not sure what's being tested for on this one</t>
  </si>
  <si>
    <t>File is UTF8, I don't think OpenAsTextStream handles well.</t>
  </si>
  <si>
    <t>ND</t>
  </si>
  <si>
    <t>OK! File has mac line endings</t>
  </si>
  <si>
    <t>OK!. Line5113 of the file has "escaped row with new lines in it"</t>
  </si>
  <si>
    <t>OK except has a datetime field which I don't parse</t>
  </si>
  <si>
    <t>OK except has a datetime field and date field with no date separator - that latter I would have to provide col by col format info and i ain't doing that.</t>
  </si>
  <si>
    <t>OK except file is UTF-8 BOM</t>
  </si>
  <si>
    <t>OK except I don't parse time field</t>
  </si>
  <si>
    <t xml:space="preserve">Got capitalisation of functions CSVRead and CSVWrite called from cells correct. </t>
  </si>
  <si>
    <t>A)  Delimiter = FALSE. Shows file not delimited.</t>
  </si>
  <si>
    <t>OK! Tests lines stating with delimiters when IgnoreRepeated = true</t>
  </si>
  <si>
    <t>I don't think I should attempt to match this...See https://github.com/JuliaData/CSV.jl/issues/120 where it states "We now strip trailing whitespace by default (on current master)." as that breaks csv standards</t>
  </si>
  <si>
    <t>Folder</t>
  </si>
  <si>
    <t>randoms.csv</t>
  </si>
  <si>
    <t>test_empty_file.csv</t>
  </si>
  <si>
    <t>transposed_emtpy.csv</t>
  </si>
  <si>
    <t>test_one_row_of_data.cscv</t>
  </si>
  <si>
    <t>test_one_row_of_data.csv</t>
  </si>
  <si>
    <t>transposed_1row.csv</t>
  </si>
  <si>
    <t>test_empty_file_newlines.csv</t>
  </si>
  <si>
    <t>test_single_column.csv</t>
  </si>
  <si>
    <t>dash_as_null.csv</t>
  </si>
  <si>
    <t>plus_as_null.csv</t>
  </si>
  <si>
    <t>transposed_noheader.csv</t>
  </si>
  <si>
    <t>comma_decimal.csv</t>
  </si>
  <si>
    <t>transposed_extra_newline.csv</t>
  </si>
  <si>
    <t>test_missing_last_column.csv</t>
  </si>
  <si>
    <t>test_issue_326.wsv</t>
  </si>
  <si>
    <t>test_not_enough_columns.csv</t>
  </si>
  <si>
    <t>test_comments1.csv</t>
  </si>
  <si>
    <t>test_comments_multichar.csv</t>
  </si>
  <si>
    <t>test_correct_trailing_missings.csv</t>
  </si>
  <si>
    <t>test_not_enough_columns2.csv</t>
  </si>
  <si>
    <t>int64_overflow.csv</t>
  </si>
  <si>
    <t>test_tab_null_empty.txt</t>
  </si>
  <si>
    <t>test_basic.csv</t>
  </si>
  <si>
    <t>test_basic_pipe.csv</t>
  </si>
  <si>
    <t>test_mac_line_endings.csv</t>
  </si>
  <si>
    <t>test_newline_line_endings.csv</t>
  </si>
  <si>
    <t>time.csv</t>
  </si>
  <si>
    <t>transposed.csv</t>
  </si>
  <si>
    <t>categorical.csv</t>
  </si>
  <si>
    <t>test_delim.tsv</t>
  </si>
  <si>
    <t>test_delim.wsv</t>
  </si>
  <si>
    <t>test_file_issue_154.csv</t>
  </si>
  <si>
    <t>test_float_in_int_column.csv</t>
  </si>
  <si>
    <t>test_null_only_column.csv</t>
  </si>
  <si>
    <t>test_tab_null_string.txt</t>
  </si>
  <si>
    <t>test_crlf_line_endings.csv</t>
  </si>
  <si>
    <t>test_header_on_row_4.csv</t>
  </si>
  <si>
    <t>test_missing_last_field.csv</t>
  </si>
  <si>
    <t>test_no_header.csv</t>
  </si>
  <si>
    <t>test_dates.csv</t>
  </si>
  <si>
    <t>test_excel_date_formats.csv</t>
  </si>
  <si>
    <t>test_repeated_delimiters.csv</t>
  </si>
  <si>
    <t>test_simple_quoted.csv</t>
  </si>
  <si>
    <t>test_footer_missing.csv</t>
  </si>
  <si>
    <t>test_quoted_delim_and_newline.csv</t>
  </si>
  <si>
    <t>test_missing_value.csv</t>
  </si>
  <si>
    <t>test_truestrings.csv</t>
  </si>
  <si>
    <t>test_floats.csv</t>
  </si>
  <si>
    <t>test_utf8.csv</t>
  </si>
  <si>
    <t>test_windows.csv</t>
  </si>
  <si>
    <t>test_missing_value_NULL.csv</t>
  </si>
  <si>
    <t>test_quoted_numbers.csv</t>
  </si>
  <si>
    <t>test_2_footer_rows.csv</t>
  </si>
  <si>
    <t>test_utf8_with_BOM.csv</t>
  </si>
  <si>
    <t>types_override.csv</t>
  </si>
  <si>
    <t>test_duplicate_columnnames.csv</t>
  </si>
  <si>
    <t>issue_198_part2.csv</t>
  </si>
  <si>
    <t>test_mixed_date_formats.csv</t>
  </si>
  <si>
    <t>test_multiple_missing.csv</t>
  </si>
  <si>
    <t>test_openclosequotes.csv</t>
  </si>
  <si>
    <t>test_basic.csv.gz</t>
  </si>
  <si>
    <t>test_header_range.csv</t>
  </si>
  <si>
    <t>test_string_delimiters.csv</t>
  </si>
  <si>
    <t>bools.csv</t>
  </si>
  <si>
    <t>boolext.csv</t>
  </si>
  <si>
    <t>test_header_int_list.csv</t>
  </si>
  <si>
    <t>test_datetimes.csv</t>
  </si>
  <si>
    <t>test_comment_first_row.csv</t>
  </si>
  <si>
    <t>issue_207.csv</t>
  </si>
  <si>
    <t>test_comments_multiple.csv</t>
  </si>
  <si>
    <t>test_utf16.csv</t>
  </si>
  <si>
    <t>test_utf16_be.csv</t>
  </si>
  <si>
    <t>test_utf16_le.csv</t>
  </si>
  <si>
    <t>test_bad_datetime.csv</t>
  </si>
  <si>
    <t>test_types.csv</t>
  </si>
  <si>
    <t>test_508.csv</t>
  </si>
  <si>
    <t>escaped_pooled.csv</t>
  </si>
  <si>
    <t>issue_198.csv</t>
  </si>
  <si>
    <t>error_comment.txt</t>
  </si>
  <si>
    <t>bug555.txt</t>
  </si>
  <si>
    <t>ampm.csv</t>
  </si>
  <si>
    <t>precompile_small.csv</t>
  </si>
  <si>
    <t>stocks.csv</t>
  </si>
  <si>
    <t>test_repeated_delim_371.csv</t>
  </si>
  <si>
    <t>issue_120.csv</t>
  </si>
  <si>
    <t>census.txt</t>
  </si>
  <si>
    <t>double_quote_quotechar_and_escapechar.csv</t>
  </si>
  <si>
    <t>baseball.csv</t>
  </si>
  <si>
    <t>attenu.csv</t>
  </si>
  <si>
    <t>test_int_sentinel.csv</t>
  </si>
  <si>
    <t>log001_vehicle_status_flags_0.txt</t>
  </si>
  <si>
    <t>csv_segfault.txt</t>
  </si>
  <si>
    <t>TechCrunchcontinentalUSA.csv</t>
  </si>
  <si>
    <t>escape_row_starts.csv</t>
  </si>
  <si>
    <t>Sacramentorealestatetransactions.csv</t>
  </si>
  <si>
    <t>SalesJan2009.csv</t>
  </si>
  <si>
    <t>select.csv</t>
  </si>
  <si>
    <t>latest (1).csv</t>
  </si>
  <si>
    <t>fecal_samples.csv</t>
  </si>
  <si>
    <t>big_types.csv</t>
  </si>
  <si>
    <t>GSM2230757_human1_umifm_counts.csv</t>
  </si>
  <si>
    <t>promotions.csv</t>
  </si>
  <si>
    <t>precompile.csv</t>
  </si>
  <si>
    <t>heat_flux.dat</t>
  </si>
  <si>
    <t>norwegian_data.csv</t>
  </si>
  <si>
    <t>table_test.txt</t>
  </si>
  <si>
    <t>SacramentocrimeJanuary2006.csv</t>
  </si>
  <si>
    <t>randoms.csv.gz</t>
  </si>
  <si>
    <t>FL_insurance_sample.csv</t>
  </si>
  <si>
    <t>Fielding.csv</t>
  </si>
  <si>
    <t>pandas_zeros.csv</t>
  </si>
  <si>
    <t>Too many columns to fit on the sheet, otherwise OK</t>
  </si>
  <si>
    <t>OK, but I don't parse DateTime or Time</t>
  </si>
  <si>
    <t>IndexToTest</t>
  </si>
  <si>
    <t>OK, but not really a sensible test for CSVRead as I don't try to determine a type per column, so type promotion doesn't apply</t>
  </si>
  <si>
    <t>OK but matybe some of the accented characters not coming through correctly?</t>
  </si>
  <si>
    <t>OK, but has a DateTime column which I don't convert.</t>
  </si>
  <si>
    <t>I don't handle zipped files</t>
  </si>
  <si>
    <t>N</t>
  </si>
  <si>
    <t>CRBXL?</t>
  </si>
  <si>
    <t>OK, 100,000 rows x 49 cols</t>
  </si>
  <si>
    <t>Testing against XL does not work for empty files...</t>
  </si>
  <si>
    <t>XL test does not work thanks to different casting to doubles of large (9E+18) number</t>
  </si>
  <si>
    <t>DelimiterForXL</t>
  </si>
  <si>
    <t>|</t>
  </si>
  <si>
    <t>FormatsForXL</t>
  </si>
  <si>
    <t>1,xlDMYFormat</t>
  </si>
  <si>
    <t>This file does not have footer rows! Instead it has 3 empty rows at the start, which Excel seems to ignore as if SkipToRow = 4</t>
  </si>
  <si>
    <t>CSVRead can't cope with UTF8 with BOM because TextStream does not cope. But Excel copes ok</t>
  </si>
  <si>
    <t>XL does not support string delimiter</t>
  </si>
  <si>
    <t>option to convert quoted strings to numbers etc.</t>
  </si>
  <si>
    <t>1</t>
  </si>
  <si>
    <t>TRUE</t>
  </si>
  <si>
    <t>abc</t>
  </si>
  <si>
    <t>#DIV/0!</t>
  </si>
  <si>
    <t>16-Aug-2021</t>
  </si>
  <si>
    <t>NDBE</t>
  </si>
  <si>
    <t>NDBEQ</t>
  </si>
  <si>
    <t>abc"def</t>
  </si>
  <si>
    <t>D</t>
  </si>
  <si>
    <t>B</t>
  </si>
  <si>
    <t>E</t>
  </si>
  <si>
    <t>R</t>
  </si>
  <si>
    <t>NQ</t>
  </si>
  <si>
    <t>DQ</t>
  </si>
  <si>
    <t>BQ</t>
  </si>
  <si>
    <t>EQ</t>
  </si>
  <si>
    <t>NR</t>
  </si>
  <si>
    <t>DR</t>
  </si>
  <si>
    <t>BR</t>
  </si>
  <si>
    <t>ER</t>
  </si>
  <si>
    <t>Call CSVWrite</t>
  </si>
  <si>
    <t>Data</t>
  </si>
  <si>
    <t>Testing ConvertTypes argument</t>
  </si>
  <si>
    <t>Call CSVRead with a variety of ConvertTypes arguments</t>
  </si>
  <si>
    <t>String containing quotes</t>
  </si>
  <si>
    <t>Boolean</t>
  </si>
  <si>
    <t>Performance</t>
  </si>
  <si>
    <t>Changes to type conversion code. Now possible to convert quoted strings.</t>
  </si>
  <si>
    <t>Amend readmorefromfile to cope with ignore repeated. Have to ensure last characters of chunk read are not delimiter (I think, would at least be safer bet)</t>
  </si>
  <si>
    <t>Matches with the Q option!</t>
  </si>
  <si>
    <t>I don't support MissingString, could do though. Also file is UTF8 and accented characters are different from Notepad++'s rendering.</t>
  </si>
  <si>
    <t>Add Comment as argument</t>
  </si>
  <si>
    <t>Cleaner way of testing...</t>
  </si>
  <si>
    <t>cope with delimiters as last characters of line when ignorerepeated is true.</t>
  </si>
  <si>
    <t>New argument "Comment" to CSVRead.</t>
  </si>
  <si>
    <t>#</t>
  </si>
  <si>
    <t>//</t>
  </si>
  <si>
    <t>Different to XL because there is one quoted string in the file, could match Excel using the Q option.</t>
  </si>
  <si>
    <t>OK, handle correctly</t>
  </si>
  <si>
    <t>C:\Projects\VBA-CSV\testfiles</t>
  </si>
  <si>
    <t>HavePorted?</t>
  </si>
  <si>
    <t>We do not support transpose</t>
  </si>
  <si>
    <t>test_converttypes_arg.csv</t>
  </si>
  <si>
    <t>C:\Projects\VBA-CSV\testfiles\</t>
  </si>
  <si>
    <t>test_skip_args.csv</t>
  </si>
  <si>
    <t>test_skip_args_with_comments.csv</t>
  </si>
  <si>
    <t>From here down test files are mine</t>
  </si>
  <si>
    <t>New module modCSVTest</t>
  </si>
  <si>
    <t>Removed modCVSTestAgainstExcel.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</si>
</sst>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"/>
    <numFmt numFmtId="165" formatCode="yyyy\-mm\-dd"/>
    <numFmt numFmtId="166" formatCode="#,##0;[Red]\-#,##0"/>
    <numFmt numFmtId="167" formatCode="hh:mm"/>
  </numFmts>
  <fonts count="1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55"/>
      <name val="Wingdings"/>
      <charset val="2"/>
    </font>
    <font>
      <sz val="10"/>
      <color indexed="32"/>
      <name val="Wingdings 3"/>
      <family val="1"/>
      <charset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65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4">
    <xf numFmtId="0" fontId="0" fillId="0" borderId="0" xfId="0"/>
    <xf numFmtId="0" fontId="3" fillId="0" borderId="0" xfId="0" quotePrefix="1" applyFont="1" applyAlignment="1">
      <alignment horizontal="left"/>
    </xf>
    <xf numFmtId="0" fontId="4" fillId="0" borderId="0" xfId="0" quotePrefix="1" applyFont="1" applyAlignment="1">
      <alignment horizontal="left"/>
    </xf>
    <xf numFmtId="0" fontId="4" fillId="0" borderId="0" xfId="0" applyFont="1"/>
    <xf numFmtId="0" fontId="0" fillId="2" borderId="0" xfId="0" quotePrefix="1" applyFill="1" applyAlignment="1">
      <alignment horizontal="left"/>
    </xf>
    <xf numFmtId="0" fontId="5" fillId="0" borderId="0" xfId="0" applyFont="1" applyAlignment="1" applyProtection="1">
      <alignment horizontal="left"/>
      <protection locked="0"/>
    </xf>
    <xf numFmtId="0" fontId="0" fillId="3" borderId="0" xfId="0" applyFill="1"/>
    <xf numFmtId="0" fontId="5" fillId="0" borderId="0" xfId="0" quotePrefix="1" applyFont="1" applyAlignment="1" applyProtection="1">
      <alignment horizontal="left"/>
      <protection locked="0"/>
    </xf>
    <xf numFmtId="0" fontId="4" fillId="4" borderId="0" xfId="0" quotePrefix="1" applyFont="1" applyFill="1" applyAlignment="1">
      <alignment horizontal="left"/>
    </xf>
    <xf numFmtId="0" fontId="0" fillId="5" borderId="0" xfId="0" applyFill="1"/>
    <xf numFmtId="0" fontId="0" fillId="6" borderId="0" xfId="0" applyFill="1"/>
    <xf numFmtId="0" fontId="0" fillId="0" borderId="1" xfId="0" applyBorder="1"/>
    <xf numFmtId="0" fontId="0" fillId="0" borderId="1" xfId="0" quotePrefix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/>
    <xf numFmtId="38" fontId="0" fillId="0" borderId="0" xfId="0" applyNumberFormat="1"/>
    <xf numFmtId="0" fontId="0" fillId="0" borderId="0" xfId="0" applyAlignment="1">
      <alignment vertical="center"/>
    </xf>
    <xf numFmtId="0" fontId="0" fillId="0" borderId="0" xfId="0" quotePrefix="1" applyAlignment="1">
      <alignment horizontal="left" vertical="center" wrapText="1"/>
    </xf>
    <xf numFmtId="40" fontId="0" fillId="0" borderId="0" xfId="0" applyNumberFormat="1"/>
    <xf numFmtId="0" fontId="0" fillId="0" borderId="0" xfId="0" quotePrefix="1" applyAlignment="1">
      <alignment horizontal="left"/>
    </xf>
    <xf numFmtId="38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8" fillId="0" borderId="0" xfId="0" applyFont="1"/>
    <xf numFmtId="0" fontId="7" fillId="0" borderId="0" xfId="1"/>
    <xf numFmtId="0" fontId="0" fillId="0" borderId="2" xfId="0" applyBorder="1" applyAlignment="1">
      <alignment horizontal="center" vertical="center"/>
    </xf>
    <xf numFmtId="164" fontId="0" fillId="0" borderId="3" xfId="0" applyNumberForma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164" fontId="9" fillId="7" borderId="6" xfId="0" applyNumberFormat="1" applyFont="1" applyFill="1" applyBorder="1" applyAlignment="1">
      <alignment horizontal="left" vertical="center"/>
    </xf>
    <xf numFmtId="0" fontId="9" fillId="7" borderId="6" xfId="0" applyFont="1" applyFill="1" applyBorder="1" applyAlignment="1">
      <alignment horizontal="left" vertical="center"/>
    </xf>
    <xf numFmtId="0" fontId="9" fillId="7" borderId="7" xfId="0" applyFont="1" applyFill="1" applyBorder="1" applyAlignment="1">
      <alignment horizontal="left" vertical="center" wrapText="1"/>
    </xf>
    <xf numFmtId="0" fontId="9" fillId="7" borderId="7" xfId="0" quotePrefix="1" applyFont="1" applyFill="1" applyBorder="1" applyAlignment="1">
      <alignment horizontal="left" vertical="center" wrapText="1"/>
    </xf>
    <xf numFmtId="38" fontId="9" fillId="7" borderId="8" xfId="0" applyNumberFormat="1" applyFont="1" applyFill="1" applyBorder="1" applyAlignment="1">
      <alignment horizontal="center" vertical="center"/>
    </xf>
    <xf numFmtId="164" fontId="9" fillId="7" borderId="9" xfId="0" applyNumberFormat="1" applyFont="1" applyFill="1" applyBorder="1" applyAlignment="1">
      <alignment horizontal="left" vertical="center"/>
    </xf>
    <xf numFmtId="0" fontId="9" fillId="7" borderId="9" xfId="0" applyFont="1" applyFill="1" applyBorder="1" applyAlignment="1">
      <alignment horizontal="left" vertical="center"/>
    </xf>
    <xf numFmtId="0" fontId="9" fillId="7" borderId="10" xfId="0" quotePrefix="1" applyFont="1" applyFill="1" applyBorder="1" applyAlignment="1">
      <alignment horizontal="left" vertical="center" wrapText="1"/>
    </xf>
    <xf numFmtId="0" fontId="5" fillId="0" borderId="0" xfId="0" applyFont="1" applyProtection="1">
      <protection locked="0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/>
    </xf>
    <xf numFmtId="38" fontId="0" fillId="0" borderId="1" xfId="0" applyNumberFormat="1" applyBorder="1" applyAlignment="1">
      <alignment vertical="center"/>
    </xf>
    <xf numFmtId="0" fontId="0" fillId="0" borderId="1" xfId="0" quotePrefix="1" applyBorder="1" applyAlignment="1">
      <alignment horizontal="left" vertical="center"/>
    </xf>
    <xf numFmtId="0" fontId="0" fillId="0" borderId="1" xfId="0" quotePrefix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quotePrefix="1" applyFont="1" applyAlignment="1">
      <alignment horizontal="right"/>
    </xf>
    <xf numFmtId="0" fontId="9" fillId="0" borderId="1" xfId="0" applyFont="1" applyBorder="1" applyAlignment="1">
      <alignment vertical="center"/>
    </xf>
    <xf numFmtId="38" fontId="9" fillId="7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166" fontId="0" fillId="0" borderId="0" xfId="0" applyNumberFormat="1"/>
    <xf numFmtId="166" fontId="0" fillId="0" borderId="0" xfId="0" applyNumberFormat="1" applyAlignment="1">
      <alignment horizontal="left"/>
    </xf>
    <xf numFmtId="166" fontId="0" fillId="0" borderId="1" xfId="0" applyNumberFormat="1" applyBorder="1" applyAlignment="1">
      <alignment horizontal="center"/>
    </xf>
    <xf numFmtId="0" fontId="0" fillId="0" borderId="11" xfId="0" applyBorder="1" applyAlignment="1">
      <alignment vertical="center"/>
    </xf>
    <xf numFmtId="38" fontId="0" fillId="0" borderId="11" xfId="0" applyNumberFormat="1" applyBorder="1" applyAlignment="1">
      <alignment vertical="center"/>
    </xf>
    <xf numFmtId="0" fontId="0" fillId="0" borderId="11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1" xfId="0" quotePrefix="1" applyBorder="1" applyAlignment="1">
      <alignment horizontal="left" vertical="center"/>
    </xf>
    <xf numFmtId="0" fontId="0" fillId="0" borderId="11" xfId="0" quotePrefix="1" applyBorder="1" applyAlignment="1">
      <alignment horizontal="center" vertical="center"/>
    </xf>
    <xf numFmtId="0" fontId="0" fillId="0" borderId="12" xfId="0" quotePrefix="1" applyBorder="1" applyAlignment="1">
      <alignment horizontal="left" vertical="center"/>
    </xf>
    <xf numFmtId="0" fontId="0" fillId="0" borderId="12" xfId="0" quotePrefix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quotePrefix="1" applyBorder="1" applyAlignment="1">
      <alignment horizontal="left"/>
    </xf>
    <xf numFmtId="0" fontId="0" fillId="0" borderId="12" xfId="0" applyBorder="1" applyAlignment="1">
      <alignment vertical="center"/>
    </xf>
    <xf numFmtId="38" fontId="0" fillId="0" borderId="12" xfId="0" applyNumberFormat="1" applyBorder="1" applyAlignment="1">
      <alignment vertical="center"/>
    </xf>
    <xf numFmtId="0" fontId="0" fillId="0" borderId="12" xfId="0" applyBorder="1" applyAlignment="1">
      <alignment horizontal="left" vertical="center"/>
    </xf>
    <xf numFmtId="166" fontId="9" fillId="7" borderId="5" xfId="0" applyNumberFormat="1" applyFont="1" applyFill="1" applyBorder="1" applyAlignment="1">
      <alignment horizontal="center" vertical="center"/>
    </xf>
    <xf numFmtId="167" fontId="0" fillId="0" borderId="3" xfId="0" applyNumberFormat="1" applyBorder="1" applyAlignment="1">
      <alignment horizontal="left" vertical="center"/>
    </xf>
    <xf numFmtId="167" fontId="9" fillId="7" borderId="6" xfId="0" applyNumberFormat="1" applyFont="1" applyFill="1" applyBorder="1" applyAlignment="1">
      <alignment horizontal="left" vertical="center"/>
    </xf>
    <xf numFmtId="167" fontId="9" fillId="7" borderId="9" xfId="0" applyNumberFormat="1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23">
    <dxf>
      <fill>
        <patternFill>
          <bgColor theme="8" tint="0.79998168889431442"/>
        </patternFill>
      </fill>
    </dxf>
    <dxf>
      <font>
        <color rgb="FF00B050"/>
      </font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ont>
        <color rgb="FF00B050"/>
      </font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ont>
        <strike val="0"/>
        <color rgb="FF00B050"/>
      </font>
    </dxf>
    <dxf>
      <font>
        <color rgb="FFFF0000"/>
      </font>
    </dxf>
    <dxf>
      <font>
        <strike val="0"/>
        <color rgb="FF00B050"/>
      </font>
    </dxf>
    <dxf>
      <font>
        <color rgb="FFFF0000"/>
      </font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Performance!$K$31</c:f>
          <c:strCache>
            <c:ptCount val="1"/>
            <c:pt idx="0">
              <c:v>One column of 32-char fields.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Performance!$E$32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Performance!$E$33:$E$53</c:f>
              <c:numCache>
                <c:formatCode>General</c:formatCode>
                <c:ptCount val="21"/>
                <c:pt idx="0">
                  <c:v>1.34479874129294E-4</c:v>
                </c:pt>
                <c:pt idx="1">
                  <c:v>1.4183739645978871E-4</c:v>
                </c:pt>
                <c:pt idx="2">
                  <c:v>1.494449249805769E-4</c:v>
                </c:pt>
                <c:pt idx="3">
                  <c:v>1.6171222509704975E-4</c:v>
                </c:pt>
                <c:pt idx="4">
                  <c:v>2.0189477913267227E-4</c:v>
                </c:pt>
                <c:pt idx="5">
                  <c:v>2.413951385536163E-4</c:v>
                </c:pt>
                <c:pt idx="6">
                  <c:v>3.5599028905026244E-4</c:v>
                </c:pt>
                <c:pt idx="7">
                  <c:v>5.4607597466429841E-4</c:v>
                </c:pt>
                <c:pt idx="8">
                  <c:v>1.0993258298530621E-3</c:v>
                </c:pt>
                <c:pt idx="9">
                  <c:v>1.7651133074481529E-3</c:v>
                </c:pt>
                <c:pt idx="10">
                  <c:v>3.6095994227991839E-3</c:v>
                </c:pt>
                <c:pt idx="11">
                  <c:v>6.6196644179904573E-3</c:v>
                </c:pt>
                <c:pt idx="12">
                  <c:v>1.2783892346941666E-2</c:v>
                </c:pt>
                <c:pt idx="13">
                  <c:v>2.7055212432438764E-2</c:v>
                </c:pt>
                <c:pt idx="14">
                  <c:v>5.6172302222229416E-2</c:v>
                </c:pt>
                <c:pt idx="15">
                  <c:v>0.1080429361702161</c:v>
                </c:pt>
                <c:pt idx="16">
                  <c:v>0.21789429999997714</c:v>
                </c:pt>
                <c:pt idx="17">
                  <c:v>0.42822090833336307</c:v>
                </c:pt>
                <c:pt idx="18">
                  <c:v>0.86779139999998733</c:v>
                </c:pt>
                <c:pt idx="19">
                  <c:v>1.7959464333331805</c:v>
                </c:pt>
                <c:pt idx="20">
                  <c:v>3.582008549999955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82-4F3D-B2F3-656DDDF7C727}"/>
            </c:ext>
          </c:extLst>
        </c:ser>
        <c:ser>
          <c:idx val="1"/>
          <c:order val="1"/>
          <c:tx>
            <c:strRef>
              <c:f>Performance!$F$32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Performance!$F$33:$F$53</c:f>
              <c:numCache>
                <c:formatCode>General</c:formatCode>
                <c:ptCount val="21"/>
                <c:pt idx="0">
                  <c:v>1.3239526293493193E-4</c:v>
                </c:pt>
                <c:pt idx="1">
                  <c:v>1.3560162991890296E-4</c:v>
                </c:pt>
                <c:pt idx="2">
                  <c:v>1.4331502479289084E-4</c:v>
                </c:pt>
                <c:pt idx="3">
                  <c:v>1.619906761265919E-4</c:v>
                </c:pt>
                <c:pt idx="4">
                  <c:v>1.8643100298283477E-4</c:v>
                </c:pt>
                <c:pt idx="5">
                  <c:v>2.3752324355138786E-4</c:v>
                </c:pt>
                <c:pt idx="6">
                  <c:v>3.2940519138286811E-4</c:v>
                </c:pt>
                <c:pt idx="7">
                  <c:v>5.2124734702384029E-4</c:v>
                </c:pt>
                <c:pt idx="8">
                  <c:v>8.9574706198481649E-4</c:v>
                </c:pt>
                <c:pt idx="9">
                  <c:v>1.6841131020543982E-3</c:v>
                </c:pt>
                <c:pt idx="10">
                  <c:v>3.3403356045416653E-3</c:v>
                </c:pt>
                <c:pt idx="11">
                  <c:v>6.4426679536677776E-3</c:v>
                </c:pt>
                <c:pt idx="12">
                  <c:v>1.2523153749998527E-2</c:v>
                </c:pt>
                <c:pt idx="13">
                  <c:v>2.6463665079361855E-2</c:v>
                </c:pt>
                <c:pt idx="14">
                  <c:v>5.0571818181821861E-2</c:v>
                </c:pt>
                <c:pt idx="15">
                  <c:v>0.10883963404256142</c:v>
                </c:pt>
                <c:pt idx="16">
                  <c:v>0.20836787500002174</c:v>
                </c:pt>
                <c:pt idx="17">
                  <c:v>0.41175323076920622</c:v>
                </c:pt>
                <c:pt idx="18">
                  <c:v>0.8477728499998799</c:v>
                </c:pt>
                <c:pt idx="19">
                  <c:v>1.8226661000001816</c:v>
                </c:pt>
                <c:pt idx="20">
                  <c:v>3.4363585999999486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82-4F3D-B2F3-656DDDF7C727}"/>
            </c:ext>
          </c:extLst>
        </c:ser>
        <c:ser>
          <c:idx val="2"/>
          <c:order val="2"/>
          <c:tx>
            <c:strRef>
              <c:f>Performance!$G$32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Performance!$G$33:$G$53</c:f>
              <c:numCache>
                <c:formatCode>General</c:formatCode>
                <c:ptCount val="21"/>
                <c:pt idx="0">
                  <c:v>2.0403903304768351E-3</c:v>
                </c:pt>
                <c:pt idx="1">
                  <c:v>2.0671608515911172E-3</c:v>
                </c:pt>
                <c:pt idx="2">
                  <c:v>2.0889627401837886E-3</c:v>
                </c:pt>
                <c:pt idx="3">
                  <c:v>2.1437495499359743E-3</c:v>
                </c:pt>
                <c:pt idx="4">
                  <c:v>2.1701710069442649E-3</c:v>
                </c:pt>
                <c:pt idx="5">
                  <c:v>2.2608000904157507E-3</c:v>
                </c:pt>
                <c:pt idx="6">
                  <c:v>2.4749920336468671E-3</c:v>
                </c:pt>
                <c:pt idx="7">
                  <c:v>2.8558099942885542E-3</c:v>
                </c:pt>
                <c:pt idx="8">
                  <c:v>3.6949522895118789E-3</c:v>
                </c:pt>
                <c:pt idx="9">
                  <c:v>5.2559193277317692E-3</c:v>
                </c:pt>
                <c:pt idx="10">
                  <c:v>8.641772711571901E-3</c:v>
                </c:pt>
                <c:pt idx="11">
                  <c:v>1.5512091950461162E-2</c:v>
                </c:pt>
                <c:pt idx="12">
                  <c:v>3.0566157926819514E-2</c:v>
                </c:pt>
                <c:pt idx="13">
                  <c:v>5.0198493000007144E-2</c:v>
                </c:pt>
                <c:pt idx="14">
                  <c:v>9.6531917307682027E-2</c:v>
                </c:pt>
                <c:pt idx="15">
                  <c:v>0.18798502962959496</c:v>
                </c:pt>
                <c:pt idx="16">
                  <c:v>0.3881295384615861</c:v>
                </c:pt>
                <c:pt idx="17">
                  <c:v>0.75083692857151618</c:v>
                </c:pt>
                <c:pt idx="18">
                  <c:v>1.5137419750003573</c:v>
                </c:pt>
                <c:pt idx="19">
                  <c:v>2.8933888500005196</c:v>
                </c:pt>
                <c:pt idx="20">
                  <c:v>5.8959924000009778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82-4F3D-B2F3-656DDDF7C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563711"/>
        <c:axId val="380565791"/>
      </c:scatterChart>
      <c:valAx>
        <c:axId val="38056371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65791"/>
        <c:crosses val="autoZero"/>
        <c:crossBetween val="midCat"/>
      </c:valAx>
      <c:valAx>
        <c:axId val="3805657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63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Performance!$K$58</c:f>
          <c:strCache>
            <c:ptCount val="1"/>
            <c:pt idx="0">
              <c:v>One column of 20-char fields with embedded breaks.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Performance!$E$59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Performance!$E$60:$E$80</c:f>
              <c:numCache>
                <c:formatCode>General</c:formatCode>
                <c:ptCount val="21"/>
                <c:pt idx="0">
                  <c:v>1.3567349812775112E-4</c:v>
                </c:pt>
                <c:pt idx="1">
                  <c:v>1.3225410638238616E-4</c:v>
                </c:pt>
                <c:pt idx="2">
                  <c:v>1.3949159157486467E-4</c:v>
                </c:pt>
                <c:pt idx="3">
                  <c:v>1.7221753117033228E-4</c:v>
                </c:pt>
                <c:pt idx="4">
                  <c:v>1.8136480467190202E-4</c:v>
                </c:pt>
                <c:pt idx="5">
                  <c:v>2.1690347041472587E-4</c:v>
                </c:pt>
                <c:pt idx="6">
                  <c:v>3.0753628759459334E-4</c:v>
                </c:pt>
                <c:pt idx="7">
                  <c:v>4.7192518168947672E-4</c:v>
                </c:pt>
                <c:pt idx="8">
                  <c:v>8.5133971739877223E-4</c:v>
                </c:pt>
                <c:pt idx="9">
                  <c:v>1.5580145794395484E-3</c:v>
                </c:pt>
                <c:pt idx="10">
                  <c:v>2.9377303760288248E-3</c:v>
                </c:pt>
                <c:pt idx="11">
                  <c:v>6.0274114457833233E-3</c:v>
                </c:pt>
                <c:pt idx="12">
                  <c:v>1.1897668408548568E-2</c:v>
                </c:pt>
                <c:pt idx="13">
                  <c:v>2.4520391219514905E-2</c:v>
                </c:pt>
                <c:pt idx="14">
                  <c:v>4.9144540196079216E-2</c:v>
                </c:pt>
                <c:pt idx="15">
                  <c:v>9.8250663461525473E-2</c:v>
                </c:pt>
                <c:pt idx="16">
                  <c:v>0.18622684444441498</c:v>
                </c:pt>
                <c:pt idx="17">
                  <c:v>0.37313579285702353</c:v>
                </c:pt>
                <c:pt idx="18">
                  <c:v>0.75582249999985962</c:v>
                </c:pt>
                <c:pt idx="19">
                  <c:v>1.4738968249998834</c:v>
                </c:pt>
                <c:pt idx="20">
                  <c:v>3.044153599999845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6A-4931-B7F9-DA9AF54D33A1}"/>
            </c:ext>
          </c:extLst>
        </c:ser>
        <c:ser>
          <c:idx val="1"/>
          <c:order val="1"/>
          <c:tx>
            <c:strRef>
              <c:f>Performance!$F$59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Performance!$F$60:$F$80</c:f>
              <c:numCache>
                <c:formatCode>General</c:formatCode>
                <c:ptCount val="21"/>
                <c:pt idx="0">
                  <c:v>1.3170781813871631E-4</c:v>
                </c:pt>
                <c:pt idx="1">
                  <c:v>1.3077067608213924E-4</c:v>
                </c:pt>
                <c:pt idx="2">
                  <c:v>1.3916558768685533E-4</c:v>
                </c:pt>
                <c:pt idx="3">
                  <c:v>1.9038297985759768E-4</c:v>
                </c:pt>
                <c:pt idx="4">
                  <c:v>1.8695294447563797E-4</c:v>
                </c:pt>
                <c:pt idx="5">
                  <c:v>2.4684732424956412E-4</c:v>
                </c:pt>
                <c:pt idx="6">
                  <c:v>3.5893744885506535E-4</c:v>
                </c:pt>
                <c:pt idx="7">
                  <c:v>6.4075115325486686E-4</c:v>
                </c:pt>
                <c:pt idx="8">
                  <c:v>1.0669829528483189E-3</c:v>
                </c:pt>
                <c:pt idx="9">
                  <c:v>2.0273659910822733E-3</c:v>
                </c:pt>
                <c:pt idx="10">
                  <c:v>3.9924034317649817E-3</c:v>
                </c:pt>
                <c:pt idx="11">
                  <c:v>7.977871451356134E-3</c:v>
                </c:pt>
                <c:pt idx="12">
                  <c:v>1.7183045205481355E-2</c:v>
                </c:pt>
                <c:pt idx="13">
                  <c:v>3.929657265625508E-2</c:v>
                </c:pt>
                <c:pt idx="14">
                  <c:v>6.6956312000014201E-2</c:v>
                </c:pt>
                <c:pt idx="15">
                  <c:v>0.12941028205130303</c:v>
                </c:pt>
                <c:pt idx="16">
                  <c:v>0.24686819523811296</c:v>
                </c:pt>
                <c:pt idx="17">
                  <c:v>0.51129760999992868</c:v>
                </c:pt>
                <c:pt idx="18">
                  <c:v>1.0205561999999191</c:v>
                </c:pt>
                <c:pt idx="19">
                  <c:v>1.9751824999996945</c:v>
                </c:pt>
                <c:pt idx="20">
                  <c:v>4.3303928499999529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6A-4931-B7F9-DA9AF54D33A1}"/>
            </c:ext>
          </c:extLst>
        </c:ser>
        <c:ser>
          <c:idx val="2"/>
          <c:order val="2"/>
          <c:tx>
            <c:strRef>
              <c:f>Performance!$G$59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Performance!$G$60:$G$80</c:f>
              <c:numCache>
                <c:formatCode>General</c:formatCode>
                <c:ptCount val="21"/>
                <c:pt idx="0">
                  <c:v>2.1205321882948533E-3</c:v>
                </c:pt>
                <c:pt idx="1">
                  <c:v>2.1399235772357511E-3</c:v>
                </c:pt>
                <c:pt idx="2">
                  <c:v>2.2125548230090002E-3</c:v>
                </c:pt>
                <c:pt idx="3">
                  <c:v>2.4365383341457764E-3</c:v>
                </c:pt>
                <c:pt idx="4">
                  <c:v>2.7876381270908641E-3</c:v>
                </c:pt>
                <c:pt idx="5">
                  <c:v>3.4859562369333442E-3</c:v>
                </c:pt>
                <c:pt idx="6">
                  <c:v>4.9010044074429392E-3</c:v>
                </c:pt>
                <c:pt idx="7">
                  <c:v>7.7835065318822318E-3</c:v>
                </c:pt>
                <c:pt idx="8">
                  <c:v>1.3360757866665759E-2</c:v>
                </c:pt>
                <c:pt idx="9">
                  <c:v>2.465726600984915E-2</c:v>
                </c:pt>
                <c:pt idx="10">
                  <c:v>4.7666095238084724E-2</c:v>
                </c:pt>
                <c:pt idx="11">
                  <c:v>9.0674260714260005E-2</c:v>
                </c:pt>
                <c:pt idx="12">
                  <c:v>0.17943677857140625</c:v>
                </c:pt>
                <c:pt idx="13">
                  <c:v>0.36980856428570924</c:v>
                </c:pt>
                <c:pt idx="14">
                  <c:v>0.68389747499986697</c:v>
                </c:pt>
                <c:pt idx="15">
                  <c:v>1.3799760750002861</c:v>
                </c:pt>
                <c:pt idx="16">
                  <c:v>2.6827184499998111</c:v>
                </c:pt>
                <c:pt idx="17">
                  <c:v>5.3784223999991809</c:v>
                </c:pt>
                <c:pt idx="18">
                  <c:v>10.586581199999273</c:v>
                </c:pt>
                <c:pt idx="19">
                  <c:v>21.460097799999858</c:v>
                </c:pt>
                <c:pt idx="20">
                  <c:v>45.975075800000923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6A-4931-B7F9-DA9AF54D3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26815"/>
        <c:axId val="912119743"/>
      </c:scatterChart>
      <c:valAx>
        <c:axId val="912126815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9743"/>
        <c:crosses val="autoZero"/>
        <c:crossBetween val="midCat"/>
      </c:valAx>
      <c:valAx>
        <c:axId val="9121197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26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Performance!$K$85</c:f>
          <c:strCache>
            <c:ptCount val="1"/>
            <c:pt idx="0">
              <c:v>10 columns of 17-char numeric fields (no quotes).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Performance!$E$86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Performance!$E$87:$E$105</c:f>
              <c:numCache>
                <c:formatCode>General</c:formatCode>
                <c:ptCount val="19"/>
                <c:pt idx="0">
                  <c:v>1.4908748285526142E-4</c:v>
                </c:pt>
                <c:pt idx="1">
                  <c:v>1.716066101520495E-4</c:v>
                </c:pt>
                <c:pt idx="2">
                  <c:v>2.1159209936095759E-4</c:v>
                </c:pt>
                <c:pt idx="3">
                  <c:v>2.9114004891115486E-4</c:v>
                </c:pt>
                <c:pt idx="4">
                  <c:v>4.4315184791271126E-4</c:v>
                </c:pt>
                <c:pt idx="5">
                  <c:v>7.8184856160086165E-4</c:v>
                </c:pt>
                <c:pt idx="6">
                  <c:v>1.3699836712326593E-3</c:v>
                </c:pt>
                <c:pt idx="7">
                  <c:v>2.7140311448727548E-3</c:v>
                </c:pt>
                <c:pt idx="8">
                  <c:v>5.4469502178651008E-3</c:v>
                </c:pt>
                <c:pt idx="9">
                  <c:v>1.16097552204179E-2</c:v>
                </c:pt>
                <c:pt idx="10">
                  <c:v>2.3379114953271388E-2</c:v>
                </c:pt>
                <c:pt idx="11">
                  <c:v>4.2608741525435694E-2</c:v>
                </c:pt>
                <c:pt idx="12">
                  <c:v>8.7385989655182322E-2</c:v>
                </c:pt>
                <c:pt idx="13">
                  <c:v>0.19905589999997084</c:v>
                </c:pt>
                <c:pt idx="14">
                  <c:v>0.36150306428563844</c:v>
                </c:pt>
                <c:pt idx="15">
                  <c:v>0.75963551428581666</c:v>
                </c:pt>
                <c:pt idx="16">
                  <c:v>1.456787175000045</c:v>
                </c:pt>
                <c:pt idx="17">
                  <c:v>2.9693039999992834</c:v>
                </c:pt>
                <c:pt idx="18">
                  <c:v>6.0965317000009236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2-4083-9799-8D30999E016E}"/>
            </c:ext>
          </c:extLst>
        </c:ser>
        <c:ser>
          <c:idx val="1"/>
          <c:order val="1"/>
          <c:tx>
            <c:strRef>
              <c:f>Performance!$F$86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Performance!$F$87:$F$105</c:f>
              <c:numCache>
                <c:formatCode>General</c:formatCode>
                <c:ptCount val="19"/>
                <c:pt idx="0">
                  <c:v>1.4728784906324128E-4</c:v>
                </c:pt>
                <c:pt idx="1">
                  <c:v>1.7214758478225641E-4</c:v>
                </c:pt>
                <c:pt idx="2">
                  <c:v>2.0275161185675589E-4</c:v>
                </c:pt>
                <c:pt idx="3">
                  <c:v>2.8029233701441937E-4</c:v>
                </c:pt>
                <c:pt idx="4">
                  <c:v>4.447645258851006E-4</c:v>
                </c:pt>
                <c:pt idx="5">
                  <c:v>7.591890980869091E-4</c:v>
                </c:pt>
                <c:pt idx="6">
                  <c:v>1.3565876831253055E-3</c:v>
                </c:pt>
                <c:pt idx="7">
                  <c:v>2.7553950413222424E-3</c:v>
                </c:pt>
                <c:pt idx="8">
                  <c:v>5.3792437634402508E-3</c:v>
                </c:pt>
                <c:pt idx="9">
                  <c:v>1.0368268737058567E-2</c:v>
                </c:pt>
                <c:pt idx="10">
                  <c:v>2.1248462711864088E-2</c:v>
                </c:pt>
                <c:pt idx="11">
                  <c:v>4.1864097499986506E-2</c:v>
                </c:pt>
                <c:pt idx="12">
                  <c:v>9.0400624999996834E-2</c:v>
                </c:pt>
                <c:pt idx="13">
                  <c:v>0.17310248620686189</c:v>
                </c:pt>
                <c:pt idx="14">
                  <c:v>0.3449957066666684</c:v>
                </c:pt>
                <c:pt idx="15">
                  <c:v>0.70787203750001026</c:v>
                </c:pt>
                <c:pt idx="16">
                  <c:v>1.4634674750000158</c:v>
                </c:pt>
                <c:pt idx="17">
                  <c:v>2.8707864999996673</c:v>
                </c:pt>
                <c:pt idx="18">
                  <c:v>6.1190550000010262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22-4083-9799-8D30999E016E}"/>
            </c:ext>
          </c:extLst>
        </c:ser>
        <c:ser>
          <c:idx val="2"/>
          <c:order val="2"/>
          <c:tx>
            <c:strRef>
              <c:f>Performance!$G$86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Performance!$G$87:$G$105</c:f>
              <c:numCache>
                <c:formatCode>General</c:formatCode>
                <c:ptCount val="19"/>
                <c:pt idx="0">
                  <c:v>2.2751768425840783E-3</c:v>
                </c:pt>
                <c:pt idx="1">
                  <c:v>2.1500276870164048E-3</c:v>
                </c:pt>
                <c:pt idx="2">
                  <c:v>2.2272576391978893E-3</c:v>
                </c:pt>
                <c:pt idx="3">
                  <c:v>2.3697644549761144E-3</c:v>
                </c:pt>
                <c:pt idx="4">
                  <c:v>2.6333427066884884E-3</c:v>
                </c:pt>
                <c:pt idx="5">
                  <c:v>3.3135860172295488E-3</c:v>
                </c:pt>
                <c:pt idx="6">
                  <c:v>4.5541735883411448E-3</c:v>
                </c:pt>
                <c:pt idx="7">
                  <c:v>7.027487780901078E-3</c:v>
                </c:pt>
                <c:pt idx="8">
                  <c:v>1.2420081141438461E-2</c:v>
                </c:pt>
                <c:pt idx="9">
                  <c:v>2.3272099999997218E-2</c:v>
                </c:pt>
                <c:pt idx="10">
                  <c:v>4.2885149572658779E-2</c:v>
                </c:pt>
                <c:pt idx="11">
                  <c:v>7.7602578461525046E-2</c:v>
                </c:pt>
                <c:pt idx="12">
                  <c:v>0.15297396666667765</c:v>
                </c:pt>
                <c:pt idx="13">
                  <c:v>0.30184307058816023</c:v>
                </c:pt>
                <c:pt idx="14">
                  <c:v>0.63830669999993006</c:v>
                </c:pt>
                <c:pt idx="15">
                  <c:v>1.281009350000204</c:v>
                </c:pt>
                <c:pt idx="16">
                  <c:v>2.3865486666666889</c:v>
                </c:pt>
                <c:pt idx="17">
                  <c:v>5.1312687000008737</c:v>
                </c:pt>
                <c:pt idx="18">
                  <c:v>10.362777500000448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22-4083-9799-8D30999E0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25151"/>
        <c:axId val="912114335"/>
      </c:scatterChart>
      <c:valAx>
        <c:axId val="91212515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4335"/>
        <c:crosses val="autoZero"/>
        <c:crossBetween val="midCat"/>
      </c:valAx>
      <c:valAx>
        <c:axId val="91211433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251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Performance!$K$112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Performance!$E$113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Performance!$E$114:$E$127</c:f>
              <c:numCache>
                <c:formatCode>General</c:formatCode>
                <c:ptCount val="14"/>
                <c:pt idx="0">
                  <c:v>1.4573020022734889E-4</c:v>
                </c:pt>
                <c:pt idx="1">
                  <c:v>1.6701056147505055E-4</c:v>
                </c:pt>
                <c:pt idx="2">
                  <c:v>1.9822696241673961E-4</c:v>
                </c:pt>
                <c:pt idx="3">
                  <c:v>3.7782687018287974E-4</c:v>
                </c:pt>
                <c:pt idx="4">
                  <c:v>3.9033631537868836E-4</c:v>
                </c:pt>
                <c:pt idx="5">
                  <c:v>6.8188388108559456E-4</c:v>
                </c:pt>
                <c:pt idx="6">
                  <c:v>1.1489073759190995E-3</c:v>
                </c:pt>
                <c:pt idx="7">
                  <c:v>2.1573956859359399E-3</c:v>
                </c:pt>
                <c:pt idx="8">
                  <c:v>4.3243195332763025E-3</c:v>
                </c:pt>
                <c:pt idx="9">
                  <c:v>8.0859657512127037E-3</c:v>
                </c:pt>
                <c:pt idx="10">
                  <c:v>1.674072976588847E-2</c:v>
                </c:pt>
                <c:pt idx="11">
                  <c:v>3.3222623178806206E-2</c:v>
                </c:pt>
                <c:pt idx="12">
                  <c:v>6.6979869333323824E-2</c:v>
                </c:pt>
                <c:pt idx="13">
                  <c:v>0.13736128648648643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D0-488C-8CC0-4EEB4AA462BF}"/>
            </c:ext>
          </c:extLst>
        </c:ser>
        <c:ser>
          <c:idx val="1"/>
          <c:order val="1"/>
          <c:tx>
            <c:strRef>
              <c:f>Performance!$F$113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Performance!$F$114:$F$127</c:f>
              <c:numCache>
                <c:formatCode>General</c:formatCode>
                <c:ptCount val="14"/>
                <c:pt idx="0">
                  <c:v>1.4187597820846661E-4</c:v>
                </c:pt>
                <c:pt idx="1">
                  <c:v>1.6037493665198115E-4</c:v>
                </c:pt>
                <c:pt idx="2">
                  <c:v>1.8787608777333709E-4</c:v>
                </c:pt>
                <c:pt idx="3">
                  <c:v>3.1016623658581329E-4</c:v>
                </c:pt>
                <c:pt idx="4">
                  <c:v>3.8011823019610977E-4</c:v>
                </c:pt>
                <c:pt idx="5">
                  <c:v>6.378927924481526E-4</c:v>
                </c:pt>
                <c:pt idx="6">
                  <c:v>1.1395088195079361E-3</c:v>
                </c:pt>
                <c:pt idx="7">
                  <c:v>2.1160725042304361E-3</c:v>
                </c:pt>
                <c:pt idx="8">
                  <c:v>4.1303000825769435E-3</c:v>
                </c:pt>
                <c:pt idx="9">
                  <c:v>7.8943682965301135E-3</c:v>
                </c:pt>
                <c:pt idx="10">
                  <c:v>1.5669506562500147E-2</c:v>
                </c:pt>
                <c:pt idx="11">
                  <c:v>3.1313824999995174E-2</c:v>
                </c:pt>
                <c:pt idx="12">
                  <c:v>6.7954608108118777E-2</c:v>
                </c:pt>
                <c:pt idx="13">
                  <c:v>0.13063880512821086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D0-488C-8CC0-4EEB4AA462BF}"/>
            </c:ext>
          </c:extLst>
        </c:ser>
        <c:ser>
          <c:idx val="2"/>
          <c:order val="2"/>
          <c:tx>
            <c:strRef>
              <c:f>Performance!$G$113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Performance!$G$114:$G$127</c:f>
              <c:numCache>
                <c:formatCode>General</c:formatCode>
                <c:ptCount val="14"/>
                <c:pt idx="0">
                  <c:v>2.0586885137915192E-3</c:v>
                </c:pt>
                <c:pt idx="1">
                  <c:v>2.0618650721652811E-3</c:v>
                </c:pt>
                <c:pt idx="2">
                  <c:v>2.066795289256559E-3</c:v>
                </c:pt>
                <c:pt idx="3">
                  <c:v>2.2343689901694439E-3</c:v>
                </c:pt>
                <c:pt idx="4">
                  <c:v>2.6368918292046118E-3</c:v>
                </c:pt>
                <c:pt idx="5">
                  <c:v>3.7947398330796587E-3</c:v>
                </c:pt>
                <c:pt idx="6">
                  <c:v>7.9031323854674759E-3</c:v>
                </c:pt>
                <c:pt idx="7">
                  <c:v>2.2487971748875266E-2</c:v>
                </c:pt>
                <c:pt idx="8">
                  <c:v>7.9334281249998639E-2</c:v>
                </c:pt>
                <c:pt idx="9">
                  <c:v>0.29469721176471519</c:v>
                </c:pt>
                <c:pt idx="10">
                  <c:v>1.0933015000002342</c:v>
                </c:pt>
                <c:pt idx="11">
                  <c:v>4.0480279499997778</c:v>
                </c:pt>
                <c:pt idx="12">
                  <c:v>16.529796200000419</c:v>
                </c:pt>
                <c:pt idx="13">
                  <c:v>63.28988599999866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D0-488C-8CC0-4EEB4AA46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40959"/>
        <c:axId val="912142207"/>
      </c:scatterChart>
      <c:valAx>
        <c:axId val="912140959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Cols.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2207"/>
        <c:crosses val="autoZero"/>
        <c:crossBetween val="midCat"/>
      </c:valAx>
      <c:valAx>
        <c:axId val="91214220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Performance!$K$139</c:f>
          <c:strCache>
            <c:ptCount val="1"/>
            <c:pt idx="0">
              <c:v>1024 rows, 8 columns. Fields not quoted.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Performance!$E$140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Performance!$E$141:$E$155</c:f>
              <c:numCache>
                <c:formatCode>General</c:formatCode>
                <c:ptCount val="15"/>
                <c:pt idx="0">
                  <c:v>9.1886755963293473E-3</c:v>
                </c:pt>
                <c:pt idx="1">
                  <c:v>1.0247036809816678E-2</c:v>
                </c:pt>
                <c:pt idx="2">
                  <c:v>1.1837764622639026E-2</c:v>
                </c:pt>
                <c:pt idx="3">
                  <c:v>1.2954919430052107E-2</c:v>
                </c:pt>
                <c:pt idx="4">
                  <c:v>1.6040917891371988E-2</c:v>
                </c:pt>
                <c:pt idx="5">
                  <c:v>2.4064823076925607E-2</c:v>
                </c:pt>
                <c:pt idx="6">
                  <c:v>3.909713643410806E-2</c:v>
                </c:pt>
                <c:pt idx="7">
                  <c:v>6.8527932876711259E-2</c:v>
                </c:pt>
                <c:pt idx="8">
                  <c:v>0.12943471538463386</c:v>
                </c:pt>
                <c:pt idx="9">
                  <c:v>0.25547054999997271</c:v>
                </c:pt>
                <c:pt idx="10">
                  <c:v>0.51128527999990181</c:v>
                </c:pt>
                <c:pt idx="11">
                  <c:v>0.98530250000021624</c:v>
                </c:pt>
                <c:pt idx="12">
                  <c:v>1.9293865666671384</c:v>
                </c:pt>
                <c:pt idx="13">
                  <c:v>4.2776761000004626</c:v>
                </c:pt>
                <c:pt idx="14">
                  <c:v>8.4546872999999323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E2-4B94-925A-4169BCE10509}"/>
            </c:ext>
          </c:extLst>
        </c:ser>
        <c:ser>
          <c:idx val="1"/>
          <c:order val="1"/>
          <c:tx>
            <c:strRef>
              <c:f>Performance!$F$140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Performance!$F$141:$F$155</c:f>
              <c:numCache>
                <c:formatCode>General</c:formatCode>
                <c:ptCount val="15"/>
                <c:pt idx="0">
                  <c:v>1.0550611603374884E-2</c:v>
                </c:pt>
                <c:pt idx="1">
                  <c:v>9.7153322330113152E-3</c:v>
                </c:pt>
                <c:pt idx="2">
                  <c:v>1.1505235402297727E-2</c:v>
                </c:pt>
                <c:pt idx="3">
                  <c:v>1.2973464766841004E-2</c:v>
                </c:pt>
                <c:pt idx="4">
                  <c:v>1.5989127476039141E-2</c:v>
                </c:pt>
                <c:pt idx="5">
                  <c:v>2.3891418095237375E-2</c:v>
                </c:pt>
                <c:pt idx="6">
                  <c:v>3.7652818045119475E-2</c:v>
                </c:pt>
                <c:pt idx="7">
                  <c:v>6.7095161333345463E-2</c:v>
                </c:pt>
                <c:pt idx="8">
                  <c:v>0.12067578333331073</c:v>
                </c:pt>
                <c:pt idx="9">
                  <c:v>0.22876205454543774</c:v>
                </c:pt>
                <c:pt idx="10">
                  <c:v>0.44841162500006249</c:v>
                </c:pt>
                <c:pt idx="11">
                  <c:v>0.8878271166668128</c:v>
                </c:pt>
                <c:pt idx="12">
                  <c:v>1.7982287000001331</c:v>
                </c:pt>
                <c:pt idx="13">
                  <c:v>3.7155519500001901</c:v>
                </c:pt>
                <c:pt idx="14">
                  <c:v>7.8420533999997133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E2-4B94-925A-4169BCE10509}"/>
            </c:ext>
          </c:extLst>
        </c:ser>
        <c:ser>
          <c:idx val="2"/>
          <c:order val="2"/>
          <c:tx>
            <c:strRef>
              <c:f>Performance!$G$140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Performance!$G$141:$G$155</c:f>
              <c:numCache>
                <c:formatCode>General</c:formatCode>
                <c:ptCount val="15"/>
                <c:pt idx="0">
                  <c:v>3.1076334782607452E-2</c:v>
                </c:pt>
                <c:pt idx="1">
                  <c:v>2.8119816292131505E-2</c:v>
                </c:pt>
                <c:pt idx="2">
                  <c:v>2.9976407784423047E-2</c:v>
                </c:pt>
                <c:pt idx="3">
                  <c:v>2.9248878362570969E-2</c:v>
                </c:pt>
                <c:pt idx="4">
                  <c:v>3.1679584177220048E-2</c:v>
                </c:pt>
                <c:pt idx="5">
                  <c:v>3.214446217949584E-2</c:v>
                </c:pt>
                <c:pt idx="6">
                  <c:v>3.328897152317685E-2</c:v>
                </c:pt>
                <c:pt idx="7">
                  <c:v>4.1202611475410614E-2</c:v>
                </c:pt>
                <c:pt idx="8">
                  <c:v>4.8883220388357518E-2</c:v>
                </c:pt>
                <c:pt idx="9">
                  <c:v>8.2865080327866936E-2</c:v>
                </c:pt>
                <c:pt idx="10">
                  <c:v>0.19417215769233456</c:v>
                </c:pt>
                <c:pt idx="11">
                  <c:v>0.58207654444453916</c:v>
                </c:pt>
                <c:pt idx="12">
                  <c:v>2.159546833333176</c:v>
                </c:pt>
                <c:pt idx="13">
                  <c:v>9.0872770999994827</c:v>
                </c:pt>
                <c:pt idx="14">
                  <c:v>53.35228669999924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E2-4B94-925A-4169BCE10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17247"/>
        <c:axId val="912115583"/>
      </c:scatterChart>
      <c:valAx>
        <c:axId val="91211724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Field Length.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5583"/>
        <c:crosses val="autoZero"/>
        <c:crossBetween val="midCat"/>
      </c:valAx>
      <c:valAx>
        <c:axId val="91211558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Performance!$K$166</c:f>
          <c:strCache>
            <c:ptCount val="1"/>
            <c:pt idx="0">
              <c:v>1024 rows, 8 columns. Fields quoted.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Performance!$E$167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Performance!$E$168:$E$182</c:f>
              <c:numCache>
                <c:formatCode>General</c:formatCode>
                <c:ptCount val="15"/>
                <c:pt idx="0">
                  <c:v>1.2717566497462593E-2</c:v>
                </c:pt>
                <c:pt idx="1">
                  <c:v>1.3023545572915888E-2</c:v>
                </c:pt>
                <c:pt idx="2">
                  <c:v>1.4103126197179836E-2</c:v>
                </c:pt>
                <c:pt idx="3">
                  <c:v>1.6223575404533324E-2</c:v>
                </c:pt>
                <c:pt idx="4">
                  <c:v>1.9577109374999679E-2</c:v>
                </c:pt>
                <c:pt idx="5">
                  <c:v>2.7268639130437332E-2</c:v>
                </c:pt>
                <c:pt idx="6">
                  <c:v>4.119479180327125E-2</c:v>
                </c:pt>
                <c:pt idx="7">
                  <c:v>7.354379558824696E-2</c:v>
                </c:pt>
                <c:pt idx="8">
                  <c:v>0.12945027948714993</c:v>
                </c:pt>
                <c:pt idx="9">
                  <c:v>0.24719157142862969</c:v>
                </c:pt>
                <c:pt idx="10">
                  <c:v>0.50626344000011159</c:v>
                </c:pt>
                <c:pt idx="11">
                  <c:v>0.9819684000000658</c:v>
                </c:pt>
                <c:pt idx="12">
                  <c:v>1.9549785666670989</c:v>
                </c:pt>
                <c:pt idx="13">
                  <c:v>4.2433115999992879</c:v>
                </c:pt>
                <c:pt idx="14">
                  <c:v>8.7412566000002698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12-45A4-BCBA-62A99EA0407D}"/>
            </c:ext>
          </c:extLst>
        </c:ser>
        <c:ser>
          <c:idx val="1"/>
          <c:order val="1"/>
          <c:tx>
            <c:strRef>
              <c:f>Performance!$F$167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Performance!$F$168:$F$182</c:f>
              <c:numCache>
                <c:formatCode>General</c:formatCode>
                <c:ptCount val="15"/>
                <c:pt idx="0">
                  <c:v>1.8777289138577114E-2</c:v>
                </c:pt>
                <c:pt idx="1">
                  <c:v>1.8812364419478426E-2</c:v>
                </c:pt>
                <c:pt idx="2">
                  <c:v>1.7642682746477924E-2</c:v>
                </c:pt>
                <c:pt idx="3">
                  <c:v>2.0175442338709656E-2</c:v>
                </c:pt>
                <c:pt idx="4">
                  <c:v>2.3062459446998727E-2</c:v>
                </c:pt>
                <c:pt idx="5">
                  <c:v>3.0730895705513874E-2</c:v>
                </c:pt>
                <c:pt idx="6">
                  <c:v>4.4471384070796142E-2</c:v>
                </c:pt>
                <c:pt idx="7">
                  <c:v>7.4068232352949376E-2</c:v>
                </c:pt>
                <c:pt idx="8">
                  <c:v>0.130125584615365</c:v>
                </c:pt>
                <c:pt idx="9">
                  <c:v>0.23753377727271899</c:v>
                </c:pt>
                <c:pt idx="10">
                  <c:v>0.45456238181809155</c:v>
                </c:pt>
                <c:pt idx="11">
                  <c:v>0.87966298333321902</c:v>
                </c:pt>
                <c:pt idx="12">
                  <c:v>1.7441486999996414</c:v>
                </c:pt>
                <c:pt idx="13">
                  <c:v>3.8600196500001402</c:v>
                </c:pt>
                <c:pt idx="14">
                  <c:v>8.021360900000218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12-45A4-BCBA-62A99EA0407D}"/>
            </c:ext>
          </c:extLst>
        </c:ser>
        <c:ser>
          <c:idx val="2"/>
          <c:order val="2"/>
          <c:tx>
            <c:strRef>
              <c:f>Performance!$G$167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Performance!$G$168:$G$182</c:f>
              <c:numCache>
                <c:formatCode>General</c:formatCode>
                <c:ptCount val="15"/>
                <c:pt idx="0">
                  <c:v>3.6633002189787107E-2</c:v>
                </c:pt>
                <c:pt idx="1">
                  <c:v>3.7049154814815632E-2</c:v>
                </c:pt>
                <c:pt idx="2">
                  <c:v>3.6183048201433955E-2</c:v>
                </c:pt>
                <c:pt idx="3">
                  <c:v>3.9453239370081654E-2</c:v>
                </c:pt>
                <c:pt idx="4">
                  <c:v>4.0353445967749361E-2</c:v>
                </c:pt>
                <c:pt idx="5">
                  <c:v>3.9715022222221057E-2</c:v>
                </c:pt>
                <c:pt idx="6">
                  <c:v>4.0342499999995549E-2</c:v>
                </c:pt>
                <c:pt idx="7">
                  <c:v>4.9613728712873777E-2</c:v>
                </c:pt>
                <c:pt idx="8">
                  <c:v>5.6333715730350661E-2</c:v>
                </c:pt>
                <c:pt idx="9">
                  <c:v>8.3807956666684433E-2</c:v>
                </c:pt>
                <c:pt idx="10">
                  <c:v>0.18886797037042993</c:v>
                </c:pt>
                <c:pt idx="11">
                  <c:v>0.59742733333344711</c:v>
                </c:pt>
                <c:pt idx="12">
                  <c:v>2.0770916666666985</c:v>
                </c:pt>
                <c:pt idx="13">
                  <c:v>9.3040644000011525</c:v>
                </c:pt>
                <c:pt idx="14">
                  <c:v>53.964022800000748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12-45A4-BCBA-62A99EA04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50527"/>
        <c:axId val="912140543"/>
      </c:scatterChart>
      <c:valAx>
        <c:axId val="91215052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Field Length.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0543"/>
        <c:crosses val="autoZero"/>
        <c:crossBetween val="midCat"/>
      </c:valAx>
      <c:valAx>
        <c:axId val="9121405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5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Performance!$K$4</c:f>
          <c:strCache>
            <c:ptCount val="1"/>
            <c:pt idx="0">
              <c:v>One column of 1-char fields.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Performance!$E$5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Performance!$E$6:$E$27</c:f>
              <c:numCache>
                <c:formatCode>General</c:formatCode>
                <c:ptCount val="22"/>
                <c:pt idx="0">
                  <c:v>1.2643180438956866E-4</c:v>
                </c:pt>
                <c:pt idx="1">
                  <c:v>1.4797941045904668E-4</c:v>
                </c:pt>
                <c:pt idx="2">
                  <c:v>1.292141616704593E-4</c:v>
                </c:pt>
                <c:pt idx="3">
                  <c:v>1.3715430656137051E-4</c:v>
                </c:pt>
                <c:pt idx="4">
                  <c:v>1.4700231081318508E-4</c:v>
                </c:pt>
                <c:pt idx="5">
                  <c:v>1.6461627707910469E-4</c:v>
                </c:pt>
                <c:pt idx="6">
                  <c:v>2.1162555974095501E-4</c:v>
                </c:pt>
                <c:pt idx="7">
                  <c:v>2.8521796817065567E-4</c:v>
                </c:pt>
                <c:pt idx="8">
                  <c:v>4.4585392777531113E-4</c:v>
                </c:pt>
                <c:pt idx="9">
                  <c:v>7.5756594455389363E-4</c:v>
                </c:pt>
                <c:pt idx="10">
                  <c:v>1.4202277193978592E-3</c:v>
                </c:pt>
                <c:pt idx="11">
                  <c:v>2.8257352542366038E-3</c:v>
                </c:pt>
                <c:pt idx="12">
                  <c:v>5.492938748627392E-3</c:v>
                </c:pt>
                <c:pt idx="13">
                  <c:v>1.1117214666668991E-2</c:v>
                </c:pt>
                <c:pt idx="14">
                  <c:v>2.2051429074895268E-2</c:v>
                </c:pt>
                <c:pt idx="15">
                  <c:v>4.4927449107149187E-2</c:v>
                </c:pt>
                <c:pt idx="16">
                  <c:v>0.10542577291668447</c:v>
                </c:pt>
                <c:pt idx="17">
                  <c:v>0.17805527931033857</c:v>
                </c:pt>
                <c:pt idx="18">
                  <c:v>0.36705025000005015</c:v>
                </c:pt>
                <c:pt idx="19">
                  <c:v>0.75120355714300657</c:v>
                </c:pt>
                <c:pt idx="20">
                  <c:v>1.4548350499999287</c:v>
                </c:pt>
                <c:pt idx="21">
                  <c:v>2.977490599999328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6-4000-BC8E-0874A6877373}"/>
            </c:ext>
          </c:extLst>
        </c:ser>
        <c:ser>
          <c:idx val="1"/>
          <c:order val="1"/>
          <c:tx>
            <c:strRef>
              <c:f>Performance!$F$5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Performance!$F$6:$F$27</c:f>
              <c:numCache>
                <c:formatCode>General</c:formatCode>
                <c:ptCount val="22"/>
                <c:pt idx="0">
                  <c:v>1.1968546329319686E-4</c:v>
                </c:pt>
                <c:pt idx="1">
                  <c:v>1.2625614221143511E-4</c:v>
                </c:pt>
                <c:pt idx="2">
                  <c:v>1.2471045569053014E-4</c:v>
                </c:pt>
                <c:pt idx="3">
                  <c:v>1.3015298175285137E-4</c:v>
                </c:pt>
                <c:pt idx="4">
                  <c:v>1.4004114665022588E-4</c:v>
                </c:pt>
                <c:pt idx="5">
                  <c:v>1.5876684342552464E-4</c:v>
                </c:pt>
                <c:pt idx="6">
                  <c:v>1.9906098415477263E-4</c:v>
                </c:pt>
                <c:pt idx="7">
                  <c:v>2.8026636959805896E-4</c:v>
                </c:pt>
                <c:pt idx="8">
                  <c:v>4.4391376065339665E-4</c:v>
                </c:pt>
                <c:pt idx="9">
                  <c:v>7.8470524168252893E-4</c:v>
                </c:pt>
                <c:pt idx="10">
                  <c:v>1.450245011600919E-3</c:v>
                </c:pt>
                <c:pt idx="11">
                  <c:v>3.0353459951451777E-3</c:v>
                </c:pt>
                <c:pt idx="12">
                  <c:v>5.5376767441871928E-3</c:v>
                </c:pt>
                <c:pt idx="13">
                  <c:v>1.0839643506494814E-2</c:v>
                </c:pt>
                <c:pt idx="14">
                  <c:v>2.1504316309013165E-2</c:v>
                </c:pt>
                <c:pt idx="15">
                  <c:v>4.3666169565229847E-2</c:v>
                </c:pt>
                <c:pt idx="16">
                  <c:v>0.10038517058823274</c:v>
                </c:pt>
                <c:pt idx="17">
                  <c:v>0.17777406551719871</c:v>
                </c:pt>
                <c:pt idx="18">
                  <c:v>0.34604212666660411</c:v>
                </c:pt>
                <c:pt idx="19">
                  <c:v>0.74830622857137186</c:v>
                </c:pt>
                <c:pt idx="20">
                  <c:v>1.4545715249996647</c:v>
                </c:pt>
                <c:pt idx="21">
                  <c:v>3.0704576999996789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96-4000-BC8E-0874A6877373}"/>
            </c:ext>
          </c:extLst>
        </c:ser>
        <c:ser>
          <c:idx val="2"/>
          <c:order val="2"/>
          <c:tx>
            <c:strRef>
              <c:f>Performance!$G$5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Performance!$G$6:$G$27</c:f>
              <c:numCache>
                <c:formatCode>General</c:formatCode>
                <c:ptCount val="22"/>
                <c:pt idx="0">
                  <c:v>1.6876894026323923E-3</c:v>
                </c:pt>
                <c:pt idx="1">
                  <c:v>1.8431641725024123E-3</c:v>
                </c:pt>
                <c:pt idx="2">
                  <c:v>1.8424781503317443E-3</c:v>
                </c:pt>
                <c:pt idx="3">
                  <c:v>1.8824117049306499E-3</c:v>
                </c:pt>
                <c:pt idx="4">
                  <c:v>1.9195820345489028E-3</c:v>
                </c:pt>
                <c:pt idx="5">
                  <c:v>1.9947821300360445E-3</c:v>
                </c:pt>
                <c:pt idx="6">
                  <c:v>2.1753947803391212E-3</c:v>
                </c:pt>
                <c:pt idx="7">
                  <c:v>2.4698897283950052E-3</c:v>
                </c:pt>
                <c:pt idx="8">
                  <c:v>3.1271550343968655E-3</c:v>
                </c:pt>
                <c:pt idx="9">
                  <c:v>4.3505461739123744E-3</c:v>
                </c:pt>
                <c:pt idx="10">
                  <c:v>6.9350496532593316E-3</c:v>
                </c:pt>
                <c:pt idx="11">
                  <c:v>1.2143817475726324E-2</c:v>
                </c:pt>
                <c:pt idx="12">
                  <c:v>2.5072455500003345E-2</c:v>
                </c:pt>
                <c:pt idx="13">
                  <c:v>4.6924121495330581E-2</c:v>
                </c:pt>
                <c:pt idx="14">
                  <c:v>8.8240175438585811E-2</c:v>
                </c:pt>
                <c:pt idx="15">
                  <c:v>0.16928570000000037</c:v>
                </c:pt>
                <c:pt idx="16">
                  <c:v>0.33775663999998262</c:v>
                </c:pt>
                <c:pt idx="17">
                  <c:v>0.65007098750015757</c:v>
                </c:pt>
                <c:pt idx="18">
                  <c:v>1.3880589749996943</c:v>
                </c:pt>
                <c:pt idx="19">
                  <c:v>2.5181865499998821</c:v>
                </c:pt>
                <c:pt idx="20">
                  <c:v>4.9294864499997857</c:v>
                </c:pt>
                <c:pt idx="21">
                  <c:v>10.497115999998641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96-4000-BC8E-0874A6877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590063"/>
        <c:axId val="2040593391"/>
      </c:scatterChart>
      <c:valAx>
        <c:axId val="204059006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593391"/>
        <c:crosses val="autoZero"/>
        <c:crossBetween val="midCat"/>
      </c:valAx>
      <c:valAx>
        <c:axId val="20405933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5900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352425</xdr:colOff>
          <xdr:row>0</xdr:row>
          <xdr:rowOff>114300</xdr:rowOff>
        </xdr:from>
        <xdr:to>
          <xdr:col>5</xdr:col>
          <xdr:colOff>647700</xdr:colOff>
          <xdr:row>2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123825</xdr:rowOff>
        </xdr:from>
        <xdr:to>
          <xdr:col>6</xdr:col>
          <xdr:colOff>1042988</xdr:colOff>
          <xdr:row>2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Speed Tests...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31</xdr:row>
      <xdr:rowOff>0</xdr:rowOff>
    </xdr:from>
    <xdr:to>
      <xdr:col>24</xdr:col>
      <xdr:colOff>0</xdr:colOff>
      <xdr:row>54</xdr:row>
      <xdr:rowOff>117475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58</xdr:row>
      <xdr:rowOff>0</xdr:rowOff>
    </xdr:from>
    <xdr:to>
      <xdr:col>24</xdr:col>
      <xdr:colOff>0</xdr:colOff>
      <xdr:row>81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85</xdr:row>
      <xdr:rowOff>0</xdr:rowOff>
    </xdr:from>
    <xdr:to>
      <xdr:col>24</xdr:col>
      <xdr:colOff>0</xdr:colOff>
      <xdr:row>108</xdr:row>
      <xdr:rowOff>117475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112</xdr:row>
      <xdr:rowOff>0</xdr:rowOff>
    </xdr:from>
    <xdr:to>
      <xdr:col>24</xdr:col>
      <xdr:colOff>0</xdr:colOff>
      <xdr:row>135</xdr:row>
      <xdr:rowOff>117475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139</xdr:row>
      <xdr:rowOff>0</xdr:rowOff>
    </xdr:from>
    <xdr:to>
      <xdr:col>24</xdr:col>
      <xdr:colOff>0</xdr:colOff>
      <xdr:row>162</xdr:row>
      <xdr:rowOff>117475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166</xdr:row>
      <xdr:rowOff>0</xdr:rowOff>
    </xdr:from>
    <xdr:to>
      <xdr:col>24</xdr:col>
      <xdr:colOff>0</xdr:colOff>
      <xdr:row>189</xdr:row>
      <xdr:rowOff>117475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4</xdr:row>
      <xdr:rowOff>0</xdr:rowOff>
    </xdr:from>
    <xdr:to>
      <xdr:col>24</xdr:col>
      <xdr:colOff>0</xdr:colOff>
      <xdr:row>26</xdr:row>
      <xdr:rowOff>117475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DDADB348-8F78-42C4-AF3D-123BDE779C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36576" rIns="9144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969696"/>
                  </a:solidFill>
                  <a:latin typeface="Wingdings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19</xdr:row>
          <xdr:rowOff>0</xdr:rowOff>
        </xdr:from>
        <xdr:to>
          <xdr:col>3</xdr:col>
          <xdr:colOff>0</xdr:colOff>
          <xdr:row>20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AD67CC03-F44D-4D79-83FF-1D23F6C4C3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80"/>
                  </a:solidFill>
                  <a:latin typeface="Wingdings 3"/>
                </a:rPr>
                <a:t>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70904F03-3E23-451E-8E76-5158BB170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36576" rIns="9144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969696"/>
                  </a:solidFill>
                  <a:latin typeface="Wingdings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1265E6FD-24DC-43B7-A58D-60F099A362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36576" rIns="9144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969696"/>
                  </a:solidFill>
                  <a:latin typeface="Wingdings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EFA7B8DE-A982-4F29-9C69-23C10132B5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36576" rIns="9144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969696"/>
                  </a:solidFill>
                  <a:latin typeface="Wingdings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46B2520A-D692-46BC-B697-9C777460B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36576" rIns="9144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969696"/>
                  </a:solidFill>
                  <a:latin typeface="Wingdings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DA17093F-21DD-4C68-9F10-05D49C7745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36576" rIns="9144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969696"/>
                  </a:solidFill>
                  <a:latin typeface="Wingdings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757473BE-945A-4771-B603-5DADDFA9E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36576" rIns="9144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969696"/>
                  </a:solidFill>
                  <a:latin typeface="Wingdings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54D39EC7-BF97-4CC3-83F9-3000E3700D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36576" rIns="9144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969696"/>
                  </a:solidFill>
                  <a:latin typeface="Wingdings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9E029D27-95FC-4711-9AF4-C264C80038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36576" rIns="9144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969696"/>
                  </a:solidFill>
                  <a:latin typeface="Wingdings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95F8AA47-187A-4F17-AF69-68919AFA1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36576" rIns="9144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969696"/>
                  </a:solidFill>
                  <a:latin typeface="Wingdings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90D3ACFB-EEC5-4BCF-A5D9-2E90C4F080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36576" rIns="9144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969696"/>
                  </a:solidFill>
                  <a:latin typeface="Wingdings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592EA4F4-EE70-435F-AE23-C01AB9E53E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36576" rIns="9144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969696"/>
                  </a:solidFill>
                  <a:latin typeface="Wingdings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CCE75354-DAB5-4738-B271-277ABE3FE5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36576" rIns="9144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969696"/>
                  </a:solidFill>
                  <a:latin typeface="Wingdings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19</xdr:row>
          <xdr:rowOff>0</xdr:rowOff>
        </xdr:from>
        <xdr:to>
          <xdr:col>16</xdr:col>
          <xdr:colOff>0</xdr:colOff>
          <xdr:row>20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152F892E-B4CD-4F60-A215-2E91548048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36576" rIns="9144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969696"/>
                  </a:solidFill>
                  <a:latin typeface="Wingdings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7DC39B0C-A6F7-4932-BE5C-00E61E8C28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36576" rIns="9144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969696"/>
                  </a:solidFill>
                  <a:latin typeface="Wingdings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</xdr:row>
          <xdr:rowOff>0</xdr:rowOff>
        </xdr:from>
        <xdr:to>
          <xdr:col>18</xdr:col>
          <xdr:colOff>0</xdr:colOff>
          <xdr:row>20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83201F77-AF05-46C6-9443-49D947CA8E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36576" rIns="9144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969696"/>
                  </a:solidFill>
                  <a:latin typeface="Wingdings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E960E6BC-193F-4FCB-8A9F-84A7E2B9DB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36576" rIns="9144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969696"/>
                  </a:solidFill>
                  <a:latin typeface="Wingdings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0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102BD125-7673-48B5-9153-FEBF66F087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36576" rIns="9144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969696"/>
                  </a:solidFill>
                  <a:latin typeface="Wingdings"/>
                </a:rPr>
                <a:t>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0</xdr:row>
          <xdr:rowOff>171450</xdr:rowOff>
        </xdr:from>
        <xdr:to>
          <xdr:col>4</xdr:col>
          <xdr:colOff>890588</xdr:colOff>
          <xdr:row>3</xdr:row>
          <xdr:rowOff>33338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modules...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SAISortButtonOnAction"/>
      <definedName name="sarraysta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omments" Target="../comments1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ws-garcia/VBA-CSV-interface" TargetMode="External"/><Relationship Id="rId1" Type="http://schemas.openxmlformats.org/officeDocument/2006/relationships/hyperlink" Target="https://github.com/sdkn104/VBA-CSV" TargetMode="External"/><Relationship Id="rId6" Type="http://schemas.openxmlformats.org/officeDocument/2006/relationships/ctrlProp" Target="../ctrlProps/ctrlProp22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4CCCD-AC96-4BB7-9ECA-A3FB0BD853FA}">
  <sheetPr codeName="shDemo"/>
  <dimension ref="A1:P78"/>
  <sheetViews>
    <sheetView showGridLines="0" showRowColHeaders="0" tabSelected="1" zoomScale="99" zoomScaleNormal="99" workbookViewId="0"/>
  </sheetViews>
  <sheetFormatPr defaultRowHeight="14.25" x14ac:dyDescent="0.45"/>
  <cols>
    <col min="1" max="1" width="3.59765625" customWidth="1"/>
    <col min="2" max="3" width="23.59765625" customWidth="1"/>
    <col min="4" max="4" width="2.59765625" customWidth="1"/>
    <col min="5" max="5" width="17.6640625" bestFit="1" customWidth="1"/>
    <col min="6" max="6" width="2.59765625" customWidth="1"/>
    <col min="7" max="7" width="46.59765625" bestFit="1" customWidth="1"/>
    <col min="8" max="8" width="6.59765625" customWidth="1"/>
    <col min="9" max="10" width="30.59765625" customWidth="1"/>
    <col min="11" max="11" width="6.59765625" customWidth="1"/>
    <col min="12" max="13" width="23.59765625" customWidth="1"/>
    <col min="14" max="14" width="6.59765625" customWidth="1"/>
  </cols>
  <sheetData>
    <row r="1" spans="1:16" ht="28.5" x14ac:dyDescent="0.85">
      <c r="A1" s="1" t="s">
        <v>0</v>
      </c>
    </row>
    <row r="3" spans="1:16" x14ac:dyDescent="0.45">
      <c r="B3" s="2" t="s">
        <v>1</v>
      </c>
      <c r="G3" s="3" t="s">
        <v>2</v>
      </c>
    </row>
    <row r="4" spans="1:16" x14ac:dyDescent="0.45">
      <c r="B4" t="s">
        <v>5</v>
      </c>
      <c r="C4" s="5" t="b">
        <v>1</v>
      </c>
      <c r="G4" s="4" t="s">
        <v>4</v>
      </c>
    </row>
    <row r="5" spans="1:16" x14ac:dyDescent="0.45">
      <c r="B5" t="s">
        <v>7</v>
      </c>
      <c r="C5" s="7" t="s">
        <v>8</v>
      </c>
      <c r="G5" s="6" t="s">
        <v>6</v>
      </c>
    </row>
    <row r="6" spans="1:16" x14ac:dyDescent="0.45">
      <c r="B6" t="s">
        <v>10</v>
      </c>
      <c r="C6" s="7" t="s">
        <v>11</v>
      </c>
      <c r="G6" s="8" t="s">
        <v>9</v>
      </c>
    </row>
    <row r="7" spans="1:16" x14ac:dyDescent="0.45">
      <c r="B7" t="s">
        <v>13</v>
      </c>
      <c r="C7" s="5" t="b">
        <v>0</v>
      </c>
      <c r="G7" s="9" t="s">
        <v>12</v>
      </c>
    </row>
    <row r="8" spans="1:16" x14ac:dyDescent="0.45">
      <c r="B8" t="s">
        <v>14</v>
      </c>
      <c r="C8" s="5" t="s">
        <v>15</v>
      </c>
      <c r="G8" s="10" t="s">
        <v>456</v>
      </c>
    </row>
    <row r="10" spans="1:16" x14ac:dyDescent="0.45">
      <c r="C10" s="5"/>
      <c r="O10" s="3" t="s">
        <v>16</v>
      </c>
    </row>
    <row r="11" spans="1:16" x14ac:dyDescent="0.45">
      <c r="C11" s="5"/>
      <c r="G11" s="2" t="s">
        <v>17</v>
      </c>
      <c r="O11" s="12" t="b">
        <f ca="1">AND(ROWS(B13:C52)=ROWS(_xlfn.ANCHORARRAY(I13)),COLUMNS(B13:C52)=COLUMNS(_xlfn.ANCHORARRAY(I13)),AND(_xlfn.ANCHORARRAY(O13)))</f>
        <v>1</v>
      </c>
    </row>
    <row r="12" spans="1:16" x14ac:dyDescent="0.45">
      <c r="B12" s="2" t="s">
        <v>18</v>
      </c>
      <c r="E12" s="3" t="s">
        <v>19</v>
      </c>
      <c r="F12" s="3"/>
      <c r="G12" s="2" t="s">
        <v>296</v>
      </c>
      <c r="I12" s="2" t="s">
        <v>20</v>
      </c>
      <c r="L12" s="2" t="s">
        <v>21</v>
      </c>
      <c r="O12" t="s">
        <v>22</v>
      </c>
    </row>
    <row r="13" spans="1:16" x14ac:dyDescent="0.45">
      <c r="B13" s="11" t="str" cm="1">
        <f t="array" aca="1" ref="B13:C52" ca="1">RandomVariants(40,2,TRUE,Unicode,EOL)</f>
        <v>-1.38284497110512E-07</v>
      </c>
      <c r="C13" s="11" t="str">
        <f ca="1"/>
        <v>FALSE</v>
      </c>
      <c r="E13" t="str" cm="1">
        <f t="array" aca="1" ref="E13" ca="1">CSVWrite(TempFolder()&amp;"\VBA-CSVTest.csv",Data,QuoteAllStrings,DateFormat,DateTimeFormat,,Unicode,EOL)</f>
        <v>C:\Users\phili\AppData\Local\Temp\VBA-CSVTest.csv</v>
      </c>
      <c r="G13" s="11" t="str" cm="1">
        <f t="array" aca="1" ref="G13:G57" ca="1">CSVRead(FileName,,FALSE)</f>
        <v>"-1.38284497110512E-07","FALSE"</v>
      </c>
      <c r="I13" s="11" t="str" cm="1">
        <f t="array" aca="1" ref="I13:J52" ca="1">CSVRead(FileName,FALSE)</f>
        <v>-1.38284497110512E-07</v>
      </c>
      <c r="J13" s="11" t="str">
        <f ca="1"/>
        <v>FALSE</v>
      </c>
      <c r="L13" s="11" t="str" cm="1">
        <f t="array" aca="1" ref="L13:M52" ca="1">CSVRead(FileName,TRUE,,,DateFormat)</f>
        <v>-1.38284497110512E-07</v>
      </c>
      <c r="M13" s="11" t="str">
        <f ca="1"/>
        <v>FALSE</v>
      </c>
      <c r="O13" s="12" t="b" cm="1">
        <f t="array" aca="1" ref="O13:P52" ca="1">ArrayEquals(Data,_xlfn.ANCHORARRAY(L13))</f>
        <v>1</v>
      </c>
      <c r="P13" s="13" t="b">
        <f ca="1"/>
        <v>1</v>
      </c>
    </row>
    <row r="14" spans="1:16" x14ac:dyDescent="0.45">
      <c r="B14" s="11">
        <f ca="1"/>
        <v>58555</v>
      </c>
      <c r="C14" s="11" t="str">
        <f ca="1"/>
        <v>TRUE</v>
      </c>
      <c r="G14" s="11" t="str">
        <f ca="1"/>
        <v>58555,"TRUE"</v>
      </c>
      <c r="I14" s="11" t="str">
        <f ca="1"/>
        <v>58555</v>
      </c>
      <c r="J14" s="11" t="str">
        <f ca="1"/>
        <v>TRUE</v>
      </c>
      <c r="L14" s="11">
        <f ca="1"/>
        <v>58555</v>
      </c>
      <c r="M14" s="11" t="str">
        <f ca="1"/>
        <v>TRUE</v>
      </c>
      <c r="O14" s="13" t="b">
        <f ca="1"/>
        <v>1</v>
      </c>
      <c r="P14" s="13" t="b">
        <f ca="1"/>
        <v>1</v>
      </c>
    </row>
    <row r="15" spans="1:16" x14ac:dyDescent="0.45">
      <c r="B15" s="11" t="str">
        <f ca="1"/>
        <v>-17648.9685761915</v>
      </c>
      <c r="C15" s="11">
        <f ca="1"/>
        <v>40251</v>
      </c>
      <c r="G15" s="11" t="str">
        <f ca="1"/>
        <v>"-17648.9685761915",40251</v>
      </c>
      <c r="I15" s="11" t="str">
        <f ca="1"/>
        <v>-17648.9685761915</v>
      </c>
      <c r="J15" s="11" t="str">
        <f ca="1"/>
        <v>40251</v>
      </c>
      <c r="L15" s="11" t="str">
        <f ca="1"/>
        <v>-17648.9685761915</v>
      </c>
      <c r="M15" s="11">
        <f ca="1"/>
        <v>40251</v>
      </c>
      <c r="O15" s="13" t="b">
        <f ca="1"/>
        <v>1</v>
      </c>
      <c r="P15" s="13" t="b">
        <f ca="1"/>
        <v>1</v>
      </c>
    </row>
    <row r="16" spans="1:16" x14ac:dyDescent="0.45">
      <c r="B16" s="11" t="str">
        <f ca="1"/>
        <v>i_Gc:AHu-[A+2)HvRNx5C</v>
      </c>
      <c r="C16" s="11" t="str">
        <f ca="1"/>
        <v>.PwSr\I_(e`</v>
      </c>
      <c r="G16" s="11" t="str">
        <f ca="1"/>
        <v>"i_Gc:AHu-[A+2)HvRNx5C",".PwSr\I_(e`"</v>
      </c>
      <c r="I16" s="11" t="str">
        <f ca="1"/>
        <v>i_Gc:AHu-[A+2)HvRNx5C</v>
      </c>
      <c r="J16" s="11" t="str">
        <f ca="1"/>
        <v>.PwSr\I_(e`</v>
      </c>
      <c r="L16" s="11" t="str">
        <f ca="1"/>
        <v>i_Gc:AHu-[A+2)HvRNx5C</v>
      </c>
      <c r="M16" s="11" t="str">
        <f ca="1"/>
        <v>.PwSr\I_(e`</v>
      </c>
      <c r="O16" s="13" t="b">
        <f ca="1"/>
        <v>1</v>
      </c>
      <c r="P16" s="13" t="b">
        <f ca="1"/>
        <v>1</v>
      </c>
    </row>
    <row r="17" spans="2:16" x14ac:dyDescent="0.45">
      <c r="B17" s="11">
        <f ca="1"/>
        <v>-552525</v>
      </c>
      <c r="C17" s="11" t="str">
        <f ca="1"/>
        <v>&amp;Peh?xi_x000D_
oG-vh_E#</v>
      </c>
      <c r="G17" s="11" t="str">
        <f ca="1"/>
        <v>-552525,"&amp;Peh?xi</v>
      </c>
      <c r="I17" s="11" t="str">
        <f ca="1"/>
        <v>-552525</v>
      </c>
      <c r="J17" s="11" t="str">
        <f ca="1"/>
        <v>&amp;Peh?xi_x000D_
oG-vh_E#</v>
      </c>
      <c r="L17" s="11">
        <f ca="1"/>
        <v>-552525</v>
      </c>
      <c r="M17" s="11" t="str">
        <f ca="1"/>
        <v>&amp;Peh?xi_x000D_
oG-vh_E#</v>
      </c>
      <c r="O17" s="13" t="b">
        <f ca="1"/>
        <v>1</v>
      </c>
      <c r="P17" s="13" t="b">
        <f ca="1"/>
        <v>1</v>
      </c>
    </row>
    <row r="18" spans="2:16" x14ac:dyDescent="0.45">
      <c r="B18" s="11">
        <f ca="1"/>
        <v>19440</v>
      </c>
      <c r="C18" s="11">
        <f ca="1"/>
        <v>29446</v>
      </c>
      <c r="G18" s="11" t="str">
        <f ca="1"/>
        <v>oG-vh_E#"</v>
      </c>
      <c r="I18" s="11" t="str">
        <f ca="1"/>
        <v>19440</v>
      </c>
      <c r="J18" s="11" t="str">
        <f ca="1"/>
        <v>29446</v>
      </c>
      <c r="L18" s="11">
        <f ca="1"/>
        <v>19440</v>
      </c>
      <c r="M18" s="11">
        <f ca="1"/>
        <v>29446</v>
      </c>
      <c r="O18" s="13" t="b">
        <f ca="1"/>
        <v>1</v>
      </c>
      <c r="P18" s="13" t="b">
        <f ca="1"/>
        <v>1</v>
      </c>
    </row>
    <row r="19" spans="2:16" x14ac:dyDescent="0.45">
      <c r="B19" s="11" t="str">
        <f ca="1"/>
        <v>mN3qC&gt;f5I7oXCD</v>
      </c>
      <c r="C19" s="11" t="str">
        <f ca="1"/>
        <v>14708079.2666333</v>
      </c>
      <c r="G19" s="11" t="str">
        <f ca="1"/>
        <v>19440,29446</v>
      </c>
      <c r="I19" s="11" t="str">
        <f ca="1"/>
        <v>mN3qC&gt;f5I7oXCD</v>
      </c>
      <c r="J19" s="11" t="str">
        <f ca="1"/>
        <v>14708079.2666333</v>
      </c>
      <c r="L19" s="11" t="str">
        <f ca="1"/>
        <v>mN3qC&gt;f5I7oXCD</v>
      </c>
      <c r="M19" s="11" t="str">
        <f ca="1"/>
        <v>14708079.2666333</v>
      </c>
      <c r="O19" s="13" t="b">
        <f ca="1"/>
        <v>1</v>
      </c>
      <c r="P19" s="13" t="b">
        <f ca="1"/>
        <v>1</v>
      </c>
    </row>
    <row r="20" spans="2:16" x14ac:dyDescent="0.45">
      <c r="B20" s="11" t="str">
        <f ca="1"/>
        <v>992A"cl;`FicI)F@a=</v>
      </c>
      <c r="C20" s="11">
        <f ca="1"/>
        <v>185982</v>
      </c>
      <c r="G20" s="11" t="str">
        <f ca="1"/>
        <v>"mN3qC&gt;f5I7oXCD","14708079.2666333"</v>
      </c>
      <c r="I20" s="11" t="str">
        <f ca="1"/>
        <v>992A"cl;`FicI)F@a=</v>
      </c>
      <c r="J20" s="11" t="str">
        <f ca="1"/>
        <v>185982</v>
      </c>
      <c r="L20" s="11" t="str">
        <f ca="1"/>
        <v>992A"cl;`FicI)F@a=</v>
      </c>
      <c r="M20" s="11">
        <f ca="1"/>
        <v>185982</v>
      </c>
      <c r="O20" s="13" t="b">
        <f ca="1"/>
        <v>1</v>
      </c>
      <c r="P20" s="13" t="b">
        <f ca="1"/>
        <v>1</v>
      </c>
    </row>
    <row r="21" spans="2:16" x14ac:dyDescent="0.45">
      <c r="B21" s="11" t="e">
        <f ca="1"/>
        <v>#DIV/0!</v>
      </c>
      <c r="C21" s="11" t="e">
        <f ca="1"/>
      </c>
      <c r="G21" s="11" t="str">
        <f ca="1"/>
        <v>"992A""cl;`FicI)F@a=",185982</v>
      </c>
      <c r="I21" s="11" t="str">
        <f ca="1"/>
        <v>#DIV/0!</v>
      </c>
      <c r="J21" s="11" t="str">
        <f ca="1"/>
        <v>#CALC!</v>
      </c>
      <c r="L21" s="11" t="e">
        <f ca="1"/>
        <v>#DIV/0!</v>
      </c>
      <c r="M21" s="11" t="e">
        <f ca="1"/>
      </c>
      <c r="O21" s="13" t="b">
        <f ca="1"/>
        <v>1</v>
      </c>
      <c r="P21" s="13" t="b">
        <f ca="1"/>
        <v>1</v>
      </c>
    </row>
    <row r="22" spans="2:16" x14ac:dyDescent="0.45">
      <c r="B22" s="11" t="e">
        <f ca="1"/>
        <v>#NULL!</v>
      </c>
      <c r="C22" s="11" t="str">
        <f ca="1"/>
        <v>16853938.9139216</v>
      </c>
      <c r="G22" s="11" t="str">
        <f ca="1"/>
        <v>#DIV/0!,#CALC!</v>
      </c>
      <c r="I22" s="11" t="str">
        <f ca="1"/>
        <v>#NULL!</v>
      </c>
      <c r="J22" s="11" t="str">
        <f ca="1"/>
        <v>16853938.9139216</v>
      </c>
      <c r="L22" s="11" t="e">
        <f ca="1"/>
        <v>#NULL!</v>
      </c>
      <c r="M22" s="11" t="str">
        <f ca="1"/>
        <v>16853938.9139216</v>
      </c>
      <c r="O22" s="13" t="b">
        <f ca="1"/>
        <v>1</v>
      </c>
      <c r="P22" s="13" t="b">
        <f ca="1"/>
        <v>1</v>
      </c>
    </row>
    <row r="23" spans="2:16" x14ac:dyDescent="0.45">
      <c r="B23" s="11">
        <f ca="1"/>
        <v>-13574330.241664</v>
      </c>
      <c r="C23" s="11">
        <f ca="1"/>
        <v>53327</v>
      </c>
      <c r="G23" s="11" t="str">
        <f ca="1"/>
        <v>#NULL!,"16853938.9139216"</v>
      </c>
      <c r="I23" s="11" t="str">
        <f ca="1"/>
        <v>-13574330.241664</v>
      </c>
      <c r="J23" s="11" t="str">
        <f ca="1"/>
        <v>53327</v>
      </c>
      <c r="L23" s="11">
        <f ca="1"/>
        <v>-13574330.241664</v>
      </c>
      <c r="M23" s="11">
        <f ca="1"/>
        <v>53327</v>
      </c>
      <c r="O23" s="13" t="b">
        <f ca="1"/>
        <v>1</v>
      </c>
      <c r="P23" s="13" t="b">
        <f ca="1"/>
        <v>1</v>
      </c>
    </row>
    <row r="24" spans="2:16" x14ac:dyDescent="0.45">
      <c r="B24" s="11">
        <f ca="1"/>
        <v>-7.6729620893633795E-4</v>
      </c>
      <c r="C24" s="11" t="str">
        <f ca="1"/>
        <v/>
      </c>
      <c r="G24" s="11" t="str">
        <f ca="1"/>
        <v>-13574330.241664,53327</v>
      </c>
      <c r="I24" s="11" t="str">
        <f ca="1"/>
        <v>-7.67296208936338E-04</v>
      </c>
      <c r="J24" s="11" t="str">
        <f ca="1"/>
        <v/>
      </c>
      <c r="L24" s="11">
        <f ca="1"/>
        <v>-7.6729620893633795E-4</v>
      </c>
      <c r="M24" s="11" t="str">
        <f ca="1"/>
        <v/>
      </c>
      <c r="O24" s="13" t="b">
        <f ca="1"/>
        <v>1</v>
      </c>
      <c r="P24" s="13" t="b">
        <f ca="1"/>
        <v>1</v>
      </c>
    </row>
    <row r="25" spans="2:16" x14ac:dyDescent="0.45">
      <c r="B25" s="11">
        <f ca="1"/>
        <v>-24.400940642943201</v>
      </c>
      <c r="C25" s="11" t="b">
        <f ca="1"/>
        <v>0</v>
      </c>
      <c r="G25" s="11" t="str">
        <f ca="1"/>
        <v>-7.67296208936338E-04,""</v>
      </c>
      <c r="I25" s="11" t="str">
        <f ca="1"/>
        <v>-24.4009406429432</v>
      </c>
      <c r="J25" s="11" t="str">
        <f ca="1"/>
        <v>False</v>
      </c>
      <c r="L25" s="11">
        <f ca="1"/>
        <v>-24.400940642943201</v>
      </c>
      <c r="M25" s="11" t="b">
        <f ca="1"/>
        <v>0</v>
      </c>
      <c r="O25" s="13" t="b">
        <f ca="1"/>
        <v>1</v>
      </c>
      <c r="P25" s="13" t="b">
        <f ca="1"/>
        <v>1</v>
      </c>
    </row>
    <row r="26" spans="2:16" x14ac:dyDescent="0.45">
      <c r="B26" s="11">
        <f ca="1"/>
        <v>304753</v>
      </c>
      <c r="C26" s="11">
        <f ca="1"/>
        <v>0</v>
      </c>
      <c r="G26" s="11" t="str">
        <f ca="1"/>
        <v>-24.4009406429432,False</v>
      </c>
      <c r="I26" s="11" t="str">
        <f ca="1"/>
        <v>304753</v>
      </c>
      <c r="J26" s="11" t="str">
        <f ca="1"/>
        <v>0</v>
      </c>
      <c r="L26" s="11">
        <f ca="1"/>
        <v>304753</v>
      </c>
      <c r="M26" s="11">
        <f ca="1"/>
        <v>0</v>
      </c>
      <c r="O26" s="13" t="b">
        <f ca="1"/>
        <v>1</v>
      </c>
      <c r="P26" s="13" t="b">
        <f ca="1"/>
        <v>1</v>
      </c>
    </row>
    <row r="27" spans="2:16" x14ac:dyDescent="0.45">
      <c r="B27" s="11">
        <f ca="1"/>
        <v>689368703.41807103</v>
      </c>
      <c r="C27" s="11">
        <f ca="1"/>
        <v>43540</v>
      </c>
      <c r="G27" s="11" t="str">
        <f ca="1"/>
        <v>304753,0</v>
      </c>
      <c r="I27" s="11" t="str">
        <f ca="1"/>
        <v>689368703.418071</v>
      </c>
      <c r="J27" s="11" t="str">
        <f ca="1"/>
        <v>43540</v>
      </c>
      <c r="L27" s="11">
        <f ca="1"/>
        <v>689368703.41807103</v>
      </c>
      <c r="M27" s="11">
        <f ca="1"/>
        <v>43540</v>
      </c>
      <c r="O27" s="13" t="b">
        <f ca="1"/>
        <v>1</v>
      </c>
      <c r="P27" s="13" t="b">
        <f ca="1"/>
        <v>1</v>
      </c>
    </row>
    <row r="28" spans="2:16" x14ac:dyDescent="0.45">
      <c r="B28" s="11" t="str">
        <f ca="1"/>
        <v>FALSE</v>
      </c>
      <c r="C28" s="11">
        <f ca="1"/>
        <v>32711</v>
      </c>
      <c r="G28" s="11" t="str">
        <f ca="1"/>
        <v>689368703.418071,43540</v>
      </c>
      <c r="I28" s="11" t="str">
        <f ca="1"/>
        <v>FALSE</v>
      </c>
      <c r="J28" s="11" t="str">
        <f ca="1"/>
        <v>32711</v>
      </c>
      <c r="L28" s="11" t="str">
        <f ca="1"/>
        <v>FALSE</v>
      </c>
      <c r="M28" s="11">
        <f ca="1"/>
        <v>32711</v>
      </c>
      <c r="O28" s="13" t="b">
        <f ca="1"/>
        <v>1</v>
      </c>
      <c r="P28" s="13" t="b">
        <f ca="1"/>
        <v>1</v>
      </c>
    </row>
    <row r="29" spans="2:16" x14ac:dyDescent="0.45">
      <c r="B29" s="11" t="str">
        <f ca="1"/>
        <v>/Y+_x000D_
N2yK</v>
      </c>
      <c r="C29" s="11">
        <f ca="1"/>
        <v>36114</v>
      </c>
      <c r="G29" s="11" t="str">
        <f ca="1"/>
        <v>"FALSE",32711</v>
      </c>
      <c r="I29" s="11" t="str">
        <f ca="1"/>
        <v>/Y+_x000D_
N2yK</v>
      </c>
      <c r="J29" s="11" t="str">
        <f ca="1"/>
        <v>36114</v>
      </c>
      <c r="L29" s="11" t="str">
        <f ca="1"/>
        <v>/Y+_x000D_
N2yK</v>
      </c>
      <c r="M29" s="11">
        <f ca="1"/>
        <v>36114</v>
      </c>
      <c r="O29" s="13" t="b">
        <f ca="1"/>
        <v>1</v>
      </c>
      <c r="P29" s="13" t="b">
        <f ca="1"/>
        <v>1</v>
      </c>
    </row>
    <row r="30" spans="2:16" x14ac:dyDescent="0.45">
      <c r="B30" s="11" t="str">
        <f ca="1"/>
        <v>FALSE</v>
      </c>
      <c r="C30" s="11">
        <f ca="1"/>
        <v>0</v>
      </c>
      <c r="G30" s="11" t="str">
        <f ca="1"/>
        <v>"/Y+</v>
      </c>
      <c r="I30" s="11" t="str">
        <f ca="1"/>
        <v>FALSE</v>
      </c>
      <c r="J30" s="11" t="str">
        <f ca="1"/>
        <v>0</v>
      </c>
      <c r="L30" s="11" t="str">
        <f ca="1"/>
        <v>FALSE</v>
      </c>
      <c r="M30" s="11">
        <f ca="1"/>
        <v>0</v>
      </c>
      <c r="O30" s="13" t="b">
        <f ca="1"/>
        <v>1</v>
      </c>
      <c r="P30" s="13" t="b">
        <f ca="1"/>
        <v>1</v>
      </c>
    </row>
    <row r="31" spans="2:16" x14ac:dyDescent="0.45">
      <c r="B31" s="11">
        <f ca="1"/>
        <v>-782428</v>
      </c>
      <c r="C31" s="11" t="b">
        <f ca="1"/>
        <v>1</v>
      </c>
      <c r="G31" s="11" t="str">
        <f ca="1"/>
        <v>N2yK",36114</v>
      </c>
      <c r="I31" s="11" t="str">
        <f ca="1"/>
        <v>-782428</v>
      </c>
      <c r="J31" s="11" t="str">
        <f ca="1"/>
        <v>True</v>
      </c>
      <c r="L31" s="11">
        <f ca="1"/>
        <v>-782428</v>
      </c>
      <c r="M31" s="11" t="b">
        <f ca="1"/>
        <v>1</v>
      </c>
      <c r="O31" s="13" t="b">
        <f ca="1"/>
        <v>1</v>
      </c>
      <c r="P31" s="13" t="b">
        <f ca="1"/>
        <v>1</v>
      </c>
    </row>
    <row r="32" spans="2:16" x14ac:dyDescent="0.45">
      <c r="B32" s="11">
        <f ca="1"/>
        <v>32441</v>
      </c>
      <c r="C32" s="11" t="e">
        <f ca="1"/>
      </c>
      <c r="G32" s="11" t="str">
        <f ca="1"/>
        <v>"FALSE",0</v>
      </c>
      <c r="I32" s="11" t="str">
        <f ca="1"/>
        <v>32441</v>
      </c>
      <c r="J32" s="11" t="str">
        <f ca="1"/>
        <v>#UNKNOWN!</v>
      </c>
      <c r="L32" s="11">
        <f ca="1"/>
        <v>32441</v>
      </c>
      <c r="M32" s="11" t="e">
        <f ca="1"/>
      </c>
      <c r="O32" s="13" t="b">
        <f ca="1"/>
        <v>1</v>
      </c>
      <c r="P32" s="13" t="b">
        <f ca="1"/>
        <v>1</v>
      </c>
    </row>
    <row r="33" spans="2:16" x14ac:dyDescent="0.45">
      <c r="B33" s="11" t="str">
        <f ca="1"/>
        <v>-27509.050268035</v>
      </c>
      <c r="C33" s="11">
        <f ca="1"/>
        <v>2.4082903415615198E-10</v>
      </c>
      <c r="G33" s="11" t="str">
        <f ca="1"/>
        <v>-782428,True</v>
      </c>
      <c r="I33" s="11" t="str">
        <f ca="1"/>
        <v>-27509.050268035</v>
      </c>
      <c r="J33" s="11" t="str">
        <f ca="1"/>
        <v>2.40829034156152E-10</v>
      </c>
      <c r="L33" s="11" t="str">
        <f ca="1"/>
        <v>-27509.050268035</v>
      </c>
      <c r="M33" s="11">
        <f ca="1"/>
        <v>2.4082903415615198E-10</v>
      </c>
      <c r="O33" s="13" t="b">
        <f ca="1"/>
        <v>1</v>
      </c>
      <c r="P33" s="13" t="b">
        <f ca="1"/>
        <v>1</v>
      </c>
    </row>
    <row r="34" spans="2:16" x14ac:dyDescent="0.45">
      <c r="B34" s="11" t="str">
        <f ca="1"/>
        <v>FALSE</v>
      </c>
      <c r="C34" s="11" t="str">
        <f ca="1"/>
        <v>SiT44BT@PG</v>
      </c>
      <c r="G34" s="11" t="str">
        <f ca="1"/>
        <v>32441,#UNKNOWN!</v>
      </c>
      <c r="I34" s="11" t="str">
        <f ca="1"/>
        <v>FALSE</v>
      </c>
      <c r="J34" s="11" t="str">
        <f ca="1"/>
        <v>SiT44BT@PG</v>
      </c>
      <c r="L34" s="11" t="str">
        <f ca="1"/>
        <v>FALSE</v>
      </c>
      <c r="M34" s="11" t="str">
        <f ca="1"/>
        <v>SiT44BT@PG</v>
      </c>
      <c r="O34" s="13" t="b">
        <f ca="1"/>
        <v>1</v>
      </c>
      <c r="P34" s="13" t="b">
        <f ca="1"/>
        <v>1</v>
      </c>
    </row>
    <row r="35" spans="2:16" x14ac:dyDescent="0.45">
      <c r="B35" s="11" t="b">
        <f ca="1"/>
        <v>0</v>
      </c>
      <c r="C35" s="11">
        <f ca="1"/>
        <v>1552871143.32658</v>
      </c>
      <c r="G35" s="11" t="str">
        <f ca="1"/>
        <v>"-27509.050268035",2.40829034156152E-10</v>
      </c>
      <c r="I35" s="11" t="str">
        <f ca="1"/>
        <v>False</v>
      </c>
      <c r="J35" s="11" t="str">
        <f ca="1"/>
        <v>1552871143.32658</v>
      </c>
      <c r="L35" s="11" t="b">
        <f ca="1"/>
        <v>0</v>
      </c>
      <c r="M35" s="11">
        <f ca="1"/>
        <v>1552871143.32658</v>
      </c>
      <c r="O35" s="13" t="b">
        <f ca="1"/>
        <v>1</v>
      </c>
      <c r="P35" s="13" t="b">
        <f ca="1"/>
        <v>1</v>
      </c>
    </row>
    <row r="36" spans="2:16" x14ac:dyDescent="0.45">
      <c r="B36" s="11" t="e">
        <f ca="1"/>
      </c>
      <c r="C36" s="11">
        <f ca="1"/>
        <v>54982</v>
      </c>
      <c r="G36" s="11" t="str">
        <f ca="1"/>
        <v>"FALSE","SiT44BT@PG"</v>
      </c>
      <c r="I36" s="11" t="str">
        <f ca="1"/>
        <v>#SPILL!</v>
      </c>
      <c r="J36" s="11" t="str">
        <f ca="1"/>
        <v>54982</v>
      </c>
      <c r="L36" s="11" t="e">
        <f ca="1"/>
      </c>
      <c r="M36" s="11">
        <f ca="1"/>
        <v>54982</v>
      </c>
      <c r="O36" s="13" t="b">
        <f ca="1"/>
        <v>1</v>
      </c>
      <c r="P36" s="13" t="b">
        <f ca="1"/>
        <v>1</v>
      </c>
    </row>
    <row r="37" spans="2:16" x14ac:dyDescent="0.45">
      <c r="B37" s="11" t="e">
        <f ca="1"/>
        <v>#DIV/0!</v>
      </c>
      <c r="C37" s="11">
        <f ca="1"/>
        <v>389215</v>
      </c>
      <c r="G37" s="11" t="str">
        <f ca="1"/>
        <v>False,1552871143.32658</v>
      </c>
      <c r="I37" s="11" t="str">
        <f ca="1"/>
        <v>#DIV/0!</v>
      </c>
      <c r="J37" s="11" t="str">
        <f ca="1"/>
        <v>389215</v>
      </c>
      <c r="L37" s="11" t="e">
        <f ca="1"/>
        <v>#DIV/0!</v>
      </c>
      <c r="M37" s="11">
        <f ca="1"/>
        <v>389215</v>
      </c>
      <c r="O37" s="13" t="b">
        <f ca="1"/>
        <v>1</v>
      </c>
      <c r="P37" s="13" t="b">
        <f ca="1"/>
        <v>1</v>
      </c>
    </row>
    <row r="38" spans="2:16" x14ac:dyDescent="0.45">
      <c r="B38" s="11" t="b">
        <f ca="1"/>
        <v>1</v>
      </c>
      <c r="C38" s="11" t="str">
        <f ca="1"/>
        <v>1981-Jan-15</v>
      </c>
      <c r="G38" s="11" t="str">
        <f ca="1"/>
        <v>#SPILL!,54982</v>
      </c>
      <c r="I38" s="11" t="str">
        <f ca="1"/>
        <v>True</v>
      </c>
      <c r="J38" s="11" t="str">
        <f ca="1"/>
        <v>1981-Jan-15</v>
      </c>
      <c r="L38" s="11" t="b">
        <f ca="1"/>
        <v>1</v>
      </c>
      <c r="M38" s="11" t="str">
        <f ca="1"/>
        <v>1981-Jan-15</v>
      </c>
      <c r="O38" s="13" t="b">
        <f ca="1"/>
        <v>1</v>
      </c>
      <c r="P38" s="13" t="b">
        <f ca="1"/>
        <v>1</v>
      </c>
    </row>
    <row r="39" spans="2:16" x14ac:dyDescent="0.45">
      <c r="B39" s="11">
        <f ca="1"/>
        <v>-418845</v>
      </c>
      <c r="C39" s="11">
        <f ca="1"/>
        <v>45987</v>
      </c>
      <c r="G39" s="11" t="str">
        <f ca="1"/>
        <v>#DIV/0!,389215</v>
      </c>
      <c r="I39" s="11" t="str">
        <f ca="1"/>
        <v>-418845</v>
      </c>
      <c r="J39" s="11" t="str">
        <f ca="1"/>
        <v>45987</v>
      </c>
      <c r="L39" s="11">
        <f ca="1"/>
        <v>-418845</v>
      </c>
      <c r="M39" s="11">
        <f ca="1"/>
        <v>45987</v>
      </c>
      <c r="O39" s="13" t="b">
        <f ca="1"/>
        <v>1</v>
      </c>
      <c r="P39" s="13" t="b">
        <f ca="1"/>
        <v>1</v>
      </c>
    </row>
    <row r="40" spans="2:16" x14ac:dyDescent="0.45">
      <c r="B40" s="11" t="str">
        <f ca="1"/>
        <v>i=CElFb</v>
      </c>
      <c r="C40" s="11">
        <f ca="1"/>
        <v>60280</v>
      </c>
      <c r="G40" s="11" t="str">
        <f ca="1"/>
        <v>True,"1981-Jan-15"</v>
      </c>
      <c r="I40" s="11" t="str">
        <f ca="1"/>
        <v>i=CElFb</v>
      </c>
      <c r="J40" s="11" t="str">
        <f ca="1"/>
        <v>60280</v>
      </c>
      <c r="L40" s="11" t="str">
        <f ca="1"/>
        <v>i=CElFb</v>
      </c>
      <c r="M40" s="11">
        <f ca="1"/>
        <v>60280</v>
      </c>
      <c r="O40" s="13" t="b">
        <f ca="1"/>
        <v>1</v>
      </c>
      <c r="P40" s="13" t="b">
        <f ca="1"/>
        <v>1</v>
      </c>
    </row>
    <row r="41" spans="2:16" x14ac:dyDescent="0.45">
      <c r="B41" s="11" t="str">
        <f ca="1"/>
        <v>2021-Aug-11</v>
      </c>
      <c r="C41" s="11">
        <f ca="1"/>
        <v>22.468667648853099</v>
      </c>
      <c r="G41" s="11" t="str">
        <f ca="1"/>
        <v>-418845,45987</v>
      </c>
      <c r="I41" s="11" t="str">
        <f ca="1"/>
        <v>2021-Aug-11</v>
      </c>
      <c r="J41" s="11" t="str">
        <f ca="1"/>
        <v>22.4686676488531</v>
      </c>
      <c r="L41" s="11" t="str">
        <f ca="1"/>
        <v>2021-Aug-11</v>
      </c>
      <c r="M41" s="11">
        <f ca="1"/>
        <v>22.468667648853099</v>
      </c>
      <c r="O41" s="13" t="b">
        <f ca="1"/>
        <v>1</v>
      </c>
      <c r="P41" s="13" t="b">
        <f ca="1"/>
        <v>1</v>
      </c>
    </row>
    <row r="42" spans="2:16" x14ac:dyDescent="0.45">
      <c r="B42" s="11" t="str">
        <f ca="1"/>
        <v/>
      </c>
      <c r="C42" s="11">
        <f ca="1"/>
        <v>0</v>
      </c>
      <c r="G42" s="11" t="str">
        <f ca="1"/>
        <v>"i=CElFb",60280</v>
      </c>
      <c r="I42" s="11" t="str">
        <f ca="1"/>
        <v/>
      </c>
      <c r="J42" s="11" t="str">
        <f ca="1"/>
        <v>0</v>
      </c>
      <c r="L42" s="11" t="str">
        <f ca="1"/>
        <v/>
      </c>
      <c r="M42" s="11">
        <f ca="1"/>
        <v>0</v>
      </c>
      <c r="O42" s="13" t="b">
        <f ca="1"/>
        <v>1</v>
      </c>
      <c r="P42" s="13" t="b">
        <f ca="1"/>
        <v>1</v>
      </c>
    </row>
    <row r="43" spans="2:16" x14ac:dyDescent="0.45">
      <c r="B43" s="11" t="str">
        <f ca="1"/>
        <v>p;B#&lt;yeUW:Ohm*</v>
      </c>
      <c r="C43" s="11">
        <f ca="1"/>
        <v>28249</v>
      </c>
      <c r="G43" s="11" t="str">
        <f ca="1"/>
        <v>"2021-Aug-11",22.4686676488531</v>
      </c>
      <c r="I43" s="11" t="str">
        <f ca="1"/>
        <v>p;B#&lt;yeUW:Ohm*</v>
      </c>
      <c r="J43" s="11" t="str">
        <f ca="1"/>
        <v>28249</v>
      </c>
      <c r="L43" s="11" t="str">
        <f ca="1"/>
        <v>p;B#&lt;yeUW:Ohm*</v>
      </c>
      <c r="M43" s="11">
        <f ca="1"/>
        <v>28249</v>
      </c>
      <c r="O43" s="13" t="b">
        <f ca="1"/>
        <v>1</v>
      </c>
      <c r="P43" s="13" t="b">
        <f ca="1"/>
        <v>1</v>
      </c>
    </row>
    <row r="44" spans="2:16" x14ac:dyDescent="0.45">
      <c r="B44" s="11">
        <f ca="1"/>
        <v>51096</v>
      </c>
      <c r="C44" s="11" t="str">
        <f ca="1"/>
        <v/>
      </c>
      <c r="G44" s="11" t="str">
        <f ca="1"/>
        <v>"",0</v>
      </c>
      <c r="I44" s="11" t="str">
        <f ca="1"/>
        <v>51096</v>
      </c>
      <c r="J44" s="11" t="str">
        <f ca="1"/>
        <v/>
      </c>
      <c r="L44" s="11">
        <f ca="1"/>
        <v>51096</v>
      </c>
      <c r="M44" s="11" t="str">
        <f ca="1"/>
        <v/>
      </c>
      <c r="O44" s="13" t="b">
        <f ca="1"/>
        <v>1</v>
      </c>
      <c r="P44" s="13" t="b">
        <f ca="1"/>
        <v>1</v>
      </c>
    </row>
    <row r="45" spans="2:16" x14ac:dyDescent="0.45">
      <c r="B45" s="11">
        <f ca="1"/>
        <v>60088</v>
      </c>
      <c r="C45" s="11" t="e">
        <f ca="1"/>
        <v>#NULL!</v>
      </c>
      <c r="G45" s="11" t="str">
        <f ca="1"/>
        <v>"p;B#&lt;yeUW:Ohm*",28249</v>
      </c>
      <c r="I45" s="11" t="str">
        <f ca="1"/>
        <v>60088</v>
      </c>
      <c r="J45" s="11" t="str">
        <f ca="1"/>
        <v>#NULL!</v>
      </c>
      <c r="L45" s="11">
        <f ca="1"/>
        <v>60088</v>
      </c>
      <c r="M45" s="11" t="e">
        <f ca="1"/>
        <v>#NULL!</v>
      </c>
      <c r="O45" s="13" t="b">
        <f ca="1"/>
        <v>1</v>
      </c>
      <c r="P45" s="13" t="b">
        <f ca="1"/>
        <v>1</v>
      </c>
    </row>
    <row r="46" spans="2:16" x14ac:dyDescent="0.45">
      <c r="B46" s="11" t="str">
        <f ca="1"/>
        <v/>
      </c>
      <c r="C46" s="11" t="str">
        <f ca="1"/>
        <v>-3.83004081341457E-09</v>
      </c>
      <c r="G46" s="11" t="str">
        <f ca="1"/>
        <v>51096,""</v>
      </c>
      <c r="I46" s="11" t="str">
        <f ca="1"/>
        <v/>
      </c>
      <c r="J46" s="11" t="str">
        <f ca="1"/>
        <v>-3.83004081341457E-09</v>
      </c>
      <c r="L46" s="11" t="str">
        <f ca="1"/>
        <v/>
      </c>
      <c r="M46" s="11" t="str">
        <f ca="1"/>
        <v>-3.83004081341457E-09</v>
      </c>
      <c r="O46" s="13" t="b">
        <f ca="1"/>
        <v>1</v>
      </c>
      <c r="P46" s="13" t="b">
        <f ca="1"/>
        <v>1</v>
      </c>
    </row>
    <row r="47" spans="2:16" x14ac:dyDescent="0.45">
      <c r="B47" s="11" t="str">
        <f ca="1"/>
        <v>/</v>
      </c>
      <c r="C47" s="11">
        <f ca="1"/>
        <v>45600</v>
      </c>
      <c r="G47" s="11" t="str">
        <f ca="1"/>
        <v>60088,#NULL!</v>
      </c>
      <c r="I47" s="11" t="str">
        <f ca="1"/>
        <v>/</v>
      </c>
      <c r="J47" s="11" t="str">
        <f ca="1"/>
        <v>45600</v>
      </c>
      <c r="L47" s="11" t="str">
        <f ca="1"/>
        <v>/</v>
      </c>
      <c r="M47" s="11">
        <f ca="1"/>
        <v>45600</v>
      </c>
      <c r="O47" s="13" t="b">
        <f ca="1"/>
        <v>1</v>
      </c>
      <c r="P47" s="13" t="b">
        <f ca="1"/>
        <v>1</v>
      </c>
    </row>
    <row r="48" spans="2:16" x14ac:dyDescent="0.45">
      <c r="B48" s="11" t="str">
        <f ca="1"/>
        <v>-381177.605851047</v>
      </c>
      <c r="C48" s="11">
        <f ca="1"/>
        <v>27724</v>
      </c>
      <c r="G48" s="11" t="str">
        <f ca="1"/>
        <v>"","-3.83004081341457E-09"</v>
      </c>
      <c r="I48" s="11" t="str">
        <f ca="1"/>
        <v>-381177.605851047</v>
      </c>
      <c r="J48" s="11" t="str">
        <f ca="1"/>
        <v>27724</v>
      </c>
      <c r="L48" s="11" t="str">
        <f ca="1"/>
        <v>-381177.605851047</v>
      </c>
      <c r="M48" s="11">
        <f ca="1"/>
        <v>27724</v>
      </c>
      <c r="O48" s="13" t="b">
        <f ca="1"/>
        <v>1</v>
      </c>
      <c r="P48" s="13" t="b">
        <f ca="1"/>
        <v>1</v>
      </c>
    </row>
    <row r="49" spans="2:16" x14ac:dyDescent="0.45">
      <c r="B49" s="11" t="str">
        <f ca="1"/>
        <v>PV?rfUHb0'7ev</v>
      </c>
      <c r="C49" s="11" t="str">
        <f ca="1"/>
        <v>2049-Feb-23</v>
      </c>
      <c r="G49" s="11" t="str">
        <f ca="1"/>
        <v>"/",45600</v>
      </c>
      <c r="I49" s="11" t="str">
        <f ca="1"/>
        <v>PV?rfUHb0'7ev</v>
      </c>
      <c r="J49" s="11" t="str">
        <f ca="1"/>
        <v>2049-Feb-23</v>
      </c>
      <c r="L49" s="11" t="str">
        <f ca="1"/>
        <v>PV?rfUHb0'7ev</v>
      </c>
      <c r="M49" s="11" t="str">
        <f ca="1"/>
        <v>2049-Feb-23</v>
      </c>
      <c r="O49" s="13" t="b">
        <f ca="1"/>
        <v>1</v>
      </c>
      <c r="P49" s="13" t="b">
        <f ca="1"/>
        <v>1</v>
      </c>
    </row>
    <row r="50" spans="2:16" x14ac:dyDescent="0.45">
      <c r="B50" s="11" t="b">
        <f ca="1"/>
        <v>0</v>
      </c>
      <c r="C50" s="11" t="str">
        <f ca="1"/>
        <v/>
      </c>
      <c r="G50" s="11" t="str">
        <f ca="1"/>
        <v>"-381177.605851047",27724</v>
      </c>
      <c r="I50" s="11" t="str">
        <f ca="1"/>
        <v>False</v>
      </c>
      <c r="J50" s="11" t="str">
        <f ca="1"/>
        <v/>
      </c>
      <c r="L50" s="11" t="b">
        <f ca="1"/>
        <v>0</v>
      </c>
      <c r="M50" s="11" t="str">
        <f ca="1"/>
        <v/>
      </c>
      <c r="O50" s="13" t="b">
        <f ca="1"/>
        <v>1</v>
      </c>
      <c r="P50" s="13" t="b">
        <f ca="1"/>
        <v>1</v>
      </c>
    </row>
    <row r="51" spans="2:16" x14ac:dyDescent="0.45">
      <c r="B51" s="11" t="str">
        <f ca="1"/>
        <v xml:space="preserve">Here's a carriage return (ascii 13):_x000D_and here's a line feed (ascii 10):
and here's both together:_x000D_
</v>
      </c>
      <c r="C51" s="11" t="e">
        <f ca="1"/>
        <v>#NUM!</v>
      </c>
      <c r="G51" s="11" t="str">
        <f ca="1"/>
        <v>"PV?rfUHb0'7ev","2049-Feb-23"</v>
      </c>
      <c r="I51" s="11" t="str">
        <f ca="1"/>
        <v xml:space="preserve">Here's a carriage return (ascii 13):_x000D_and here's a line feed (ascii 10):
and here's both together:_x000D_
</v>
      </c>
      <c r="J51" s="11" t="str">
        <f ca="1"/>
        <v>#NUM!</v>
      </c>
      <c r="L51" s="11" t="str">
        <f ca="1"/>
        <v xml:space="preserve">Here's a carriage return (ascii 13):_x000D_and here's a line feed (ascii 10):
and here's both together:_x000D_
</v>
      </c>
      <c r="M51" s="11" t="e">
        <f ca="1"/>
        <v>#NUM!</v>
      </c>
      <c r="O51" s="13" t="b">
        <f ca="1"/>
        <v>1</v>
      </c>
      <c r="P51" s="13" t="b">
        <f ca="1"/>
        <v>1</v>
      </c>
    </row>
    <row r="52" spans="2:16" x14ac:dyDescent="0.45">
      <c r="B52" s="11" t="b">
        <f ca="1"/>
        <v>0</v>
      </c>
      <c r="C52" s="11" t="e">
        <f ca="1"/>
      </c>
      <c r="G52" s="11" t="str">
        <f ca="1"/>
        <v>False,""</v>
      </c>
      <c r="I52" s="11" t="str">
        <f ca="1"/>
        <v>False</v>
      </c>
      <c r="J52" s="11" t="str">
        <f ca="1"/>
        <v>#BLOCKED!</v>
      </c>
      <c r="L52" s="11" t="b">
        <f ca="1"/>
        <v>0</v>
      </c>
      <c r="M52" s="11" t="e">
        <f ca="1"/>
      </c>
      <c r="O52" s="13" t="b">
        <f ca="1"/>
        <v>1</v>
      </c>
      <c r="P52" s="13" t="b">
        <f ca="1"/>
        <v>1</v>
      </c>
    </row>
    <row r="53" spans="2:16" x14ac:dyDescent="0.45">
      <c r="G53" s="11" t="str">
        <f ca="1"/>
        <v>"Here's a carriage return (ascii 13):</v>
      </c>
    </row>
    <row r="54" spans="2:16" x14ac:dyDescent="0.45">
      <c r="G54" s="11" t="str">
        <f ca="1"/>
        <v>and here's a line feed (ascii 10):</v>
      </c>
    </row>
    <row r="55" spans="2:16" x14ac:dyDescent="0.45">
      <c r="G55" s="11" t="str">
        <f ca="1"/>
        <v>and here's both together:</v>
      </c>
    </row>
    <row r="56" spans="2:16" x14ac:dyDescent="0.45">
      <c r="G56" s="11" t="str">
        <f ca="1"/>
        <v>",#NUM!</v>
      </c>
    </row>
    <row r="57" spans="2:16" x14ac:dyDescent="0.45">
      <c r="G57" s="11" t="str">
        <f ca="1"/>
        <v>False,#BLOCKED!</v>
      </c>
    </row>
    <row r="58" spans="2:16" x14ac:dyDescent="0.45">
      <c r="G58" s="11"/>
    </row>
    <row r="59" spans="2:16" x14ac:dyDescent="0.45">
      <c r="G59" s="11"/>
    </row>
    <row r="60" spans="2:16" x14ac:dyDescent="0.45">
      <c r="G60" s="11"/>
    </row>
    <row r="61" spans="2:16" x14ac:dyDescent="0.45">
      <c r="G61" s="11"/>
    </row>
    <row r="62" spans="2:16" x14ac:dyDescent="0.45">
      <c r="G62" s="11"/>
    </row>
    <row r="63" spans="2:16" x14ac:dyDescent="0.45">
      <c r="G63" s="11"/>
    </row>
    <row r="64" spans="2:16" x14ac:dyDescent="0.45">
      <c r="G64" s="11"/>
    </row>
    <row r="65" spans="7:7" x14ac:dyDescent="0.45">
      <c r="G65" s="11"/>
    </row>
    <row r="66" spans="7:7" x14ac:dyDescent="0.45">
      <c r="G66" s="11"/>
    </row>
    <row r="67" spans="7:7" x14ac:dyDescent="0.45">
      <c r="G67" s="11"/>
    </row>
    <row r="68" spans="7:7" x14ac:dyDescent="0.45">
      <c r="G68" s="11"/>
    </row>
    <row r="69" spans="7:7" x14ac:dyDescent="0.45">
      <c r="G69" s="11"/>
    </row>
    <row r="70" spans="7:7" x14ac:dyDescent="0.45">
      <c r="G70" s="11"/>
    </row>
    <row r="71" spans="7:7" x14ac:dyDescent="0.45">
      <c r="G71" s="11"/>
    </row>
    <row r="72" spans="7:7" x14ac:dyDescent="0.45">
      <c r="G72" s="11"/>
    </row>
    <row r="73" spans="7:7" x14ac:dyDescent="0.45">
      <c r="G73" s="11"/>
    </row>
    <row r="74" spans="7:7" x14ac:dyDescent="0.45">
      <c r="G74" s="11"/>
    </row>
    <row r="75" spans="7:7" x14ac:dyDescent="0.45">
      <c r="G75" s="11"/>
    </row>
    <row r="76" spans="7:7" x14ac:dyDescent="0.45">
      <c r="G76" s="11"/>
    </row>
    <row r="77" spans="7:7" x14ac:dyDescent="0.45">
      <c r="G77" s="11"/>
    </row>
    <row r="78" spans="7:7" x14ac:dyDescent="0.45">
      <c r="G78" s="11"/>
    </row>
  </sheetData>
  <sheetProtection sheet="1" objects="1" scenarios="1"/>
  <conditionalFormatting sqref="B13:C52">
    <cfRule type="expression" dxfId="122" priority="20">
      <formula>ISLOGICAL(B13)</formula>
    </cfRule>
    <cfRule type="expression" dxfId="121" priority="21">
      <formula>ISNUMBER(B13)</formula>
    </cfRule>
    <cfRule type="expression" dxfId="120" priority="22">
      <formula>OR(ISNUMBER(SEARCH(CHAR(10),B13)),ISNUMBER(SEARCH(CHAR(13),B13)))</formula>
    </cfRule>
    <cfRule type="expression" dxfId="119" priority="23">
      <formula>ISTEXT(B13)</formula>
    </cfRule>
    <cfRule type="expression" dxfId="118" priority="24">
      <formula>ISERROR(B13)</formula>
    </cfRule>
  </conditionalFormatting>
  <conditionalFormatting sqref="I13:J52">
    <cfRule type="expression" dxfId="117" priority="15">
      <formula>ISLOGICAL(I13)</formula>
    </cfRule>
    <cfRule type="expression" dxfId="116" priority="16">
      <formula>ISNUMBER(I13)</formula>
    </cfRule>
    <cfRule type="expression" dxfId="115" priority="17">
      <formula>OR(ISNUMBER(SEARCH(CHAR(10),I13)),ISNUMBER(SEARCH(CHAR(13),I13)))</formula>
    </cfRule>
    <cfRule type="expression" dxfId="114" priority="18">
      <formula>ISTEXT(I13)</formula>
    </cfRule>
    <cfRule type="expression" dxfId="113" priority="19">
      <formula>ISERROR(I13)</formula>
    </cfRule>
  </conditionalFormatting>
  <conditionalFormatting sqref="L13:M52">
    <cfRule type="expression" dxfId="112" priority="10">
      <formula>ISLOGICAL(L13)</formula>
    </cfRule>
    <cfRule type="expression" dxfId="111" priority="11">
      <formula>ISNUMBER(L13)</formula>
    </cfRule>
    <cfRule type="expression" dxfId="110" priority="12">
      <formula>OR(ISNUMBER(SEARCH(CHAR(10),L13)),ISNUMBER(SEARCH(CHAR(13),L13)))</formula>
    </cfRule>
    <cfRule type="expression" dxfId="109" priority="13">
      <formula>ISTEXT(L13)</formula>
    </cfRule>
    <cfRule type="expression" dxfId="108" priority="14">
      <formula>ISERROR(L13)</formula>
    </cfRule>
  </conditionalFormatting>
  <conditionalFormatting sqref="G13:G78">
    <cfRule type="expression" dxfId="107" priority="5">
      <formula>ISLOGICAL(G13)</formula>
    </cfRule>
    <cfRule type="expression" dxfId="106" priority="6">
      <formula>ISNUMBER(G13)</formula>
    </cfRule>
    <cfRule type="expression" dxfId="105" priority="7">
      <formula>OR(ISNUMBER(SEARCH(CHAR(10),G13)),ISNUMBER(SEARCH(CHAR(13),G13)))</formula>
    </cfRule>
    <cfRule type="expression" dxfId="104" priority="8">
      <formula>ISTEXT(G13)</formula>
    </cfRule>
    <cfRule type="expression" dxfId="103" priority="9">
      <formula>ISERROR(G13)</formula>
    </cfRule>
  </conditionalFormatting>
  <conditionalFormatting sqref="O13:P52">
    <cfRule type="cellIs" dxfId="102" priority="3" operator="equal">
      <formula>FALSE</formula>
    </cfRule>
    <cfRule type="cellIs" dxfId="101" priority="4" operator="equal">
      <formula>TRUE</formula>
    </cfRule>
  </conditionalFormatting>
  <conditionalFormatting sqref="O11">
    <cfRule type="cellIs" dxfId="100" priority="1" operator="equal">
      <formula>FALSE</formula>
    </cfRule>
    <cfRule type="cellIs" dxfId="99" priority="2" operator="equal">
      <formula>TRUE</formula>
    </cfRule>
  </conditionalFormatting>
  <dataValidations count="2">
    <dataValidation type="list" allowBlank="1" showInputMessage="1" showErrorMessage="1" sqref="C7 C4" xr:uid="{B180CABF-770B-4835-A634-63AC838C9ABE}">
      <formula1>"TRUE,FALSE"</formula1>
    </dataValidation>
    <dataValidation type="list" allowBlank="1" showInputMessage="1" showErrorMessage="1" sqref="C8" xr:uid="{E832DF84-C3DA-446B-B25C-6D6054FE89D2}">
      <formula1>"Windows,Unix,Mac"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EA881-A921-451B-95C6-2B5742DE8A2C}">
  <sheetPr codeName="Sheet6"/>
  <dimension ref="A1:L217"/>
  <sheetViews>
    <sheetView showGridLines="0" showRowColHeaders="0" zoomScaleNormal="100" workbookViewId="0">
      <pane ySplit="4" topLeftCell="A143" activePane="bottomLeft" state="frozen"/>
      <selection pane="bottomLeft"/>
    </sheetView>
  </sheetViews>
  <sheetFormatPr defaultRowHeight="14.25" x14ac:dyDescent="0.45"/>
  <cols>
    <col min="1" max="1" width="10.265625" bestFit="1" customWidth="1"/>
    <col min="2" max="2" width="15.9296875" bestFit="1" customWidth="1"/>
    <col min="3" max="3" width="9.19921875" bestFit="1" customWidth="1"/>
    <col min="4" max="4" width="8.19921875" bestFit="1" customWidth="1"/>
    <col min="5" max="5" width="11.73046875" bestFit="1" customWidth="1"/>
    <col min="6" max="6" width="15.19921875" bestFit="1" customWidth="1"/>
    <col min="7" max="7" width="16.3984375" bestFit="1" customWidth="1"/>
    <col min="8" max="8" width="7.59765625" bestFit="1" customWidth="1"/>
    <col min="9" max="9" width="15.19921875" bestFit="1" customWidth="1"/>
    <col min="10" max="10" width="16.3984375" bestFit="1" customWidth="1"/>
    <col min="11" max="11" width="91.73046875" bestFit="1" customWidth="1"/>
    <col min="12" max="12" width="10.6640625" bestFit="1" customWidth="1"/>
  </cols>
  <sheetData>
    <row r="1" spans="1:12" ht="28.5" x14ac:dyDescent="0.85">
      <c r="A1" s="1" t="s">
        <v>457</v>
      </c>
    </row>
    <row r="2" spans="1:12" x14ac:dyDescent="0.45">
      <c r="L2" s="15"/>
    </row>
    <row r="4" spans="1:12" x14ac:dyDescent="0.45">
      <c r="K4" t="s">
        <v>23</v>
      </c>
    </row>
    <row r="5" spans="1:12" ht="28.5" x14ac:dyDescent="0.45">
      <c r="A5" s="16" t="s">
        <v>24</v>
      </c>
      <c r="B5" s="16" t="s">
        <v>25</v>
      </c>
      <c r="C5" s="16" t="s">
        <v>26</v>
      </c>
      <c r="D5" s="16" t="s">
        <v>27</v>
      </c>
      <c r="E5" s="16" t="s">
        <v>28</v>
      </c>
      <c r="F5" s="16" t="s">
        <v>29</v>
      </c>
      <c r="G5" s="16" t="s">
        <v>30</v>
      </c>
      <c r="H5" s="17" t="s">
        <v>31</v>
      </c>
      <c r="I5" s="17" t="s">
        <v>32</v>
      </c>
      <c r="J5" s="17" t="s">
        <v>33</v>
      </c>
      <c r="K5" s="16" t="s">
        <v>34</v>
      </c>
      <c r="L5" s="16" t="s">
        <v>35</v>
      </c>
    </row>
    <row r="6" spans="1:12" x14ac:dyDescent="0.45">
      <c r="A6">
        <f>LEN(B6)</f>
        <v>1</v>
      </c>
      <c r="B6" t="s">
        <v>36</v>
      </c>
      <c r="C6" s="15">
        <v>1</v>
      </c>
      <c r="D6">
        <v>1</v>
      </c>
      <c r="E6">
        <v>1.2643180438956866E-4</v>
      </c>
      <c r="F6">
        <v>1.1968546329319686E-4</v>
      </c>
      <c r="G6">
        <v>1.6876894026323923E-3</v>
      </c>
      <c r="H6" s="15">
        <v>39548</v>
      </c>
      <c r="I6" s="15">
        <v>41777</v>
      </c>
      <c r="J6" s="15">
        <v>2963</v>
      </c>
      <c r="K6" s="18" t="s">
        <v>37</v>
      </c>
      <c r="L6" s="15">
        <v>3</v>
      </c>
    </row>
    <row r="7" spans="1:12" x14ac:dyDescent="0.45">
      <c r="A7">
        <f t="shared" ref="A7:A27" si="0">LEN(B7)</f>
        <v>1</v>
      </c>
      <c r="B7" t="s">
        <v>36</v>
      </c>
      <c r="C7" s="15">
        <v>2</v>
      </c>
      <c r="D7">
        <v>1</v>
      </c>
      <c r="E7">
        <v>1.4797941045904668E-4</v>
      </c>
      <c r="F7">
        <v>1.2625614221143511E-4</v>
      </c>
      <c r="G7">
        <v>1.8431641725024123E-3</v>
      </c>
      <c r="H7" s="15">
        <v>33789</v>
      </c>
      <c r="I7" s="15">
        <v>39603</v>
      </c>
      <c r="J7" s="15">
        <v>2713</v>
      </c>
      <c r="K7" s="15" t="s">
        <v>38</v>
      </c>
      <c r="L7" s="15">
        <v>6</v>
      </c>
    </row>
    <row r="8" spans="1:12" x14ac:dyDescent="0.45">
      <c r="A8">
        <f t="shared" si="0"/>
        <v>1</v>
      </c>
      <c r="B8" t="s">
        <v>36</v>
      </c>
      <c r="C8" s="15">
        <v>4</v>
      </c>
      <c r="D8">
        <v>1</v>
      </c>
      <c r="E8">
        <v>1.292141616704593E-4</v>
      </c>
      <c r="F8">
        <v>1.2471045569053014E-4</v>
      </c>
      <c r="G8">
        <v>1.8424781503317443E-3</v>
      </c>
      <c r="H8" s="15">
        <v>38696</v>
      </c>
      <c r="I8" s="15">
        <v>40093</v>
      </c>
      <c r="J8" s="15">
        <v>2714</v>
      </c>
      <c r="K8" s="15" t="s">
        <v>39</v>
      </c>
      <c r="L8" s="15">
        <v>12</v>
      </c>
    </row>
    <row r="9" spans="1:12" x14ac:dyDescent="0.45">
      <c r="A9">
        <f t="shared" si="0"/>
        <v>1</v>
      </c>
      <c r="B9" t="s">
        <v>36</v>
      </c>
      <c r="C9" s="15">
        <v>8</v>
      </c>
      <c r="D9">
        <v>1</v>
      </c>
      <c r="E9">
        <v>1.3715430656137051E-4</v>
      </c>
      <c r="F9">
        <v>1.3015298175285137E-4</v>
      </c>
      <c r="G9">
        <v>1.8824117049306499E-3</v>
      </c>
      <c r="H9" s="15">
        <v>36456</v>
      </c>
      <c r="I9" s="15">
        <v>38417</v>
      </c>
      <c r="J9" s="15">
        <v>2657</v>
      </c>
      <c r="K9" s="15" t="s">
        <v>40</v>
      </c>
      <c r="L9" s="15">
        <v>24</v>
      </c>
    </row>
    <row r="10" spans="1:12" x14ac:dyDescent="0.45">
      <c r="A10">
        <f t="shared" si="0"/>
        <v>1</v>
      </c>
      <c r="B10" t="s">
        <v>36</v>
      </c>
      <c r="C10" s="15">
        <v>16</v>
      </c>
      <c r="D10">
        <v>1</v>
      </c>
      <c r="E10">
        <v>1.4700231081318508E-4</v>
      </c>
      <c r="F10">
        <v>1.4004114665022588E-4</v>
      </c>
      <c r="G10">
        <v>1.9195820345489028E-3</v>
      </c>
      <c r="H10" s="15">
        <v>34014</v>
      </c>
      <c r="I10" s="15">
        <v>35704</v>
      </c>
      <c r="J10" s="15">
        <v>2605</v>
      </c>
      <c r="K10" s="15" t="s">
        <v>41</v>
      </c>
      <c r="L10" s="15">
        <v>48</v>
      </c>
    </row>
    <row r="11" spans="1:12" x14ac:dyDescent="0.45">
      <c r="A11">
        <f t="shared" si="0"/>
        <v>1</v>
      </c>
      <c r="B11" t="s">
        <v>36</v>
      </c>
      <c r="C11" s="15">
        <v>32</v>
      </c>
      <c r="D11">
        <v>1</v>
      </c>
      <c r="E11">
        <v>1.6461627707910469E-4</v>
      </c>
      <c r="F11">
        <v>1.5876684342552464E-4</v>
      </c>
      <c r="G11">
        <v>1.9947821300360445E-3</v>
      </c>
      <c r="H11" s="15">
        <v>30374</v>
      </c>
      <c r="I11" s="15">
        <v>31493</v>
      </c>
      <c r="J11" s="15">
        <v>2507</v>
      </c>
      <c r="K11" s="15" t="s">
        <v>42</v>
      </c>
      <c r="L11" s="15">
        <v>96</v>
      </c>
    </row>
    <row r="12" spans="1:12" x14ac:dyDescent="0.45">
      <c r="A12">
        <f t="shared" si="0"/>
        <v>1</v>
      </c>
      <c r="B12" t="s">
        <v>36</v>
      </c>
      <c r="C12" s="15">
        <v>64</v>
      </c>
      <c r="D12">
        <v>1</v>
      </c>
      <c r="E12">
        <v>2.1162555974095501E-4</v>
      </c>
      <c r="F12">
        <v>1.9906098415477263E-4</v>
      </c>
      <c r="G12">
        <v>2.1753947803391212E-3</v>
      </c>
      <c r="H12" s="15">
        <v>23627</v>
      </c>
      <c r="I12" s="15">
        <v>25118</v>
      </c>
      <c r="J12" s="15">
        <v>2299</v>
      </c>
      <c r="K12" s="15" t="s">
        <v>43</v>
      </c>
      <c r="L12" s="15">
        <v>192</v>
      </c>
    </row>
    <row r="13" spans="1:12" x14ac:dyDescent="0.45">
      <c r="A13">
        <f t="shared" si="0"/>
        <v>1</v>
      </c>
      <c r="B13" t="s">
        <v>36</v>
      </c>
      <c r="C13" s="15">
        <v>128</v>
      </c>
      <c r="D13">
        <v>1</v>
      </c>
      <c r="E13">
        <v>2.8521796817065567E-4</v>
      </c>
      <c r="F13">
        <v>2.8026636959805896E-4</v>
      </c>
      <c r="G13">
        <v>2.4698897283950052E-3</v>
      </c>
      <c r="H13" s="15">
        <v>17531</v>
      </c>
      <c r="I13" s="15">
        <v>17841</v>
      </c>
      <c r="J13" s="15">
        <v>2025</v>
      </c>
      <c r="K13" s="15" t="s">
        <v>44</v>
      </c>
      <c r="L13" s="15">
        <v>384</v>
      </c>
    </row>
    <row r="14" spans="1:12" x14ac:dyDescent="0.45">
      <c r="A14">
        <f t="shared" si="0"/>
        <v>1</v>
      </c>
      <c r="B14" t="s">
        <v>36</v>
      </c>
      <c r="C14" s="15">
        <v>256</v>
      </c>
      <c r="D14">
        <v>1</v>
      </c>
      <c r="E14">
        <v>4.4585392777531113E-4</v>
      </c>
      <c r="F14">
        <v>4.4391376065339665E-4</v>
      </c>
      <c r="G14">
        <v>3.1271550343968655E-3</v>
      </c>
      <c r="H14" s="15">
        <v>11215</v>
      </c>
      <c r="I14" s="15">
        <v>11264</v>
      </c>
      <c r="J14" s="15">
        <v>1599</v>
      </c>
      <c r="K14" s="15" t="s">
        <v>45</v>
      </c>
      <c r="L14" s="15">
        <v>768</v>
      </c>
    </row>
    <row r="15" spans="1:12" x14ac:dyDescent="0.45">
      <c r="A15">
        <f t="shared" si="0"/>
        <v>1</v>
      </c>
      <c r="B15" t="s">
        <v>36</v>
      </c>
      <c r="C15" s="15">
        <v>512</v>
      </c>
      <c r="D15">
        <v>1</v>
      </c>
      <c r="E15">
        <v>7.5756594455389363E-4</v>
      </c>
      <c r="F15">
        <v>7.8470524168252893E-4</v>
      </c>
      <c r="G15">
        <v>4.3505461739123744E-3</v>
      </c>
      <c r="H15" s="15">
        <v>6601</v>
      </c>
      <c r="I15" s="15">
        <v>6372</v>
      </c>
      <c r="J15" s="15">
        <v>1150</v>
      </c>
      <c r="K15" s="15" t="s">
        <v>46</v>
      </c>
      <c r="L15" s="15">
        <v>1536</v>
      </c>
    </row>
    <row r="16" spans="1:12" x14ac:dyDescent="0.45">
      <c r="A16">
        <f t="shared" si="0"/>
        <v>1</v>
      </c>
      <c r="B16" t="s">
        <v>36</v>
      </c>
      <c r="C16" s="15">
        <v>1024</v>
      </c>
      <c r="D16">
        <v>1</v>
      </c>
      <c r="E16">
        <v>1.4202277193978592E-3</v>
      </c>
      <c r="F16">
        <v>1.450245011600919E-3</v>
      </c>
      <c r="G16">
        <v>6.9350496532593316E-3</v>
      </c>
      <c r="H16" s="15">
        <v>3521</v>
      </c>
      <c r="I16" s="15">
        <v>3448</v>
      </c>
      <c r="J16" s="15">
        <v>721</v>
      </c>
      <c r="K16" s="15" t="s">
        <v>47</v>
      </c>
      <c r="L16" s="15">
        <v>3072</v>
      </c>
    </row>
    <row r="17" spans="1:12" x14ac:dyDescent="0.45">
      <c r="A17">
        <f t="shared" si="0"/>
        <v>1</v>
      </c>
      <c r="B17" t="s">
        <v>36</v>
      </c>
      <c r="C17" s="15">
        <v>2048</v>
      </c>
      <c r="D17">
        <v>1</v>
      </c>
      <c r="E17">
        <v>2.8257352542366038E-3</v>
      </c>
      <c r="F17">
        <v>3.0353459951451777E-3</v>
      </c>
      <c r="G17">
        <v>1.2143817475726324E-2</v>
      </c>
      <c r="H17" s="15">
        <v>1770</v>
      </c>
      <c r="I17" s="15">
        <v>1648</v>
      </c>
      <c r="J17" s="15">
        <v>412</v>
      </c>
      <c r="K17" s="15" t="s">
        <v>48</v>
      </c>
      <c r="L17" s="15">
        <v>6144</v>
      </c>
    </row>
    <row r="18" spans="1:12" x14ac:dyDescent="0.45">
      <c r="A18">
        <f t="shared" si="0"/>
        <v>1</v>
      </c>
      <c r="B18" t="s">
        <v>36</v>
      </c>
      <c r="C18" s="15">
        <v>4096</v>
      </c>
      <c r="D18">
        <v>1</v>
      </c>
      <c r="E18">
        <v>5.492938748627392E-3</v>
      </c>
      <c r="F18">
        <v>5.5376767441871928E-3</v>
      </c>
      <c r="G18">
        <v>2.5072455500003345E-2</v>
      </c>
      <c r="H18" s="15">
        <v>911</v>
      </c>
      <c r="I18" s="15">
        <v>903</v>
      </c>
      <c r="J18" s="15">
        <v>200</v>
      </c>
      <c r="K18" s="15" t="s">
        <v>49</v>
      </c>
      <c r="L18" s="15">
        <v>12288</v>
      </c>
    </row>
    <row r="19" spans="1:12" x14ac:dyDescent="0.45">
      <c r="A19">
        <f t="shared" si="0"/>
        <v>1</v>
      </c>
      <c r="B19" t="s">
        <v>36</v>
      </c>
      <c r="C19" s="15">
        <v>8192</v>
      </c>
      <c r="D19">
        <v>1</v>
      </c>
      <c r="E19">
        <v>1.1117214666668991E-2</v>
      </c>
      <c r="F19">
        <v>1.0839643506494814E-2</v>
      </c>
      <c r="G19">
        <v>4.6924121495330581E-2</v>
      </c>
      <c r="H19" s="15">
        <v>450</v>
      </c>
      <c r="I19" s="15">
        <v>462</v>
      </c>
      <c r="J19" s="15">
        <v>107</v>
      </c>
      <c r="K19" s="15" t="s">
        <v>50</v>
      </c>
      <c r="L19" s="15">
        <v>24576</v>
      </c>
    </row>
    <row r="20" spans="1:12" x14ac:dyDescent="0.45">
      <c r="A20">
        <f t="shared" si="0"/>
        <v>1</v>
      </c>
      <c r="B20" t="s">
        <v>36</v>
      </c>
      <c r="C20" s="15">
        <v>16384</v>
      </c>
      <c r="D20">
        <v>1</v>
      </c>
      <c r="E20">
        <v>2.2051429074895268E-2</v>
      </c>
      <c r="F20">
        <v>2.1504316309013165E-2</v>
      </c>
      <c r="G20">
        <v>8.8240175438585811E-2</v>
      </c>
      <c r="H20" s="15">
        <v>227</v>
      </c>
      <c r="I20" s="15">
        <v>233</v>
      </c>
      <c r="J20" s="15">
        <v>57</v>
      </c>
      <c r="K20" s="15" t="s">
        <v>51</v>
      </c>
      <c r="L20" s="15">
        <v>49152</v>
      </c>
    </row>
    <row r="21" spans="1:12" x14ac:dyDescent="0.45">
      <c r="A21">
        <f t="shared" si="0"/>
        <v>1</v>
      </c>
      <c r="B21" t="s">
        <v>36</v>
      </c>
      <c r="C21" s="15">
        <v>32768</v>
      </c>
      <c r="D21">
        <v>1</v>
      </c>
      <c r="E21">
        <v>4.4927449107149187E-2</v>
      </c>
      <c r="F21">
        <v>4.3666169565229847E-2</v>
      </c>
      <c r="G21">
        <v>0.16928570000000037</v>
      </c>
      <c r="H21" s="15">
        <v>112</v>
      </c>
      <c r="I21" s="15">
        <v>115</v>
      </c>
      <c r="J21" s="15">
        <v>30</v>
      </c>
      <c r="K21" s="15" t="s">
        <v>52</v>
      </c>
      <c r="L21" s="15">
        <v>98304</v>
      </c>
    </row>
    <row r="22" spans="1:12" x14ac:dyDescent="0.45">
      <c r="A22">
        <f t="shared" si="0"/>
        <v>1</v>
      </c>
      <c r="B22" t="s">
        <v>36</v>
      </c>
      <c r="C22" s="15">
        <v>65536</v>
      </c>
      <c r="D22">
        <v>1</v>
      </c>
      <c r="E22">
        <v>0.10542577291668447</v>
      </c>
      <c r="F22">
        <v>0.10038517058823274</v>
      </c>
      <c r="G22">
        <v>0.33775663999998262</v>
      </c>
      <c r="H22" s="15">
        <v>48</v>
      </c>
      <c r="I22" s="15">
        <v>51</v>
      </c>
      <c r="J22" s="15">
        <v>15</v>
      </c>
      <c r="K22" s="15" t="s">
        <v>53</v>
      </c>
      <c r="L22" s="15">
        <v>196608</v>
      </c>
    </row>
    <row r="23" spans="1:12" x14ac:dyDescent="0.45">
      <c r="A23">
        <f t="shared" si="0"/>
        <v>1</v>
      </c>
      <c r="B23" t="s">
        <v>36</v>
      </c>
      <c r="C23" s="15">
        <v>131072</v>
      </c>
      <c r="D23">
        <v>1</v>
      </c>
      <c r="E23">
        <v>0.17805527931033857</v>
      </c>
      <c r="F23">
        <v>0.17777406551719871</v>
      </c>
      <c r="G23">
        <v>0.65007098750015757</v>
      </c>
      <c r="H23" s="15">
        <v>29</v>
      </c>
      <c r="I23" s="15">
        <v>29</v>
      </c>
      <c r="J23" s="15">
        <v>8</v>
      </c>
      <c r="K23" s="15" t="s">
        <v>54</v>
      </c>
      <c r="L23" s="15">
        <v>393216</v>
      </c>
    </row>
    <row r="24" spans="1:12" x14ac:dyDescent="0.45">
      <c r="A24">
        <f t="shared" si="0"/>
        <v>1</v>
      </c>
      <c r="B24" t="s">
        <v>36</v>
      </c>
      <c r="C24" s="15">
        <v>262144</v>
      </c>
      <c r="D24">
        <v>1</v>
      </c>
      <c r="E24">
        <v>0.36705025000005015</v>
      </c>
      <c r="F24">
        <v>0.34604212666660411</v>
      </c>
      <c r="G24">
        <v>1.3880589749996943</v>
      </c>
      <c r="H24" s="15">
        <v>14</v>
      </c>
      <c r="I24" s="15">
        <v>15</v>
      </c>
      <c r="J24" s="15">
        <v>4</v>
      </c>
      <c r="K24" s="15" t="s">
        <v>55</v>
      </c>
      <c r="L24" s="15">
        <v>786432</v>
      </c>
    </row>
    <row r="25" spans="1:12" x14ac:dyDescent="0.45">
      <c r="A25">
        <f t="shared" si="0"/>
        <v>1</v>
      </c>
      <c r="B25" t="s">
        <v>36</v>
      </c>
      <c r="C25" s="15">
        <v>524288</v>
      </c>
      <c r="D25">
        <v>1</v>
      </c>
      <c r="E25">
        <v>0.75120355714300657</v>
      </c>
      <c r="F25">
        <v>0.74830622857137186</v>
      </c>
      <c r="G25">
        <v>2.5181865499998821</v>
      </c>
      <c r="H25" s="15">
        <v>7</v>
      </c>
      <c r="I25" s="15">
        <v>7</v>
      </c>
      <c r="J25" s="15">
        <v>2</v>
      </c>
      <c r="K25" s="15" t="s">
        <v>56</v>
      </c>
      <c r="L25" s="15">
        <v>1572864</v>
      </c>
    </row>
    <row r="26" spans="1:12" x14ac:dyDescent="0.45">
      <c r="A26">
        <f t="shared" si="0"/>
        <v>1</v>
      </c>
      <c r="B26" t="s">
        <v>36</v>
      </c>
      <c r="C26" s="15">
        <v>1048576</v>
      </c>
      <c r="D26">
        <v>1</v>
      </c>
      <c r="E26">
        <v>1.4548350499999287</v>
      </c>
      <c r="F26">
        <v>1.4545715249996647</v>
      </c>
      <c r="G26">
        <v>4.9294864499997857</v>
      </c>
      <c r="H26" s="15">
        <v>4</v>
      </c>
      <c r="I26" s="15">
        <v>4</v>
      </c>
      <c r="J26" s="15">
        <v>2</v>
      </c>
      <c r="K26" s="15" t="s">
        <v>57</v>
      </c>
      <c r="L26" s="15">
        <v>3145728</v>
      </c>
    </row>
    <row r="27" spans="1:12" x14ac:dyDescent="0.45">
      <c r="A27">
        <f t="shared" si="0"/>
        <v>1</v>
      </c>
      <c r="B27" t="s">
        <v>36</v>
      </c>
      <c r="C27" s="15">
        <v>2097152</v>
      </c>
      <c r="D27">
        <v>1</v>
      </c>
      <c r="E27">
        <v>2.977490599999328</v>
      </c>
      <c r="F27">
        <v>3.0704576999996789</v>
      </c>
      <c r="G27">
        <v>10.497115999998641</v>
      </c>
      <c r="H27" s="15">
        <v>2</v>
      </c>
      <c r="I27" s="15">
        <v>2</v>
      </c>
      <c r="J27" s="15">
        <v>1</v>
      </c>
      <c r="K27" s="15" t="s">
        <v>58</v>
      </c>
      <c r="L27" s="15">
        <v>6291456</v>
      </c>
    </row>
    <row r="28" spans="1:12" x14ac:dyDescent="0.45">
      <c r="H28" s="15"/>
      <c r="I28" s="15"/>
      <c r="J28" s="15"/>
    </row>
    <row r="30" spans="1:12" x14ac:dyDescent="0.45">
      <c r="H30" s="15"/>
      <c r="I30" s="15"/>
      <c r="J30" s="15"/>
    </row>
    <row r="31" spans="1:12" x14ac:dyDescent="0.45">
      <c r="H31" s="15"/>
      <c r="I31" s="15"/>
      <c r="J31" s="15"/>
      <c r="K31" s="19" t="s">
        <v>59</v>
      </c>
    </row>
    <row r="32" spans="1:12" ht="28.5" x14ac:dyDescent="0.45">
      <c r="A32" s="16" t="s">
        <v>24</v>
      </c>
      <c r="B32" s="16" t="s">
        <v>25</v>
      </c>
      <c r="C32" s="16" t="s">
        <v>26</v>
      </c>
      <c r="D32" s="16" t="s">
        <v>27</v>
      </c>
      <c r="E32" s="16" t="s">
        <v>28</v>
      </c>
      <c r="F32" s="16" t="s">
        <v>29</v>
      </c>
      <c r="G32" s="16" t="s">
        <v>30</v>
      </c>
      <c r="H32" s="17" t="s">
        <v>31</v>
      </c>
      <c r="I32" s="17" t="s">
        <v>32</v>
      </c>
      <c r="J32" s="17" t="s">
        <v>33</v>
      </c>
      <c r="K32" s="16" t="s">
        <v>34</v>
      </c>
      <c r="L32" s="16" t="s">
        <v>35</v>
      </c>
    </row>
    <row r="33" spans="1:12" x14ac:dyDescent="0.45">
      <c r="A33">
        <f>LEN(B33)</f>
        <v>32</v>
      </c>
      <c r="B33" t="str">
        <f>REPT("x",32)</f>
        <v>xxxxxxxxxxxxxxxxxxxxxxxxxxxxxxxx</v>
      </c>
      <c r="C33" s="15">
        <v>1</v>
      </c>
      <c r="D33">
        <v>1</v>
      </c>
      <c r="E33">
        <v>1.34479874129294E-4</v>
      </c>
      <c r="F33">
        <v>1.3239526293493193E-4</v>
      </c>
      <c r="G33">
        <v>2.0403903304768351E-3</v>
      </c>
      <c r="H33" s="15">
        <v>37181</v>
      </c>
      <c r="I33" s="15">
        <v>37766</v>
      </c>
      <c r="J33" s="15">
        <v>2451</v>
      </c>
      <c r="K33" s="15" t="s">
        <v>60</v>
      </c>
      <c r="L33" s="15">
        <v>34</v>
      </c>
    </row>
    <row r="34" spans="1:12" x14ac:dyDescent="0.45">
      <c r="A34">
        <f t="shared" ref="A34:A53" si="1">LEN(B34)</f>
        <v>32</v>
      </c>
      <c r="B34" t="str">
        <f t="shared" ref="B34:B53" si="2">REPT("x",32)</f>
        <v>xxxxxxxxxxxxxxxxxxxxxxxxxxxxxxxx</v>
      </c>
      <c r="C34" s="15">
        <v>2</v>
      </c>
      <c r="D34">
        <v>1</v>
      </c>
      <c r="E34">
        <v>1.4183739645978871E-4</v>
      </c>
      <c r="F34">
        <v>1.3560162991890296E-4</v>
      </c>
      <c r="G34">
        <v>2.0671608515911172E-3</v>
      </c>
      <c r="H34" s="15">
        <v>35252</v>
      </c>
      <c r="I34" s="15">
        <v>36873</v>
      </c>
      <c r="J34" s="15">
        <v>2419</v>
      </c>
      <c r="K34" s="15" t="s">
        <v>61</v>
      </c>
      <c r="L34" s="15">
        <v>68</v>
      </c>
    </row>
    <row r="35" spans="1:12" x14ac:dyDescent="0.45">
      <c r="A35">
        <f t="shared" si="1"/>
        <v>32</v>
      </c>
      <c r="B35" t="str">
        <f t="shared" si="2"/>
        <v>xxxxxxxxxxxxxxxxxxxxxxxxxxxxxxxx</v>
      </c>
      <c r="C35" s="15">
        <v>4</v>
      </c>
      <c r="D35">
        <v>1</v>
      </c>
      <c r="E35">
        <v>1.494449249805769E-4</v>
      </c>
      <c r="F35">
        <v>1.4331502479289084E-4</v>
      </c>
      <c r="G35">
        <v>2.0889627401837886E-3</v>
      </c>
      <c r="H35" s="15">
        <v>33458</v>
      </c>
      <c r="I35" s="15">
        <v>34889</v>
      </c>
      <c r="J35" s="15">
        <v>2394</v>
      </c>
      <c r="K35" s="15" t="s">
        <v>62</v>
      </c>
      <c r="L35" s="15">
        <v>136</v>
      </c>
    </row>
    <row r="36" spans="1:12" x14ac:dyDescent="0.45">
      <c r="A36">
        <f t="shared" si="1"/>
        <v>32</v>
      </c>
      <c r="B36" t="str">
        <f t="shared" si="2"/>
        <v>xxxxxxxxxxxxxxxxxxxxxxxxxxxxxxxx</v>
      </c>
      <c r="C36" s="15">
        <v>8</v>
      </c>
      <c r="D36">
        <v>1</v>
      </c>
      <c r="E36">
        <v>1.6171222509704975E-4</v>
      </c>
      <c r="F36">
        <v>1.619906761265919E-4</v>
      </c>
      <c r="G36">
        <v>2.1437495499359743E-3</v>
      </c>
      <c r="H36" s="15">
        <v>30920</v>
      </c>
      <c r="I36" s="15">
        <v>30867</v>
      </c>
      <c r="J36" s="15">
        <v>2333</v>
      </c>
      <c r="K36" s="15" t="s">
        <v>63</v>
      </c>
      <c r="L36" s="15">
        <v>272</v>
      </c>
    </row>
    <row r="37" spans="1:12" x14ac:dyDescent="0.45">
      <c r="A37">
        <f t="shared" si="1"/>
        <v>32</v>
      </c>
      <c r="B37" t="str">
        <f t="shared" si="2"/>
        <v>xxxxxxxxxxxxxxxxxxxxxxxxxxxxxxxx</v>
      </c>
      <c r="C37" s="15">
        <v>16</v>
      </c>
      <c r="D37">
        <v>1</v>
      </c>
      <c r="E37">
        <v>2.0189477913267227E-4</v>
      </c>
      <c r="F37">
        <v>1.8643100298283477E-4</v>
      </c>
      <c r="G37">
        <v>2.1701710069442649E-3</v>
      </c>
      <c r="H37" s="15">
        <v>24766</v>
      </c>
      <c r="I37" s="15">
        <v>26820</v>
      </c>
      <c r="J37" s="15">
        <v>2304</v>
      </c>
      <c r="K37" s="15" t="s">
        <v>64</v>
      </c>
      <c r="L37" s="15">
        <v>544</v>
      </c>
    </row>
    <row r="38" spans="1:12" x14ac:dyDescent="0.45">
      <c r="A38">
        <f t="shared" si="1"/>
        <v>32</v>
      </c>
      <c r="B38" t="str">
        <f t="shared" si="2"/>
        <v>xxxxxxxxxxxxxxxxxxxxxxxxxxxxxxxx</v>
      </c>
      <c r="C38" s="15">
        <v>32</v>
      </c>
      <c r="D38">
        <v>1</v>
      </c>
      <c r="E38">
        <v>2.413951385536163E-4</v>
      </c>
      <c r="F38">
        <v>2.3752324355138786E-4</v>
      </c>
      <c r="G38">
        <v>2.2608000904157507E-3</v>
      </c>
      <c r="H38" s="15">
        <v>20714</v>
      </c>
      <c r="I38" s="15">
        <v>21051</v>
      </c>
      <c r="J38" s="15">
        <v>2212</v>
      </c>
      <c r="K38" s="15" t="s">
        <v>65</v>
      </c>
      <c r="L38" s="15">
        <v>1088</v>
      </c>
    </row>
    <row r="39" spans="1:12" x14ac:dyDescent="0.45">
      <c r="A39">
        <f t="shared" si="1"/>
        <v>32</v>
      </c>
      <c r="B39" t="str">
        <f t="shared" si="2"/>
        <v>xxxxxxxxxxxxxxxxxxxxxxxxxxxxxxxx</v>
      </c>
      <c r="C39" s="15">
        <v>64</v>
      </c>
      <c r="D39">
        <v>1</v>
      </c>
      <c r="E39">
        <v>3.5599028905026244E-4</v>
      </c>
      <c r="F39">
        <v>3.2940519138286811E-4</v>
      </c>
      <c r="G39">
        <v>2.4749920336468671E-3</v>
      </c>
      <c r="H39" s="15">
        <v>14046</v>
      </c>
      <c r="I39" s="15">
        <v>15179</v>
      </c>
      <c r="J39" s="15">
        <v>2021</v>
      </c>
      <c r="K39" s="15" t="s">
        <v>66</v>
      </c>
      <c r="L39" s="15">
        <v>2176</v>
      </c>
    </row>
    <row r="40" spans="1:12" x14ac:dyDescent="0.45">
      <c r="A40">
        <f t="shared" si="1"/>
        <v>32</v>
      </c>
      <c r="B40" t="str">
        <f t="shared" si="2"/>
        <v>xxxxxxxxxxxxxxxxxxxxxxxxxxxxxxxx</v>
      </c>
      <c r="C40" s="15">
        <v>128</v>
      </c>
      <c r="D40">
        <v>1</v>
      </c>
      <c r="E40">
        <v>5.4607597466429841E-4</v>
      </c>
      <c r="F40">
        <v>5.2124734702384029E-4</v>
      </c>
      <c r="G40">
        <v>2.8558099942885542E-3</v>
      </c>
      <c r="H40" s="15">
        <v>9157</v>
      </c>
      <c r="I40" s="15">
        <v>9593</v>
      </c>
      <c r="J40" s="15">
        <v>1751</v>
      </c>
      <c r="K40" s="15" t="s">
        <v>67</v>
      </c>
      <c r="L40" s="15">
        <v>4352</v>
      </c>
    </row>
    <row r="41" spans="1:12" x14ac:dyDescent="0.45">
      <c r="A41">
        <f t="shared" si="1"/>
        <v>32</v>
      </c>
      <c r="B41" t="str">
        <f t="shared" si="2"/>
        <v>xxxxxxxxxxxxxxxxxxxxxxxxxxxxxxxx</v>
      </c>
      <c r="C41" s="15">
        <v>256</v>
      </c>
      <c r="D41">
        <v>1</v>
      </c>
      <c r="E41">
        <v>1.0993258298530621E-3</v>
      </c>
      <c r="F41">
        <v>8.9574706198481649E-4</v>
      </c>
      <c r="G41">
        <v>3.6949522895118789E-3</v>
      </c>
      <c r="H41" s="15">
        <v>4549</v>
      </c>
      <c r="I41" s="15">
        <v>5582</v>
      </c>
      <c r="J41" s="15">
        <v>1354</v>
      </c>
      <c r="K41" s="15" t="s">
        <v>68</v>
      </c>
      <c r="L41" s="15">
        <v>8704</v>
      </c>
    </row>
    <row r="42" spans="1:12" x14ac:dyDescent="0.45">
      <c r="A42">
        <f t="shared" si="1"/>
        <v>32</v>
      </c>
      <c r="B42" t="str">
        <f t="shared" si="2"/>
        <v>xxxxxxxxxxxxxxxxxxxxxxxxxxxxxxxx</v>
      </c>
      <c r="C42" s="15">
        <v>512</v>
      </c>
      <c r="D42">
        <v>1</v>
      </c>
      <c r="E42">
        <v>1.7651133074481529E-3</v>
      </c>
      <c r="F42">
        <v>1.6841131020543982E-3</v>
      </c>
      <c r="G42">
        <v>5.2559193277317692E-3</v>
      </c>
      <c r="H42" s="15">
        <v>2833</v>
      </c>
      <c r="I42" s="15">
        <v>2969</v>
      </c>
      <c r="J42" s="15">
        <v>952</v>
      </c>
      <c r="K42" s="15" t="s">
        <v>69</v>
      </c>
      <c r="L42" s="15">
        <v>17408</v>
      </c>
    </row>
    <row r="43" spans="1:12" x14ac:dyDescent="0.45">
      <c r="A43">
        <f t="shared" si="1"/>
        <v>32</v>
      </c>
      <c r="B43" t="str">
        <f t="shared" si="2"/>
        <v>xxxxxxxxxxxxxxxxxxxxxxxxxxxxxxxx</v>
      </c>
      <c r="C43" s="15">
        <v>1024</v>
      </c>
      <c r="D43">
        <v>1</v>
      </c>
      <c r="E43">
        <v>3.6095994227991839E-3</v>
      </c>
      <c r="F43">
        <v>3.3403356045416653E-3</v>
      </c>
      <c r="G43">
        <v>8.641772711571901E-3</v>
      </c>
      <c r="H43" s="15">
        <v>1386</v>
      </c>
      <c r="I43" s="15">
        <v>1497</v>
      </c>
      <c r="J43" s="15">
        <v>579</v>
      </c>
      <c r="K43" s="15" t="s">
        <v>70</v>
      </c>
      <c r="L43" s="15">
        <v>34816</v>
      </c>
    </row>
    <row r="44" spans="1:12" x14ac:dyDescent="0.45">
      <c r="A44">
        <f t="shared" si="1"/>
        <v>32</v>
      </c>
      <c r="B44" t="str">
        <f t="shared" si="2"/>
        <v>xxxxxxxxxxxxxxxxxxxxxxxxxxxxxxxx</v>
      </c>
      <c r="C44" s="15">
        <v>2048</v>
      </c>
      <c r="D44">
        <v>1</v>
      </c>
      <c r="E44">
        <v>6.6196644179904573E-3</v>
      </c>
      <c r="F44">
        <v>6.4426679536677776E-3</v>
      </c>
      <c r="G44">
        <v>1.5512091950461162E-2</v>
      </c>
      <c r="H44" s="15">
        <v>756</v>
      </c>
      <c r="I44" s="15">
        <v>777</v>
      </c>
      <c r="J44" s="15">
        <v>323</v>
      </c>
      <c r="K44" s="15" t="s">
        <v>71</v>
      </c>
      <c r="L44" s="15">
        <v>69632</v>
      </c>
    </row>
    <row r="45" spans="1:12" x14ac:dyDescent="0.45">
      <c r="A45">
        <f t="shared" si="1"/>
        <v>32</v>
      </c>
      <c r="B45" t="str">
        <f t="shared" si="2"/>
        <v>xxxxxxxxxxxxxxxxxxxxxxxxxxxxxxxx</v>
      </c>
      <c r="C45" s="15">
        <v>4096</v>
      </c>
      <c r="D45">
        <v>1</v>
      </c>
      <c r="E45">
        <v>1.2783892346941666E-2</v>
      </c>
      <c r="F45">
        <v>1.2523153749998527E-2</v>
      </c>
      <c r="G45">
        <v>3.0566157926819514E-2</v>
      </c>
      <c r="H45" s="15">
        <v>392</v>
      </c>
      <c r="I45" s="15">
        <v>400</v>
      </c>
      <c r="J45" s="15">
        <v>164</v>
      </c>
      <c r="K45" s="15" t="s">
        <v>72</v>
      </c>
      <c r="L45" s="15">
        <v>139264</v>
      </c>
    </row>
    <row r="46" spans="1:12" x14ac:dyDescent="0.45">
      <c r="A46">
        <f t="shared" si="1"/>
        <v>32</v>
      </c>
      <c r="B46" t="str">
        <f t="shared" si="2"/>
        <v>xxxxxxxxxxxxxxxxxxxxxxxxxxxxxxxx</v>
      </c>
      <c r="C46" s="15">
        <v>8192</v>
      </c>
      <c r="D46">
        <v>1</v>
      </c>
      <c r="E46">
        <v>2.7055212432438764E-2</v>
      </c>
      <c r="F46">
        <v>2.6463665079361855E-2</v>
      </c>
      <c r="G46">
        <v>5.0198493000007144E-2</v>
      </c>
      <c r="H46" s="15">
        <v>185</v>
      </c>
      <c r="I46" s="15">
        <v>189</v>
      </c>
      <c r="J46" s="15">
        <v>100</v>
      </c>
      <c r="K46" s="15" t="s">
        <v>73</v>
      </c>
      <c r="L46" s="15">
        <v>278528</v>
      </c>
    </row>
    <row r="47" spans="1:12" x14ac:dyDescent="0.45">
      <c r="A47">
        <f t="shared" si="1"/>
        <v>32</v>
      </c>
      <c r="B47" t="str">
        <f t="shared" si="2"/>
        <v>xxxxxxxxxxxxxxxxxxxxxxxxxxxxxxxx</v>
      </c>
      <c r="C47" s="15">
        <v>16384</v>
      </c>
      <c r="D47">
        <v>1</v>
      </c>
      <c r="E47">
        <v>5.6172302222229416E-2</v>
      </c>
      <c r="F47">
        <v>5.0571818181821861E-2</v>
      </c>
      <c r="G47">
        <v>9.6531917307682027E-2</v>
      </c>
      <c r="H47" s="15">
        <v>90</v>
      </c>
      <c r="I47" s="15">
        <v>99</v>
      </c>
      <c r="J47" s="15">
        <v>52</v>
      </c>
      <c r="K47" s="15" t="s">
        <v>74</v>
      </c>
      <c r="L47" s="15">
        <v>557056</v>
      </c>
    </row>
    <row r="48" spans="1:12" x14ac:dyDescent="0.45">
      <c r="A48">
        <f t="shared" si="1"/>
        <v>32</v>
      </c>
      <c r="B48" t="str">
        <f t="shared" si="2"/>
        <v>xxxxxxxxxxxxxxxxxxxxxxxxxxxxxxxx</v>
      </c>
      <c r="C48" s="15">
        <v>32768</v>
      </c>
      <c r="D48">
        <v>1</v>
      </c>
      <c r="E48">
        <v>0.1080429361702161</v>
      </c>
      <c r="F48">
        <v>0.10883963404256142</v>
      </c>
      <c r="G48">
        <v>0.18798502962959496</v>
      </c>
      <c r="H48" s="15">
        <v>47</v>
      </c>
      <c r="I48" s="15">
        <v>47</v>
      </c>
      <c r="J48" s="15">
        <v>27</v>
      </c>
      <c r="K48" s="15" t="s">
        <v>75</v>
      </c>
      <c r="L48" s="15">
        <v>1114112</v>
      </c>
    </row>
    <row r="49" spans="1:12" x14ac:dyDescent="0.45">
      <c r="A49">
        <f t="shared" si="1"/>
        <v>32</v>
      </c>
      <c r="B49" t="str">
        <f t="shared" si="2"/>
        <v>xxxxxxxxxxxxxxxxxxxxxxxxxxxxxxxx</v>
      </c>
      <c r="C49" s="15">
        <v>65536</v>
      </c>
      <c r="D49">
        <v>1</v>
      </c>
      <c r="E49">
        <v>0.21789429999997714</v>
      </c>
      <c r="F49">
        <v>0.20836787500002174</v>
      </c>
      <c r="G49">
        <v>0.3881295384615861</v>
      </c>
      <c r="H49" s="15">
        <v>23</v>
      </c>
      <c r="I49" s="15">
        <v>24</v>
      </c>
      <c r="J49" s="15">
        <v>13</v>
      </c>
      <c r="K49" s="15" t="s">
        <v>76</v>
      </c>
      <c r="L49" s="15">
        <v>2228224</v>
      </c>
    </row>
    <row r="50" spans="1:12" x14ac:dyDescent="0.45">
      <c r="A50">
        <f t="shared" si="1"/>
        <v>32</v>
      </c>
      <c r="B50" t="str">
        <f t="shared" si="2"/>
        <v>xxxxxxxxxxxxxxxxxxxxxxxxxxxxxxxx</v>
      </c>
      <c r="C50" s="15">
        <v>131072</v>
      </c>
      <c r="D50">
        <v>1</v>
      </c>
      <c r="E50">
        <v>0.42822090833336307</v>
      </c>
      <c r="F50">
        <v>0.41175323076920622</v>
      </c>
      <c r="G50">
        <v>0.75083692857151618</v>
      </c>
      <c r="H50" s="15">
        <v>12</v>
      </c>
      <c r="I50" s="15">
        <v>13</v>
      </c>
      <c r="J50" s="15">
        <v>7</v>
      </c>
      <c r="K50" s="15" t="s">
        <v>77</v>
      </c>
      <c r="L50" s="15">
        <v>4456448</v>
      </c>
    </row>
    <row r="51" spans="1:12" x14ac:dyDescent="0.45">
      <c r="A51">
        <f t="shared" si="1"/>
        <v>32</v>
      </c>
      <c r="B51" t="str">
        <f t="shared" si="2"/>
        <v>xxxxxxxxxxxxxxxxxxxxxxxxxxxxxxxx</v>
      </c>
      <c r="C51" s="15">
        <v>262144</v>
      </c>
      <c r="D51">
        <v>1</v>
      </c>
      <c r="E51">
        <v>0.86779139999998733</v>
      </c>
      <c r="F51">
        <v>0.8477728499998799</v>
      </c>
      <c r="G51">
        <v>1.5137419750003573</v>
      </c>
      <c r="H51" s="15">
        <v>6</v>
      </c>
      <c r="I51" s="15">
        <v>6</v>
      </c>
      <c r="J51" s="15">
        <v>4</v>
      </c>
      <c r="K51" s="15" t="s">
        <v>78</v>
      </c>
      <c r="L51" s="15">
        <v>8912896</v>
      </c>
    </row>
    <row r="52" spans="1:12" x14ac:dyDescent="0.45">
      <c r="A52">
        <f t="shared" si="1"/>
        <v>32</v>
      </c>
      <c r="B52" t="str">
        <f t="shared" si="2"/>
        <v>xxxxxxxxxxxxxxxxxxxxxxxxxxxxxxxx</v>
      </c>
      <c r="C52" s="15">
        <v>524288</v>
      </c>
      <c r="D52">
        <v>1</v>
      </c>
      <c r="E52">
        <v>1.7959464333331805</v>
      </c>
      <c r="F52">
        <v>1.8226661000001816</v>
      </c>
      <c r="G52">
        <v>2.8933888500005196</v>
      </c>
      <c r="H52" s="15">
        <v>3</v>
      </c>
      <c r="I52" s="15">
        <v>3</v>
      </c>
      <c r="J52" s="15">
        <v>2</v>
      </c>
      <c r="K52" s="15" t="s">
        <v>79</v>
      </c>
      <c r="L52" s="15">
        <v>17825792</v>
      </c>
    </row>
    <row r="53" spans="1:12" x14ac:dyDescent="0.45">
      <c r="A53">
        <f t="shared" si="1"/>
        <v>32</v>
      </c>
      <c r="B53" t="str">
        <f t="shared" si="2"/>
        <v>xxxxxxxxxxxxxxxxxxxxxxxxxxxxxxxx</v>
      </c>
      <c r="C53" s="15">
        <v>1048576</v>
      </c>
      <c r="D53">
        <v>1</v>
      </c>
      <c r="E53">
        <v>3.582008549999955</v>
      </c>
      <c r="F53">
        <v>3.4363585999999486</v>
      </c>
      <c r="G53">
        <v>5.8959924000009778</v>
      </c>
      <c r="H53" s="15">
        <v>2</v>
      </c>
      <c r="I53" s="15">
        <v>2</v>
      </c>
      <c r="J53" s="15">
        <v>1</v>
      </c>
      <c r="K53" s="15" t="s">
        <v>80</v>
      </c>
      <c r="L53" s="15">
        <v>35651584</v>
      </c>
    </row>
    <row r="54" spans="1:12" x14ac:dyDescent="0.45">
      <c r="C54" s="15"/>
      <c r="H54" s="15"/>
      <c r="I54" s="15"/>
      <c r="J54" s="15"/>
    </row>
    <row r="55" spans="1:12" x14ac:dyDescent="0.45">
      <c r="H55" s="15"/>
      <c r="I55" s="15"/>
      <c r="J55" s="15"/>
    </row>
    <row r="56" spans="1:12" x14ac:dyDescent="0.45">
      <c r="H56" s="15"/>
      <c r="I56" s="15"/>
      <c r="J56" s="15"/>
    </row>
    <row r="57" spans="1:12" x14ac:dyDescent="0.45">
      <c r="H57" s="15"/>
      <c r="I57" s="15"/>
      <c r="J57" s="15"/>
    </row>
    <row r="58" spans="1:12" x14ac:dyDescent="0.45">
      <c r="H58" s="15"/>
      <c r="I58" s="15"/>
      <c r="J58" s="15"/>
      <c r="K58" s="19" t="s">
        <v>81</v>
      </c>
    </row>
    <row r="59" spans="1:12" ht="28.5" x14ac:dyDescent="0.45">
      <c r="A59" s="16" t="s">
        <v>24</v>
      </c>
      <c r="B59" s="16" t="s">
        <v>25</v>
      </c>
      <c r="C59" s="16" t="s">
        <v>26</v>
      </c>
      <c r="D59" s="16" t="s">
        <v>27</v>
      </c>
      <c r="E59" s="16" t="s">
        <v>28</v>
      </c>
      <c r="F59" s="16" t="s">
        <v>29</v>
      </c>
      <c r="G59" s="16" t="s">
        <v>30</v>
      </c>
      <c r="H59" s="17" t="s">
        <v>31</v>
      </c>
      <c r="I59" s="17" t="s">
        <v>32</v>
      </c>
      <c r="J59" s="17" t="s">
        <v>33</v>
      </c>
      <c r="K59" s="16" t="s">
        <v>34</v>
      </c>
      <c r="L59" s="16" t="s">
        <v>35</v>
      </c>
    </row>
    <row r="60" spans="1:12" x14ac:dyDescent="0.45">
      <c r="A60">
        <f>LEN(B60)</f>
        <v>20</v>
      </c>
      <c r="B60" t="str">
        <f>"""xxxxxxxx"&amp;CHAR(13)&amp;CHAR(10)&amp;"yyyyyyyy"""</f>
        <v>"xxxxxxxx_x000D_
yyyyyyyy"</v>
      </c>
      <c r="C60" s="15">
        <v>1</v>
      </c>
      <c r="D60">
        <v>1</v>
      </c>
      <c r="E60">
        <v>1.3567349812775112E-4</v>
      </c>
      <c r="F60">
        <v>1.3170781813871631E-4</v>
      </c>
      <c r="G60">
        <v>2.1205321882948533E-3</v>
      </c>
      <c r="H60" s="15">
        <v>36854</v>
      </c>
      <c r="I60" s="15">
        <v>37963</v>
      </c>
      <c r="J60" s="15">
        <v>2358</v>
      </c>
      <c r="K60" s="15" t="s">
        <v>82</v>
      </c>
      <c r="L60" s="15">
        <v>22</v>
      </c>
    </row>
    <row r="61" spans="1:12" x14ac:dyDescent="0.45">
      <c r="A61">
        <f t="shared" ref="A61:A80" si="3">LEN(B61)</f>
        <v>20</v>
      </c>
      <c r="B61" t="str">
        <f t="shared" ref="B61:B80" si="4">"""xxxxxxxx"&amp;CHAR(13)&amp;CHAR(10)&amp;"yyyyyyyy"""</f>
        <v>"xxxxxxxx_x000D_
yyyyyyyy"</v>
      </c>
      <c r="C61" s="15">
        <v>2</v>
      </c>
      <c r="D61">
        <v>1</v>
      </c>
      <c r="E61">
        <v>1.3225410638238616E-4</v>
      </c>
      <c r="F61">
        <v>1.3077067608213924E-4</v>
      </c>
      <c r="G61">
        <v>2.1399235772357511E-3</v>
      </c>
      <c r="H61" s="15">
        <v>37807</v>
      </c>
      <c r="I61" s="15">
        <v>38235</v>
      </c>
      <c r="J61" s="15">
        <v>2337</v>
      </c>
      <c r="K61" s="15" t="s">
        <v>83</v>
      </c>
      <c r="L61" s="15">
        <v>44</v>
      </c>
    </row>
    <row r="62" spans="1:12" x14ac:dyDescent="0.45">
      <c r="A62">
        <f t="shared" si="3"/>
        <v>20</v>
      </c>
      <c r="B62" t="str">
        <f t="shared" si="4"/>
        <v>"xxxxxxxx_x000D_
yyyyyyyy"</v>
      </c>
      <c r="C62" s="15">
        <v>4</v>
      </c>
      <c r="D62">
        <v>1</v>
      </c>
      <c r="E62">
        <v>1.3949159157486467E-4</v>
      </c>
      <c r="F62">
        <v>1.3916558768685533E-4</v>
      </c>
      <c r="G62">
        <v>2.2125548230090002E-3</v>
      </c>
      <c r="H62" s="15">
        <v>35845</v>
      </c>
      <c r="I62" s="15">
        <v>35929</v>
      </c>
      <c r="J62" s="15">
        <v>2260</v>
      </c>
      <c r="K62" s="15" t="s">
        <v>84</v>
      </c>
      <c r="L62" s="15">
        <v>88</v>
      </c>
    </row>
    <row r="63" spans="1:12" x14ac:dyDescent="0.45">
      <c r="A63">
        <f t="shared" si="3"/>
        <v>20</v>
      </c>
      <c r="B63" t="str">
        <f t="shared" si="4"/>
        <v>"xxxxxxxx_x000D_
yyyyyyyy"</v>
      </c>
      <c r="C63" s="15">
        <v>8</v>
      </c>
      <c r="D63">
        <v>1</v>
      </c>
      <c r="E63">
        <v>1.7221753117033228E-4</v>
      </c>
      <c r="F63">
        <v>1.9038297985759768E-4</v>
      </c>
      <c r="G63">
        <v>2.4365383341457764E-3</v>
      </c>
      <c r="H63" s="15">
        <v>29034</v>
      </c>
      <c r="I63" s="15">
        <v>26263</v>
      </c>
      <c r="J63" s="15">
        <v>2053</v>
      </c>
      <c r="K63" s="15" t="s">
        <v>85</v>
      </c>
      <c r="L63" s="15">
        <v>176</v>
      </c>
    </row>
    <row r="64" spans="1:12" x14ac:dyDescent="0.45">
      <c r="A64">
        <f t="shared" si="3"/>
        <v>20</v>
      </c>
      <c r="B64" t="str">
        <f t="shared" si="4"/>
        <v>"xxxxxxxx_x000D_
yyyyyyyy"</v>
      </c>
      <c r="C64" s="15">
        <v>16</v>
      </c>
      <c r="D64">
        <v>1</v>
      </c>
      <c r="E64">
        <v>1.8136480467190202E-4</v>
      </c>
      <c r="F64">
        <v>1.8695294447563797E-4</v>
      </c>
      <c r="G64">
        <v>2.7876381270908641E-3</v>
      </c>
      <c r="H64" s="15">
        <v>27569</v>
      </c>
      <c r="I64" s="15">
        <v>26745</v>
      </c>
      <c r="J64" s="15">
        <v>1794</v>
      </c>
      <c r="K64" s="15" t="s">
        <v>86</v>
      </c>
      <c r="L64" s="15">
        <v>352</v>
      </c>
    </row>
    <row r="65" spans="1:12" x14ac:dyDescent="0.45">
      <c r="A65">
        <f t="shared" si="3"/>
        <v>20</v>
      </c>
      <c r="B65" t="str">
        <f t="shared" si="4"/>
        <v>"xxxxxxxx_x000D_
yyyyyyyy"</v>
      </c>
      <c r="C65" s="15">
        <v>32</v>
      </c>
      <c r="D65">
        <v>1</v>
      </c>
      <c r="E65">
        <v>2.1690347041472587E-4</v>
      </c>
      <c r="F65">
        <v>2.4684732424956412E-4</v>
      </c>
      <c r="G65">
        <v>3.4859562369333442E-3</v>
      </c>
      <c r="H65" s="15">
        <v>23052</v>
      </c>
      <c r="I65" s="15">
        <v>20256</v>
      </c>
      <c r="J65" s="15">
        <v>1435</v>
      </c>
      <c r="K65" s="15" t="s">
        <v>87</v>
      </c>
      <c r="L65" s="15">
        <v>704</v>
      </c>
    </row>
    <row r="66" spans="1:12" x14ac:dyDescent="0.45">
      <c r="A66">
        <f t="shared" si="3"/>
        <v>20</v>
      </c>
      <c r="B66" t="str">
        <f t="shared" si="4"/>
        <v>"xxxxxxxx_x000D_
yyyyyyyy"</v>
      </c>
      <c r="C66" s="15">
        <v>64</v>
      </c>
      <c r="D66">
        <v>1</v>
      </c>
      <c r="E66">
        <v>3.0753628759459334E-4</v>
      </c>
      <c r="F66">
        <v>3.5893744885506535E-4</v>
      </c>
      <c r="G66">
        <v>4.9010044074429392E-3</v>
      </c>
      <c r="H66" s="15">
        <v>16259</v>
      </c>
      <c r="I66" s="15">
        <v>13931</v>
      </c>
      <c r="J66" s="15">
        <v>1021</v>
      </c>
      <c r="K66" s="15" t="s">
        <v>88</v>
      </c>
      <c r="L66" s="15">
        <v>1408</v>
      </c>
    </row>
    <row r="67" spans="1:12" x14ac:dyDescent="0.45">
      <c r="A67">
        <f t="shared" si="3"/>
        <v>20</v>
      </c>
      <c r="B67" t="str">
        <f t="shared" si="4"/>
        <v>"xxxxxxxx_x000D_
yyyyyyyy"</v>
      </c>
      <c r="C67" s="15">
        <v>128</v>
      </c>
      <c r="D67">
        <v>1</v>
      </c>
      <c r="E67">
        <v>4.7192518168947672E-4</v>
      </c>
      <c r="F67">
        <v>6.4075115325486686E-4</v>
      </c>
      <c r="G67">
        <v>7.7835065318822318E-3</v>
      </c>
      <c r="H67" s="15">
        <v>10595</v>
      </c>
      <c r="I67" s="15">
        <v>7804</v>
      </c>
      <c r="J67" s="15">
        <v>643</v>
      </c>
      <c r="K67" s="15" t="s">
        <v>89</v>
      </c>
      <c r="L67" s="15">
        <v>2816</v>
      </c>
    </row>
    <row r="68" spans="1:12" x14ac:dyDescent="0.45">
      <c r="A68">
        <f t="shared" si="3"/>
        <v>20</v>
      </c>
      <c r="B68" t="str">
        <f t="shared" si="4"/>
        <v>"xxxxxxxx_x000D_
yyyyyyyy"</v>
      </c>
      <c r="C68" s="15">
        <v>256</v>
      </c>
      <c r="D68">
        <v>1</v>
      </c>
      <c r="E68">
        <v>8.5133971739877223E-4</v>
      </c>
      <c r="F68">
        <v>1.0669829528483189E-3</v>
      </c>
      <c r="G68">
        <v>1.3360757866665759E-2</v>
      </c>
      <c r="H68" s="15">
        <v>5874</v>
      </c>
      <c r="I68" s="15">
        <v>4687</v>
      </c>
      <c r="J68" s="15">
        <v>375</v>
      </c>
      <c r="K68" s="15" t="s">
        <v>90</v>
      </c>
      <c r="L68" s="15">
        <v>5632</v>
      </c>
    </row>
    <row r="69" spans="1:12" x14ac:dyDescent="0.45">
      <c r="A69">
        <f t="shared" si="3"/>
        <v>20</v>
      </c>
      <c r="B69" t="str">
        <f t="shared" si="4"/>
        <v>"xxxxxxxx_x000D_
yyyyyyyy"</v>
      </c>
      <c r="C69" s="15">
        <v>512</v>
      </c>
      <c r="D69">
        <v>1</v>
      </c>
      <c r="E69">
        <v>1.5580145794395484E-3</v>
      </c>
      <c r="F69">
        <v>2.0273659910822733E-3</v>
      </c>
      <c r="G69">
        <v>2.465726600984915E-2</v>
      </c>
      <c r="H69" s="15">
        <v>3210</v>
      </c>
      <c r="I69" s="15">
        <v>2467</v>
      </c>
      <c r="J69" s="15">
        <v>203</v>
      </c>
      <c r="K69" s="15" t="s">
        <v>91</v>
      </c>
      <c r="L69" s="15">
        <v>11264</v>
      </c>
    </row>
    <row r="70" spans="1:12" x14ac:dyDescent="0.45">
      <c r="A70">
        <f t="shared" si="3"/>
        <v>20</v>
      </c>
      <c r="B70" t="str">
        <f t="shared" si="4"/>
        <v>"xxxxxxxx_x000D_
yyyyyyyy"</v>
      </c>
      <c r="C70" s="15">
        <v>1024</v>
      </c>
      <c r="D70">
        <v>1</v>
      </c>
      <c r="E70">
        <v>2.9377303760288248E-3</v>
      </c>
      <c r="F70">
        <v>3.9924034317649817E-3</v>
      </c>
      <c r="G70">
        <v>4.7666095238084724E-2</v>
      </c>
      <c r="H70" s="15">
        <v>1702</v>
      </c>
      <c r="I70" s="15">
        <v>1253</v>
      </c>
      <c r="J70" s="15">
        <v>105</v>
      </c>
      <c r="K70" s="15" t="s">
        <v>92</v>
      </c>
      <c r="L70" s="15">
        <v>22528</v>
      </c>
    </row>
    <row r="71" spans="1:12" x14ac:dyDescent="0.45">
      <c r="A71">
        <f t="shared" si="3"/>
        <v>20</v>
      </c>
      <c r="B71" t="str">
        <f t="shared" si="4"/>
        <v>"xxxxxxxx_x000D_
yyyyyyyy"</v>
      </c>
      <c r="C71" s="15">
        <v>2048</v>
      </c>
      <c r="D71">
        <v>1</v>
      </c>
      <c r="E71">
        <v>6.0274114457833233E-3</v>
      </c>
      <c r="F71">
        <v>7.977871451356134E-3</v>
      </c>
      <c r="G71">
        <v>9.0674260714260005E-2</v>
      </c>
      <c r="H71" s="15">
        <v>830</v>
      </c>
      <c r="I71" s="15">
        <v>627</v>
      </c>
      <c r="J71" s="15">
        <v>56</v>
      </c>
      <c r="K71" s="15" t="s">
        <v>93</v>
      </c>
      <c r="L71" s="15">
        <v>45056</v>
      </c>
    </row>
    <row r="72" spans="1:12" x14ac:dyDescent="0.45">
      <c r="A72">
        <f t="shared" si="3"/>
        <v>20</v>
      </c>
      <c r="B72" t="str">
        <f t="shared" si="4"/>
        <v>"xxxxxxxx_x000D_
yyyyyyyy"</v>
      </c>
      <c r="C72" s="15">
        <v>4096</v>
      </c>
      <c r="D72">
        <v>1</v>
      </c>
      <c r="E72">
        <v>1.1897668408548568E-2</v>
      </c>
      <c r="F72">
        <v>1.7183045205481355E-2</v>
      </c>
      <c r="G72">
        <v>0.17943677857140625</v>
      </c>
      <c r="H72" s="15">
        <v>421</v>
      </c>
      <c r="I72" s="15">
        <v>292</v>
      </c>
      <c r="J72" s="15">
        <v>28</v>
      </c>
      <c r="K72" s="15" t="s">
        <v>94</v>
      </c>
      <c r="L72" s="15">
        <v>90112</v>
      </c>
    </row>
    <row r="73" spans="1:12" x14ac:dyDescent="0.45">
      <c r="A73">
        <f t="shared" si="3"/>
        <v>20</v>
      </c>
      <c r="B73" t="str">
        <f t="shared" si="4"/>
        <v>"xxxxxxxx_x000D_
yyyyyyyy"</v>
      </c>
      <c r="C73" s="15">
        <v>8192</v>
      </c>
      <c r="D73">
        <v>1</v>
      </c>
      <c r="E73">
        <v>2.4520391219514905E-2</v>
      </c>
      <c r="F73">
        <v>3.929657265625508E-2</v>
      </c>
      <c r="G73">
        <v>0.36980856428570924</v>
      </c>
      <c r="H73" s="15">
        <v>205</v>
      </c>
      <c r="I73" s="15">
        <v>128</v>
      </c>
      <c r="J73" s="15">
        <v>14</v>
      </c>
      <c r="K73" s="15" t="s">
        <v>95</v>
      </c>
      <c r="L73" s="15">
        <v>180224</v>
      </c>
    </row>
    <row r="74" spans="1:12" x14ac:dyDescent="0.45">
      <c r="A74">
        <f t="shared" si="3"/>
        <v>20</v>
      </c>
      <c r="B74" t="str">
        <f t="shared" si="4"/>
        <v>"xxxxxxxx_x000D_
yyyyyyyy"</v>
      </c>
      <c r="C74" s="15">
        <v>16384</v>
      </c>
      <c r="D74">
        <v>1</v>
      </c>
      <c r="E74">
        <v>4.9144540196079216E-2</v>
      </c>
      <c r="F74">
        <v>6.6956312000014201E-2</v>
      </c>
      <c r="G74">
        <v>0.68389747499986697</v>
      </c>
      <c r="H74" s="15">
        <v>102</v>
      </c>
      <c r="I74" s="15">
        <v>75</v>
      </c>
      <c r="J74" s="15">
        <v>8</v>
      </c>
      <c r="K74" s="15" t="s">
        <v>96</v>
      </c>
      <c r="L74" s="15">
        <v>360448</v>
      </c>
    </row>
    <row r="75" spans="1:12" x14ac:dyDescent="0.45">
      <c r="A75">
        <f t="shared" si="3"/>
        <v>20</v>
      </c>
      <c r="B75" t="str">
        <f t="shared" si="4"/>
        <v>"xxxxxxxx_x000D_
yyyyyyyy"</v>
      </c>
      <c r="C75" s="15">
        <v>32768</v>
      </c>
      <c r="D75">
        <v>1</v>
      </c>
      <c r="E75">
        <v>9.8250663461525473E-2</v>
      </c>
      <c r="F75">
        <v>0.12941028205130303</v>
      </c>
      <c r="G75">
        <v>1.3799760750002861</v>
      </c>
      <c r="H75" s="15">
        <v>52</v>
      </c>
      <c r="I75" s="15">
        <v>39</v>
      </c>
      <c r="J75" s="15">
        <v>4</v>
      </c>
      <c r="K75" s="15" t="s">
        <v>97</v>
      </c>
      <c r="L75" s="15">
        <v>720896</v>
      </c>
    </row>
    <row r="76" spans="1:12" x14ac:dyDescent="0.45">
      <c r="A76">
        <f t="shared" si="3"/>
        <v>20</v>
      </c>
      <c r="B76" t="str">
        <f t="shared" si="4"/>
        <v>"xxxxxxxx_x000D_
yyyyyyyy"</v>
      </c>
      <c r="C76" s="15">
        <v>65536</v>
      </c>
      <c r="D76">
        <v>1</v>
      </c>
      <c r="E76">
        <v>0.18622684444441498</v>
      </c>
      <c r="F76">
        <v>0.24686819523811296</v>
      </c>
      <c r="G76">
        <v>2.6827184499998111</v>
      </c>
      <c r="H76" s="15">
        <v>27</v>
      </c>
      <c r="I76" s="15">
        <v>21</v>
      </c>
      <c r="J76" s="15">
        <v>2</v>
      </c>
      <c r="K76" s="15" t="s">
        <v>98</v>
      </c>
      <c r="L76" s="15">
        <v>1441792</v>
      </c>
    </row>
    <row r="77" spans="1:12" x14ac:dyDescent="0.45">
      <c r="A77">
        <f t="shared" si="3"/>
        <v>20</v>
      </c>
      <c r="B77" t="str">
        <f t="shared" si="4"/>
        <v>"xxxxxxxx_x000D_
yyyyyyyy"</v>
      </c>
      <c r="C77" s="15">
        <v>131072</v>
      </c>
      <c r="D77">
        <v>1</v>
      </c>
      <c r="E77">
        <v>0.37313579285702353</v>
      </c>
      <c r="F77">
        <v>0.51129760999992868</v>
      </c>
      <c r="G77">
        <v>5.3784223999991809</v>
      </c>
      <c r="H77" s="15">
        <v>14</v>
      </c>
      <c r="I77" s="15">
        <v>10</v>
      </c>
      <c r="J77" s="15">
        <v>1</v>
      </c>
      <c r="K77" s="15" t="s">
        <v>99</v>
      </c>
      <c r="L77" s="15">
        <v>2883584</v>
      </c>
    </row>
    <row r="78" spans="1:12" x14ac:dyDescent="0.45">
      <c r="A78">
        <f t="shared" si="3"/>
        <v>20</v>
      </c>
      <c r="B78" t="str">
        <f t="shared" si="4"/>
        <v>"xxxxxxxx_x000D_
yyyyyyyy"</v>
      </c>
      <c r="C78" s="15">
        <v>262144</v>
      </c>
      <c r="D78">
        <v>1</v>
      </c>
      <c r="E78">
        <v>0.75582249999985962</v>
      </c>
      <c r="F78">
        <v>1.0205561999999191</v>
      </c>
      <c r="G78">
        <v>10.586581199999273</v>
      </c>
      <c r="H78" s="15">
        <v>7</v>
      </c>
      <c r="I78" s="15">
        <v>5</v>
      </c>
      <c r="J78" s="15">
        <v>1</v>
      </c>
      <c r="K78" s="15" t="s">
        <v>100</v>
      </c>
      <c r="L78" s="15">
        <v>5767168</v>
      </c>
    </row>
    <row r="79" spans="1:12" x14ac:dyDescent="0.45">
      <c r="A79">
        <f t="shared" si="3"/>
        <v>20</v>
      </c>
      <c r="B79" t="str">
        <f t="shared" si="4"/>
        <v>"xxxxxxxx_x000D_
yyyyyyyy"</v>
      </c>
      <c r="C79" s="15">
        <v>524288</v>
      </c>
      <c r="D79">
        <v>1</v>
      </c>
      <c r="E79">
        <v>1.4738968249998834</v>
      </c>
      <c r="F79">
        <v>1.9751824999996945</v>
      </c>
      <c r="G79">
        <v>21.460097799999858</v>
      </c>
      <c r="H79" s="15">
        <v>4</v>
      </c>
      <c r="I79" s="15">
        <v>3</v>
      </c>
      <c r="J79" s="15">
        <v>1</v>
      </c>
      <c r="K79" s="15" t="s">
        <v>101</v>
      </c>
      <c r="L79" s="15">
        <v>11534336</v>
      </c>
    </row>
    <row r="80" spans="1:12" x14ac:dyDescent="0.45">
      <c r="A80">
        <f t="shared" si="3"/>
        <v>20</v>
      </c>
      <c r="B80" t="str">
        <f t="shared" si="4"/>
        <v>"xxxxxxxx_x000D_
yyyyyyyy"</v>
      </c>
      <c r="C80" s="15">
        <v>1048576</v>
      </c>
      <c r="D80">
        <v>1</v>
      </c>
      <c r="E80">
        <v>3.044153599999845</v>
      </c>
      <c r="F80">
        <v>4.3303928499999529</v>
      </c>
      <c r="G80">
        <v>45.975075800000923</v>
      </c>
      <c r="H80" s="15">
        <v>2</v>
      </c>
      <c r="I80" s="15">
        <v>2</v>
      </c>
      <c r="J80" s="15">
        <v>1</v>
      </c>
      <c r="K80" s="15" t="s">
        <v>102</v>
      </c>
      <c r="L80" s="15">
        <v>23068672</v>
      </c>
    </row>
    <row r="81" spans="1:12" x14ac:dyDescent="0.45">
      <c r="C81" s="15"/>
      <c r="H81" s="15"/>
      <c r="I81" s="15"/>
      <c r="J81" s="15"/>
    </row>
    <row r="82" spans="1:12" x14ac:dyDescent="0.45">
      <c r="H82" s="15"/>
      <c r="I82" s="15"/>
      <c r="J82" s="15"/>
    </row>
    <row r="83" spans="1:12" x14ac:dyDescent="0.45">
      <c r="H83" s="15"/>
      <c r="I83" s="15"/>
      <c r="J83" s="15"/>
    </row>
    <row r="84" spans="1:12" x14ac:dyDescent="0.45">
      <c r="H84" s="15"/>
      <c r="I84" s="15"/>
      <c r="J84" s="15"/>
    </row>
    <row r="85" spans="1:12" x14ac:dyDescent="0.45">
      <c r="H85" s="15"/>
      <c r="I85" s="15"/>
      <c r="J85" s="15"/>
      <c r="K85" s="19" t="s">
        <v>103</v>
      </c>
    </row>
    <row r="86" spans="1:12" ht="28.5" x14ac:dyDescent="0.45">
      <c r="A86" s="16" t="s">
        <v>24</v>
      </c>
      <c r="B86" s="16" t="s">
        <v>25</v>
      </c>
      <c r="C86" s="16" t="s">
        <v>26</v>
      </c>
      <c r="D86" s="16" t="s">
        <v>27</v>
      </c>
      <c r="E86" s="16" t="s">
        <v>28</v>
      </c>
      <c r="F86" s="16" t="s">
        <v>29</v>
      </c>
      <c r="G86" s="16" t="s">
        <v>30</v>
      </c>
      <c r="H86" s="17" t="s">
        <v>31</v>
      </c>
      <c r="I86" s="17" t="s">
        <v>32</v>
      </c>
      <c r="J86" s="17" t="s">
        <v>33</v>
      </c>
      <c r="K86" s="16" t="s">
        <v>34</v>
      </c>
      <c r="L86" s="16" t="s">
        <v>35</v>
      </c>
    </row>
    <row r="87" spans="1:12" x14ac:dyDescent="0.45">
      <c r="A87">
        <f>LEN(B87)</f>
        <v>17</v>
      </c>
      <c r="B87">
        <v>0.71905720709757637</v>
      </c>
      <c r="C87" s="20">
        <v>1</v>
      </c>
      <c r="D87" s="21">
        <v>10</v>
      </c>
      <c r="E87">
        <v>1.4908748285526142E-4</v>
      </c>
      <c r="F87">
        <v>1.4728784906324128E-4</v>
      </c>
      <c r="G87">
        <v>2.2751768425840783E-3</v>
      </c>
      <c r="H87" s="15">
        <v>33538</v>
      </c>
      <c r="I87" s="15">
        <v>33948</v>
      </c>
      <c r="J87" s="15">
        <v>2198</v>
      </c>
      <c r="K87" s="15" t="s">
        <v>104</v>
      </c>
      <c r="L87" s="15">
        <v>181</v>
      </c>
    </row>
    <row r="88" spans="1:12" x14ac:dyDescent="0.45">
      <c r="A88">
        <f t="shared" ref="A88:A105" si="5">LEN(B88)</f>
        <v>17</v>
      </c>
      <c r="B88">
        <v>0.71905720709757637</v>
      </c>
      <c r="C88" s="20">
        <v>2</v>
      </c>
      <c r="D88" s="21">
        <v>10</v>
      </c>
      <c r="E88">
        <v>1.716066101520495E-4</v>
      </c>
      <c r="F88">
        <v>1.7214758478225641E-4</v>
      </c>
      <c r="G88">
        <v>2.1500276870164048E-3</v>
      </c>
      <c r="H88" s="15">
        <v>29137</v>
      </c>
      <c r="I88" s="15">
        <v>29045</v>
      </c>
      <c r="J88" s="15">
        <v>2326</v>
      </c>
      <c r="K88" s="15" t="s">
        <v>105</v>
      </c>
      <c r="L88" s="15">
        <v>362</v>
      </c>
    </row>
    <row r="89" spans="1:12" x14ac:dyDescent="0.45">
      <c r="A89">
        <f t="shared" si="5"/>
        <v>17</v>
      </c>
      <c r="B89">
        <v>0.71905720709757637</v>
      </c>
      <c r="C89" s="20">
        <v>4</v>
      </c>
      <c r="D89" s="21">
        <v>10</v>
      </c>
      <c r="E89">
        <v>2.1159209936095759E-4</v>
      </c>
      <c r="F89">
        <v>2.0275161185675589E-4</v>
      </c>
      <c r="G89">
        <v>2.2272576391978893E-3</v>
      </c>
      <c r="H89" s="15">
        <v>23631</v>
      </c>
      <c r="I89" s="15">
        <v>24661</v>
      </c>
      <c r="J89" s="15">
        <v>2245</v>
      </c>
      <c r="K89" s="15" t="s">
        <v>106</v>
      </c>
      <c r="L89" s="15">
        <v>724</v>
      </c>
    </row>
    <row r="90" spans="1:12" x14ac:dyDescent="0.45">
      <c r="A90">
        <f t="shared" si="5"/>
        <v>17</v>
      </c>
      <c r="B90">
        <v>0.71905720709757637</v>
      </c>
      <c r="C90" s="20">
        <v>8</v>
      </c>
      <c r="D90" s="21">
        <v>10</v>
      </c>
      <c r="E90">
        <v>2.9114004891115486E-4</v>
      </c>
      <c r="F90">
        <v>2.8029233701441937E-4</v>
      </c>
      <c r="G90">
        <v>2.3697644549761144E-3</v>
      </c>
      <c r="H90" s="15">
        <v>17174</v>
      </c>
      <c r="I90" s="15">
        <v>17839</v>
      </c>
      <c r="J90" s="15">
        <v>2110</v>
      </c>
      <c r="K90" s="15" t="s">
        <v>107</v>
      </c>
      <c r="L90" s="15">
        <v>1448</v>
      </c>
    </row>
    <row r="91" spans="1:12" x14ac:dyDescent="0.45">
      <c r="A91">
        <f t="shared" si="5"/>
        <v>17</v>
      </c>
      <c r="B91">
        <v>0.71905720709757637</v>
      </c>
      <c r="C91" s="20">
        <v>16</v>
      </c>
      <c r="D91" s="21">
        <v>10</v>
      </c>
      <c r="E91">
        <v>4.4315184791271126E-4</v>
      </c>
      <c r="F91">
        <v>4.447645258851006E-4</v>
      </c>
      <c r="G91">
        <v>2.6333427066884884E-3</v>
      </c>
      <c r="H91" s="15">
        <v>11283</v>
      </c>
      <c r="I91" s="15">
        <v>11242</v>
      </c>
      <c r="J91" s="15">
        <v>1899</v>
      </c>
      <c r="K91" s="15" t="s">
        <v>108</v>
      </c>
      <c r="L91" s="15">
        <v>2896</v>
      </c>
    </row>
    <row r="92" spans="1:12" x14ac:dyDescent="0.45">
      <c r="A92">
        <f t="shared" si="5"/>
        <v>17</v>
      </c>
      <c r="B92">
        <v>0.71905720709757637</v>
      </c>
      <c r="C92" s="20">
        <v>32</v>
      </c>
      <c r="D92" s="21">
        <v>10</v>
      </c>
      <c r="E92">
        <v>7.8184856160086165E-4</v>
      </c>
      <c r="F92">
        <v>7.591890980869091E-4</v>
      </c>
      <c r="G92">
        <v>3.3135860172295488E-3</v>
      </c>
      <c r="H92" s="15">
        <v>6396</v>
      </c>
      <c r="I92" s="15">
        <v>6586</v>
      </c>
      <c r="J92" s="15">
        <v>1509</v>
      </c>
      <c r="K92" s="15" t="s">
        <v>109</v>
      </c>
      <c r="L92" s="15">
        <v>5792</v>
      </c>
    </row>
    <row r="93" spans="1:12" x14ac:dyDescent="0.45">
      <c r="A93">
        <f t="shared" si="5"/>
        <v>17</v>
      </c>
      <c r="B93">
        <v>0.71905720709757637</v>
      </c>
      <c r="C93" s="20">
        <v>64</v>
      </c>
      <c r="D93" s="21">
        <v>10</v>
      </c>
      <c r="E93">
        <v>1.3699836712326593E-3</v>
      </c>
      <c r="F93">
        <v>1.3565876831253055E-3</v>
      </c>
      <c r="G93">
        <v>4.5541735883411448E-3</v>
      </c>
      <c r="H93" s="15">
        <v>3650</v>
      </c>
      <c r="I93" s="15">
        <v>3686</v>
      </c>
      <c r="J93" s="15">
        <v>1098</v>
      </c>
      <c r="K93" s="15" t="s">
        <v>110</v>
      </c>
      <c r="L93" s="15">
        <v>11584</v>
      </c>
    </row>
    <row r="94" spans="1:12" x14ac:dyDescent="0.45">
      <c r="A94">
        <f t="shared" si="5"/>
        <v>17</v>
      </c>
      <c r="B94">
        <v>0.71905720709757637</v>
      </c>
      <c r="C94" s="20">
        <v>128</v>
      </c>
      <c r="D94" s="21">
        <v>10</v>
      </c>
      <c r="E94">
        <v>2.7140311448727548E-3</v>
      </c>
      <c r="F94">
        <v>2.7553950413222424E-3</v>
      </c>
      <c r="G94">
        <v>7.027487780901078E-3</v>
      </c>
      <c r="H94" s="15">
        <v>1843</v>
      </c>
      <c r="I94" s="15">
        <v>1815</v>
      </c>
      <c r="J94" s="15">
        <v>712</v>
      </c>
      <c r="K94" s="15" t="s">
        <v>111</v>
      </c>
      <c r="L94" s="15">
        <v>23168</v>
      </c>
    </row>
    <row r="95" spans="1:12" x14ac:dyDescent="0.45">
      <c r="A95">
        <f t="shared" si="5"/>
        <v>17</v>
      </c>
      <c r="B95">
        <v>0.71905720709757637</v>
      </c>
      <c r="C95" s="20">
        <v>256</v>
      </c>
      <c r="D95" s="21">
        <v>10</v>
      </c>
      <c r="E95">
        <v>5.4469502178651008E-3</v>
      </c>
      <c r="F95">
        <v>5.3792437634402508E-3</v>
      </c>
      <c r="G95">
        <v>1.2420081141438461E-2</v>
      </c>
      <c r="H95" s="15">
        <v>918</v>
      </c>
      <c r="I95" s="15">
        <v>930</v>
      </c>
      <c r="J95" s="15">
        <v>403</v>
      </c>
      <c r="K95" s="15" t="s">
        <v>112</v>
      </c>
      <c r="L95" s="15">
        <v>46336</v>
      </c>
    </row>
    <row r="96" spans="1:12" x14ac:dyDescent="0.45">
      <c r="A96">
        <f t="shared" si="5"/>
        <v>17</v>
      </c>
      <c r="B96">
        <v>0.71905720709757637</v>
      </c>
      <c r="C96" s="20">
        <v>512</v>
      </c>
      <c r="D96" s="21">
        <v>10</v>
      </c>
      <c r="E96">
        <v>1.16097552204179E-2</v>
      </c>
      <c r="F96">
        <v>1.0368268737058567E-2</v>
      </c>
      <c r="G96">
        <v>2.3272099999997218E-2</v>
      </c>
      <c r="H96" s="15">
        <v>431</v>
      </c>
      <c r="I96" s="15">
        <v>483</v>
      </c>
      <c r="J96" s="15">
        <v>215</v>
      </c>
      <c r="K96" s="15" t="s">
        <v>113</v>
      </c>
      <c r="L96" s="15">
        <v>92672</v>
      </c>
    </row>
    <row r="97" spans="1:12" x14ac:dyDescent="0.45">
      <c r="A97">
        <f t="shared" si="5"/>
        <v>17</v>
      </c>
      <c r="B97">
        <v>0.71905720709757637</v>
      </c>
      <c r="C97" s="20">
        <v>1024</v>
      </c>
      <c r="D97" s="21">
        <v>10</v>
      </c>
      <c r="E97">
        <v>2.3379114953271388E-2</v>
      </c>
      <c r="F97">
        <v>2.1248462711864088E-2</v>
      </c>
      <c r="G97">
        <v>4.2885149572658779E-2</v>
      </c>
      <c r="H97" s="15">
        <v>214</v>
      </c>
      <c r="I97" s="15">
        <v>236</v>
      </c>
      <c r="J97" s="15">
        <v>117</v>
      </c>
      <c r="K97" s="15" t="s">
        <v>114</v>
      </c>
      <c r="L97" s="15">
        <v>185344</v>
      </c>
    </row>
    <row r="98" spans="1:12" x14ac:dyDescent="0.45">
      <c r="A98">
        <f t="shared" si="5"/>
        <v>17</v>
      </c>
      <c r="B98">
        <v>0.71905720709757637</v>
      </c>
      <c r="C98" s="20">
        <v>2048</v>
      </c>
      <c r="D98" s="21">
        <v>10</v>
      </c>
      <c r="E98">
        <v>4.2608741525435694E-2</v>
      </c>
      <c r="F98">
        <v>4.1864097499986506E-2</v>
      </c>
      <c r="G98">
        <v>7.7602578461525046E-2</v>
      </c>
      <c r="H98" s="15">
        <v>118</v>
      </c>
      <c r="I98" s="15">
        <v>120</v>
      </c>
      <c r="J98" s="15">
        <v>65</v>
      </c>
      <c r="K98" s="15" t="s">
        <v>115</v>
      </c>
      <c r="L98" s="15">
        <v>370688</v>
      </c>
    </row>
    <row r="99" spans="1:12" x14ac:dyDescent="0.45">
      <c r="A99">
        <f t="shared" si="5"/>
        <v>17</v>
      </c>
      <c r="B99">
        <v>0.71905720709757637</v>
      </c>
      <c r="C99" s="20">
        <v>4096</v>
      </c>
      <c r="D99" s="21">
        <v>10</v>
      </c>
      <c r="E99">
        <v>8.7385989655182322E-2</v>
      </c>
      <c r="F99">
        <v>9.0400624999996834E-2</v>
      </c>
      <c r="G99">
        <v>0.15297396666667765</v>
      </c>
      <c r="H99" s="15">
        <v>58</v>
      </c>
      <c r="I99" s="15">
        <v>56</v>
      </c>
      <c r="J99" s="15">
        <v>33</v>
      </c>
      <c r="K99" s="15" t="s">
        <v>116</v>
      </c>
      <c r="L99" s="15">
        <v>741376</v>
      </c>
    </row>
    <row r="100" spans="1:12" x14ac:dyDescent="0.45">
      <c r="A100">
        <f t="shared" si="5"/>
        <v>17</v>
      </c>
      <c r="B100">
        <v>0.71905720709757637</v>
      </c>
      <c r="C100" s="20">
        <v>8192</v>
      </c>
      <c r="D100" s="21">
        <v>10</v>
      </c>
      <c r="E100">
        <v>0.19905589999997084</v>
      </c>
      <c r="F100">
        <v>0.17310248620686189</v>
      </c>
      <c r="G100">
        <v>0.30184307058816023</v>
      </c>
      <c r="H100" s="15">
        <v>26</v>
      </c>
      <c r="I100" s="15">
        <v>29</v>
      </c>
      <c r="J100" s="15">
        <v>17</v>
      </c>
      <c r="K100" s="15" t="s">
        <v>117</v>
      </c>
      <c r="L100" s="15">
        <v>1482752</v>
      </c>
    </row>
    <row r="101" spans="1:12" x14ac:dyDescent="0.45">
      <c r="A101">
        <f t="shared" si="5"/>
        <v>17</v>
      </c>
      <c r="B101">
        <v>0.71905720709757637</v>
      </c>
      <c r="C101" s="20">
        <v>16384</v>
      </c>
      <c r="D101" s="21">
        <v>10</v>
      </c>
      <c r="E101">
        <v>0.36150306428563844</v>
      </c>
      <c r="F101">
        <v>0.3449957066666684</v>
      </c>
      <c r="G101">
        <v>0.63830669999993006</v>
      </c>
      <c r="H101" s="15">
        <v>14</v>
      </c>
      <c r="I101" s="15">
        <v>15</v>
      </c>
      <c r="J101" s="15">
        <v>8</v>
      </c>
      <c r="K101" s="15" t="s">
        <v>118</v>
      </c>
      <c r="L101" s="15">
        <v>2965504</v>
      </c>
    </row>
    <row r="102" spans="1:12" x14ac:dyDescent="0.45">
      <c r="A102">
        <f t="shared" si="5"/>
        <v>17</v>
      </c>
      <c r="B102">
        <v>0.71905720709757637</v>
      </c>
      <c r="C102" s="20">
        <v>32768</v>
      </c>
      <c r="D102" s="21">
        <v>10</v>
      </c>
      <c r="E102">
        <v>0.75963551428581666</v>
      </c>
      <c r="F102">
        <v>0.70787203750001026</v>
      </c>
      <c r="G102">
        <v>1.281009350000204</v>
      </c>
      <c r="H102" s="15">
        <v>7</v>
      </c>
      <c r="I102" s="15">
        <v>8</v>
      </c>
      <c r="J102" s="15">
        <v>4</v>
      </c>
      <c r="K102" s="15" t="s">
        <v>119</v>
      </c>
      <c r="L102" s="15">
        <v>5931008</v>
      </c>
    </row>
    <row r="103" spans="1:12" x14ac:dyDescent="0.45">
      <c r="A103">
        <f t="shared" si="5"/>
        <v>17</v>
      </c>
      <c r="B103">
        <v>0.71905720709757637</v>
      </c>
      <c r="C103" s="20">
        <v>65536</v>
      </c>
      <c r="D103" s="21">
        <v>10</v>
      </c>
      <c r="E103">
        <v>1.456787175000045</v>
      </c>
      <c r="F103">
        <v>1.4634674750000158</v>
      </c>
      <c r="G103">
        <v>2.3865486666666889</v>
      </c>
      <c r="H103" s="15">
        <v>4</v>
      </c>
      <c r="I103" s="15">
        <v>4</v>
      </c>
      <c r="J103" s="15">
        <v>3</v>
      </c>
      <c r="K103" s="15" t="s">
        <v>120</v>
      </c>
      <c r="L103" s="15">
        <v>11862016</v>
      </c>
    </row>
    <row r="104" spans="1:12" x14ac:dyDescent="0.45">
      <c r="A104">
        <f t="shared" si="5"/>
        <v>17</v>
      </c>
      <c r="B104">
        <v>0.71905720709757637</v>
      </c>
      <c r="C104" s="20">
        <v>131072</v>
      </c>
      <c r="D104" s="21">
        <v>10</v>
      </c>
      <c r="E104">
        <v>2.9693039999992834</v>
      </c>
      <c r="F104">
        <v>2.8707864999996673</v>
      </c>
      <c r="G104">
        <v>5.1312687000008737</v>
      </c>
      <c r="H104" s="15">
        <v>2</v>
      </c>
      <c r="I104" s="15">
        <v>2</v>
      </c>
      <c r="J104" s="15">
        <v>1</v>
      </c>
      <c r="K104" s="15" t="s">
        <v>121</v>
      </c>
      <c r="L104" s="15">
        <v>23724032</v>
      </c>
    </row>
    <row r="105" spans="1:12" x14ac:dyDescent="0.45">
      <c r="A105">
        <f t="shared" si="5"/>
        <v>17</v>
      </c>
      <c r="B105">
        <v>0.71905720709757637</v>
      </c>
      <c r="C105" s="20">
        <v>262144</v>
      </c>
      <c r="D105" s="21">
        <v>10</v>
      </c>
      <c r="E105">
        <v>6.0965317000009236</v>
      </c>
      <c r="F105">
        <v>6.1190550000010262</v>
      </c>
      <c r="G105">
        <v>10.362777500000448</v>
      </c>
      <c r="H105" s="15">
        <v>1</v>
      </c>
      <c r="I105" s="15">
        <v>1</v>
      </c>
      <c r="J105" s="15">
        <v>1</v>
      </c>
      <c r="K105" s="15" t="s">
        <v>122</v>
      </c>
      <c r="L105" s="15">
        <v>47448064</v>
      </c>
    </row>
    <row r="106" spans="1:12" x14ac:dyDescent="0.45">
      <c r="C106" s="15"/>
      <c r="H106" s="15"/>
      <c r="I106" s="15"/>
      <c r="J106" s="15"/>
      <c r="K106" s="15"/>
    </row>
    <row r="107" spans="1:12" x14ac:dyDescent="0.45">
      <c r="C107" s="15"/>
      <c r="H107" s="15"/>
      <c r="I107" s="15"/>
      <c r="J107" s="15"/>
      <c r="K107" s="15"/>
    </row>
    <row r="108" spans="1:12" x14ac:dyDescent="0.45">
      <c r="H108" s="15"/>
      <c r="I108" s="15"/>
      <c r="J108" s="15"/>
    </row>
    <row r="109" spans="1:12" x14ac:dyDescent="0.45">
      <c r="C109" s="20"/>
      <c r="D109" s="21"/>
      <c r="H109" s="15"/>
      <c r="I109" s="15"/>
      <c r="J109" s="15"/>
      <c r="K109" s="15"/>
    </row>
    <row r="110" spans="1:12" x14ac:dyDescent="0.45">
      <c r="H110" s="15"/>
      <c r="I110" s="15"/>
      <c r="J110" s="15"/>
    </row>
    <row r="111" spans="1:12" x14ac:dyDescent="0.45">
      <c r="H111" s="15"/>
      <c r="I111" s="15"/>
      <c r="J111" s="15"/>
    </row>
    <row r="112" spans="1:12" x14ac:dyDescent="0.45">
      <c r="H112" s="15"/>
      <c r="I112" s="15"/>
      <c r="J112" s="15"/>
    </row>
    <row r="113" spans="1:12" ht="28.5" x14ac:dyDescent="0.45">
      <c r="A113" s="16" t="s">
        <v>24</v>
      </c>
      <c r="B113" s="16" t="s">
        <v>25</v>
      </c>
      <c r="C113" s="16" t="s">
        <v>26</v>
      </c>
      <c r="D113" s="16" t="s">
        <v>27</v>
      </c>
      <c r="E113" s="16" t="s">
        <v>28</v>
      </c>
      <c r="F113" s="16" t="s">
        <v>29</v>
      </c>
      <c r="G113" s="16" t="s">
        <v>30</v>
      </c>
      <c r="H113" s="17" t="s">
        <v>31</v>
      </c>
      <c r="I113" s="17" t="s">
        <v>32</v>
      </c>
      <c r="J113" s="17" t="s">
        <v>33</v>
      </c>
      <c r="K113" s="16" t="s">
        <v>34</v>
      </c>
      <c r="L113" s="16" t="s">
        <v>35</v>
      </c>
    </row>
    <row r="114" spans="1:12" x14ac:dyDescent="0.45">
      <c r="A114">
        <f>LEN(B114)</f>
        <v>16</v>
      </c>
      <c r="B114" t="str">
        <f>REPT("x",16)</f>
        <v>xxxxxxxxxxxxxxxx</v>
      </c>
      <c r="C114" s="20">
        <v>8</v>
      </c>
      <c r="D114" s="20">
        <v>1</v>
      </c>
      <c r="E114">
        <v>1.4573020022734889E-4</v>
      </c>
      <c r="F114">
        <v>1.4187597820846661E-4</v>
      </c>
      <c r="G114">
        <v>2.0586885137915192E-3</v>
      </c>
      <c r="H114" s="15">
        <v>34311</v>
      </c>
      <c r="I114" s="15">
        <v>35243</v>
      </c>
      <c r="J114" s="15">
        <v>2429</v>
      </c>
      <c r="K114" s="15" t="s">
        <v>123</v>
      </c>
      <c r="L114" s="15">
        <v>144</v>
      </c>
    </row>
    <row r="115" spans="1:12" x14ac:dyDescent="0.45">
      <c r="A115">
        <f t="shared" ref="A115:A127" si="6">LEN(B115)</f>
        <v>16</v>
      </c>
      <c r="B115" t="str">
        <f t="shared" ref="B115:B127" si="7">REPT("x",16)</f>
        <v>xxxxxxxxxxxxxxxx</v>
      </c>
      <c r="C115" s="20">
        <v>8</v>
      </c>
      <c r="D115" s="20">
        <v>2</v>
      </c>
      <c r="E115">
        <v>1.6701056147505055E-4</v>
      </c>
      <c r="F115">
        <v>1.6037493665198115E-4</v>
      </c>
      <c r="G115">
        <v>2.0618650721652811E-3</v>
      </c>
      <c r="H115" s="15">
        <v>29939</v>
      </c>
      <c r="I115" s="15">
        <v>31177</v>
      </c>
      <c r="J115" s="15">
        <v>2425</v>
      </c>
      <c r="K115" s="15" t="s">
        <v>124</v>
      </c>
      <c r="L115" s="15">
        <v>280</v>
      </c>
    </row>
    <row r="116" spans="1:12" x14ac:dyDescent="0.45">
      <c r="A116">
        <f t="shared" si="6"/>
        <v>16</v>
      </c>
      <c r="B116" t="str">
        <f t="shared" si="7"/>
        <v>xxxxxxxxxxxxxxxx</v>
      </c>
      <c r="C116" s="20">
        <v>8</v>
      </c>
      <c r="D116" s="20">
        <v>4</v>
      </c>
      <c r="E116">
        <v>1.9822696241673961E-4</v>
      </c>
      <c r="F116">
        <v>1.8787608777333709E-4</v>
      </c>
      <c r="G116">
        <v>2.066795289256559E-3</v>
      </c>
      <c r="H116" s="15">
        <v>25224</v>
      </c>
      <c r="I116" s="15">
        <v>26614</v>
      </c>
      <c r="J116" s="15">
        <v>2420</v>
      </c>
      <c r="K116" s="15" t="s">
        <v>125</v>
      </c>
      <c r="L116" s="15">
        <v>552</v>
      </c>
    </row>
    <row r="117" spans="1:12" x14ac:dyDescent="0.45">
      <c r="A117">
        <f t="shared" si="6"/>
        <v>16</v>
      </c>
      <c r="B117" t="str">
        <f t="shared" si="7"/>
        <v>xxxxxxxxxxxxxxxx</v>
      </c>
      <c r="C117" s="20">
        <v>8</v>
      </c>
      <c r="D117" s="20">
        <v>8</v>
      </c>
      <c r="E117">
        <v>3.7782687018287974E-4</v>
      </c>
      <c r="F117">
        <v>3.1016623658581329E-4</v>
      </c>
      <c r="G117">
        <v>2.2343689901694439E-3</v>
      </c>
      <c r="H117" s="15">
        <v>13234</v>
      </c>
      <c r="I117" s="15">
        <v>16121</v>
      </c>
      <c r="J117" s="15">
        <v>2238</v>
      </c>
      <c r="K117" s="15" t="s">
        <v>126</v>
      </c>
      <c r="L117" s="15">
        <v>1096</v>
      </c>
    </row>
    <row r="118" spans="1:12" x14ac:dyDescent="0.45">
      <c r="A118">
        <f t="shared" si="6"/>
        <v>16</v>
      </c>
      <c r="B118" t="str">
        <f t="shared" si="7"/>
        <v>xxxxxxxxxxxxxxxx</v>
      </c>
      <c r="C118" s="20">
        <v>8</v>
      </c>
      <c r="D118" s="20">
        <v>16</v>
      </c>
      <c r="E118">
        <v>3.9033631537868836E-4</v>
      </c>
      <c r="F118">
        <v>3.8011823019610977E-4</v>
      </c>
      <c r="G118">
        <v>2.6368918292046118E-3</v>
      </c>
      <c r="H118" s="15">
        <v>12810</v>
      </c>
      <c r="I118" s="15">
        <v>13154</v>
      </c>
      <c r="J118" s="15">
        <v>1897</v>
      </c>
      <c r="K118" s="15" t="s">
        <v>127</v>
      </c>
      <c r="L118" s="15">
        <v>2184</v>
      </c>
    </row>
    <row r="119" spans="1:12" x14ac:dyDescent="0.45">
      <c r="A119">
        <f t="shared" si="6"/>
        <v>16</v>
      </c>
      <c r="B119" t="str">
        <f t="shared" si="7"/>
        <v>xxxxxxxxxxxxxxxx</v>
      </c>
      <c r="C119" s="20">
        <v>8</v>
      </c>
      <c r="D119" s="20">
        <v>32</v>
      </c>
      <c r="E119">
        <v>6.8188388108559456E-4</v>
      </c>
      <c r="F119">
        <v>6.378927924481526E-4</v>
      </c>
      <c r="G119">
        <v>3.7947398330796587E-3</v>
      </c>
      <c r="H119" s="15">
        <v>7333</v>
      </c>
      <c r="I119" s="15">
        <v>7839</v>
      </c>
      <c r="J119" s="15">
        <v>1318</v>
      </c>
      <c r="K119" s="15" t="s">
        <v>128</v>
      </c>
      <c r="L119" s="15">
        <v>4360</v>
      </c>
    </row>
    <row r="120" spans="1:12" x14ac:dyDescent="0.45">
      <c r="A120">
        <f t="shared" si="6"/>
        <v>16</v>
      </c>
      <c r="B120" t="str">
        <f t="shared" si="7"/>
        <v>xxxxxxxxxxxxxxxx</v>
      </c>
      <c r="C120" s="20">
        <v>8</v>
      </c>
      <c r="D120" s="20">
        <v>64</v>
      </c>
      <c r="E120">
        <v>1.1489073759190995E-3</v>
      </c>
      <c r="F120">
        <v>1.1395088195079361E-3</v>
      </c>
      <c r="G120">
        <v>7.9031323854674759E-3</v>
      </c>
      <c r="H120" s="15">
        <v>4352</v>
      </c>
      <c r="I120" s="15">
        <v>4388</v>
      </c>
      <c r="J120" s="15">
        <v>633</v>
      </c>
      <c r="K120" s="15" t="s">
        <v>129</v>
      </c>
      <c r="L120" s="15">
        <v>8712</v>
      </c>
    </row>
    <row r="121" spans="1:12" x14ac:dyDescent="0.45">
      <c r="A121">
        <f t="shared" si="6"/>
        <v>16</v>
      </c>
      <c r="B121" t="str">
        <f t="shared" si="7"/>
        <v>xxxxxxxxxxxxxxxx</v>
      </c>
      <c r="C121" s="20">
        <v>8</v>
      </c>
      <c r="D121" s="20">
        <v>128</v>
      </c>
      <c r="E121">
        <v>2.1573956859359399E-3</v>
      </c>
      <c r="F121">
        <v>2.1160725042304361E-3</v>
      </c>
      <c r="G121">
        <v>2.2487971748875266E-2</v>
      </c>
      <c r="H121" s="15">
        <v>2318</v>
      </c>
      <c r="I121" s="15">
        <v>2364</v>
      </c>
      <c r="J121" s="15">
        <v>223</v>
      </c>
      <c r="K121" s="15" t="s">
        <v>130</v>
      </c>
      <c r="L121" s="15">
        <v>17416</v>
      </c>
    </row>
    <row r="122" spans="1:12" x14ac:dyDescent="0.45">
      <c r="A122">
        <f t="shared" si="6"/>
        <v>16</v>
      </c>
      <c r="B122" t="str">
        <f t="shared" si="7"/>
        <v>xxxxxxxxxxxxxxxx</v>
      </c>
      <c r="C122" s="20">
        <v>8</v>
      </c>
      <c r="D122" s="20">
        <v>256</v>
      </c>
      <c r="E122">
        <v>4.3243195332763025E-3</v>
      </c>
      <c r="F122">
        <v>4.1303000825769435E-3</v>
      </c>
      <c r="G122">
        <v>7.9334281249998639E-2</v>
      </c>
      <c r="H122" s="15">
        <v>1157</v>
      </c>
      <c r="I122" s="15">
        <v>1211</v>
      </c>
      <c r="J122" s="15">
        <v>64</v>
      </c>
      <c r="K122" s="15" t="s">
        <v>131</v>
      </c>
      <c r="L122" s="15">
        <v>34824</v>
      </c>
    </row>
    <row r="123" spans="1:12" x14ac:dyDescent="0.45">
      <c r="A123">
        <f t="shared" si="6"/>
        <v>16</v>
      </c>
      <c r="B123" t="str">
        <f t="shared" si="7"/>
        <v>xxxxxxxxxxxxxxxx</v>
      </c>
      <c r="C123" s="20">
        <v>8</v>
      </c>
      <c r="D123" s="20">
        <v>512</v>
      </c>
      <c r="E123">
        <v>8.0859657512127037E-3</v>
      </c>
      <c r="F123">
        <v>7.8943682965301135E-3</v>
      </c>
      <c r="G123">
        <v>0.29469721176471519</v>
      </c>
      <c r="H123" s="15">
        <v>619</v>
      </c>
      <c r="I123" s="15">
        <v>634</v>
      </c>
      <c r="J123" s="15">
        <v>17</v>
      </c>
      <c r="K123" s="15" t="s">
        <v>132</v>
      </c>
      <c r="L123" s="15">
        <v>69640</v>
      </c>
    </row>
    <row r="124" spans="1:12" x14ac:dyDescent="0.45">
      <c r="A124">
        <f t="shared" si="6"/>
        <v>16</v>
      </c>
      <c r="B124" t="str">
        <f t="shared" si="7"/>
        <v>xxxxxxxxxxxxxxxx</v>
      </c>
      <c r="C124" s="20">
        <v>8</v>
      </c>
      <c r="D124" s="20">
        <v>1024</v>
      </c>
      <c r="E124">
        <v>1.674072976588847E-2</v>
      </c>
      <c r="F124">
        <v>1.5669506562500147E-2</v>
      </c>
      <c r="G124">
        <v>1.0933015000002342</v>
      </c>
      <c r="H124" s="15">
        <v>299</v>
      </c>
      <c r="I124" s="15">
        <v>320</v>
      </c>
      <c r="J124" s="15">
        <v>5</v>
      </c>
      <c r="K124" s="15" t="s">
        <v>133</v>
      </c>
      <c r="L124" s="15">
        <v>139272</v>
      </c>
    </row>
    <row r="125" spans="1:12" x14ac:dyDescent="0.45">
      <c r="A125">
        <f t="shared" si="6"/>
        <v>16</v>
      </c>
      <c r="B125" t="str">
        <f t="shared" si="7"/>
        <v>xxxxxxxxxxxxxxxx</v>
      </c>
      <c r="C125" s="20">
        <v>8</v>
      </c>
      <c r="D125" s="20">
        <v>2048</v>
      </c>
      <c r="E125">
        <v>3.3222623178806206E-2</v>
      </c>
      <c r="F125">
        <v>3.1313824999995174E-2</v>
      </c>
      <c r="G125">
        <v>4.0480279499997778</v>
      </c>
      <c r="H125" s="15">
        <v>151</v>
      </c>
      <c r="I125" s="15">
        <v>160</v>
      </c>
      <c r="J125" s="15">
        <v>2</v>
      </c>
      <c r="K125" s="15" t="s">
        <v>134</v>
      </c>
      <c r="L125" s="15">
        <v>278536</v>
      </c>
    </row>
    <row r="126" spans="1:12" x14ac:dyDescent="0.45">
      <c r="A126">
        <f t="shared" si="6"/>
        <v>16</v>
      </c>
      <c r="B126" t="str">
        <f t="shared" si="7"/>
        <v>xxxxxxxxxxxxxxxx</v>
      </c>
      <c r="C126" s="20">
        <v>8</v>
      </c>
      <c r="D126" s="20">
        <v>4096</v>
      </c>
      <c r="E126">
        <v>6.6979869333323824E-2</v>
      </c>
      <c r="F126">
        <v>6.7954608108118777E-2</v>
      </c>
      <c r="G126">
        <v>16.529796200000419</v>
      </c>
      <c r="H126" s="15">
        <v>75</v>
      </c>
      <c r="I126" s="15">
        <v>74</v>
      </c>
      <c r="J126" s="15">
        <v>1</v>
      </c>
      <c r="K126" s="15" t="s">
        <v>135</v>
      </c>
      <c r="L126" s="15">
        <v>557064</v>
      </c>
    </row>
    <row r="127" spans="1:12" x14ac:dyDescent="0.45">
      <c r="A127">
        <f t="shared" si="6"/>
        <v>16</v>
      </c>
      <c r="B127" t="str">
        <f t="shared" si="7"/>
        <v>xxxxxxxxxxxxxxxx</v>
      </c>
      <c r="C127" s="20">
        <v>8</v>
      </c>
      <c r="D127" s="20">
        <v>8192</v>
      </c>
      <c r="E127">
        <v>0.13736128648648643</v>
      </c>
      <c r="F127">
        <v>0.13063880512821086</v>
      </c>
      <c r="G127">
        <v>63.28988599999866</v>
      </c>
      <c r="H127" s="15">
        <v>37</v>
      </c>
      <c r="I127" s="15">
        <v>39</v>
      </c>
      <c r="J127" s="15">
        <v>1</v>
      </c>
      <c r="K127" s="15" t="s">
        <v>136</v>
      </c>
      <c r="L127" s="15">
        <v>1114120</v>
      </c>
    </row>
    <row r="128" spans="1:12" x14ac:dyDescent="0.45">
      <c r="H128" s="15"/>
      <c r="I128" s="15"/>
      <c r="J128" s="15"/>
    </row>
    <row r="129" spans="1:12" x14ac:dyDescent="0.45">
      <c r="H129" s="15"/>
      <c r="I129" s="15"/>
      <c r="J129" s="15"/>
    </row>
    <row r="130" spans="1:12" x14ac:dyDescent="0.45">
      <c r="H130" s="15"/>
      <c r="I130" s="15"/>
      <c r="J130" s="15"/>
    </row>
    <row r="131" spans="1:12" x14ac:dyDescent="0.45">
      <c r="H131" s="15"/>
      <c r="I131" s="15"/>
      <c r="J131" s="15"/>
    </row>
    <row r="132" spans="1:12" x14ac:dyDescent="0.45">
      <c r="H132" s="15"/>
      <c r="I132" s="15"/>
      <c r="J132" s="15"/>
    </row>
    <row r="133" spans="1:12" x14ac:dyDescent="0.45">
      <c r="H133" s="15"/>
      <c r="I133" s="15"/>
      <c r="J133" s="15"/>
    </row>
    <row r="134" spans="1:12" x14ac:dyDescent="0.45">
      <c r="H134" s="15"/>
      <c r="I134" s="15"/>
      <c r="J134" s="15"/>
    </row>
    <row r="135" spans="1:12" x14ac:dyDescent="0.45">
      <c r="H135" s="15"/>
      <c r="I135" s="15"/>
      <c r="J135" s="15"/>
    </row>
    <row r="136" spans="1:12" x14ac:dyDescent="0.45">
      <c r="H136" s="15"/>
      <c r="I136" s="15"/>
      <c r="J136" s="15"/>
    </row>
    <row r="137" spans="1:12" x14ac:dyDescent="0.45">
      <c r="H137" s="15"/>
      <c r="I137" s="15"/>
      <c r="J137" s="15"/>
    </row>
    <row r="138" spans="1:12" x14ac:dyDescent="0.45">
      <c r="H138" s="15"/>
      <c r="I138" s="15"/>
      <c r="J138" s="15"/>
    </row>
    <row r="139" spans="1:12" x14ac:dyDescent="0.45">
      <c r="H139" s="15"/>
      <c r="I139" s="15"/>
      <c r="J139" s="15"/>
      <c r="K139" s="19" t="s">
        <v>137</v>
      </c>
    </row>
    <row r="140" spans="1:12" ht="28.5" x14ac:dyDescent="0.45">
      <c r="A140" s="16" t="s">
        <v>24</v>
      </c>
      <c r="B140" s="16" t="s">
        <v>25</v>
      </c>
      <c r="C140" s="16" t="s">
        <v>26</v>
      </c>
      <c r="D140" s="16" t="s">
        <v>27</v>
      </c>
      <c r="E140" s="16" t="s">
        <v>28</v>
      </c>
      <c r="F140" s="16" t="s">
        <v>29</v>
      </c>
      <c r="G140" s="16" t="s">
        <v>30</v>
      </c>
      <c r="H140" s="17" t="s">
        <v>31</v>
      </c>
      <c r="I140" s="17" t="s">
        <v>32</v>
      </c>
      <c r="J140" s="17" t="s">
        <v>33</v>
      </c>
      <c r="K140" s="16" t="s">
        <v>34</v>
      </c>
      <c r="L140" s="16" t="s">
        <v>35</v>
      </c>
    </row>
    <row r="141" spans="1:12" x14ac:dyDescent="0.45">
      <c r="A141" cm="1">
        <f t="array" ref="A141:A155">LEN(B141:B155)</f>
        <v>1</v>
      </c>
      <c r="B141" t="s">
        <v>36</v>
      </c>
      <c r="C141" s="15">
        <v>1024</v>
      </c>
      <c r="D141">
        <v>8</v>
      </c>
      <c r="E141">
        <v>9.1886755963293473E-3</v>
      </c>
      <c r="F141">
        <v>1.0550611603374884E-2</v>
      </c>
      <c r="G141">
        <v>3.1076334782607452E-2</v>
      </c>
      <c r="H141" s="15">
        <v>545</v>
      </c>
      <c r="I141" s="15">
        <v>474</v>
      </c>
      <c r="J141" s="15">
        <v>161</v>
      </c>
      <c r="K141" s="15" t="s">
        <v>138</v>
      </c>
      <c r="L141" s="15">
        <v>17408</v>
      </c>
    </row>
    <row r="142" spans="1:12" x14ac:dyDescent="0.45">
      <c r="A142">
        <v>2</v>
      </c>
      <c r="B142" t="s">
        <v>139</v>
      </c>
      <c r="C142" s="15">
        <v>1024</v>
      </c>
      <c r="D142">
        <v>8</v>
      </c>
      <c r="E142">
        <v>1.0247036809816678E-2</v>
      </c>
      <c r="F142">
        <v>9.7153322330113152E-3</v>
      </c>
      <c r="G142">
        <v>2.8119816292131505E-2</v>
      </c>
      <c r="H142" s="15">
        <v>489</v>
      </c>
      <c r="I142" s="15">
        <v>515</v>
      </c>
      <c r="J142" s="15">
        <v>178</v>
      </c>
      <c r="K142" s="15" t="s">
        <v>140</v>
      </c>
      <c r="L142" s="15">
        <v>25600</v>
      </c>
    </row>
    <row r="143" spans="1:12" x14ac:dyDescent="0.45">
      <c r="A143">
        <v>4</v>
      </c>
      <c r="B143" t="s">
        <v>141</v>
      </c>
      <c r="C143" s="15">
        <v>1024</v>
      </c>
      <c r="D143">
        <v>8</v>
      </c>
      <c r="E143">
        <v>1.1837764622639026E-2</v>
      </c>
      <c r="F143">
        <v>1.1505235402297727E-2</v>
      </c>
      <c r="G143">
        <v>2.9976407784423047E-2</v>
      </c>
      <c r="H143" s="15">
        <v>424</v>
      </c>
      <c r="I143" s="15">
        <v>435</v>
      </c>
      <c r="J143" s="15">
        <v>167</v>
      </c>
      <c r="K143" s="15" t="s">
        <v>142</v>
      </c>
      <c r="L143" s="15">
        <v>41984</v>
      </c>
    </row>
    <row r="144" spans="1:12" x14ac:dyDescent="0.45">
      <c r="A144">
        <v>8</v>
      </c>
      <c r="B144" t="s">
        <v>143</v>
      </c>
      <c r="C144" s="15">
        <v>1024</v>
      </c>
      <c r="D144">
        <v>8</v>
      </c>
      <c r="E144">
        <v>1.2954919430052107E-2</v>
      </c>
      <c r="F144">
        <v>1.2973464766841004E-2</v>
      </c>
      <c r="G144">
        <v>2.9248878362570969E-2</v>
      </c>
      <c r="H144" s="15">
        <v>386</v>
      </c>
      <c r="I144" s="15">
        <v>386</v>
      </c>
      <c r="J144" s="15">
        <v>171</v>
      </c>
      <c r="K144" s="15" t="s">
        <v>144</v>
      </c>
      <c r="L144" s="15">
        <v>74752</v>
      </c>
    </row>
    <row r="145" spans="1:12" x14ac:dyDescent="0.45">
      <c r="A145">
        <v>16</v>
      </c>
      <c r="B145" t="s">
        <v>145</v>
      </c>
      <c r="C145" s="15">
        <v>1024</v>
      </c>
      <c r="D145">
        <v>8</v>
      </c>
      <c r="E145">
        <v>1.6040917891371988E-2</v>
      </c>
      <c r="F145">
        <v>1.5989127476039141E-2</v>
      </c>
      <c r="G145">
        <v>3.1679584177220048E-2</v>
      </c>
      <c r="H145" s="15">
        <v>313</v>
      </c>
      <c r="I145" s="15">
        <v>313</v>
      </c>
      <c r="J145" s="15">
        <v>158</v>
      </c>
      <c r="K145" s="15" t="s">
        <v>146</v>
      </c>
      <c r="L145" s="15">
        <v>140288</v>
      </c>
    </row>
    <row r="146" spans="1:12" x14ac:dyDescent="0.45">
      <c r="A146">
        <v>32</v>
      </c>
      <c r="B146" t="s">
        <v>147</v>
      </c>
      <c r="C146" s="15">
        <v>1024</v>
      </c>
      <c r="D146">
        <v>8</v>
      </c>
      <c r="E146">
        <v>2.4064823076925607E-2</v>
      </c>
      <c r="F146">
        <v>2.3891418095237375E-2</v>
      </c>
      <c r="G146">
        <v>3.214446217949584E-2</v>
      </c>
      <c r="H146" s="15">
        <v>208</v>
      </c>
      <c r="I146" s="15">
        <v>210</v>
      </c>
      <c r="J146" s="15">
        <v>156</v>
      </c>
      <c r="K146" s="15" t="s">
        <v>148</v>
      </c>
      <c r="L146" s="15">
        <v>271360</v>
      </c>
    </row>
    <row r="147" spans="1:12" x14ac:dyDescent="0.45">
      <c r="A147">
        <v>64</v>
      </c>
      <c r="B147" t="s">
        <v>149</v>
      </c>
      <c r="C147" s="15">
        <v>1024</v>
      </c>
      <c r="D147">
        <v>8</v>
      </c>
      <c r="E147">
        <v>3.909713643410806E-2</v>
      </c>
      <c r="F147">
        <v>3.7652818045119475E-2</v>
      </c>
      <c r="G147">
        <v>3.328897152317685E-2</v>
      </c>
      <c r="H147" s="15">
        <v>129</v>
      </c>
      <c r="I147" s="15">
        <v>133</v>
      </c>
      <c r="J147" s="15">
        <v>151</v>
      </c>
      <c r="K147" s="15" t="s">
        <v>150</v>
      </c>
      <c r="L147" s="15">
        <v>533504</v>
      </c>
    </row>
    <row r="148" spans="1:12" x14ac:dyDescent="0.45">
      <c r="A148">
        <v>128</v>
      </c>
      <c r="B148" t="s">
        <v>151</v>
      </c>
      <c r="C148" s="15">
        <v>1024</v>
      </c>
      <c r="D148">
        <v>8</v>
      </c>
      <c r="E148">
        <v>6.8527932876711259E-2</v>
      </c>
      <c r="F148">
        <v>6.7095161333345463E-2</v>
      </c>
      <c r="G148">
        <v>4.1202611475410614E-2</v>
      </c>
      <c r="H148" s="15">
        <v>73</v>
      </c>
      <c r="I148" s="15">
        <v>75</v>
      </c>
      <c r="J148" s="15">
        <v>122</v>
      </c>
      <c r="K148" s="15" t="s">
        <v>152</v>
      </c>
      <c r="L148" s="15">
        <v>1057792</v>
      </c>
    </row>
    <row r="149" spans="1:12" x14ac:dyDescent="0.45">
      <c r="A149">
        <v>256</v>
      </c>
      <c r="B149" t="s">
        <v>153</v>
      </c>
      <c r="C149" s="15">
        <v>1024</v>
      </c>
      <c r="D149">
        <v>8</v>
      </c>
      <c r="E149">
        <v>0.12943471538463386</v>
      </c>
      <c r="F149">
        <v>0.12067578333331073</v>
      </c>
      <c r="G149">
        <v>4.8883220388357518E-2</v>
      </c>
      <c r="H149" s="15">
        <v>39</v>
      </c>
      <c r="I149" s="15">
        <v>42</v>
      </c>
      <c r="J149" s="15">
        <v>103</v>
      </c>
      <c r="K149" s="15" t="s">
        <v>154</v>
      </c>
      <c r="L149" s="15">
        <v>2106368</v>
      </c>
    </row>
    <row r="150" spans="1:12" x14ac:dyDescent="0.45">
      <c r="A150">
        <v>512</v>
      </c>
      <c r="B150" t="s">
        <v>155</v>
      </c>
      <c r="C150" s="15">
        <v>1024</v>
      </c>
      <c r="D150">
        <v>8</v>
      </c>
      <c r="E150">
        <v>0.25547054999997271</v>
      </c>
      <c r="F150">
        <v>0.22876205454543774</v>
      </c>
      <c r="G150">
        <v>8.2865080327866936E-2</v>
      </c>
      <c r="H150" s="15">
        <v>20</v>
      </c>
      <c r="I150" s="15">
        <v>22</v>
      </c>
      <c r="J150" s="15">
        <v>61</v>
      </c>
      <c r="K150" s="15" t="s">
        <v>156</v>
      </c>
      <c r="L150" s="15">
        <v>4203520</v>
      </c>
    </row>
    <row r="151" spans="1:12" x14ac:dyDescent="0.45">
      <c r="A151">
        <v>1024</v>
      </c>
      <c r="B151" t="s">
        <v>157</v>
      </c>
      <c r="C151" s="15">
        <v>1024</v>
      </c>
      <c r="D151">
        <v>8</v>
      </c>
      <c r="E151">
        <v>0.51128527999990181</v>
      </c>
      <c r="F151">
        <v>0.44841162500006249</v>
      </c>
      <c r="G151">
        <v>0.19417215769233456</v>
      </c>
      <c r="H151" s="15">
        <v>10</v>
      </c>
      <c r="I151" s="15">
        <v>12</v>
      </c>
      <c r="J151" s="15">
        <v>26</v>
      </c>
      <c r="K151" s="15" t="s">
        <v>158</v>
      </c>
      <c r="L151" s="15">
        <v>8397824</v>
      </c>
    </row>
    <row r="152" spans="1:12" x14ac:dyDescent="0.45">
      <c r="A152">
        <v>2048</v>
      </c>
      <c r="B152" t="s">
        <v>159</v>
      </c>
      <c r="C152" s="15">
        <v>1024</v>
      </c>
      <c r="D152">
        <v>8</v>
      </c>
      <c r="E152">
        <v>0.98530250000021624</v>
      </c>
      <c r="F152">
        <v>0.8878271166668128</v>
      </c>
      <c r="G152">
        <v>0.58207654444453916</v>
      </c>
      <c r="H152" s="15">
        <v>6</v>
      </c>
      <c r="I152" s="15">
        <v>6</v>
      </c>
      <c r="J152" s="15">
        <v>9</v>
      </c>
      <c r="K152" s="15" t="s">
        <v>160</v>
      </c>
      <c r="L152" s="15">
        <v>16786432</v>
      </c>
    </row>
    <row r="153" spans="1:12" x14ac:dyDescent="0.45">
      <c r="A153">
        <v>4096</v>
      </c>
      <c r="B153" t="s">
        <v>161</v>
      </c>
      <c r="C153" s="15">
        <v>1024</v>
      </c>
      <c r="D153">
        <v>8</v>
      </c>
      <c r="E153">
        <v>1.9293865666671384</v>
      </c>
      <c r="F153">
        <v>1.7982287000001331</v>
      </c>
      <c r="G153">
        <v>2.159546833333176</v>
      </c>
      <c r="H153" s="15">
        <v>3</v>
      </c>
      <c r="I153" s="15">
        <v>3</v>
      </c>
      <c r="J153" s="15">
        <v>3</v>
      </c>
      <c r="K153" s="15" t="s">
        <v>162</v>
      </c>
      <c r="L153" s="15">
        <v>33563648</v>
      </c>
    </row>
    <row r="154" spans="1:12" x14ac:dyDescent="0.45">
      <c r="A154">
        <v>8192</v>
      </c>
      <c r="B154" t="s">
        <v>163</v>
      </c>
      <c r="C154" s="15">
        <v>1024</v>
      </c>
      <c r="D154">
        <v>8</v>
      </c>
      <c r="E154">
        <v>4.2776761000004626</v>
      </c>
      <c r="F154">
        <v>3.7155519500001901</v>
      </c>
      <c r="G154">
        <v>9.0872770999994827</v>
      </c>
      <c r="H154" s="15">
        <v>2</v>
      </c>
      <c r="I154" s="15">
        <v>2</v>
      </c>
      <c r="J154" s="15">
        <v>1</v>
      </c>
      <c r="K154" s="15" t="s">
        <v>164</v>
      </c>
      <c r="L154" s="15">
        <v>67118080</v>
      </c>
    </row>
    <row r="155" spans="1:12" x14ac:dyDescent="0.45">
      <c r="A155">
        <v>16384</v>
      </c>
      <c r="B155" t="s">
        <v>165</v>
      </c>
      <c r="C155" s="15">
        <v>1024</v>
      </c>
      <c r="D155">
        <v>8</v>
      </c>
      <c r="E155">
        <v>8.4546872999999323</v>
      </c>
      <c r="F155">
        <v>7.8420533999997133</v>
      </c>
      <c r="G155">
        <v>53.35228669999924</v>
      </c>
      <c r="H155" s="15">
        <v>1</v>
      </c>
      <c r="I155" s="15">
        <v>1</v>
      </c>
      <c r="J155" s="15">
        <v>1</v>
      </c>
      <c r="K155" s="15" t="s">
        <v>166</v>
      </c>
      <c r="L155" s="15">
        <v>134226944</v>
      </c>
    </row>
    <row r="156" spans="1:12" x14ac:dyDescent="0.45">
      <c r="H156" s="15"/>
      <c r="I156" s="15"/>
      <c r="J156" s="15"/>
    </row>
    <row r="157" spans="1:12" x14ac:dyDescent="0.45">
      <c r="H157" s="15"/>
      <c r="I157" s="15"/>
      <c r="J157" s="15"/>
    </row>
    <row r="158" spans="1:12" x14ac:dyDescent="0.45">
      <c r="H158" s="15"/>
      <c r="I158" s="15"/>
      <c r="J158" s="15"/>
    </row>
    <row r="159" spans="1:12" x14ac:dyDescent="0.45">
      <c r="H159" s="15"/>
      <c r="I159" s="15"/>
      <c r="J159" s="15"/>
    </row>
    <row r="160" spans="1:12" x14ac:dyDescent="0.45">
      <c r="H160" s="15"/>
      <c r="I160" s="15"/>
      <c r="J160" s="15"/>
    </row>
    <row r="161" spans="1:12" x14ac:dyDescent="0.45">
      <c r="H161" s="15"/>
      <c r="I161" s="15"/>
      <c r="J161" s="15"/>
    </row>
    <row r="162" spans="1:12" x14ac:dyDescent="0.45">
      <c r="H162" s="15"/>
      <c r="I162" s="15"/>
      <c r="J162" s="15"/>
    </row>
    <row r="163" spans="1:12" x14ac:dyDescent="0.45">
      <c r="H163" s="15"/>
      <c r="I163" s="15"/>
      <c r="J163" s="15"/>
    </row>
    <row r="164" spans="1:12" x14ac:dyDescent="0.45">
      <c r="H164" s="15"/>
      <c r="I164" s="15"/>
      <c r="J164" s="15"/>
    </row>
    <row r="165" spans="1:12" x14ac:dyDescent="0.45">
      <c r="H165" s="15"/>
      <c r="I165" s="15"/>
      <c r="J165" s="15"/>
    </row>
    <row r="166" spans="1:12" x14ac:dyDescent="0.45">
      <c r="H166" s="15"/>
      <c r="I166" s="15"/>
      <c r="J166" s="15"/>
      <c r="K166" s="19" t="s">
        <v>167</v>
      </c>
    </row>
    <row r="167" spans="1:12" ht="28.5" x14ac:dyDescent="0.45">
      <c r="A167" s="16" t="s">
        <v>24</v>
      </c>
      <c r="B167" s="16" t="s">
        <v>25</v>
      </c>
      <c r="C167" s="16" t="s">
        <v>26</v>
      </c>
      <c r="D167" s="16" t="s">
        <v>27</v>
      </c>
      <c r="E167" s="16" t="s">
        <v>28</v>
      </c>
      <c r="F167" s="16" t="s">
        <v>29</v>
      </c>
      <c r="G167" s="16" t="s">
        <v>30</v>
      </c>
      <c r="H167" s="17" t="s">
        <v>31</v>
      </c>
      <c r="I167" s="17" t="s">
        <v>32</v>
      </c>
      <c r="J167" s="17" t="s">
        <v>33</v>
      </c>
      <c r="K167" s="16" t="s">
        <v>34</v>
      </c>
      <c r="L167" s="16" t="s">
        <v>35</v>
      </c>
    </row>
    <row r="168" spans="1:12" x14ac:dyDescent="0.45">
      <c r="A168">
        <v>3</v>
      </c>
      <c r="B168" t="s">
        <v>168</v>
      </c>
      <c r="C168" s="15">
        <v>1024</v>
      </c>
      <c r="D168">
        <v>8</v>
      </c>
      <c r="E168">
        <v>1.2717566497462593E-2</v>
      </c>
      <c r="F168">
        <v>1.8777289138577114E-2</v>
      </c>
      <c r="G168">
        <v>3.6633002189787107E-2</v>
      </c>
      <c r="H168" s="15">
        <v>394</v>
      </c>
      <c r="I168" s="15">
        <v>267</v>
      </c>
      <c r="J168" s="15">
        <v>137</v>
      </c>
      <c r="K168" s="15" t="s">
        <v>169</v>
      </c>
      <c r="L168" s="15">
        <v>33792</v>
      </c>
    </row>
    <row r="169" spans="1:12" x14ac:dyDescent="0.45">
      <c r="A169">
        <v>4</v>
      </c>
      <c r="B169" t="s">
        <v>170</v>
      </c>
      <c r="C169" s="15">
        <v>1024</v>
      </c>
      <c r="D169">
        <v>8</v>
      </c>
      <c r="E169">
        <v>1.3023545572915888E-2</v>
      </c>
      <c r="F169">
        <v>1.8812364419478426E-2</v>
      </c>
      <c r="G169">
        <v>3.7049154814815632E-2</v>
      </c>
      <c r="H169" s="15">
        <v>384</v>
      </c>
      <c r="I169" s="15">
        <v>267</v>
      </c>
      <c r="J169" s="15">
        <v>135</v>
      </c>
      <c r="K169" s="15" t="s">
        <v>142</v>
      </c>
      <c r="L169" s="15">
        <v>41984</v>
      </c>
    </row>
    <row r="170" spans="1:12" x14ac:dyDescent="0.45">
      <c r="A170">
        <v>6</v>
      </c>
      <c r="B170" t="s">
        <v>171</v>
      </c>
      <c r="C170" s="15">
        <v>1024</v>
      </c>
      <c r="D170">
        <v>8</v>
      </c>
      <c r="E170">
        <v>1.4103126197179836E-2</v>
      </c>
      <c r="F170">
        <v>1.7642682746477924E-2</v>
      </c>
      <c r="G170">
        <v>3.6183048201433955E-2</v>
      </c>
      <c r="H170" s="15">
        <v>355</v>
      </c>
      <c r="I170" s="15">
        <v>284</v>
      </c>
      <c r="J170" s="15">
        <v>139</v>
      </c>
      <c r="K170" s="15" t="s">
        <v>172</v>
      </c>
      <c r="L170" s="15">
        <v>58368</v>
      </c>
    </row>
    <row r="171" spans="1:12" x14ac:dyDescent="0.45">
      <c r="A171">
        <v>10</v>
      </c>
      <c r="B171" t="s">
        <v>173</v>
      </c>
      <c r="C171" s="15">
        <v>1024</v>
      </c>
      <c r="D171">
        <v>8</v>
      </c>
      <c r="E171">
        <v>1.6223575404533324E-2</v>
      </c>
      <c r="F171">
        <v>2.0175442338709656E-2</v>
      </c>
      <c r="G171">
        <v>3.9453239370081654E-2</v>
      </c>
      <c r="H171" s="15">
        <v>309</v>
      </c>
      <c r="I171" s="15">
        <v>248</v>
      </c>
      <c r="J171" s="15">
        <v>127</v>
      </c>
      <c r="K171" s="15" t="s">
        <v>174</v>
      </c>
      <c r="L171" s="15">
        <v>91136</v>
      </c>
    </row>
    <row r="172" spans="1:12" x14ac:dyDescent="0.45">
      <c r="A172">
        <v>18</v>
      </c>
      <c r="B172" t="s">
        <v>175</v>
      </c>
      <c r="C172" s="15">
        <v>1024</v>
      </c>
      <c r="D172">
        <v>8</v>
      </c>
      <c r="E172">
        <v>1.9577109374999679E-2</v>
      </c>
      <c r="F172">
        <v>2.3062459446998727E-2</v>
      </c>
      <c r="G172">
        <v>4.0353445967749361E-2</v>
      </c>
      <c r="H172" s="15">
        <v>256</v>
      </c>
      <c r="I172" s="15">
        <v>217</v>
      </c>
      <c r="J172" s="15">
        <v>124</v>
      </c>
      <c r="K172" s="15" t="s">
        <v>176</v>
      </c>
      <c r="L172" s="15">
        <v>156672</v>
      </c>
    </row>
    <row r="173" spans="1:12" x14ac:dyDescent="0.45">
      <c r="A173">
        <v>34</v>
      </c>
      <c r="B173" t="s">
        <v>177</v>
      </c>
      <c r="C173" s="15">
        <v>1024</v>
      </c>
      <c r="D173">
        <v>8</v>
      </c>
      <c r="E173">
        <v>2.7268639130437332E-2</v>
      </c>
      <c r="F173">
        <v>3.0730895705513874E-2</v>
      </c>
      <c r="G173">
        <v>3.9715022222221057E-2</v>
      </c>
      <c r="H173" s="15">
        <v>184</v>
      </c>
      <c r="I173" s="15">
        <v>163</v>
      </c>
      <c r="J173" s="15">
        <v>126</v>
      </c>
      <c r="K173" s="15" t="s">
        <v>178</v>
      </c>
      <c r="L173" s="15">
        <v>287744</v>
      </c>
    </row>
    <row r="174" spans="1:12" x14ac:dyDescent="0.45">
      <c r="A174">
        <v>66</v>
      </c>
      <c r="B174" t="s">
        <v>179</v>
      </c>
      <c r="C174" s="15">
        <v>1024</v>
      </c>
      <c r="D174">
        <v>8</v>
      </c>
      <c r="E174">
        <v>4.119479180327125E-2</v>
      </c>
      <c r="F174">
        <v>4.4471384070796142E-2</v>
      </c>
      <c r="G174">
        <v>4.0342499999995549E-2</v>
      </c>
      <c r="H174" s="15">
        <v>122</v>
      </c>
      <c r="I174" s="15">
        <v>113</v>
      </c>
      <c r="J174" s="15">
        <v>124</v>
      </c>
      <c r="K174" s="15" t="s">
        <v>180</v>
      </c>
      <c r="L174" s="15">
        <v>549888</v>
      </c>
    </row>
    <row r="175" spans="1:12" x14ac:dyDescent="0.45">
      <c r="A175">
        <v>130</v>
      </c>
      <c r="B175" t="s">
        <v>181</v>
      </c>
      <c r="C175" s="15">
        <v>1024</v>
      </c>
      <c r="D175">
        <v>8</v>
      </c>
      <c r="E175">
        <v>7.354379558824696E-2</v>
      </c>
      <c r="F175">
        <v>7.4068232352949376E-2</v>
      </c>
      <c r="G175">
        <v>4.9613728712873777E-2</v>
      </c>
      <c r="H175" s="15">
        <v>68</v>
      </c>
      <c r="I175" s="15">
        <v>68</v>
      </c>
      <c r="J175" s="15">
        <v>101</v>
      </c>
      <c r="K175" s="15" t="s">
        <v>182</v>
      </c>
      <c r="L175" s="15">
        <v>1074176</v>
      </c>
    </row>
    <row r="176" spans="1:12" x14ac:dyDescent="0.45">
      <c r="A176">
        <v>258</v>
      </c>
      <c r="B176" t="s">
        <v>183</v>
      </c>
      <c r="C176" s="15">
        <v>1024</v>
      </c>
      <c r="D176">
        <v>8</v>
      </c>
      <c r="E176">
        <v>0.12945027948714993</v>
      </c>
      <c r="F176">
        <v>0.130125584615365</v>
      </c>
      <c r="G176">
        <v>5.6333715730350661E-2</v>
      </c>
      <c r="H176" s="15">
        <v>39</v>
      </c>
      <c r="I176" s="15">
        <v>39</v>
      </c>
      <c r="J176" s="15">
        <v>89</v>
      </c>
      <c r="K176" s="15" t="s">
        <v>184</v>
      </c>
      <c r="L176" s="15">
        <v>2122752</v>
      </c>
    </row>
    <row r="177" spans="1:12" x14ac:dyDescent="0.45">
      <c r="A177">
        <v>514</v>
      </c>
      <c r="B177" t="s">
        <v>185</v>
      </c>
      <c r="C177" s="15">
        <v>1024</v>
      </c>
      <c r="D177">
        <v>8</v>
      </c>
      <c r="E177">
        <v>0.24719157142862969</v>
      </c>
      <c r="F177">
        <v>0.23753377727271899</v>
      </c>
      <c r="G177">
        <v>8.3807956666684433E-2</v>
      </c>
      <c r="H177" s="15">
        <v>21</v>
      </c>
      <c r="I177" s="15">
        <v>22</v>
      </c>
      <c r="J177" s="15">
        <v>60</v>
      </c>
      <c r="K177" s="15" t="s">
        <v>186</v>
      </c>
      <c r="L177" s="15">
        <v>4219904</v>
      </c>
    </row>
    <row r="178" spans="1:12" x14ac:dyDescent="0.45">
      <c r="A178">
        <v>1026</v>
      </c>
      <c r="B178" t="s">
        <v>187</v>
      </c>
      <c r="C178" s="15">
        <v>1024</v>
      </c>
      <c r="D178">
        <v>8</v>
      </c>
      <c r="E178">
        <v>0.50626344000011159</v>
      </c>
      <c r="F178">
        <v>0.45456238181809155</v>
      </c>
      <c r="G178">
        <v>0.18886797037042993</v>
      </c>
      <c r="H178" s="15">
        <v>10</v>
      </c>
      <c r="I178" s="15">
        <v>11</v>
      </c>
      <c r="J178" s="15">
        <v>27</v>
      </c>
      <c r="K178" s="15" t="s">
        <v>188</v>
      </c>
      <c r="L178" s="15">
        <v>8414208</v>
      </c>
    </row>
    <row r="179" spans="1:12" x14ac:dyDescent="0.45">
      <c r="A179">
        <v>2050</v>
      </c>
      <c r="B179" t="s">
        <v>189</v>
      </c>
      <c r="C179" s="15">
        <v>1024</v>
      </c>
      <c r="D179">
        <v>8</v>
      </c>
      <c r="E179">
        <v>0.9819684000000658</v>
      </c>
      <c r="F179">
        <v>0.87966298333321902</v>
      </c>
      <c r="G179">
        <v>0.59742733333344711</v>
      </c>
      <c r="H179" s="15">
        <v>6</v>
      </c>
      <c r="I179" s="15">
        <v>6</v>
      </c>
      <c r="J179" s="15">
        <v>9</v>
      </c>
      <c r="K179" s="15" t="s">
        <v>190</v>
      </c>
      <c r="L179" s="15">
        <v>16802816</v>
      </c>
    </row>
    <row r="180" spans="1:12" x14ac:dyDescent="0.45">
      <c r="A180">
        <v>4098</v>
      </c>
      <c r="B180" t="s">
        <v>191</v>
      </c>
      <c r="C180" s="15">
        <v>1024</v>
      </c>
      <c r="D180">
        <v>8</v>
      </c>
      <c r="E180">
        <v>1.9549785666670989</v>
      </c>
      <c r="F180">
        <v>1.7441486999996414</v>
      </c>
      <c r="G180">
        <v>2.0770916666666985</v>
      </c>
      <c r="H180" s="15">
        <v>3</v>
      </c>
      <c r="I180" s="15">
        <v>3</v>
      </c>
      <c r="J180" s="15">
        <v>3</v>
      </c>
      <c r="K180" s="15" t="s">
        <v>192</v>
      </c>
      <c r="L180" s="15">
        <v>33580032</v>
      </c>
    </row>
    <row r="181" spans="1:12" x14ac:dyDescent="0.45">
      <c r="A181">
        <v>8194</v>
      </c>
      <c r="B181" t="s">
        <v>193</v>
      </c>
      <c r="C181" s="15">
        <v>1024</v>
      </c>
      <c r="D181">
        <v>8</v>
      </c>
      <c r="E181">
        <v>4.2433115999992879</v>
      </c>
      <c r="F181">
        <v>3.8600196500001402</v>
      </c>
      <c r="G181">
        <v>9.3040644000011525</v>
      </c>
      <c r="H181" s="15">
        <v>2</v>
      </c>
      <c r="I181" s="15">
        <v>2</v>
      </c>
      <c r="J181" s="15">
        <v>1</v>
      </c>
      <c r="K181" s="15" t="s">
        <v>194</v>
      </c>
      <c r="L181" s="15">
        <v>67134464</v>
      </c>
    </row>
    <row r="182" spans="1:12" x14ac:dyDescent="0.45">
      <c r="A182">
        <v>16386</v>
      </c>
      <c r="B182" t="s">
        <v>195</v>
      </c>
      <c r="C182" s="15">
        <v>1024</v>
      </c>
      <c r="D182">
        <v>8</v>
      </c>
      <c r="E182">
        <v>8.7412566000002698</v>
      </c>
      <c r="F182">
        <v>8.021360900000218</v>
      </c>
      <c r="G182">
        <v>53.964022800000748</v>
      </c>
      <c r="H182" s="15">
        <v>1</v>
      </c>
      <c r="I182" s="15">
        <v>1</v>
      </c>
      <c r="J182" s="15">
        <v>1</v>
      </c>
      <c r="K182" s="15" t="s">
        <v>196</v>
      </c>
      <c r="L182" s="15">
        <v>134243328</v>
      </c>
    </row>
    <row r="183" spans="1:12" x14ac:dyDescent="0.45">
      <c r="H183" s="15"/>
      <c r="I183" s="15"/>
      <c r="J183" s="15"/>
    </row>
    <row r="184" spans="1:12" x14ac:dyDescent="0.45">
      <c r="H184" s="15"/>
      <c r="I184" s="15"/>
      <c r="J184" s="15"/>
    </row>
    <row r="185" spans="1:12" x14ac:dyDescent="0.45">
      <c r="H185" s="15"/>
      <c r="I185" s="15"/>
      <c r="J185" s="15"/>
    </row>
    <row r="186" spans="1:12" x14ac:dyDescent="0.45">
      <c r="H186" s="15"/>
      <c r="I186" s="15"/>
      <c r="J186" s="15"/>
    </row>
    <row r="187" spans="1:12" x14ac:dyDescent="0.45">
      <c r="H187" s="15"/>
      <c r="I187" s="15"/>
      <c r="J187" s="15"/>
    </row>
    <row r="188" spans="1:12" x14ac:dyDescent="0.45">
      <c r="H188" s="15"/>
      <c r="I188" s="15"/>
      <c r="J188" s="15"/>
    </row>
    <row r="189" spans="1:12" x14ac:dyDescent="0.45">
      <c r="H189" s="15"/>
      <c r="I189" s="15"/>
      <c r="J189" s="15"/>
    </row>
    <row r="190" spans="1:12" x14ac:dyDescent="0.45">
      <c r="H190" s="15"/>
      <c r="I190" s="15"/>
      <c r="J190" s="15"/>
    </row>
    <row r="191" spans="1:12" x14ac:dyDescent="0.45">
      <c r="H191" s="15"/>
      <c r="I191" s="15"/>
      <c r="J191" s="15"/>
    </row>
    <row r="192" spans="1:12" x14ac:dyDescent="0.45">
      <c r="H192" s="15"/>
      <c r="I192" s="15"/>
      <c r="J192" s="15"/>
    </row>
    <row r="193" spans="8:10" x14ac:dyDescent="0.45">
      <c r="H193" s="15"/>
      <c r="I193" s="15"/>
      <c r="J193" s="15"/>
    </row>
    <row r="194" spans="8:10" x14ac:dyDescent="0.45">
      <c r="H194" s="15"/>
      <c r="I194" s="15"/>
      <c r="J194" s="15"/>
    </row>
    <row r="195" spans="8:10" x14ac:dyDescent="0.45">
      <c r="H195" s="15"/>
      <c r="I195" s="15"/>
      <c r="J195" s="15"/>
    </row>
    <row r="196" spans="8:10" x14ac:dyDescent="0.45">
      <c r="H196" s="15"/>
      <c r="I196" s="15"/>
      <c r="J196" s="15"/>
    </row>
    <row r="197" spans="8:10" x14ac:dyDescent="0.45">
      <c r="H197" s="15"/>
      <c r="I197" s="15"/>
      <c r="J197" s="15"/>
    </row>
    <row r="198" spans="8:10" x14ac:dyDescent="0.45">
      <c r="H198" s="15"/>
      <c r="I198" s="15"/>
      <c r="J198" s="15"/>
    </row>
    <row r="199" spans="8:10" x14ac:dyDescent="0.45">
      <c r="H199" s="15"/>
      <c r="I199" s="15"/>
      <c r="J199" s="15"/>
    </row>
    <row r="200" spans="8:10" x14ac:dyDescent="0.45">
      <c r="H200" s="15"/>
      <c r="I200" s="15"/>
      <c r="J200" s="15"/>
    </row>
    <row r="201" spans="8:10" x14ac:dyDescent="0.45">
      <c r="H201" s="15"/>
      <c r="I201" s="15"/>
      <c r="J201" s="15"/>
    </row>
    <row r="202" spans="8:10" x14ac:dyDescent="0.45">
      <c r="H202" s="15"/>
      <c r="I202" s="15"/>
      <c r="J202" s="15"/>
    </row>
    <row r="203" spans="8:10" x14ac:dyDescent="0.45">
      <c r="H203" s="15"/>
      <c r="I203" s="15"/>
      <c r="J203" s="15"/>
    </row>
    <row r="204" spans="8:10" x14ac:dyDescent="0.45">
      <c r="H204" s="15"/>
      <c r="I204" s="15"/>
      <c r="J204" s="15"/>
    </row>
    <row r="205" spans="8:10" x14ac:dyDescent="0.45">
      <c r="H205" s="15"/>
      <c r="I205" s="15"/>
      <c r="J205" s="15"/>
    </row>
    <row r="206" spans="8:10" x14ac:dyDescent="0.45">
      <c r="H206" s="15"/>
      <c r="I206" s="15"/>
      <c r="J206" s="15"/>
    </row>
    <row r="207" spans="8:10" x14ac:dyDescent="0.45">
      <c r="H207" s="15"/>
      <c r="I207" s="15"/>
      <c r="J207" s="15"/>
    </row>
    <row r="208" spans="8:10" x14ac:dyDescent="0.45">
      <c r="H208" s="15"/>
      <c r="I208" s="15"/>
      <c r="J208" s="15"/>
    </row>
    <row r="209" spans="8:10" x14ac:dyDescent="0.45">
      <c r="H209" s="15"/>
      <c r="I209" s="15"/>
      <c r="J209" s="15"/>
    </row>
    <row r="210" spans="8:10" x14ac:dyDescent="0.45">
      <c r="H210" s="15"/>
      <c r="I210" s="15"/>
      <c r="J210" s="15"/>
    </row>
    <row r="211" spans="8:10" x14ac:dyDescent="0.45">
      <c r="H211" s="15"/>
      <c r="I211" s="15"/>
      <c r="J211" s="15"/>
    </row>
    <row r="212" spans="8:10" x14ac:dyDescent="0.45">
      <c r="H212" s="15"/>
      <c r="I212" s="15"/>
      <c r="J212" s="15"/>
    </row>
    <row r="213" spans="8:10" x14ac:dyDescent="0.45">
      <c r="H213" s="15"/>
      <c r="I213" s="15"/>
      <c r="J213" s="15"/>
    </row>
    <row r="214" spans="8:10" x14ac:dyDescent="0.45">
      <c r="H214" s="15"/>
      <c r="I214" s="15"/>
      <c r="J214" s="15"/>
    </row>
    <row r="215" spans="8:10" x14ac:dyDescent="0.45">
      <c r="H215" s="15"/>
      <c r="I215" s="15"/>
      <c r="J215" s="15"/>
    </row>
    <row r="216" spans="8:10" x14ac:dyDescent="0.45">
      <c r="H216" s="15"/>
      <c r="I216" s="15"/>
      <c r="J216" s="15"/>
    </row>
    <row r="217" spans="8:10" x14ac:dyDescent="0.45">
      <c r="H217" s="15"/>
      <c r="I217" s="15"/>
      <c r="J217" s="15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4</xdr:col>
                    <xdr:colOff>352425</xdr:colOff>
                    <xdr:row>0</xdr:row>
                    <xdr:rowOff>114300</xdr:rowOff>
                  </from>
                  <to>
                    <xdr:col>5</xdr:col>
                    <xdr:colOff>647700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 sizeWithCells="1">
                  <from>
                    <xdr:col>6</xdr:col>
                    <xdr:colOff>57150</xdr:colOff>
                    <xdr:row>0</xdr:row>
                    <xdr:rowOff>123825</xdr:rowOff>
                  </from>
                  <to>
                    <xdr:col>6</xdr:col>
                    <xdr:colOff>1042988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5C733-FCD2-4368-931F-6DB63E6C610C}">
  <sheetPr codeName="Sheet2"/>
  <dimension ref="B1:AK30"/>
  <sheetViews>
    <sheetView showGridLines="0" showRowColHeaders="0" workbookViewId="0"/>
  </sheetViews>
  <sheetFormatPr defaultRowHeight="14.25" x14ac:dyDescent="0.45"/>
  <cols>
    <col min="1" max="1" width="1.59765625" customWidth="1"/>
    <col min="3" max="3" width="11" bestFit="1" customWidth="1"/>
    <col min="4" max="4" width="1.59765625" customWidth="1"/>
    <col min="5" max="5" width="9.9296875" bestFit="1" customWidth="1"/>
    <col min="6" max="6" width="1.59765625" customWidth="1"/>
    <col min="7" max="7" width="9.9296875" bestFit="1" customWidth="1"/>
    <col min="8" max="8" width="1.59765625" customWidth="1"/>
    <col min="9" max="9" width="9.9296875" bestFit="1" customWidth="1"/>
    <col min="10" max="10" width="1.59765625" customWidth="1"/>
    <col min="11" max="11" width="9.9296875" bestFit="1" customWidth="1"/>
    <col min="12" max="12" width="1.59765625" customWidth="1"/>
    <col min="13" max="13" width="9.9296875" bestFit="1" customWidth="1"/>
    <col min="14" max="14" width="1.59765625" customWidth="1"/>
    <col min="15" max="15" width="9.9296875" bestFit="1" customWidth="1"/>
    <col min="16" max="16" width="1.59765625" customWidth="1"/>
    <col min="17" max="17" width="9.9296875" bestFit="1" customWidth="1"/>
    <col min="18" max="18" width="1.59765625" customWidth="1"/>
    <col min="19" max="19" width="9.9296875" bestFit="1" customWidth="1"/>
    <col min="20" max="20" width="1.59765625" customWidth="1"/>
    <col min="21" max="21" width="9.9296875" bestFit="1" customWidth="1"/>
    <col min="22" max="22" width="1.59765625" customWidth="1"/>
    <col min="23" max="23" width="9.9296875" bestFit="1" customWidth="1"/>
    <col min="24" max="24" width="1.59765625" customWidth="1"/>
    <col min="25" max="25" width="9.9296875" bestFit="1" customWidth="1"/>
    <col min="26" max="26" width="1.59765625" customWidth="1"/>
    <col min="27" max="27" width="9.9296875" bestFit="1" customWidth="1"/>
    <col min="28" max="28" width="1.59765625" customWidth="1"/>
    <col min="29" max="29" width="9.9296875" bestFit="1" customWidth="1"/>
    <col min="30" max="30" width="1.59765625" customWidth="1"/>
    <col min="31" max="31" width="9.9296875" bestFit="1" customWidth="1"/>
    <col min="32" max="32" width="1.59765625" customWidth="1"/>
    <col min="33" max="33" width="9.9296875" bestFit="1" customWidth="1"/>
    <col min="34" max="34" width="1.59765625" customWidth="1"/>
    <col min="35" max="35" width="9.9296875" bestFit="1" customWidth="1"/>
    <col min="36" max="36" width="1.59765625" customWidth="1"/>
    <col min="37" max="37" width="9.9296875" bestFit="1" customWidth="1"/>
  </cols>
  <sheetData>
    <row r="1" spans="2:11" ht="28.5" x14ac:dyDescent="0.85">
      <c r="B1" s="14" t="s">
        <v>453</v>
      </c>
    </row>
    <row r="3" spans="2:11" x14ac:dyDescent="0.45">
      <c r="B3" s="3" t="s">
        <v>452</v>
      </c>
      <c r="E3" s="3" t="s">
        <v>2</v>
      </c>
    </row>
    <row r="4" spans="2:11" x14ac:dyDescent="0.45">
      <c r="B4" s="13" t="str" cm="1">
        <f t="array" ref="B4">_xlfn.IFS(ISNUMBER(C4),"Number",ISTEXT(C4),"String",ISLOGICAL(C4),"Boolean",ISERROR(C4),"Error")</f>
        <v>Number</v>
      </c>
      <c r="C4" s="13">
        <v>44424</v>
      </c>
      <c r="E4" s="4" t="s">
        <v>4</v>
      </c>
      <c r="F4" s="4"/>
      <c r="G4" s="4"/>
      <c r="H4" s="4"/>
      <c r="I4" s="4"/>
      <c r="J4" s="4"/>
      <c r="K4" s="4"/>
    </row>
    <row r="5" spans="2:11" x14ac:dyDescent="0.45">
      <c r="B5" s="45" t="s">
        <v>202</v>
      </c>
      <c r="C5" s="45">
        <f ca="1">TODAY()</f>
        <v>44426</v>
      </c>
      <c r="E5" s="10" t="s">
        <v>456</v>
      </c>
      <c r="F5" s="10"/>
      <c r="G5" s="10"/>
      <c r="H5" s="10"/>
      <c r="I5" s="10"/>
      <c r="J5" s="10"/>
      <c r="K5" s="10"/>
    </row>
    <row r="6" spans="2:11" x14ac:dyDescent="0.45">
      <c r="B6" s="13" t="str" cm="1">
        <f t="array" ref="B6">_xlfn.IFS(ISNUMBER(C6),"Number",ISTEXT(C6),"String",ISLOGICAL(C6),"Boolean",ISERROR(C6),"Error")</f>
        <v>Boolean</v>
      </c>
      <c r="C6" s="13" t="b">
        <v>1</v>
      </c>
      <c r="E6" s="9" t="s">
        <v>12</v>
      </c>
      <c r="F6" s="9"/>
      <c r="G6" s="9"/>
      <c r="H6" s="9"/>
      <c r="I6" s="9"/>
      <c r="J6" s="9"/>
      <c r="K6" s="9"/>
    </row>
    <row r="7" spans="2:11" x14ac:dyDescent="0.45">
      <c r="B7" s="13" t="str" cm="1">
        <f t="array" ref="B7">_xlfn.IFS(ISNUMBER(C7),"Number",ISTEXT(C7),"String",ISLOGICAL(C7),"Boolean",ISERROR(C7),"Error")</f>
        <v>Error</v>
      </c>
      <c r="C7" s="13" t="e">
        <f>1/0</f>
        <v>#DIV/0!</v>
      </c>
      <c r="E7" s="6" t="s">
        <v>6</v>
      </c>
      <c r="F7" s="6"/>
      <c r="G7" s="6"/>
      <c r="H7" s="6"/>
      <c r="I7" s="6"/>
      <c r="J7" s="6"/>
      <c r="K7" s="6"/>
    </row>
    <row r="8" spans="2:11" x14ac:dyDescent="0.45">
      <c r="B8" s="13" t="str" cm="1">
        <f t="array" ref="B8">_xlfn.IFS(ISNUMBER(C8),"Number",ISTEXT(C8),"String",ISLOGICAL(C8),"Boolean",ISERROR(C8),"Error")</f>
        <v>String</v>
      </c>
      <c r="C8" s="13" t="s">
        <v>431</v>
      </c>
      <c r="E8" s="8" t="s">
        <v>455</v>
      </c>
      <c r="F8" s="8"/>
      <c r="G8" s="8"/>
      <c r="H8" s="8"/>
      <c r="I8" s="8"/>
      <c r="J8" s="8"/>
      <c r="K8" s="8"/>
    </row>
    <row r="9" spans="2:11" x14ac:dyDescent="0.45">
      <c r="B9" s="13" t="s">
        <v>6</v>
      </c>
      <c r="C9" s="13" t="s">
        <v>435</v>
      </c>
    </row>
    <row r="10" spans="2:11" x14ac:dyDescent="0.45">
      <c r="B10" s="13" t="str" cm="1">
        <f t="array" ref="B10">_xlfn.IFS(ISNUMBER(C10),"Number",ISTEXT(C10),"String",ISLOGICAL(C10),"Boolean",ISERROR(C10),"Error")</f>
        <v>String</v>
      </c>
      <c r="C10" s="13" t="s">
        <v>432</v>
      </c>
    </row>
    <row r="11" spans="2:11" x14ac:dyDescent="0.45">
      <c r="B11" s="13" t="str" cm="1">
        <f t="array" ref="B11">_xlfn.IFS(ISNUMBER(C11),"Number",ISTEXT(C11),"String",ISLOGICAL(C11),"Boolean",ISERROR(C11),"Error")</f>
        <v>String</v>
      </c>
      <c r="C11" s="13" t="s">
        <v>434</v>
      </c>
    </row>
    <row r="12" spans="2:11" x14ac:dyDescent="0.45">
      <c r="B12" s="13" t="str" cm="1">
        <f t="array" ref="B12">_xlfn.IFS(ISNUMBER(C12),"Number",ISTEXT(C12),"String",ISLOGICAL(C12),"Boolean",ISERROR(C12),"Error")</f>
        <v>String</v>
      </c>
      <c r="C12" s="13" t="s">
        <v>433</v>
      </c>
    </row>
    <row r="13" spans="2:11" x14ac:dyDescent="0.45">
      <c r="B13" s="13" t="str" cm="1">
        <f t="array" ref="B13">_xlfn.IFS(ISNUMBER(C13),"Number",ISTEXT(C13),"String",ISLOGICAL(C13),"Boolean",ISERROR(C13),"Error")</f>
        <v>String</v>
      </c>
      <c r="C13" s="13" t="s">
        <v>438</v>
      </c>
    </row>
    <row r="15" spans="2:11" x14ac:dyDescent="0.45">
      <c r="B15" s="3" t="s">
        <v>451</v>
      </c>
    </row>
    <row r="16" spans="2:11" x14ac:dyDescent="0.45">
      <c r="B16" t="s">
        <v>3</v>
      </c>
      <c r="C16" t="str" cm="1">
        <f t="array" aca="1" ref="C16" ca="1">CSVWrite(TempFolder()&amp;"\ConvertTypesTest.csv",Data)</f>
        <v>C:\Users\phili\AppData\Local\Temp\ConvertTypesTest.csv</v>
      </c>
    </row>
    <row r="18" spans="2:37" x14ac:dyDescent="0.45">
      <c r="B18" s="3" t="s">
        <v>454</v>
      </c>
    </row>
    <row r="19" spans="2:37" x14ac:dyDescent="0.45">
      <c r="D19" s="48"/>
      <c r="E19" s="12" t="b">
        <v>1</v>
      </c>
      <c r="F19" s="46"/>
      <c r="G19" s="12" t="b">
        <v>0</v>
      </c>
      <c r="H19" s="47"/>
      <c r="I19" s="13" t="s">
        <v>418</v>
      </c>
      <c r="J19" s="46"/>
      <c r="K19" s="12" t="s">
        <v>439</v>
      </c>
      <c r="L19" s="47"/>
      <c r="M19" s="12" t="s">
        <v>440</v>
      </c>
      <c r="N19" s="47"/>
      <c r="O19" s="13" t="s">
        <v>441</v>
      </c>
      <c r="P19" s="46"/>
      <c r="Q19" s="13" t="s">
        <v>442</v>
      </c>
      <c r="R19" s="46"/>
      <c r="S19" s="13" t="s">
        <v>443</v>
      </c>
      <c r="T19" s="46"/>
      <c r="U19" s="13" t="s">
        <v>444</v>
      </c>
      <c r="V19" s="46"/>
      <c r="W19" s="13" t="s">
        <v>445</v>
      </c>
      <c r="X19" s="46"/>
      <c r="Y19" s="13" t="s">
        <v>446</v>
      </c>
      <c r="Z19" s="46"/>
      <c r="AA19" s="13" t="s" cm="1">
        <v>447</v>
      </c>
      <c r="AB19" s="46"/>
      <c r="AC19" s="13" t="s">
        <v>448</v>
      </c>
      <c r="AD19" s="46"/>
      <c r="AE19" s="13" t="s">
        <v>449</v>
      </c>
      <c r="AF19" s="46"/>
      <c r="AG19" s="13" t="s">
        <v>450</v>
      </c>
      <c r="AH19" s="46"/>
      <c r="AI19" s="13" t="s">
        <v>436</v>
      </c>
      <c r="AJ19" s="46"/>
      <c r="AK19" s="12" t="s">
        <v>437</v>
      </c>
    </row>
    <row r="20" spans="2:37" x14ac:dyDescent="0.45"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</row>
    <row r="21" spans="2:37" x14ac:dyDescent="0.45">
      <c r="B21" t="str" cm="1">
        <f t="array" aca="1" ref="B21:B30" ca="1">CSVRead(FileName,FALSE,FALSE)</f>
        <v>"Number",44424</v>
      </c>
      <c r="E21" s="13" cm="1">
        <f t="array" aca="1" ref="E21:E30" ca="1">CSVRead(FileName,E19,,,"Y-M-D",,,2)</f>
        <v>44424</v>
      </c>
      <c r="G21" s="13" t="str" cm="1">
        <f t="array" aca="1" ref="G21:G30" ca="1">CSVRead(FileName,G19,,,"Y-M-D",,,2)</f>
        <v>44424</v>
      </c>
      <c r="I21" s="13" cm="1">
        <f t="array" aca="1" ref="I21:I30" ca="1">CSVRead(FileName,I19,,,"Y-M-D",,,2)</f>
        <v>44424</v>
      </c>
      <c r="K21" s="13" t="str" cm="1">
        <f t="array" aca="1" ref="K21:K30" ca="1">CSVRead(FileName,K19,,,"Y-M-D",,,2)</f>
        <v>44424</v>
      </c>
      <c r="M21" s="13" t="str" cm="1">
        <f t="array" aca="1" ref="M21:M30" ca="1">CSVRead(FileName,M19,,,"Y-M-D",,,2)</f>
        <v>44424</v>
      </c>
      <c r="O21" s="13" t="str" cm="1">
        <f t="array" aca="1" ref="O21:O30" ca="1">CSVRead(FileName,O19,,,"Y-M-D",,,2)</f>
        <v>44424</v>
      </c>
      <c r="Q21" s="13" t="str" cm="1">
        <f t="array" aca="1" ref="Q21:Q30" ca="1">CSVRead(FileName,Q19,,,"Y-M-D",,,2)</f>
        <v>44424</v>
      </c>
      <c r="S21" s="13" cm="1">
        <f t="array" aca="1" ref="S21:S30" ca="1">CSVRead(FileName,S19,,,"Y-M-D",,,2)</f>
        <v>44424</v>
      </c>
      <c r="U21" s="13" t="str" cm="1">
        <f t="array" aca="1" ref="U21:U30" ca="1">CSVRead(FileName,U19,,,"Y-M-D",,,2)</f>
        <v>44424</v>
      </c>
      <c r="W21" s="13" t="str" cm="1">
        <f t="array" aca="1" ref="W21:W30" ca="1">CSVRead(FileName,W19,,,"Y-M-D",,,2)</f>
        <v>44424</v>
      </c>
      <c r="Y21" s="13" t="str" cm="1">
        <f t="array" aca="1" ref="Y21:Y30" ca="1">CSVRead(FileName,Y19,,,"Y-M-D",,,2)</f>
        <v>44424</v>
      </c>
      <c r="AA21" s="13" cm="1">
        <f t="array" aca="1" ref="AA21:AA30" ca="1">CSVRead(FileName,AA19,,,"Y-M-D",,,2)</f>
        <v>44424</v>
      </c>
      <c r="AC21" s="13" t="str" cm="1">
        <f t="array" aca="1" ref="AC21:AC30" ca="1">CSVRead(FileName,AC19,,,"Y-M-D",,,2)</f>
        <v>44424</v>
      </c>
      <c r="AE21" s="13" t="str" cm="1">
        <f t="array" aca="1" ref="AE21:AE30" ca="1">CSVRead(FileName,AE19,,,"Y-M-D",,,2)</f>
        <v>44424</v>
      </c>
      <c r="AG21" s="13" t="str" cm="1">
        <f t="array" aca="1" ref="AG21:AG30" ca="1">CSVRead(FileName,AG19,,,"Y-M-D",,,2)</f>
        <v>44424</v>
      </c>
      <c r="AI21" s="13" cm="1">
        <f t="array" aca="1" ref="AI21:AI30" ca="1">CSVRead(FileName,AI19,,,"Y-M-D",,,2)</f>
        <v>44424</v>
      </c>
      <c r="AK21" s="13" cm="1">
        <f t="array" aca="1" ref="AK21:AK30" ca="1">CSVRead(FileName,AK19,,,"Y-M-D",,,2)</f>
        <v>44424</v>
      </c>
    </row>
    <row r="22" spans="2:37" x14ac:dyDescent="0.45">
      <c r="B22" t="str">
        <f ca="1"/>
        <v>"Date",2021-08-18</v>
      </c>
      <c r="E22" s="45">
        <f ca="1"/>
        <v>44426</v>
      </c>
      <c r="G22" s="45" t="str">
        <f ca="1"/>
        <v>2021-08-18</v>
      </c>
      <c r="I22" s="45" t="str">
        <f ca="1"/>
        <v>2021-08-18</v>
      </c>
      <c r="K22" s="45">
        <f ca="1"/>
        <v>44426</v>
      </c>
      <c r="M22" s="45" t="str">
        <f ca="1"/>
        <v>2021-08-18</v>
      </c>
      <c r="O22" s="45" t="str">
        <f ca="1"/>
        <v>2021-08-18</v>
      </c>
      <c r="Q22" s="45" t="str">
        <f ca="1"/>
        <v>2021-08-18</v>
      </c>
      <c r="S22" s="45" t="str">
        <f ca="1"/>
        <v>2021-08-18</v>
      </c>
      <c r="U22" s="45">
        <f ca="1"/>
        <v>44426</v>
      </c>
      <c r="W22" s="45" t="str">
        <f ca="1"/>
        <v>2021-08-18</v>
      </c>
      <c r="Y22" s="45" t="str">
        <f ca="1"/>
        <v>2021-08-18</v>
      </c>
      <c r="AA22" s="45" t="str">
        <f ca="1"/>
        <v>2021-08-18</v>
      </c>
      <c r="AC22" s="45">
        <f ca="1"/>
        <v>44426</v>
      </c>
      <c r="AE22" s="45" t="str">
        <f ca="1"/>
        <v>2021-08-18</v>
      </c>
      <c r="AG22" s="45" t="str">
        <f ca="1"/>
        <v>2021-08-18</v>
      </c>
      <c r="AI22" s="45">
        <f ca="1"/>
        <v>44426</v>
      </c>
      <c r="AK22" s="45">
        <f ca="1"/>
        <v>44426</v>
      </c>
    </row>
    <row r="23" spans="2:37" x14ac:dyDescent="0.45">
      <c r="B23" t="str">
        <f ca="1"/>
        <v>"Boolean",True</v>
      </c>
      <c r="E23" s="13" t="b">
        <f ca="1"/>
        <v>1</v>
      </c>
      <c r="G23" s="13" t="str">
        <f ca="1"/>
        <v>True</v>
      </c>
      <c r="I23" s="13" t="str">
        <f ca="1"/>
        <v>True</v>
      </c>
      <c r="K23" s="13" t="str">
        <f ca="1"/>
        <v>True</v>
      </c>
      <c r="M23" s="13" t="b">
        <f ca="1"/>
        <v>1</v>
      </c>
      <c r="O23" s="13" t="str">
        <f ca="1"/>
        <v>True</v>
      </c>
      <c r="Q23" s="13" t="str">
        <f ca="1"/>
        <v>True</v>
      </c>
      <c r="S23" s="13" t="str">
        <f ca="1"/>
        <v>True</v>
      </c>
      <c r="U23" s="13" t="str">
        <f ca="1"/>
        <v>True</v>
      </c>
      <c r="W23" s="13" t="b">
        <f ca="1"/>
        <v>1</v>
      </c>
      <c r="Y23" s="13" t="str">
        <f ca="1"/>
        <v>True</v>
      </c>
      <c r="AA23" s="13" t="str">
        <f ca="1"/>
        <v>True</v>
      </c>
      <c r="AC23" s="13" t="str">
        <f ca="1"/>
        <v>True</v>
      </c>
      <c r="AE23" s="13" t="b">
        <f ca="1"/>
        <v>1</v>
      </c>
      <c r="AG23" s="13" t="str">
        <f ca="1"/>
        <v>True</v>
      </c>
      <c r="AI23" s="13" t="b">
        <f ca="1"/>
        <v>1</v>
      </c>
      <c r="AK23" s="13" t="b">
        <f ca="1"/>
        <v>1</v>
      </c>
    </row>
    <row r="24" spans="2:37" x14ac:dyDescent="0.45">
      <c r="B24" t="str">
        <f ca="1"/>
        <v>"Error",#DIV/0!</v>
      </c>
      <c r="E24" s="13" t="e">
        <f ca="1"/>
        <v>#DIV/0!</v>
      </c>
      <c r="G24" s="13" t="str">
        <f ca="1"/>
        <v>#DIV/0!</v>
      </c>
      <c r="I24" s="13" t="str">
        <f ca="1"/>
        <v>#DIV/0!</v>
      </c>
      <c r="K24" s="13" t="str">
        <f ca="1"/>
        <v>#DIV/0!</v>
      </c>
      <c r="M24" s="13" t="str">
        <f ca="1"/>
        <v>#DIV/0!</v>
      </c>
      <c r="O24" s="13" t="e">
        <f ca="1"/>
        <v>#DIV/0!</v>
      </c>
      <c r="Q24" s="13" t="str">
        <f ca="1"/>
        <v>#DIV/0!</v>
      </c>
      <c r="S24" s="13" t="str">
        <f ca="1"/>
        <v>#DIV/0!</v>
      </c>
      <c r="U24" s="13" t="str">
        <f ca="1"/>
        <v>#DIV/0!</v>
      </c>
      <c r="W24" s="13" t="str">
        <f ca="1"/>
        <v>#DIV/0!</v>
      </c>
      <c r="Y24" s="13" t="e">
        <f ca="1"/>
        <v>#DIV/0!</v>
      </c>
      <c r="AA24" s="13" t="str">
        <f ca="1"/>
        <v>#DIV/0!</v>
      </c>
      <c r="AC24" s="13" t="str">
        <f ca="1"/>
        <v>#DIV/0!</v>
      </c>
      <c r="AE24" s="13" t="str">
        <f ca="1"/>
        <v>#DIV/0!</v>
      </c>
      <c r="AG24" s="13" t="e">
        <f ca="1"/>
        <v>#DIV/0!</v>
      </c>
      <c r="AI24" s="13" t="e">
        <f ca="1"/>
        <v>#DIV/0!</v>
      </c>
      <c r="AK24" s="13" t="e">
        <f ca="1"/>
        <v>#DIV/0!</v>
      </c>
    </row>
    <row r="25" spans="2:37" x14ac:dyDescent="0.45">
      <c r="B25" t="str">
        <f ca="1"/>
        <v>"String","1"</v>
      </c>
      <c r="E25" s="13" t="str">
        <f ca="1"/>
        <v>1</v>
      </c>
      <c r="G25" s="13" t="str">
        <f ca="1"/>
        <v>1</v>
      </c>
      <c r="I25" s="13" t="str">
        <f ca="1"/>
        <v>1</v>
      </c>
      <c r="K25" s="13" t="str">
        <f ca="1"/>
        <v>1</v>
      </c>
      <c r="M25" s="13" t="str">
        <f ca="1"/>
        <v>1</v>
      </c>
      <c r="O25" s="13" t="str">
        <f ca="1"/>
        <v>1</v>
      </c>
      <c r="Q25" s="13" t="str">
        <f ca="1"/>
        <v>"1"</v>
      </c>
      <c r="S25" s="13">
        <f ca="1"/>
        <v>1</v>
      </c>
      <c r="U25" s="13" t="str">
        <f ca="1"/>
        <v>1</v>
      </c>
      <c r="W25" s="13" t="str">
        <f ca="1"/>
        <v>1</v>
      </c>
      <c r="Y25" s="13" t="str">
        <f ca="1"/>
        <v>1</v>
      </c>
      <c r="AA25" s="13" t="str">
        <f ca="1"/>
        <v>"1"</v>
      </c>
      <c r="AC25" s="13" t="str">
        <f ca="1"/>
        <v>"1"</v>
      </c>
      <c r="AE25" s="13" t="str">
        <f ca="1"/>
        <v>"1"</v>
      </c>
      <c r="AG25" s="13" t="str">
        <f ca="1"/>
        <v>"1"</v>
      </c>
      <c r="AI25" s="13" t="str">
        <f ca="1"/>
        <v>1</v>
      </c>
      <c r="AK25" s="13">
        <f ca="1"/>
        <v>1</v>
      </c>
    </row>
    <row r="26" spans="2:37" x14ac:dyDescent="0.45">
      <c r="B26" t="str">
        <f ca="1"/>
        <v>"String","16-Aug-2021"</v>
      </c>
      <c r="E26" s="13" t="str">
        <f ca="1"/>
        <v>16-Aug-2021</v>
      </c>
      <c r="G26" s="13" t="str">
        <f ca="1"/>
        <v>16-Aug-2021</v>
      </c>
      <c r="I26" s="13" t="str">
        <f ca="1"/>
        <v>16-Aug-2021</v>
      </c>
      <c r="K26" s="13" t="str">
        <f ca="1"/>
        <v>16-Aug-2021</v>
      </c>
      <c r="M26" s="13" t="str">
        <f ca="1"/>
        <v>16-Aug-2021</v>
      </c>
      <c r="O26" s="13" t="str">
        <f ca="1"/>
        <v>16-Aug-2021</v>
      </c>
      <c r="Q26" s="13" t="str">
        <f ca="1"/>
        <v>"16-Aug-2021"</v>
      </c>
      <c r="S26" s="13" t="str">
        <f ca="1"/>
        <v>16-Aug-2021</v>
      </c>
      <c r="U26" s="13">
        <f ca="1"/>
        <v>44424</v>
      </c>
      <c r="W26" s="13" t="str">
        <f ca="1"/>
        <v>16-Aug-2021</v>
      </c>
      <c r="Y26" s="13" t="str">
        <f ca="1"/>
        <v>16-Aug-2021</v>
      </c>
      <c r="AA26" s="13" t="str">
        <f ca="1"/>
        <v>"16-Aug-2021"</v>
      </c>
      <c r="AC26" s="13" t="str">
        <f ca="1"/>
        <v>"16-Aug-2021"</v>
      </c>
      <c r="AE26" s="13" t="str">
        <f ca="1"/>
        <v>"16-Aug-2021"</v>
      </c>
      <c r="AG26" s="13" t="str">
        <f ca="1"/>
        <v>"16-Aug-2021"</v>
      </c>
      <c r="AI26" s="13" t="str">
        <f ca="1"/>
        <v>16-Aug-2021</v>
      </c>
      <c r="AK26" s="13">
        <f ca="1"/>
        <v>44424</v>
      </c>
    </row>
    <row r="27" spans="2:37" x14ac:dyDescent="0.45">
      <c r="B27" t="str">
        <f ca="1"/>
        <v>"String","TRUE"</v>
      </c>
      <c r="E27" s="13" t="str">
        <f ca="1"/>
        <v>TRUE</v>
      </c>
      <c r="G27" s="13" t="str">
        <f ca="1"/>
        <v>TRUE</v>
      </c>
      <c r="I27" s="13" t="str">
        <f ca="1"/>
        <v>TRUE</v>
      </c>
      <c r="K27" s="13" t="str">
        <f ca="1"/>
        <v>TRUE</v>
      </c>
      <c r="M27" s="13" t="str">
        <f ca="1"/>
        <v>TRUE</v>
      </c>
      <c r="O27" s="13" t="str">
        <f ca="1"/>
        <v>TRUE</v>
      </c>
      <c r="Q27" s="13" t="str">
        <f ca="1"/>
        <v>"TRUE"</v>
      </c>
      <c r="S27" s="13" t="str">
        <f ca="1"/>
        <v>TRUE</v>
      </c>
      <c r="U27" s="13" t="str">
        <f ca="1"/>
        <v>TRUE</v>
      </c>
      <c r="W27" s="13" t="b">
        <f ca="1"/>
        <v>1</v>
      </c>
      <c r="Y27" s="13" t="str">
        <f ca="1"/>
        <v>TRUE</v>
      </c>
      <c r="AA27" s="13" t="str">
        <f ca="1"/>
        <v>"TRUE"</v>
      </c>
      <c r="AC27" s="13" t="str">
        <f ca="1"/>
        <v>"TRUE"</v>
      </c>
      <c r="AE27" s="13" t="str">
        <f ca="1"/>
        <v>"TRUE"</v>
      </c>
      <c r="AG27" s="13" t="str">
        <f ca="1"/>
        <v>"TRUE"</v>
      </c>
      <c r="AI27" s="13" t="str">
        <f ca="1"/>
        <v>TRUE</v>
      </c>
      <c r="AK27" s="13" t="b">
        <f ca="1"/>
        <v>1</v>
      </c>
    </row>
    <row r="28" spans="2:37" x14ac:dyDescent="0.45">
      <c r="B28" t="str">
        <f ca="1"/>
        <v>"String","#DIV/0!"</v>
      </c>
      <c r="E28" s="13" t="str">
        <f ca="1"/>
        <v>#DIV/0!</v>
      </c>
      <c r="G28" s="13" t="str">
        <f ca="1"/>
        <v>#DIV/0!</v>
      </c>
      <c r="I28" s="13" t="str">
        <f ca="1"/>
        <v>#DIV/0!</v>
      </c>
      <c r="K28" s="13" t="str">
        <f ca="1"/>
        <v>#DIV/0!</v>
      </c>
      <c r="M28" s="13" t="str">
        <f ca="1"/>
        <v>#DIV/0!</v>
      </c>
      <c r="O28" s="13" t="str">
        <f ca="1"/>
        <v>#DIV/0!</v>
      </c>
      <c r="Q28" s="13" t="str">
        <f ca="1"/>
        <v>"#DIV/0!"</v>
      </c>
      <c r="S28" s="13" t="str">
        <f ca="1"/>
        <v>#DIV/0!</v>
      </c>
      <c r="U28" s="13" t="str">
        <f ca="1"/>
        <v>#DIV/0!</v>
      </c>
      <c r="W28" s="13" t="str">
        <f ca="1"/>
        <v>#DIV/0!</v>
      </c>
      <c r="Y28" s="13" t="e">
        <f ca="1"/>
        <v>#DIV/0!</v>
      </c>
      <c r="AA28" s="13" t="str">
        <f ca="1"/>
        <v>"#DIV/0!"</v>
      </c>
      <c r="AC28" s="13" t="str">
        <f ca="1"/>
        <v>"#DIV/0!"</v>
      </c>
      <c r="AE28" s="13" t="str">
        <f ca="1"/>
        <v>"#DIV/0!"</v>
      </c>
      <c r="AG28" s="13" t="str">
        <f ca="1"/>
        <v>"#DIV/0!"</v>
      </c>
      <c r="AI28" s="13" t="str">
        <f ca="1"/>
        <v>#DIV/0!</v>
      </c>
      <c r="AK28" s="13" t="e">
        <f ca="1"/>
        <v>#DIV/0!</v>
      </c>
    </row>
    <row r="29" spans="2:37" x14ac:dyDescent="0.45">
      <c r="B29" t="str">
        <f ca="1"/>
        <v>"String","abc"</v>
      </c>
      <c r="E29" s="13" t="str">
        <f ca="1"/>
        <v>abc</v>
      </c>
      <c r="G29" s="13" t="str">
        <f ca="1"/>
        <v>abc</v>
      </c>
      <c r="I29" s="13" t="str">
        <f ca="1"/>
        <v>abc</v>
      </c>
      <c r="K29" s="13" t="str">
        <f ca="1"/>
        <v>abc</v>
      </c>
      <c r="M29" s="13" t="str">
        <f ca="1"/>
        <v>abc</v>
      </c>
      <c r="O29" s="13" t="str">
        <f ca="1"/>
        <v>abc</v>
      </c>
      <c r="Q29" s="13" t="str">
        <f ca="1"/>
        <v>"abc"</v>
      </c>
      <c r="S29" s="13" t="str">
        <f ca="1"/>
        <v>abc</v>
      </c>
      <c r="U29" s="13" t="str">
        <f ca="1"/>
        <v>abc</v>
      </c>
      <c r="W29" s="13" t="str">
        <f ca="1"/>
        <v>abc</v>
      </c>
      <c r="Y29" s="13" t="str">
        <f ca="1"/>
        <v>abc</v>
      </c>
      <c r="AA29" s="13" t="str">
        <f ca="1"/>
        <v>"abc"</v>
      </c>
      <c r="AC29" s="13" t="str">
        <f ca="1"/>
        <v>"abc"</v>
      </c>
      <c r="AE29" s="13" t="str">
        <f ca="1"/>
        <v>"abc"</v>
      </c>
      <c r="AG29" s="13" t="str">
        <f ca="1"/>
        <v>"abc"</v>
      </c>
      <c r="AI29" s="13" t="str">
        <f ca="1"/>
        <v>abc</v>
      </c>
      <c r="AK29" s="13" t="str">
        <f ca="1"/>
        <v>abc</v>
      </c>
    </row>
    <row r="30" spans="2:37" x14ac:dyDescent="0.45">
      <c r="B30" t="str">
        <f ca="1"/>
        <v>"String","abc""def"</v>
      </c>
      <c r="E30" s="13" t="str">
        <f ca="1"/>
        <v>abc"def</v>
      </c>
      <c r="G30" s="13" t="str">
        <f ca="1"/>
        <v>abc"def</v>
      </c>
      <c r="I30" s="13" t="str">
        <f ca="1"/>
        <v>abc"def</v>
      </c>
      <c r="K30" s="13" t="str">
        <f ca="1"/>
        <v>abc"def</v>
      </c>
      <c r="M30" s="13" t="str">
        <f ca="1"/>
        <v>abc"def</v>
      </c>
      <c r="O30" s="13" t="str">
        <f ca="1"/>
        <v>abc"def</v>
      </c>
      <c r="Q30" s="13" t="str">
        <f ca="1"/>
        <v>"abc""def"</v>
      </c>
      <c r="S30" s="13" t="str">
        <f ca="1"/>
        <v>abc"def</v>
      </c>
      <c r="U30" s="13" t="str">
        <f ca="1"/>
        <v>abc"def</v>
      </c>
      <c r="W30" s="13" t="str">
        <f ca="1"/>
        <v>abc"def</v>
      </c>
      <c r="Y30" s="13" t="str">
        <f ca="1"/>
        <v>abc"def</v>
      </c>
      <c r="AA30" s="13" t="str">
        <f ca="1"/>
        <v>"abc""def"</v>
      </c>
      <c r="AC30" s="13" t="str">
        <f ca="1"/>
        <v>"abc""def"</v>
      </c>
      <c r="AE30" s="13" t="str">
        <f ca="1"/>
        <v>"abc""def"</v>
      </c>
      <c r="AG30" s="13" t="str">
        <f ca="1"/>
        <v>"abc""def"</v>
      </c>
      <c r="AI30" s="13" t="str">
        <f ca="1"/>
        <v>abc"def</v>
      </c>
      <c r="AK30" s="13" t="str">
        <f ca="1"/>
        <v>abc"def</v>
      </c>
    </row>
  </sheetData>
  <sheetProtection sheet="1" objects="1" scenarios="1"/>
  <conditionalFormatting sqref="C4 C6:C13">
    <cfRule type="expression" dxfId="98" priority="91">
      <formula>ISLOGICAL(C4)</formula>
    </cfRule>
    <cfRule type="expression" dxfId="97" priority="92">
      <formula>ISNUMBER(C4)</formula>
    </cfRule>
    <cfRule type="expression" dxfId="96" priority="93">
      <formula>ISNUMBER(SEARCH("""",C4))</formula>
    </cfRule>
    <cfRule type="expression" dxfId="95" priority="94">
      <formula>ISTEXT(C4)</formula>
    </cfRule>
    <cfRule type="expression" dxfId="94" priority="95">
      <formula>ISERROR(C4)</formula>
    </cfRule>
  </conditionalFormatting>
  <conditionalFormatting sqref="E21 E23:E30">
    <cfRule type="expression" dxfId="93" priority="76">
      <formula>ISLOGICAL(E21)</formula>
    </cfRule>
    <cfRule type="expression" dxfId="92" priority="77">
      <formula>ISNUMBER(E21)</formula>
    </cfRule>
    <cfRule type="expression" dxfId="91" priority="78">
      <formula>ISNUMBER(SEARCH("""",E21))</formula>
    </cfRule>
    <cfRule type="expression" dxfId="90" priority="79">
      <formula>ISTEXT(E21)</formula>
    </cfRule>
    <cfRule type="expression" dxfId="89" priority="80">
      <formula>ISERROR(E21)</formula>
    </cfRule>
  </conditionalFormatting>
  <conditionalFormatting sqref="C5">
    <cfRule type="expression" dxfId="88" priority="61">
      <formula>ISLOGICAL(C5)</formula>
    </cfRule>
    <cfRule type="expression" dxfId="87" priority="62">
      <formula>ISNUMBER(C5)</formula>
    </cfRule>
    <cfRule type="expression" dxfId="86" priority="63">
      <formula>ISNUMBER(SEARCH("""",C5))</formula>
    </cfRule>
    <cfRule type="expression" dxfId="85" priority="64">
      <formula>ISTEXT(C5)</formula>
    </cfRule>
    <cfRule type="expression" dxfId="84" priority="65">
      <formula>ISERROR(C5)</formula>
    </cfRule>
  </conditionalFormatting>
  <conditionalFormatting sqref="E22">
    <cfRule type="expression" dxfId="83" priority="56">
      <formula>ISLOGICAL(E22)</formula>
    </cfRule>
    <cfRule type="expression" dxfId="82" priority="57">
      <formula>ISNUMBER(E22)</formula>
    </cfRule>
    <cfRule type="expression" dxfId="81" priority="58">
      <formula>ISNUMBER(SEARCH("""",E22))</formula>
    </cfRule>
    <cfRule type="expression" dxfId="80" priority="59">
      <formula>ISTEXT(E22)</formula>
    </cfRule>
    <cfRule type="expression" dxfId="79" priority="60">
      <formula>ISERROR(E22)</formula>
    </cfRule>
  </conditionalFormatting>
  <conditionalFormatting sqref="B4 B6:B13">
    <cfRule type="expression" dxfId="78" priority="51">
      <formula>ISLOGICAL(B4)</formula>
    </cfRule>
    <cfRule type="expression" dxfId="77" priority="52">
      <formula>ISNUMBER(B4)</formula>
    </cfRule>
    <cfRule type="expression" dxfId="76" priority="53">
      <formula>ISNUMBER(SEARCH("""",B4))</formula>
    </cfRule>
    <cfRule type="expression" dxfId="75" priority="54">
      <formula>ISTEXT(B4)</formula>
    </cfRule>
    <cfRule type="expression" dxfId="74" priority="55">
      <formula>ISERROR(B4)</formula>
    </cfRule>
  </conditionalFormatting>
  <conditionalFormatting sqref="B5">
    <cfRule type="expression" dxfId="73" priority="46">
      <formula>ISLOGICAL(B5)</formula>
    </cfRule>
    <cfRule type="expression" dxfId="72" priority="47">
      <formula>ISNUMBER(B5)</formula>
    </cfRule>
    <cfRule type="expression" dxfId="71" priority="48">
      <formula>ISNUMBER(SEARCH("""",B5))</formula>
    </cfRule>
    <cfRule type="expression" dxfId="70" priority="49">
      <formula>ISTEXT(B5)</formula>
    </cfRule>
    <cfRule type="expression" dxfId="69" priority="50">
      <formula>ISERROR(B5)</formula>
    </cfRule>
  </conditionalFormatting>
  <conditionalFormatting sqref="G23:G30 I23:I30 K23:K30 M23:M30 O23:O30 Q23:Q30 S23:S30 U23:U30 W23:W30 Y23:Y30 AA23:AA30 AC23:AC30 AE23:AE30 AG23:AG30">
    <cfRule type="expression" dxfId="68" priority="31">
      <formula>ISLOGICAL(G23)</formula>
    </cfRule>
    <cfRule type="expression" dxfId="67" priority="32">
      <formula>ISNUMBER(G23)</formula>
    </cfRule>
    <cfRule type="expression" dxfId="66" priority="33">
      <formula>ISNUMBER(SEARCH("""",G23))</formula>
    </cfRule>
    <cfRule type="expression" dxfId="65" priority="34">
      <formula>ISTEXT(G23)</formula>
    </cfRule>
    <cfRule type="expression" dxfId="64" priority="35">
      <formula>ISERROR(G23)</formula>
    </cfRule>
  </conditionalFormatting>
  <conditionalFormatting sqref="G22 I22 K22 M22 O22 Q22 S22 U22 W22 Y22 AA22 AC22 AE22 AG22">
    <cfRule type="expression" dxfId="63" priority="26">
      <formula>ISLOGICAL(G22)</formula>
    </cfRule>
    <cfRule type="expression" dxfId="62" priority="27">
      <formula>ISNUMBER(G22)</formula>
    </cfRule>
    <cfRule type="expression" dxfId="61" priority="28">
      <formula>ISNUMBER(SEARCH("""",G22))</formula>
    </cfRule>
    <cfRule type="expression" dxfId="60" priority="29">
      <formula>ISTEXT(G22)</formula>
    </cfRule>
    <cfRule type="expression" dxfId="59" priority="30">
      <formula>ISERROR(G22)</formula>
    </cfRule>
  </conditionalFormatting>
  <conditionalFormatting sqref="AI23:AI30">
    <cfRule type="expression" dxfId="58" priority="21">
      <formula>ISLOGICAL(AI23)</formula>
    </cfRule>
    <cfRule type="expression" dxfId="57" priority="22">
      <formula>ISNUMBER(AI23)</formula>
    </cfRule>
    <cfRule type="expression" dxfId="56" priority="23">
      <formula>ISNUMBER(SEARCH("""",AI23))</formula>
    </cfRule>
    <cfRule type="expression" dxfId="55" priority="24">
      <formula>ISTEXT(AI23)</formula>
    </cfRule>
    <cfRule type="expression" dxfId="54" priority="25">
      <formula>ISERROR(AI23)</formula>
    </cfRule>
  </conditionalFormatting>
  <conditionalFormatting sqref="AI22">
    <cfRule type="expression" dxfId="53" priority="16">
      <formula>ISLOGICAL(AI22)</formula>
    </cfRule>
    <cfRule type="expression" dxfId="52" priority="17">
      <formula>ISNUMBER(AI22)</formula>
    </cfRule>
    <cfRule type="expression" dxfId="51" priority="18">
      <formula>ISNUMBER(SEARCH("""",AI22))</formula>
    </cfRule>
    <cfRule type="expression" dxfId="50" priority="19">
      <formula>ISTEXT(AI22)</formula>
    </cfRule>
    <cfRule type="expression" dxfId="49" priority="20">
      <formula>ISERROR(AI22)</formula>
    </cfRule>
  </conditionalFormatting>
  <conditionalFormatting sqref="AK23:AK30">
    <cfRule type="expression" dxfId="48" priority="11">
      <formula>ISLOGICAL(AK23)</formula>
    </cfRule>
    <cfRule type="expression" dxfId="47" priority="12">
      <formula>ISNUMBER(AK23)</formula>
    </cfRule>
    <cfRule type="expression" dxfId="46" priority="13">
      <formula>ISNUMBER(SEARCH("""",AK23))</formula>
    </cfRule>
    <cfRule type="expression" dxfId="45" priority="14">
      <formula>ISTEXT(AK23)</formula>
    </cfRule>
    <cfRule type="expression" dxfId="44" priority="15">
      <formula>ISERROR(AK23)</formula>
    </cfRule>
  </conditionalFormatting>
  <conditionalFormatting sqref="AK22">
    <cfRule type="expression" dxfId="43" priority="6">
      <formula>ISLOGICAL(AK22)</formula>
    </cfRule>
    <cfRule type="expression" dxfId="42" priority="7">
      <formula>ISNUMBER(AK22)</formula>
    </cfRule>
    <cfRule type="expression" dxfId="41" priority="8">
      <formula>ISNUMBER(SEARCH("""",AK22))</formula>
    </cfRule>
    <cfRule type="expression" dxfId="40" priority="9">
      <formula>ISTEXT(AK22)</formula>
    </cfRule>
    <cfRule type="expression" dxfId="39" priority="10">
      <formula>ISERROR(AK22)</formula>
    </cfRule>
  </conditionalFormatting>
  <conditionalFormatting sqref="G21 I21 K21 M21 O21 Q21 S21 U21 W21 Y21 AA21 AC21 AE21 AG21 AI21 AK21">
    <cfRule type="expression" dxfId="38" priority="1">
      <formula>ISLOGICAL(G21)</formula>
    </cfRule>
    <cfRule type="expression" dxfId="37" priority="2">
      <formula>ISNUMBER(G21)</formula>
    </cfRule>
    <cfRule type="expression" dxfId="36" priority="3">
      <formula>ISNUMBER(SEARCH("""",G21))</formula>
    </cfRule>
    <cfRule type="expression" dxfId="35" priority="4">
      <formula>ISTEXT(G21)</formula>
    </cfRule>
    <cfRule type="expression" dxfId="34" priority="5">
      <formula>ISERROR(G21)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781E1-B220-4449-A5D9-C29407EF9035}">
  <sheetPr codeName="Sheet1"/>
  <dimension ref="A1:AL180"/>
  <sheetViews>
    <sheetView showGridLines="0" showRowColHeaders="0" zoomScale="87" zoomScaleNormal="87" workbookViewId="0"/>
  </sheetViews>
  <sheetFormatPr defaultRowHeight="14.25" x14ac:dyDescent="0.45"/>
  <cols>
    <col min="2" max="2" width="5" bestFit="1" customWidth="1"/>
    <col min="3" max="3" width="9.6640625" bestFit="1" customWidth="1"/>
    <col min="4" max="4" width="37.46484375" bestFit="1" customWidth="1"/>
    <col min="5" max="5" width="11.33203125" bestFit="1" customWidth="1"/>
    <col min="6" max="6" width="5.33203125" bestFit="1" customWidth="1"/>
    <col min="7" max="7" width="5.33203125" customWidth="1"/>
    <col min="8" max="8" width="13.06640625" bestFit="1" customWidth="1"/>
    <col min="9" max="9" width="5.33203125" bestFit="1" customWidth="1"/>
    <col min="10" max="10" width="7.46484375" bestFit="1" customWidth="1"/>
    <col min="11" max="11" width="7.46484375" customWidth="1"/>
    <col min="12" max="15" width="5.33203125" bestFit="1" customWidth="1"/>
    <col min="16" max="16" width="8.59765625" customWidth="1"/>
    <col min="17" max="18" width="5.33203125" bestFit="1" customWidth="1"/>
    <col min="19" max="19" width="5.33203125" customWidth="1"/>
    <col min="20" max="20" width="46.3984375" bestFit="1" customWidth="1"/>
    <col min="22" max="22" width="133.19921875" bestFit="1" customWidth="1"/>
    <col min="24" max="24" width="10.796875" bestFit="1" customWidth="1"/>
    <col min="25" max="25" width="30.265625" bestFit="1" customWidth="1"/>
    <col min="26" max="26" width="15.6640625" bestFit="1" customWidth="1"/>
    <col min="27" max="27" width="16.6640625" bestFit="1" customWidth="1"/>
    <col min="28" max="30" width="15.6640625" bestFit="1" customWidth="1"/>
    <col min="31" max="31" width="25.19921875" bestFit="1" customWidth="1"/>
    <col min="32" max="32" width="66.33203125" bestFit="1" customWidth="1"/>
    <col min="33" max="33" width="17.86328125" bestFit="1" customWidth="1"/>
    <col min="34" max="34" width="9.19921875" bestFit="1" customWidth="1"/>
    <col min="35" max="35" width="10.796875" bestFit="1" customWidth="1"/>
    <col min="36" max="36" width="11.73046875" bestFit="1" customWidth="1"/>
    <col min="37" max="37" width="16.6640625" bestFit="1" customWidth="1"/>
    <col min="38" max="38" width="43.53125" bestFit="1" customWidth="1"/>
    <col min="39" max="39" width="9.9296875" bestFit="1" customWidth="1"/>
    <col min="43" max="43" width="9.9296875" bestFit="1" customWidth="1"/>
  </cols>
  <sheetData>
    <row r="1" spans="2:29" ht="28.5" x14ac:dyDescent="0.85">
      <c r="B1" s="14" t="s">
        <v>241</v>
      </c>
    </row>
    <row r="2" spans="2:29" x14ac:dyDescent="0.45">
      <c r="S2" s="51" t="s">
        <v>413</v>
      </c>
      <c r="T2" s="5">
        <v>134</v>
      </c>
    </row>
    <row r="3" spans="2:29" x14ac:dyDescent="0.45">
      <c r="S3" s="51" t="str" cm="1">
        <f t="array" aca="1" ref="S3:S17" ca="1">TRANSPOSE(D21:R21)</f>
        <v>FileName</v>
      </c>
      <c r="T3" s="52" t="str" cm="1">
        <f t="array" aca="1" ref="T3:T17" ca="1">TRANSPOSE(OFFSET(D21:R21,IndexToTest,0))</f>
        <v>test_skip_args_with_comments.csv</v>
      </c>
    </row>
    <row r="4" spans="2:29" x14ac:dyDescent="0.45">
      <c r="S4" s="51" t="str">
        <f ca="1"/>
        <v>ConvertTypes</v>
      </c>
      <c r="T4" s="55" t="b">
        <f ca="1"/>
        <v>0</v>
      </c>
    </row>
    <row r="5" spans="2:29" x14ac:dyDescent="0.45">
      <c r="S5" s="51" t="str">
        <f ca="1"/>
        <v>Delimiter</v>
      </c>
      <c r="T5" s="55" t="str">
        <f ca="1"/>
        <v/>
      </c>
    </row>
    <row r="6" spans="2:29" x14ac:dyDescent="0.45">
      <c r="C6" t="s">
        <v>299</v>
      </c>
      <c r="D6" s="19" t="s">
        <v>474</v>
      </c>
      <c r="E6" s="37"/>
      <c r="F6" s="37"/>
      <c r="G6" s="37"/>
      <c r="H6" s="37"/>
      <c r="I6" s="37"/>
      <c r="J6" s="37"/>
      <c r="K6" s="37"/>
      <c r="L6" s="37"/>
      <c r="S6" s="51" t="str">
        <f ca="1"/>
        <v>DelimiterForXL</v>
      </c>
      <c r="T6" s="52" t="str">
        <f ca="1"/>
        <v/>
      </c>
    </row>
    <row r="7" spans="2:29" x14ac:dyDescent="0.45">
      <c r="C7" t="s">
        <v>3</v>
      </c>
      <c r="D7" s="54" t="str">
        <f ca="1">D6&amp;VLOOKUP(IndexToTest,B21:D180,3,FALSE)</f>
        <v>C:\Projects\VBA-CSV\testfiles\test_skip_args_with_comments.csv</v>
      </c>
      <c r="S7" s="51" t="str">
        <f ca="1"/>
        <v>FormatsForXL</v>
      </c>
      <c r="T7" s="52">
        <f ca="1"/>
        <v>0</v>
      </c>
    </row>
    <row r="8" spans="2:29" x14ac:dyDescent="0.45">
      <c r="S8" s="51" t="str">
        <f ca="1"/>
        <v>IgnoreRepeated</v>
      </c>
      <c r="T8" s="55" t="b">
        <f ca="1"/>
        <v>0</v>
      </c>
    </row>
    <row r="9" spans="2:29" x14ac:dyDescent="0.45">
      <c r="D9" s="19"/>
      <c r="E9" s="19"/>
      <c r="F9" s="19"/>
      <c r="G9" s="19"/>
      <c r="H9" s="19"/>
      <c r="I9" s="19"/>
      <c r="J9" s="19"/>
      <c r="K9" s="19"/>
      <c r="L9" s="19"/>
      <c r="S9" s="51" t="str">
        <f ca="1"/>
        <v>DateFormat</v>
      </c>
      <c r="T9" s="55" t="str">
        <f ca="1"/>
        <v/>
      </c>
    </row>
    <row r="10" spans="2:29" x14ac:dyDescent="0.45">
      <c r="S10" s="51" t="str">
        <f ca="1"/>
        <v>Comment</v>
      </c>
      <c r="T10" s="55" t="str">
        <f ca="1"/>
        <v>#</v>
      </c>
    </row>
    <row r="11" spans="2:29" x14ac:dyDescent="0.45">
      <c r="S11" s="51" t="str">
        <f ca="1"/>
        <v>SkipToRow</v>
      </c>
      <c r="T11" s="55">
        <f ca="1"/>
        <v>8</v>
      </c>
    </row>
    <row r="12" spans="2:29" x14ac:dyDescent="0.45">
      <c r="S12" s="51" t="str">
        <f ca="1"/>
        <v>SkipToCol</v>
      </c>
      <c r="T12" s="55">
        <f ca="1"/>
        <v>8</v>
      </c>
    </row>
    <row r="13" spans="2:29" x14ac:dyDescent="0.45">
      <c r="S13" s="51" t="str">
        <f ca="1"/>
        <v>NumRows</v>
      </c>
      <c r="T13" s="55">
        <f ca="1"/>
        <v>4</v>
      </c>
    </row>
    <row r="14" spans="2:29" x14ac:dyDescent="0.45">
      <c r="S14" s="51" t="str">
        <f ca="1"/>
        <v>NumCols</v>
      </c>
      <c r="T14" s="55">
        <f ca="1"/>
        <v>4</v>
      </c>
    </row>
    <row r="15" spans="2:29" x14ac:dyDescent="0.45">
      <c r="S15" s="51" t="str">
        <f ca="1"/>
        <v>ShowMissingsAs</v>
      </c>
      <c r="T15" s="55">
        <f ca="1"/>
        <v>0</v>
      </c>
    </row>
    <row r="16" spans="2:29" x14ac:dyDescent="0.45">
      <c r="S16" s="51" t="str">
        <f ca="1"/>
        <v>Unicode</v>
      </c>
      <c r="T16" s="55" t="b">
        <f ca="1"/>
        <v>0</v>
      </c>
      <c r="AC16" s="19" t="s">
        <v>470</v>
      </c>
    </row>
    <row r="17" spans="1:29" x14ac:dyDescent="0.45">
      <c r="S17" s="51" t="str">
        <f ca="1"/>
        <v>DecimalSeparator</v>
      </c>
      <c r="T17" s="55" t="str">
        <f ca="1"/>
        <v>.</v>
      </c>
      <c r="AC17" s="19"/>
    </row>
    <row r="18" spans="1:29" x14ac:dyDescent="0.45">
      <c r="AC18" s="19"/>
    </row>
    <row r="19" spans="1:29" x14ac:dyDescent="0.45">
      <c r="AC19" s="19"/>
    </row>
    <row r="21" spans="1:29" x14ac:dyDescent="0.45">
      <c r="A21" t="s">
        <v>471</v>
      </c>
      <c r="B21" s="57" t="s">
        <v>242</v>
      </c>
      <c r="C21" s="57" t="s">
        <v>35</v>
      </c>
      <c r="D21" s="57" t="s">
        <v>3</v>
      </c>
      <c r="E21" s="60" t="s">
        <v>243</v>
      </c>
      <c r="F21" s="60" t="s">
        <v>244</v>
      </c>
      <c r="G21" s="60" t="s">
        <v>423</v>
      </c>
      <c r="H21" s="60" t="s">
        <v>425</v>
      </c>
      <c r="I21" s="60" t="s">
        <v>245</v>
      </c>
      <c r="J21" s="60" t="s">
        <v>7</v>
      </c>
      <c r="K21" s="60" t="s">
        <v>205</v>
      </c>
      <c r="L21" s="60" t="s">
        <v>246</v>
      </c>
      <c r="M21" s="60" t="s">
        <v>247</v>
      </c>
      <c r="N21" s="60" t="s">
        <v>248</v>
      </c>
      <c r="O21" s="60" t="s">
        <v>249</v>
      </c>
      <c r="P21" s="60" t="s">
        <v>250</v>
      </c>
      <c r="Q21" s="60" t="s">
        <v>13</v>
      </c>
      <c r="R21" s="60" t="s">
        <v>251</v>
      </c>
      <c r="S21" s="60" t="s">
        <v>419</v>
      </c>
      <c r="T21" s="57" t="s">
        <v>252</v>
      </c>
    </row>
    <row r="22" spans="1:29" x14ac:dyDescent="0.45">
      <c r="B22" s="40">
        <v>1</v>
      </c>
      <c r="C22" s="41">
        <v>0</v>
      </c>
      <c r="D22" s="39" t="s">
        <v>300</v>
      </c>
      <c r="E22" s="38" t="b">
        <v>0</v>
      </c>
      <c r="F22" s="42" t="s">
        <v>253</v>
      </c>
      <c r="G22" s="42"/>
      <c r="H22" s="42"/>
      <c r="I22" s="43" t="b">
        <v>0</v>
      </c>
      <c r="J22" s="42" t="s">
        <v>253</v>
      </c>
      <c r="K22" s="42" t="s">
        <v>253</v>
      </c>
      <c r="L22" s="38">
        <v>1</v>
      </c>
      <c r="M22" s="38">
        <v>1</v>
      </c>
      <c r="N22" s="38">
        <v>0</v>
      </c>
      <c r="O22" s="38">
        <v>0</v>
      </c>
      <c r="P22" s="42"/>
      <c r="Q22" s="38" t="b">
        <v>0</v>
      </c>
      <c r="R22" s="38" t="s">
        <v>254</v>
      </c>
      <c r="S22" s="38"/>
      <c r="T22" s="40"/>
    </row>
    <row r="23" spans="1:29" x14ac:dyDescent="0.45">
      <c r="B23" s="40">
        <v>2</v>
      </c>
      <c r="C23" s="41">
        <v>0</v>
      </c>
      <c r="D23" s="39" t="s">
        <v>301</v>
      </c>
      <c r="E23" s="38" t="b">
        <v>0</v>
      </c>
      <c r="F23" s="42" t="s">
        <v>253</v>
      </c>
      <c r="G23" s="42"/>
      <c r="H23" s="42"/>
      <c r="I23" s="43" t="b">
        <v>0</v>
      </c>
      <c r="J23" s="42" t="s">
        <v>253</v>
      </c>
      <c r="K23" s="42" t="s">
        <v>253</v>
      </c>
      <c r="L23" s="38">
        <v>1</v>
      </c>
      <c r="M23" s="38">
        <v>1</v>
      </c>
      <c r="N23" s="38">
        <v>0</v>
      </c>
      <c r="O23" s="38">
        <v>0</v>
      </c>
      <c r="P23" s="42"/>
      <c r="Q23" s="38" t="b">
        <v>0</v>
      </c>
      <c r="R23" s="38" t="s">
        <v>254</v>
      </c>
      <c r="S23" s="38"/>
      <c r="T23" s="40"/>
    </row>
    <row r="24" spans="1:29" x14ac:dyDescent="0.45">
      <c r="B24" s="40">
        <v>3</v>
      </c>
      <c r="C24" s="41">
        <v>4</v>
      </c>
      <c r="D24" s="39" t="s">
        <v>302</v>
      </c>
      <c r="E24" s="38" t="b">
        <v>0</v>
      </c>
      <c r="F24" s="42" t="s">
        <v>253</v>
      </c>
      <c r="G24" s="42"/>
      <c r="H24" s="42"/>
      <c r="I24" s="43" t="b">
        <v>0</v>
      </c>
      <c r="J24" s="42" t="s">
        <v>253</v>
      </c>
      <c r="K24" s="42" t="s">
        <v>253</v>
      </c>
      <c r="L24" s="38">
        <v>1</v>
      </c>
      <c r="M24" s="38">
        <v>1</v>
      </c>
      <c r="N24" s="38">
        <v>0</v>
      </c>
      <c r="O24" s="38">
        <v>0</v>
      </c>
      <c r="P24" s="42"/>
      <c r="Q24" s="38" t="b">
        <v>0</v>
      </c>
      <c r="R24" s="38" t="s">
        <v>254</v>
      </c>
      <c r="S24" s="38"/>
      <c r="T24" s="40"/>
    </row>
    <row r="25" spans="1:29" x14ac:dyDescent="0.45">
      <c r="A25" t="b">
        <v>1</v>
      </c>
      <c r="B25" s="40">
        <v>4</v>
      </c>
      <c r="C25" s="41">
        <v>5</v>
      </c>
      <c r="D25" s="39" t="s">
        <v>303</v>
      </c>
      <c r="E25" s="38" t="b">
        <v>1</v>
      </c>
      <c r="F25" s="42" t="s">
        <v>253</v>
      </c>
      <c r="G25" s="42"/>
      <c r="H25" s="42"/>
      <c r="I25" s="43" t="b">
        <v>0</v>
      </c>
      <c r="J25" s="42" t="s">
        <v>253</v>
      </c>
      <c r="K25" s="42" t="s">
        <v>253</v>
      </c>
      <c r="L25" s="38">
        <v>1</v>
      </c>
      <c r="M25" s="38">
        <v>1</v>
      </c>
      <c r="N25" s="38">
        <v>0</v>
      </c>
      <c r="O25" s="38">
        <v>0</v>
      </c>
      <c r="P25" s="42"/>
      <c r="Q25" s="38" t="b">
        <v>0</v>
      </c>
      <c r="R25" s="38" t="s">
        <v>254</v>
      </c>
      <c r="S25" s="38"/>
      <c r="T25" s="40"/>
    </row>
    <row r="26" spans="1:29" x14ac:dyDescent="0.45">
      <c r="B26" s="40">
        <v>5</v>
      </c>
      <c r="C26" s="41">
        <v>5</v>
      </c>
      <c r="D26" s="39" t="s">
        <v>304</v>
      </c>
      <c r="E26" s="38" t="b">
        <v>1</v>
      </c>
      <c r="F26" s="42" t="s">
        <v>253</v>
      </c>
      <c r="G26" s="42"/>
      <c r="H26" s="42"/>
      <c r="I26" s="43" t="b">
        <v>0</v>
      </c>
      <c r="J26" s="42" t="s">
        <v>253</v>
      </c>
      <c r="K26" s="42" t="s">
        <v>253</v>
      </c>
      <c r="L26" s="38">
        <v>1</v>
      </c>
      <c r="M26" s="38">
        <v>1</v>
      </c>
      <c r="N26" s="38">
        <v>0</v>
      </c>
      <c r="O26" s="38">
        <v>0</v>
      </c>
      <c r="P26" s="42"/>
      <c r="Q26" s="38" t="b">
        <v>0</v>
      </c>
      <c r="R26" s="38" t="s">
        <v>254</v>
      </c>
      <c r="S26" s="38" t="b">
        <v>1</v>
      </c>
      <c r="T26" s="40"/>
    </row>
    <row r="27" spans="1:29" x14ac:dyDescent="0.45">
      <c r="B27" s="40">
        <v>6</v>
      </c>
      <c r="C27" s="41">
        <v>6</v>
      </c>
      <c r="D27" s="39" t="s">
        <v>305</v>
      </c>
      <c r="E27" s="38" t="b">
        <v>1</v>
      </c>
      <c r="F27" s="42" t="s">
        <v>253</v>
      </c>
      <c r="G27" s="42"/>
      <c r="H27" s="42"/>
      <c r="I27" s="43" t="b">
        <v>0</v>
      </c>
      <c r="J27" s="42" t="s">
        <v>253</v>
      </c>
      <c r="K27" s="42" t="s">
        <v>253</v>
      </c>
      <c r="L27" s="38">
        <v>1</v>
      </c>
      <c r="M27" s="38">
        <v>1</v>
      </c>
      <c r="N27" s="38">
        <v>0</v>
      </c>
      <c r="O27" s="38">
        <v>0</v>
      </c>
      <c r="P27" s="42"/>
      <c r="Q27" s="38" t="b">
        <v>0</v>
      </c>
      <c r="R27" s="38" t="s">
        <v>254</v>
      </c>
      <c r="S27" s="38" t="b">
        <v>1</v>
      </c>
      <c r="T27" s="40"/>
    </row>
    <row r="28" spans="1:29" x14ac:dyDescent="0.45">
      <c r="B28" s="40">
        <v>7</v>
      </c>
      <c r="C28" s="41">
        <v>10</v>
      </c>
      <c r="D28" s="39" t="s">
        <v>306</v>
      </c>
      <c r="E28" s="38" t="b">
        <v>1</v>
      </c>
      <c r="F28" s="42" t="s">
        <v>253</v>
      </c>
      <c r="G28" s="42"/>
      <c r="H28" s="42"/>
      <c r="I28" s="43" t="b">
        <v>0</v>
      </c>
      <c r="J28" s="42" t="s">
        <v>253</v>
      </c>
      <c r="K28" s="42" t="s">
        <v>253</v>
      </c>
      <c r="L28" s="38">
        <v>1</v>
      </c>
      <c r="M28" s="38">
        <v>1</v>
      </c>
      <c r="N28" s="38">
        <v>0</v>
      </c>
      <c r="O28" s="38">
        <v>0</v>
      </c>
      <c r="P28" s="42"/>
      <c r="Q28" s="38" t="b">
        <v>0</v>
      </c>
      <c r="R28" s="38" t="s">
        <v>254</v>
      </c>
      <c r="S28" s="38" t="b">
        <v>0</v>
      </c>
      <c r="T28" s="40" t="s">
        <v>421</v>
      </c>
    </row>
    <row r="29" spans="1:29" x14ac:dyDescent="0.45">
      <c r="B29" s="40">
        <v>8</v>
      </c>
      <c r="C29" s="41">
        <v>10</v>
      </c>
      <c r="D29" s="39" t="s">
        <v>307</v>
      </c>
      <c r="E29" s="38" t="b">
        <v>1</v>
      </c>
      <c r="F29" s="42" t="s">
        <v>253</v>
      </c>
      <c r="G29" s="42"/>
      <c r="H29" s="42"/>
      <c r="I29" s="43" t="b">
        <v>0</v>
      </c>
      <c r="J29" s="42" t="s">
        <v>253</v>
      </c>
      <c r="K29" s="42" t="s">
        <v>253</v>
      </c>
      <c r="L29" s="38">
        <v>1</v>
      </c>
      <c r="M29" s="38">
        <v>1</v>
      </c>
      <c r="N29" s="38">
        <v>0</v>
      </c>
      <c r="O29" s="38">
        <v>0</v>
      </c>
      <c r="P29" s="42"/>
      <c r="Q29" s="38" t="b">
        <v>0</v>
      </c>
      <c r="R29" s="38" t="s">
        <v>254</v>
      </c>
      <c r="S29" s="38" t="b">
        <v>1</v>
      </c>
      <c r="T29" s="40"/>
    </row>
    <row r="30" spans="1:29" x14ac:dyDescent="0.45">
      <c r="B30" s="40">
        <v>9</v>
      </c>
      <c r="C30" s="41">
        <v>11</v>
      </c>
      <c r="D30" s="39" t="s">
        <v>308</v>
      </c>
      <c r="E30" s="38" t="b">
        <v>1</v>
      </c>
      <c r="F30" s="42" t="s">
        <v>253</v>
      </c>
      <c r="G30" s="42"/>
      <c r="H30" s="42"/>
      <c r="I30" s="43" t="b">
        <v>0</v>
      </c>
      <c r="J30" s="42" t="s">
        <v>253</v>
      </c>
      <c r="K30" s="42" t="s">
        <v>253</v>
      </c>
      <c r="L30" s="38">
        <v>1</v>
      </c>
      <c r="M30" s="38">
        <v>1</v>
      </c>
      <c r="N30" s="38">
        <v>0</v>
      </c>
      <c r="O30" s="38">
        <v>0</v>
      </c>
      <c r="P30" s="42"/>
      <c r="Q30" s="38" t="b">
        <v>0</v>
      </c>
      <c r="R30" s="38" t="s">
        <v>254</v>
      </c>
      <c r="S30" s="38" t="b">
        <v>1</v>
      </c>
      <c r="T30" s="40"/>
    </row>
    <row r="31" spans="1:29" x14ac:dyDescent="0.45">
      <c r="B31" s="40">
        <v>10</v>
      </c>
      <c r="C31" s="41">
        <v>11</v>
      </c>
      <c r="D31" s="39" t="s">
        <v>309</v>
      </c>
      <c r="E31" s="38" t="b">
        <v>1</v>
      </c>
      <c r="F31" s="42" t="s">
        <v>253</v>
      </c>
      <c r="G31" s="42"/>
      <c r="H31" s="42"/>
      <c r="I31" s="43" t="b">
        <v>0</v>
      </c>
      <c r="J31" s="42" t="s">
        <v>253</v>
      </c>
      <c r="K31" s="42" t="s">
        <v>253</v>
      </c>
      <c r="L31" s="38">
        <v>1</v>
      </c>
      <c r="M31" s="38">
        <v>1</v>
      </c>
      <c r="N31" s="38">
        <v>0</v>
      </c>
      <c r="O31" s="38">
        <v>0</v>
      </c>
      <c r="P31" s="42"/>
      <c r="Q31" s="38" t="b">
        <v>0</v>
      </c>
      <c r="R31" s="38" t="s">
        <v>254</v>
      </c>
      <c r="S31" s="38" t="b">
        <v>1</v>
      </c>
      <c r="T31" s="40"/>
    </row>
    <row r="32" spans="1:29" x14ac:dyDescent="0.45">
      <c r="B32" s="40">
        <v>11</v>
      </c>
      <c r="C32" s="41">
        <v>11</v>
      </c>
      <c r="D32" s="39" t="s">
        <v>310</v>
      </c>
      <c r="E32" s="38" t="b">
        <v>1</v>
      </c>
      <c r="F32" s="42" t="s">
        <v>253</v>
      </c>
      <c r="G32" s="42"/>
      <c r="H32" s="42"/>
      <c r="I32" s="43" t="b">
        <v>0</v>
      </c>
      <c r="J32" s="42" t="s">
        <v>253</v>
      </c>
      <c r="K32" s="42" t="s">
        <v>253</v>
      </c>
      <c r="L32" s="38">
        <v>1</v>
      </c>
      <c r="M32" s="38">
        <v>1</v>
      </c>
      <c r="N32" s="38">
        <v>0</v>
      </c>
      <c r="O32" s="38">
        <v>0</v>
      </c>
      <c r="P32" s="42"/>
      <c r="Q32" s="38" t="b">
        <v>0</v>
      </c>
      <c r="R32" s="38" t="s">
        <v>254</v>
      </c>
      <c r="S32" s="38" t="b">
        <v>1</v>
      </c>
      <c r="T32" s="40" t="s">
        <v>472</v>
      </c>
    </row>
    <row r="33" spans="1:20" x14ac:dyDescent="0.45">
      <c r="B33" s="40">
        <v>12</v>
      </c>
      <c r="C33" s="41">
        <v>16</v>
      </c>
      <c r="D33" s="39" t="s">
        <v>311</v>
      </c>
      <c r="E33" s="38" t="b">
        <v>1</v>
      </c>
      <c r="F33" s="42" t="s">
        <v>253</v>
      </c>
      <c r="G33" s="38" t="s">
        <v>256</v>
      </c>
      <c r="H33" s="38"/>
      <c r="I33" s="38" t="b">
        <v>0</v>
      </c>
      <c r="J33" s="42" t="s">
        <v>253</v>
      </c>
      <c r="K33" s="42" t="s">
        <v>253</v>
      </c>
      <c r="L33" s="38">
        <v>1</v>
      </c>
      <c r="M33" s="38">
        <v>1</v>
      </c>
      <c r="N33" s="38">
        <v>0</v>
      </c>
      <c r="O33" s="38">
        <v>0</v>
      </c>
      <c r="P33" s="42"/>
      <c r="Q33" s="38" t="b">
        <v>0</v>
      </c>
      <c r="R33" s="38" t="s">
        <v>257</v>
      </c>
      <c r="S33" s="38" t="b">
        <v>1</v>
      </c>
      <c r="T33" s="40" t="s">
        <v>472</v>
      </c>
    </row>
    <row r="34" spans="1:20" x14ac:dyDescent="0.45">
      <c r="B34" s="40">
        <v>13</v>
      </c>
      <c r="C34" s="41">
        <v>18</v>
      </c>
      <c r="D34" s="39" t="s">
        <v>312</v>
      </c>
      <c r="E34" s="38" t="b">
        <v>1</v>
      </c>
      <c r="F34" s="42" t="s">
        <v>253</v>
      </c>
      <c r="G34" s="42"/>
      <c r="H34" s="42"/>
      <c r="I34" s="43" t="b">
        <v>0</v>
      </c>
      <c r="J34" s="42" t="s">
        <v>253</v>
      </c>
      <c r="K34" s="42" t="s">
        <v>253</v>
      </c>
      <c r="L34" s="38">
        <v>1</v>
      </c>
      <c r="M34" s="38">
        <v>1</v>
      </c>
      <c r="N34" s="38">
        <v>0</v>
      </c>
      <c r="O34" s="38">
        <v>0</v>
      </c>
      <c r="P34" s="42"/>
      <c r="Q34" s="38" t="b">
        <v>0</v>
      </c>
      <c r="R34" s="38" t="s">
        <v>254</v>
      </c>
      <c r="S34" s="38" t="b">
        <v>1</v>
      </c>
      <c r="T34" s="40"/>
    </row>
    <row r="35" spans="1:20" x14ac:dyDescent="0.45">
      <c r="B35" s="40">
        <v>14</v>
      </c>
      <c r="C35" s="41">
        <v>19</v>
      </c>
      <c r="D35" s="39" t="s">
        <v>313</v>
      </c>
      <c r="E35" s="38" t="b">
        <v>1</v>
      </c>
      <c r="F35" s="42" t="s">
        <v>253</v>
      </c>
      <c r="G35" s="42" t="s">
        <v>257</v>
      </c>
      <c r="H35" s="42"/>
      <c r="I35" s="43" t="b">
        <v>0</v>
      </c>
      <c r="J35" s="42" t="s">
        <v>253</v>
      </c>
      <c r="K35" s="42" t="s">
        <v>253</v>
      </c>
      <c r="L35" s="38">
        <v>1</v>
      </c>
      <c r="M35" s="38">
        <v>1</v>
      </c>
      <c r="N35" s="38">
        <v>0</v>
      </c>
      <c r="O35" s="38">
        <v>0</v>
      </c>
      <c r="P35" s="42"/>
      <c r="Q35" s="38" t="b">
        <v>0</v>
      </c>
      <c r="R35" s="38" t="s">
        <v>254</v>
      </c>
      <c r="S35" s="38" t="b">
        <v>1</v>
      </c>
      <c r="T35" s="40"/>
    </row>
    <row r="36" spans="1:20" x14ac:dyDescent="0.45">
      <c r="B36" s="40">
        <v>15</v>
      </c>
      <c r="C36" s="41">
        <v>21</v>
      </c>
      <c r="D36" s="39" t="s">
        <v>314</v>
      </c>
      <c r="E36" s="38" t="b">
        <v>1</v>
      </c>
      <c r="F36" s="42" t="s">
        <v>258</v>
      </c>
      <c r="G36" s="42" t="s">
        <v>258</v>
      </c>
      <c r="H36" s="42"/>
      <c r="I36" s="43" t="b">
        <v>1</v>
      </c>
      <c r="J36" s="42" t="s">
        <v>253</v>
      </c>
      <c r="K36" s="42" t="s">
        <v>253</v>
      </c>
      <c r="L36" s="38">
        <v>1</v>
      </c>
      <c r="M36" s="38">
        <v>1</v>
      </c>
      <c r="N36" s="38">
        <v>0</v>
      </c>
      <c r="O36" s="38">
        <v>0</v>
      </c>
      <c r="P36" s="42"/>
      <c r="Q36" s="38" t="b">
        <v>0</v>
      </c>
      <c r="R36" s="38" t="s">
        <v>254</v>
      </c>
      <c r="S36" s="38" t="b">
        <v>1</v>
      </c>
      <c r="T36" s="42"/>
    </row>
    <row r="37" spans="1:20" x14ac:dyDescent="0.45">
      <c r="B37" s="40">
        <v>16</v>
      </c>
      <c r="C37" s="41">
        <v>21</v>
      </c>
      <c r="D37" s="39" t="s">
        <v>315</v>
      </c>
      <c r="E37" s="38" t="b">
        <v>1</v>
      </c>
      <c r="F37" s="42" t="s">
        <v>253</v>
      </c>
      <c r="G37" s="42"/>
      <c r="H37" s="42"/>
      <c r="I37" s="43" t="b">
        <v>0</v>
      </c>
      <c r="J37" s="42" t="s">
        <v>253</v>
      </c>
      <c r="K37" s="42" t="s">
        <v>253</v>
      </c>
      <c r="L37" s="38">
        <v>1</v>
      </c>
      <c r="M37" s="38">
        <v>1</v>
      </c>
      <c r="N37" s="38">
        <v>0</v>
      </c>
      <c r="O37" s="38">
        <v>0</v>
      </c>
      <c r="P37" s="42"/>
      <c r="Q37" s="38" t="b">
        <v>0</v>
      </c>
      <c r="R37" s="38" t="s">
        <v>254</v>
      </c>
      <c r="S37" s="38" t="b">
        <v>1</v>
      </c>
      <c r="T37" s="40"/>
    </row>
    <row r="38" spans="1:20" x14ac:dyDescent="0.45">
      <c r="B38" s="40">
        <v>17</v>
      </c>
      <c r="C38" s="41">
        <v>24</v>
      </c>
      <c r="D38" s="39" t="s">
        <v>316</v>
      </c>
      <c r="E38" s="38" t="b">
        <v>1</v>
      </c>
      <c r="F38" s="42" t="s">
        <v>253</v>
      </c>
      <c r="G38" s="42"/>
      <c r="H38" s="42"/>
      <c r="I38" s="43" t="b">
        <v>0</v>
      </c>
      <c r="J38" s="42" t="s">
        <v>253</v>
      </c>
      <c r="K38" s="42" t="s">
        <v>466</v>
      </c>
      <c r="L38" s="38">
        <v>1</v>
      </c>
      <c r="M38" s="38">
        <v>1</v>
      </c>
      <c r="N38" s="38">
        <v>0</v>
      </c>
      <c r="O38" s="38">
        <v>0</v>
      </c>
      <c r="P38" s="42"/>
      <c r="Q38" s="38" t="b">
        <v>0</v>
      </c>
      <c r="R38" s="38" t="s">
        <v>254</v>
      </c>
      <c r="S38" s="38" t="b">
        <v>1</v>
      </c>
      <c r="T38" s="40"/>
    </row>
    <row r="39" spans="1:20" x14ac:dyDescent="0.45">
      <c r="B39" s="40">
        <v>18</v>
      </c>
      <c r="C39" s="41">
        <v>25</v>
      </c>
      <c r="D39" s="39" t="s">
        <v>317</v>
      </c>
      <c r="E39" s="38" t="b">
        <v>1</v>
      </c>
      <c r="F39" s="42" t="s">
        <v>253</v>
      </c>
      <c r="G39" s="42"/>
      <c r="H39" s="42"/>
      <c r="I39" s="43" t="b">
        <v>0</v>
      </c>
      <c r="J39" s="42" t="s">
        <v>253</v>
      </c>
      <c r="K39" s="42" t="s">
        <v>467</v>
      </c>
      <c r="L39" s="38">
        <v>1</v>
      </c>
      <c r="M39" s="38">
        <v>1</v>
      </c>
      <c r="N39" s="38">
        <v>0</v>
      </c>
      <c r="O39" s="38">
        <v>0</v>
      </c>
      <c r="P39" s="42"/>
      <c r="Q39" s="38" t="b">
        <v>0</v>
      </c>
      <c r="R39" s="38" t="s">
        <v>254</v>
      </c>
      <c r="S39" s="38" t="b">
        <v>1</v>
      </c>
      <c r="T39" s="40"/>
    </row>
    <row r="40" spans="1:20" x14ac:dyDescent="0.45">
      <c r="B40" s="40">
        <v>19</v>
      </c>
      <c r="C40" s="41">
        <v>25</v>
      </c>
      <c r="D40" s="39" t="s">
        <v>318</v>
      </c>
      <c r="E40" s="38" t="b">
        <v>1</v>
      </c>
      <c r="F40" s="42" t="s">
        <v>253</v>
      </c>
      <c r="G40" s="42"/>
      <c r="H40" s="42"/>
      <c r="I40" s="43" t="b">
        <v>0</v>
      </c>
      <c r="J40" s="42" t="s">
        <v>253</v>
      </c>
      <c r="K40" s="42" t="s">
        <v>253</v>
      </c>
      <c r="L40" s="38">
        <v>1</v>
      </c>
      <c r="M40" s="38">
        <v>1</v>
      </c>
      <c r="N40" s="38">
        <v>0</v>
      </c>
      <c r="O40" s="38">
        <v>0</v>
      </c>
      <c r="P40" s="42"/>
      <c r="Q40" s="38" t="b">
        <v>0</v>
      </c>
      <c r="R40" s="38" t="s">
        <v>254</v>
      </c>
      <c r="S40" s="38" t="b">
        <v>1</v>
      </c>
      <c r="T40" s="40"/>
    </row>
    <row r="41" spans="1:20" x14ac:dyDescent="0.45">
      <c r="B41" s="40">
        <v>20</v>
      </c>
      <c r="C41" s="41">
        <v>25</v>
      </c>
      <c r="D41" s="39" t="s">
        <v>319</v>
      </c>
      <c r="E41" s="38" t="b">
        <v>1</v>
      </c>
      <c r="F41" s="42" t="s">
        <v>253</v>
      </c>
      <c r="G41" s="42"/>
      <c r="H41" s="42"/>
      <c r="I41" s="43" t="b">
        <v>0</v>
      </c>
      <c r="J41" s="42" t="s">
        <v>253</v>
      </c>
      <c r="K41" s="42" t="s">
        <v>253</v>
      </c>
      <c r="L41" s="38">
        <v>1</v>
      </c>
      <c r="M41" s="38">
        <v>1</v>
      </c>
      <c r="N41" s="38">
        <v>0</v>
      </c>
      <c r="O41" s="38">
        <v>0</v>
      </c>
      <c r="P41" s="42"/>
      <c r="Q41" s="38" t="b">
        <v>0</v>
      </c>
      <c r="R41" s="38" t="s">
        <v>254</v>
      </c>
      <c r="S41" s="38" t="b">
        <v>1</v>
      </c>
      <c r="T41" s="40" t="s">
        <v>259</v>
      </c>
    </row>
    <row r="42" spans="1:20" x14ac:dyDescent="0.45">
      <c r="B42" s="40">
        <v>21</v>
      </c>
      <c r="C42" s="41">
        <v>30</v>
      </c>
      <c r="D42" s="39" t="s">
        <v>320</v>
      </c>
      <c r="E42" s="38" t="b">
        <v>1</v>
      </c>
      <c r="F42" s="42" t="s">
        <v>253</v>
      </c>
      <c r="G42" s="42"/>
      <c r="H42" s="42"/>
      <c r="I42" s="43" t="b">
        <v>0</v>
      </c>
      <c r="J42" s="42" t="s">
        <v>253</v>
      </c>
      <c r="K42" s="42" t="s">
        <v>253</v>
      </c>
      <c r="L42" s="38">
        <v>1</v>
      </c>
      <c r="M42" s="38">
        <v>1</v>
      </c>
      <c r="N42" s="38">
        <v>0</v>
      </c>
      <c r="O42" s="38">
        <v>0</v>
      </c>
      <c r="P42" s="42"/>
      <c r="Q42" s="38" t="b">
        <v>0</v>
      </c>
      <c r="R42" s="38" t="s">
        <v>254</v>
      </c>
      <c r="S42" s="38" t="b">
        <v>0</v>
      </c>
      <c r="T42" s="42" t="s">
        <v>422</v>
      </c>
    </row>
    <row r="43" spans="1:20" x14ac:dyDescent="0.45">
      <c r="B43" s="40">
        <v>22</v>
      </c>
      <c r="C43" s="41">
        <v>30</v>
      </c>
      <c r="D43" s="39" t="s">
        <v>321</v>
      </c>
      <c r="E43" s="38" t="b">
        <v>1</v>
      </c>
      <c r="F43" s="42" t="s">
        <v>253</v>
      </c>
      <c r="G43" s="42"/>
      <c r="H43" s="42"/>
      <c r="I43" s="43" t="b">
        <v>0</v>
      </c>
      <c r="J43" s="42" t="s">
        <v>253</v>
      </c>
      <c r="K43" s="42" t="s">
        <v>253</v>
      </c>
      <c r="L43" s="38">
        <v>1</v>
      </c>
      <c r="M43" s="38">
        <v>1</v>
      </c>
      <c r="N43" s="38">
        <v>0</v>
      </c>
      <c r="O43" s="38">
        <v>0</v>
      </c>
      <c r="P43" s="42"/>
      <c r="Q43" s="38" t="b">
        <v>0</v>
      </c>
      <c r="R43" s="38" t="s">
        <v>254</v>
      </c>
      <c r="S43" s="38" t="b">
        <v>1</v>
      </c>
      <c r="T43" s="40"/>
    </row>
    <row r="44" spans="1:20" x14ac:dyDescent="0.45">
      <c r="A44" t="b">
        <v>1</v>
      </c>
      <c r="B44" s="40">
        <v>23</v>
      </c>
      <c r="C44" s="41">
        <v>32</v>
      </c>
      <c r="D44" s="39" t="s">
        <v>322</v>
      </c>
      <c r="E44" s="38" t="b">
        <v>1</v>
      </c>
      <c r="F44" s="42" t="s">
        <v>253</v>
      </c>
      <c r="G44" s="42"/>
      <c r="H44" s="42"/>
      <c r="I44" s="43" t="b">
        <v>0</v>
      </c>
      <c r="J44" s="42" t="s">
        <v>253</v>
      </c>
      <c r="K44" s="42" t="s">
        <v>253</v>
      </c>
      <c r="L44" s="38">
        <v>1</v>
      </c>
      <c r="M44" s="38">
        <v>1</v>
      </c>
      <c r="N44" s="38">
        <v>0</v>
      </c>
      <c r="O44" s="38">
        <v>0</v>
      </c>
      <c r="P44" s="42"/>
      <c r="Q44" s="38" t="b">
        <v>0</v>
      </c>
      <c r="R44" s="38" t="s">
        <v>254</v>
      </c>
      <c r="S44" s="38" t="b">
        <v>1</v>
      </c>
      <c r="T44" s="40"/>
    </row>
    <row r="45" spans="1:20" x14ac:dyDescent="0.45">
      <c r="B45" s="40">
        <v>24</v>
      </c>
      <c r="C45" s="41">
        <v>32</v>
      </c>
      <c r="D45" s="39" t="s">
        <v>323</v>
      </c>
      <c r="E45" s="38" t="b">
        <v>1</v>
      </c>
      <c r="F45" s="42" t="s">
        <v>253</v>
      </c>
      <c r="G45" s="42" t="s">
        <v>424</v>
      </c>
      <c r="H45" s="42"/>
      <c r="I45" s="43" t="b">
        <v>0</v>
      </c>
      <c r="J45" s="42" t="s">
        <v>253</v>
      </c>
      <c r="K45" s="42" t="s">
        <v>253</v>
      </c>
      <c r="L45" s="38">
        <v>1</v>
      </c>
      <c r="M45" s="38">
        <v>1</v>
      </c>
      <c r="N45" s="38">
        <v>0</v>
      </c>
      <c r="O45" s="38">
        <v>0</v>
      </c>
      <c r="P45" s="42"/>
      <c r="Q45" s="38" t="b">
        <v>0</v>
      </c>
      <c r="R45" s="38" t="s">
        <v>254</v>
      </c>
      <c r="S45" s="38" t="b">
        <v>0</v>
      </c>
      <c r="T45" s="40"/>
    </row>
    <row r="46" spans="1:20" x14ac:dyDescent="0.45">
      <c r="B46" s="40">
        <v>25</v>
      </c>
      <c r="C46" s="41">
        <v>32</v>
      </c>
      <c r="D46" s="39" t="s">
        <v>324</v>
      </c>
      <c r="E46" s="38" t="b">
        <v>1</v>
      </c>
      <c r="F46" s="42" t="s">
        <v>253</v>
      </c>
      <c r="G46" s="42"/>
      <c r="H46" s="42"/>
      <c r="I46" s="43" t="b">
        <v>0</v>
      </c>
      <c r="J46" s="42" t="s">
        <v>253</v>
      </c>
      <c r="K46" s="42" t="s">
        <v>253</v>
      </c>
      <c r="L46" s="38">
        <v>1</v>
      </c>
      <c r="M46" s="38">
        <v>1</v>
      </c>
      <c r="N46" s="38">
        <v>0</v>
      </c>
      <c r="O46" s="38">
        <v>0</v>
      </c>
      <c r="P46" s="42"/>
      <c r="Q46" s="38" t="b">
        <v>0</v>
      </c>
      <c r="R46" s="38" t="s">
        <v>254</v>
      </c>
      <c r="S46" s="38" t="b">
        <v>1</v>
      </c>
      <c r="T46" s="40"/>
    </row>
    <row r="47" spans="1:20" x14ac:dyDescent="0.45">
      <c r="B47" s="40">
        <v>26</v>
      </c>
      <c r="C47" s="41">
        <v>32</v>
      </c>
      <c r="D47" s="39" t="s">
        <v>325</v>
      </c>
      <c r="E47" s="38" t="b">
        <v>1</v>
      </c>
      <c r="F47" s="42" t="s">
        <v>253</v>
      </c>
      <c r="G47" s="42"/>
      <c r="H47" s="42"/>
      <c r="I47" s="43" t="b">
        <v>0</v>
      </c>
      <c r="J47" s="42" t="s">
        <v>253</v>
      </c>
      <c r="K47" s="42" t="s">
        <v>253</v>
      </c>
      <c r="L47" s="38">
        <v>1</v>
      </c>
      <c r="M47" s="38">
        <v>1</v>
      </c>
      <c r="N47" s="38">
        <v>0</v>
      </c>
      <c r="O47" s="38">
        <v>0</v>
      </c>
      <c r="P47" s="42"/>
      <c r="Q47" s="38" t="b">
        <v>0</v>
      </c>
      <c r="R47" s="38" t="s">
        <v>254</v>
      </c>
      <c r="S47" s="38" t="b">
        <v>1</v>
      </c>
      <c r="T47" s="40"/>
    </row>
    <row r="48" spans="1:20" x14ac:dyDescent="0.45">
      <c r="B48" s="40">
        <v>27</v>
      </c>
      <c r="C48" s="41">
        <v>32</v>
      </c>
      <c r="D48" s="39" t="s">
        <v>326</v>
      </c>
      <c r="E48" s="38" t="b">
        <v>1</v>
      </c>
      <c r="F48" s="42" t="s">
        <v>253</v>
      </c>
      <c r="G48" s="42"/>
      <c r="H48" s="42"/>
      <c r="I48" s="43" t="b">
        <v>0</v>
      </c>
      <c r="J48" s="42" t="s">
        <v>253</v>
      </c>
      <c r="K48" s="42" t="s">
        <v>253</v>
      </c>
      <c r="L48" s="38">
        <v>1</v>
      </c>
      <c r="M48" s="38">
        <v>1</v>
      </c>
      <c r="N48" s="38">
        <v>0</v>
      </c>
      <c r="O48" s="38">
        <v>0</v>
      </c>
      <c r="P48" s="42"/>
      <c r="Q48" s="38" t="b">
        <v>0</v>
      </c>
      <c r="R48" s="38" t="s">
        <v>254</v>
      </c>
      <c r="S48" s="38" t="b">
        <v>0</v>
      </c>
      <c r="T48" s="40" t="s">
        <v>260</v>
      </c>
    </row>
    <row r="49" spans="2:20" x14ac:dyDescent="0.45">
      <c r="B49" s="40">
        <v>28</v>
      </c>
      <c r="C49" s="41">
        <v>32</v>
      </c>
      <c r="D49" s="39" t="s">
        <v>327</v>
      </c>
      <c r="E49" s="38" t="b">
        <v>1</v>
      </c>
      <c r="F49" s="42" t="s">
        <v>253</v>
      </c>
      <c r="G49" s="42"/>
      <c r="H49" s="42"/>
      <c r="I49" s="43" t="b">
        <v>0</v>
      </c>
      <c r="J49" s="42" t="s">
        <v>253</v>
      </c>
      <c r="K49" s="42" t="s">
        <v>253</v>
      </c>
      <c r="L49" s="38">
        <v>1</v>
      </c>
      <c r="M49" s="38">
        <v>1</v>
      </c>
      <c r="N49" s="38">
        <v>0</v>
      </c>
      <c r="O49" s="38">
        <v>0</v>
      </c>
      <c r="P49" s="42"/>
      <c r="Q49" s="38" t="b">
        <v>0</v>
      </c>
      <c r="R49" s="38" t="s">
        <v>254</v>
      </c>
      <c r="S49" s="38" t="b">
        <v>1</v>
      </c>
      <c r="T49" s="40"/>
    </row>
    <row r="50" spans="2:20" x14ac:dyDescent="0.45">
      <c r="B50" s="40">
        <v>29</v>
      </c>
      <c r="C50" s="41">
        <v>33</v>
      </c>
      <c r="D50" s="39" t="s">
        <v>328</v>
      </c>
      <c r="E50" s="38" t="b">
        <v>1</v>
      </c>
      <c r="F50" s="42" t="s">
        <v>253</v>
      </c>
      <c r="G50" s="42"/>
      <c r="H50" s="42"/>
      <c r="I50" s="43" t="b">
        <v>0</v>
      </c>
      <c r="J50" s="42" t="s">
        <v>253</v>
      </c>
      <c r="K50" s="42" t="s">
        <v>253</v>
      </c>
      <c r="L50" s="38">
        <v>1</v>
      </c>
      <c r="M50" s="38">
        <v>1</v>
      </c>
      <c r="N50" s="38">
        <v>0</v>
      </c>
      <c r="O50" s="38">
        <v>0</v>
      </c>
      <c r="P50" s="42"/>
      <c r="Q50" s="38" t="b">
        <v>0</v>
      </c>
      <c r="R50" s="38" t="s">
        <v>254</v>
      </c>
      <c r="S50" s="38" t="b">
        <v>1</v>
      </c>
      <c r="T50" s="40"/>
    </row>
    <row r="51" spans="2:20" x14ac:dyDescent="0.45">
      <c r="B51" s="40">
        <v>30</v>
      </c>
      <c r="C51" s="41">
        <v>33</v>
      </c>
      <c r="D51" s="39" t="s">
        <v>329</v>
      </c>
      <c r="E51" s="38" t="b">
        <v>1</v>
      </c>
      <c r="F51" s="42" t="s">
        <v>253</v>
      </c>
      <c r="G51" s="42"/>
      <c r="H51" s="42"/>
      <c r="I51" s="43" t="b">
        <v>0</v>
      </c>
      <c r="J51" s="42" t="s">
        <v>253</v>
      </c>
      <c r="K51" s="42" t="s">
        <v>253</v>
      </c>
      <c r="L51" s="38">
        <v>1</v>
      </c>
      <c r="M51" s="38">
        <v>1</v>
      </c>
      <c r="N51" s="38">
        <v>0</v>
      </c>
      <c r="O51" s="38">
        <v>0</v>
      </c>
      <c r="P51" s="42"/>
      <c r="Q51" s="38" t="b">
        <v>0</v>
      </c>
      <c r="R51" s="38" t="s">
        <v>254</v>
      </c>
      <c r="S51" s="38" t="b">
        <v>1</v>
      </c>
      <c r="T51" s="40"/>
    </row>
    <row r="52" spans="2:20" x14ac:dyDescent="0.45">
      <c r="B52" s="40">
        <v>31</v>
      </c>
      <c r="C52" s="41">
        <v>33</v>
      </c>
      <c r="D52" s="39" t="s">
        <v>330</v>
      </c>
      <c r="E52" s="38" t="b">
        <v>1</v>
      </c>
      <c r="F52" s="42" t="s">
        <v>258</v>
      </c>
      <c r="G52" s="42"/>
      <c r="H52" s="42"/>
      <c r="I52" s="43" t="b">
        <v>0</v>
      </c>
      <c r="J52" s="42" t="s">
        <v>253</v>
      </c>
      <c r="K52" s="42" t="s">
        <v>253</v>
      </c>
      <c r="L52" s="38">
        <v>1</v>
      </c>
      <c r="M52" s="38">
        <v>1</v>
      </c>
      <c r="N52" s="38">
        <v>0</v>
      </c>
      <c r="O52" s="38">
        <v>0</v>
      </c>
      <c r="P52" s="42"/>
      <c r="Q52" s="38" t="b">
        <v>0</v>
      </c>
      <c r="R52" s="38" t="s">
        <v>254</v>
      </c>
      <c r="S52" s="38" t="b">
        <v>1</v>
      </c>
      <c r="T52" s="40"/>
    </row>
    <row r="53" spans="2:20" x14ac:dyDescent="0.45">
      <c r="B53" s="40">
        <v>32</v>
      </c>
      <c r="C53" s="41">
        <v>34</v>
      </c>
      <c r="D53" s="39" t="s">
        <v>331</v>
      </c>
      <c r="E53" s="38" t="b">
        <v>1</v>
      </c>
      <c r="F53" s="42" t="s">
        <v>253</v>
      </c>
      <c r="G53" s="42"/>
      <c r="H53" s="42"/>
      <c r="I53" s="43" t="b">
        <v>0</v>
      </c>
      <c r="J53" s="42" t="s">
        <v>253</v>
      </c>
      <c r="K53" s="42" t="s">
        <v>253</v>
      </c>
      <c r="L53" s="38">
        <v>1</v>
      </c>
      <c r="M53" s="38">
        <v>1</v>
      </c>
      <c r="N53" s="38">
        <v>0</v>
      </c>
      <c r="O53" s="38">
        <v>0</v>
      </c>
      <c r="P53" s="42"/>
      <c r="Q53" s="38" t="b">
        <v>0</v>
      </c>
      <c r="R53" s="38" t="s">
        <v>254</v>
      </c>
      <c r="S53" s="38" t="b">
        <v>1</v>
      </c>
      <c r="T53" s="40"/>
    </row>
    <row r="54" spans="2:20" x14ac:dyDescent="0.45">
      <c r="B54" s="40">
        <v>33</v>
      </c>
      <c r="C54" s="41">
        <v>34</v>
      </c>
      <c r="D54" s="39" t="s">
        <v>332</v>
      </c>
      <c r="E54" s="38" t="b">
        <v>1</v>
      </c>
      <c r="F54" s="42" t="s">
        <v>253</v>
      </c>
      <c r="G54" s="42"/>
      <c r="H54" s="42"/>
      <c r="I54" s="43" t="b">
        <v>0</v>
      </c>
      <c r="J54" s="42" t="s">
        <v>253</v>
      </c>
      <c r="K54" s="42" t="s">
        <v>253</v>
      </c>
      <c r="L54" s="38">
        <v>1</v>
      </c>
      <c r="M54" s="38">
        <v>1</v>
      </c>
      <c r="N54" s="38">
        <v>0</v>
      </c>
      <c r="O54" s="38">
        <v>0</v>
      </c>
      <c r="P54" s="42"/>
      <c r="Q54" s="38" t="b">
        <v>0</v>
      </c>
      <c r="R54" s="38" t="s">
        <v>254</v>
      </c>
      <c r="S54" s="38" t="b">
        <v>1</v>
      </c>
      <c r="T54" s="40" t="s">
        <v>261</v>
      </c>
    </row>
    <row r="55" spans="2:20" x14ac:dyDescent="0.45">
      <c r="B55" s="40">
        <v>34</v>
      </c>
      <c r="C55" s="41">
        <v>34</v>
      </c>
      <c r="D55" s="39" t="s">
        <v>333</v>
      </c>
      <c r="E55" s="38" t="b">
        <v>1</v>
      </c>
      <c r="F55" s="42" t="s">
        <v>253</v>
      </c>
      <c r="G55" s="42"/>
      <c r="H55" s="42"/>
      <c r="I55" s="43" t="b">
        <v>0</v>
      </c>
      <c r="J55" s="42" t="s">
        <v>253</v>
      </c>
      <c r="K55" s="42" t="s">
        <v>253</v>
      </c>
      <c r="L55" s="38">
        <v>1</v>
      </c>
      <c r="M55" s="38">
        <v>1</v>
      </c>
      <c r="N55" s="38">
        <v>0</v>
      </c>
      <c r="O55" s="38">
        <v>0</v>
      </c>
      <c r="P55" s="42"/>
      <c r="Q55" s="38" t="b">
        <v>0</v>
      </c>
      <c r="R55" s="38" t="s">
        <v>254</v>
      </c>
      <c r="S55" s="38" t="b">
        <v>1</v>
      </c>
      <c r="T55" s="40" t="s">
        <v>262</v>
      </c>
    </row>
    <row r="56" spans="2:20" x14ac:dyDescent="0.45">
      <c r="B56" s="40">
        <v>35</v>
      </c>
      <c r="C56" s="41">
        <v>34</v>
      </c>
      <c r="D56" s="39" t="s">
        <v>334</v>
      </c>
      <c r="E56" s="38" t="b">
        <v>1</v>
      </c>
      <c r="F56" s="42" t="s">
        <v>253</v>
      </c>
      <c r="G56" s="42"/>
      <c r="H56" s="42"/>
      <c r="I56" s="43" t="b">
        <v>0</v>
      </c>
      <c r="J56" s="42" t="s">
        <v>253</v>
      </c>
      <c r="K56" s="42" t="s">
        <v>253</v>
      </c>
      <c r="L56" s="38">
        <v>1</v>
      </c>
      <c r="M56" s="38">
        <v>1</v>
      </c>
      <c r="N56" s="38">
        <v>0</v>
      </c>
      <c r="O56" s="38">
        <v>0</v>
      </c>
      <c r="P56" s="42"/>
      <c r="Q56" s="38" t="b">
        <v>0</v>
      </c>
      <c r="R56" s="38" t="s">
        <v>254</v>
      </c>
      <c r="S56" s="38" t="b">
        <v>1</v>
      </c>
      <c r="T56" s="40"/>
    </row>
    <row r="57" spans="2:20" x14ac:dyDescent="0.45">
      <c r="B57" s="40">
        <v>36</v>
      </c>
      <c r="C57" s="41">
        <v>35</v>
      </c>
      <c r="D57" s="39" t="s">
        <v>335</v>
      </c>
      <c r="E57" s="38" t="b">
        <v>1</v>
      </c>
      <c r="F57" s="42" t="s">
        <v>253</v>
      </c>
      <c r="G57" s="42"/>
      <c r="H57" s="42"/>
      <c r="I57" s="43" t="b">
        <v>0</v>
      </c>
      <c r="J57" s="42" t="s">
        <v>253</v>
      </c>
      <c r="K57" s="42" t="s">
        <v>253</v>
      </c>
      <c r="L57" s="38">
        <v>1</v>
      </c>
      <c r="M57" s="38">
        <v>1</v>
      </c>
      <c r="N57" s="38">
        <v>0</v>
      </c>
      <c r="O57" s="38">
        <v>0</v>
      </c>
      <c r="P57" s="42"/>
      <c r="Q57" s="38" t="b">
        <v>0</v>
      </c>
      <c r="R57" s="38" t="s">
        <v>254</v>
      </c>
      <c r="S57" s="38" t="b">
        <v>1</v>
      </c>
      <c r="T57" s="40"/>
    </row>
    <row r="58" spans="2:20" x14ac:dyDescent="0.45">
      <c r="B58" s="40">
        <v>37</v>
      </c>
      <c r="C58" s="41">
        <v>35</v>
      </c>
      <c r="D58" s="39" t="s">
        <v>336</v>
      </c>
      <c r="E58" s="38" t="b">
        <v>1</v>
      </c>
      <c r="F58" s="42" t="s">
        <v>253</v>
      </c>
      <c r="G58" s="42"/>
      <c r="H58" s="42"/>
      <c r="I58" s="43" t="b">
        <v>0</v>
      </c>
      <c r="J58" s="42" t="s">
        <v>253</v>
      </c>
      <c r="K58" s="42" t="s">
        <v>253</v>
      </c>
      <c r="L58" s="38">
        <v>4</v>
      </c>
      <c r="M58" s="38">
        <v>1</v>
      </c>
      <c r="N58" s="38">
        <v>0</v>
      </c>
      <c r="O58" s="38">
        <v>0</v>
      </c>
      <c r="P58" s="42"/>
      <c r="Q58" s="38" t="b">
        <v>0</v>
      </c>
      <c r="R58" s="38" t="s">
        <v>254</v>
      </c>
      <c r="S58" s="38" t="b">
        <v>1</v>
      </c>
      <c r="T58" s="40"/>
    </row>
    <row r="59" spans="2:20" x14ac:dyDescent="0.45">
      <c r="B59" s="40">
        <v>38</v>
      </c>
      <c r="C59" s="41">
        <v>35</v>
      </c>
      <c r="D59" s="39" t="s">
        <v>337</v>
      </c>
      <c r="E59" s="38" t="b">
        <v>1</v>
      </c>
      <c r="F59" s="42" t="s">
        <v>253</v>
      </c>
      <c r="G59" s="42"/>
      <c r="H59" s="42"/>
      <c r="I59" s="43" t="b">
        <v>0</v>
      </c>
      <c r="J59" s="42" t="s">
        <v>253</v>
      </c>
      <c r="K59" s="42" t="s">
        <v>253</v>
      </c>
      <c r="L59" s="38">
        <v>1</v>
      </c>
      <c r="M59" s="38">
        <v>1</v>
      </c>
      <c r="N59" s="38">
        <v>0</v>
      </c>
      <c r="O59" s="38">
        <v>0</v>
      </c>
      <c r="P59" s="42"/>
      <c r="Q59" s="38" t="b">
        <v>0</v>
      </c>
      <c r="R59" s="38" t="s">
        <v>254</v>
      </c>
      <c r="S59" s="38" t="b">
        <v>1</v>
      </c>
      <c r="T59" s="40"/>
    </row>
    <row r="60" spans="2:20" x14ac:dyDescent="0.45">
      <c r="B60" s="40">
        <v>39</v>
      </c>
      <c r="C60" s="41">
        <v>35</v>
      </c>
      <c r="D60" s="39" t="s">
        <v>338</v>
      </c>
      <c r="E60" s="38" t="b">
        <v>1</v>
      </c>
      <c r="F60" s="42" t="s">
        <v>253</v>
      </c>
      <c r="G60" s="42"/>
      <c r="H60" s="42"/>
      <c r="I60" s="43" t="b">
        <v>0</v>
      </c>
      <c r="J60" s="42" t="s">
        <v>253</v>
      </c>
      <c r="K60" s="42" t="s">
        <v>253</v>
      </c>
      <c r="L60" s="38">
        <v>1</v>
      </c>
      <c r="M60" s="38">
        <v>1</v>
      </c>
      <c r="N60" s="38">
        <v>0</v>
      </c>
      <c r="O60" s="38">
        <v>0</v>
      </c>
      <c r="P60" s="42"/>
      <c r="Q60" s="38" t="b">
        <v>0</v>
      </c>
      <c r="R60" s="38" t="s">
        <v>254</v>
      </c>
      <c r="S60" s="38" t="b">
        <v>1</v>
      </c>
      <c r="T60" s="40"/>
    </row>
    <row r="61" spans="2:20" x14ac:dyDescent="0.45">
      <c r="B61" s="40">
        <v>40</v>
      </c>
      <c r="C61" s="41">
        <v>37</v>
      </c>
      <c r="D61" s="39" t="s">
        <v>339</v>
      </c>
      <c r="E61" s="38" t="b">
        <v>1</v>
      </c>
      <c r="F61" s="42" t="s">
        <v>253</v>
      </c>
      <c r="G61" s="42"/>
      <c r="H61" s="42"/>
      <c r="I61" s="43" t="b">
        <v>0</v>
      </c>
      <c r="J61" s="42" t="s">
        <v>253</v>
      </c>
      <c r="K61" s="42" t="s">
        <v>253</v>
      </c>
      <c r="L61" s="38">
        <v>1</v>
      </c>
      <c r="M61" s="38">
        <v>1</v>
      </c>
      <c r="N61" s="38">
        <v>0</v>
      </c>
      <c r="O61" s="38">
        <v>0</v>
      </c>
      <c r="P61" s="42"/>
      <c r="Q61" s="38" t="b">
        <v>0</v>
      </c>
      <c r="R61" s="38" t="s">
        <v>254</v>
      </c>
      <c r="S61" s="38" t="b">
        <v>1</v>
      </c>
      <c r="T61" s="40"/>
    </row>
    <row r="62" spans="2:20" x14ac:dyDescent="0.45">
      <c r="B62" s="40">
        <v>41</v>
      </c>
      <c r="C62" s="41">
        <v>37</v>
      </c>
      <c r="D62" s="39" t="s">
        <v>340</v>
      </c>
      <c r="E62" s="38" t="b">
        <v>1</v>
      </c>
      <c r="F62" s="42" t="s">
        <v>253</v>
      </c>
      <c r="G62" s="42"/>
      <c r="H62" s="42" t="s">
        <v>426</v>
      </c>
      <c r="I62" s="43" t="b">
        <v>0</v>
      </c>
      <c r="J62" s="38" t="s">
        <v>263</v>
      </c>
      <c r="K62" s="42" t="s">
        <v>253</v>
      </c>
      <c r="L62" s="38">
        <v>1</v>
      </c>
      <c r="M62" s="38">
        <v>1</v>
      </c>
      <c r="N62" s="38">
        <v>0</v>
      </c>
      <c r="O62" s="38">
        <v>0</v>
      </c>
      <c r="P62" s="42"/>
      <c r="Q62" s="38" t="b">
        <v>0</v>
      </c>
      <c r="R62" s="38" t="s">
        <v>254</v>
      </c>
      <c r="S62" s="38" t="b">
        <v>1</v>
      </c>
      <c r="T62" s="40"/>
    </row>
    <row r="63" spans="2:20" x14ac:dyDescent="0.45">
      <c r="B63" s="40">
        <v>42</v>
      </c>
      <c r="C63" s="41">
        <v>43</v>
      </c>
      <c r="D63" s="39" t="s">
        <v>341</v>
      </c>
      <c r="E63" s="38" t="b">
        <v>1</v>
      </c>
      <c r="F63" s="42" t="s">
        <v>258</v>
      </c>
      <c r="G63" s="42"/>
      <c r="H63" s="42"/>
      <c r="I63" s="43" t="b">
        <v>1</v>
      </c>
      <c r="J63" s="42" t="s">
        <v>253</v>
      </c>
      <c r="K63" s="42" t="s">
        <v>253</v>
      </c>
      <c r="L63" s="38">
        <v>1</v>
      </c>
      <c r="M63" s="38">
        <v>1</v>
      </c>
      <c r="N63" s="38">
        <v>0</v>
      </c>
      <c r="O63" s="38">
        <v>0</v>
      </c>
      <c r="P63" s="42"/>
      <c r="Q63" s="38" t="b">
        <v>0</v>
      </c>
      <c r="R63" s="38" t="s">
        <v>254</v>
      </c>
      <c r="S63" s="38" t="b">
        <v>1</v>
      </c>
      <c r="T63" s="40" t="s">
        <v>264</v>
      </c>
    </row>
    <row r="64" spans="2:20" x14ac:dyDescent="0.45">
      <c r="B64" s="40">
        <v>43</v>
      </c>
      <c r="C64" s="41">
        <v>43</v>
      </c>
      <c r="D64" s="39" t="s">
        <v>342</v>
      </c>
      <c r="E64" s="38" t="b">
        <v>0</v>
      </c>
      <c r="F64" s="42" t="s">
        <v>253</v>
      </c>
      <c r="G64" s="42"/>
      <c r="H64" s="42"/>
      <c r="I64" s="43" t="b">
        <v>0</v>
      </c>
      <c r="J64" s="42" t="s">
        <v>253</v>
      </c>
      <c r="K64" s="42" t="s">
        <v>253</v>
      </c>
      <c r="L64" s="38">
        <v>1</v>
      </c>
      <c r="M64" s="38">
        <v>1</v>
      </c>
      <c r="N64" s="38">
        <v>0</v>
      </c>
      <c r="O64" s="38">
        <v>0</v>
      </c>
      <c r="P64" s="42"/>
      <c r="Q64" s="38" t="b">
        <v>0</v>
      </c>
      <c r="R64" s="38" t="s">
        <v>254</v>
      </c>
      <c r="S64" s="38" t="b">
        <v>1</v>
      </c>
      <c r="T64" s="40"/>
    </row>
    <row r="65" spans="2:38" x14ac:dyDescent="0.45">
      <c r="B65" s="40">
        <v>44</v>
      </c>
      <c r="C65" s="41">
        <v>45</v>
      </c>
      <c r="D65" s="39" t="s">
        <v>343</v>
      </c>
      <c r="E65" s="38" t="b">
        <v>0</v>
      </c>
      <c r="F65" s="42" t="s">
        <v>253</v>
      </c>
      <c r="G65" s="42"/>
      <c r="H65" s="42"/>
      <c r="I65" s="43" t="b">
        <v>0</v>
      </c>
      <c r="J65" s="42" t="s">
        <v>253</v>
      </c>
      <c r="K65" s="42" t="s">
        <v>253</v>
      </c>
      <c r="L65" s="38">
        <v>1</v>
      </c>
      <c r="M65" s="38">
        <v>1</v>
      </c>
      <c r="N65" s="38">
        <v>0</v>
      </c>
      <c r="O65" s="38">
        <v>0</v>
      </c>
      <c r="P65" s="42"/>
      <c r="Q65" s="38" t="b">
        <v>0</v>
      </c>
      <c r="R65" s="38" t="s">
        <v>254</v>
      </c>
      <c r="S65" s="38" t="b">
        <v>0</v>
      </c>
      <c r="T65" s="40" t="s">
        <v>265</v>
      </c>
    </row>
    <row r="66" spans="2:38" x14ac:dyDescent="0.45">
      <c r="B66" s="40">
        <v>45</v>
      </c>
      <c r="C66" s="41">
        <v>45</v>
      </c>
      <c r="D66" s="39" t="s">
        <v>344</v>
      </c>
      <c r="E66" s="38" t="b">
        <v>0</v>
      </c>
      <c r="F66" s="42" t="s">
        <v>253</v>
      </c>
      <c r="G66" s="42"/>
      <c r="H66" s="42"/>
      <c r="I66" s="43" t="b">
        <v>0</v>
      </c>
      <c r="J66" s="42" t="s">
        <v>253</v>
      </c>
      <c r="K66" s="42" t="s">
        <v>253</v>
      </c>
      <c r="L66" s="38">
        <v>1</v>
      </c>
      <c r="M66" s="38">
        <v>1</v>
      </c>
      <c r="N66" s="38">
        <v>0</v>
      </c>
      <c r="O66" s="38">
        <v>0</v>
      </c>
      <c r="P66" s="42"/>
      <c r="Q66" s="38" t="b">
        <v>0</v>
      </c>
      <c r="R66" s="38" t="s">
        <v>254</v>
      </c>
      <c r="S66" s="38" t="b">
        <v>0</v>
      </c>
      <c r="T66" s="40"/>
    </row>
    <row r="67" spans="2:38" x14ac:dyDescent="0.45">
      <c r="B67" s="40">
        <v>46</v>
      </c>
      <c r="C67" s="41">
        <v>47</v>
      </c>
      <c r="D67" s="39" t="s">
        <v>345</v>
      </c>
      <c r="E67" s="38" t="b">
        <v>1</v>
      </c>
      <c r="F67" s="42" t="s">
        <v>253</v>
      </c>
      <c r="G67" s="42"/>
      <c r="H67" s="42"/>
      <c r="I67" s="43" t="b">
        <v>0</v>
      </c>
      <c r="J67" s="42" t="s">
        <v>253</v>
      </c>
      <c r="K67" s="42" t="s">
        <v>253</v>
      </c>
      <c r="L67" s="38">
        <v>1</v>
      </c>
      <c r="M67" s="38">
        <v>1</v>
      </c>
      <c r="N67" s="38">
        <v>0</v>
      </c>
      <c r="O67" s="38">
        <v>0</v>
      </c>
      <c r="P67" s="42"/>
      <c r="Q67" s="38" t="b">
        <v>0</v>
      </c>
      <c r="R67" s="38" t="s">
        <v>254</v>
      </c>
      <c r="S67" s="38" t="b">
        <v>1</v>
      </c>
      <c r="T67" s="40"/>
    </row>
    <row r="68" spans="2:38" x14ac:dyDescent="0.45">
      <c r="B68" s="40">
        <v>47</v>
      </c>
      <c r="C68" s="41">
        <v>47</v>
      </c>
      <c r="D68" s="39" t="s">
        <v>346</v>
      </c>
      <c r="E68" s="38" t="b">
        <v>1</v>
      </c>
      <c r="F68" s="42" t="s">
        <v>253</v>
      </c>
      <c r="G68" s="42"/>
      <c r="H68" s="42"/>
      <c r="I68" s="43" t="b">
        <v>0</v>
      </c>
      <c r="J68" s="42" t="s">
        <v>253</v>
      </c>
      <c r="K68" s="42" t="s">
        <v>253</v>
      </c>
      <c r="L68" s="38">
        <v>1</v>
      </c>
      <c r="M68" s="38">
        <v>1</v>
      </c>
      <c r="N68" s="38">
        <v>0</v>
      </c>
      <c r="O68" s="38">
        <v>0</v>
      </c>
      <c r="P68" s="42"/>
      <c r="Q68" s="38" t="b">
        <v>0</v>
      </c>
      <c r="R68" s="38" t="s">
        <v>254</v>
      </c>
      <c r="S68" s="38" t="b">
        <v>1</v>
      </c>
      <c r="T68" s="40" t="s">
        <v>266</v>
      </c>
    </row>
    <row r="69" spans="2:38" x14ac:dyDescent="0.45">
      <c r="B69" s="40">
        <v>48</v>
      </c>
      <c r="C69" s="41">
        <v>50</v>
      </c>
      <c r="D69" s="39" t="s">
        <v>347</v>
      </c>
      <c r="E69" s="38" t="b">
        <v>1</v>
      </c>
      <c r="F69" s="42" t="s">
        <v>253</v>
      </c>
      <c r="G69" s="42"/>
      <c r="H69" s="42"/>
      <c r="I69" s="43" t="b">
        <v>0</v>
      </c>
      <c r="J69" s="42" t="s">
        <v>253</v>
      </c>
      <c r="K69" s="42" t="s">
        <v>253</v>
      </c>
      <c r="L69" s="38">
        <v>1</v>
      </c>
      <c r="M69" s="38">
        <v>1</v>
      </c>
      <c r="N69" s="38">
        <v>0</v>
      </c>
      <c r="O69" s="38">
        <v>0</v>
      </c>
      <c r="P69" s="42"/>
      <c r="Q69" s="38" t="b">
        <v>0</v>
      </c>
      <c r="R69" s="38" t="s">
        <v>254</v>
      </c>
      <c r="S69" s="38" t="b">
        <v>1</v>
      </c>
      <c r="T69" s="40"/>
    </row>
    <row r="70" spans="2:38" x14ac:dyDescent="0.45">
      <c r="B70" s="40">
        <v>49</v>
      </c>
      <c r="C70" s="41">
        <v>50</v>
      </c>
      <c r="D70" s="39" t="s">
        <v>348</v>
      </c>
      <c r="E70" s="38" t="b">
        <v>1</v>
      </c>
      <c r="F70" s="42" t="s">
        <v>253</v>
      </c>
      <c r="G70" s="42"/>
      <c r="H70" s="42"/>
      <c r="I70" s="43" t="b">
        <v>0</v>
      </c>
      <c r="J70" s="42" t="s">
        <v>253</v>
      </c>
      <c r="K70" s="42" t="s">
        <v>253</v>
      </c>
      <c r="L70" s="38">
        <v>1</v>
      </c>
      <c r="M70" s="38">
        <v>1</v>
      </c>
      <c r="N70" s="38">
        <v>0</v>
      </c>
      <c r="O70" s="38">
        <v>0</v>
      </c>
      <c r="P70" s="42"/>
      <c r="Q70" s="38" t="b">
        <v>0</v>
      </c>
      <c r="R70" s="38" t="s">
        <v>254</v>
      </c>
      <c r="S70" s="38" t="b">
        <v>1</v>
      </c>
      <c r="T70" s="40"/>
    </row>
    <row r="71" spans="2:38" x14ac:dyDescent="0.45">
      <c r="B71" s="40">
        <v>50</v>
      </c>
      <c r="C71" s="41">
        <v>50</v>
      </c>
      <c r="D71" s="39" t="s">
        <v>349</v>
      </c>
      <c r="E71" s="38" t="b">
        <v>1</v>
      </c>
      <c r="F71" s="42" t="s">
        <v>253</v>
      </c>
      <c r="G71" s="42"/>
      <c r="H71" s="42"/>
      <c r="I71" s="43" t="b">
        <v>0</v>
      </c>
      <c r="J71" s="42" t="s">
        <v>253</v>
      </c>
      <c r="K71" s="42" t="s">
        <v>253</v>
      </c>
      <c r="L71" s="38">
        <v>1</v>
      </c>
      <c r="M71" s="38">
        <v>1</v>
      </c>
      <c r="N71" s="38">
        <v>0</v>
      </c>
      <c r="O71" s="38">
        <v>0</v>
      </c>
      <c r="P71" s="42"/>
      <c r="Q71" s="38" t="b">
        <v>0</v>
      </c>
      <c r="R71" s="38" t="s">
        <v>254</v>
      </c>
      <c r="S71" s="38" t="b">
        <v>1</v>
      </c>
      <c r="T71" s="40" t="s">
        <v>267</v>
      </c>
    </row>
    <row r="72" spans="2:38" x14ac:dyDescent="0.45">
      <c r="B72" s="40">
        <v>51</v>
      </c>
      <c r="C72" s="41">
        <v>51</v>
      </c>
      <c r="D72" s="39" t="s">
        <v>350</v>
      </c>
      <c r="E72" s="38" t="b">
        <v>1</v>
      </c>
      <c r="F72" s="42" t="s">
        <v>253</v>
      </c>
      <c r="G72" s="42"/>
      <c r="H72" s="42"/>
      <c r="I72" s="43" t="b">
        <v>0</v>
      </c>
      <c r="J72" s="42" t="s">
        <v>253</v>
      </c>
      <c r="K72" s="42" t="s">
        <v>253</v>
      </c>
      <c r="L72" s="38">
        <v>1</v>
      </c>
      <c r="M72" s="38">
        <v>1</v>
      </c>
      <c r="N72" s="38">
        <v>0</v>
      </c>
      <c r="O72" s="38">
        <v>0</v>
      </c>
      <c r="P72" s="42"/>
      <c r="Q72" s="38" t="b">
        <v>0</v>
      </c>
      <c r="R72" s="38" t="s">
        <v>254</v>
      </c>
      <c r="S72" s="38" t="b">
        <v>1</v>
      </c>
      <c r="T72" s="40" t="s">
        <v>268</v>
      </c>
    </row>
    <row r="73" spans="2:38" x14ac:dyDescent="0.45">
      <c r="B73" s="40">
        <v>52</v>
      </c>
      <c r="C73" s="41">
        <v>52</v>
      </c>
      <c r="D73" s="39" t="s">
        <v>351</v>
      </c>
      <c r="E73" s="38" t="s">
        <v>443</v>
      </c>
      <c r="F73" s="42" t="s">
        <v>253</v>
      </c>
      <c r="G73" s="42"/>
      <c r="H73" s="42"/>
      <c r="I73" s="43" t="b">
        <v>0</v>
      </c>
      <c r="J73" s="42" t="s">
        <v>253</v>
      </c>
      <c r="K73" s="42" t="s">
        <v>253</v>
      </c>
      <c r="L73" s="38">
        <v>1</v>
      </c>
      <c r="M73" s="38">
        <v>1</v>
      </c>
      <c r="N73" s="38">
        <v>0</v>
      </c>
      <c r="O73" s="38">
        <v>0</v>
      </c>
      <c r="P73" s="42"/>
      <c r="Q73" s="38" t="b">
        <v>0</v>
      </c>
      <c r="R73" s="38" t="s">
        <v>254</v>
      </c>
      <c r="S73" s="38" t="b">
        <v>1</v>
      </c>
      <c r="T73" s="49" t="s">
        <v>460</v>
      </c>
    </row>
    <row r="74" spans="2:38" x14ac:dyDescent="0.45">
      <c r="B74" s="40">
        <v>53</v>
      </c>
      <c r="C74" s="41">
        <v>53</v>
      </c>
      <c r="D74" s="39" t="s">
        <v>352</v>
      </c>
      <c r="E74" s="38" t="b">
        <v>1</v>
      </c>
      <c r="F74" s="42" t="s">
        <v>253</v>
      </c>
      <c r="G74" s="42"/>
      <c r="H74" s="42"/>
      <c r="I74" s="43" t="b">
        <v>0</v>
      </c>
      <c r="J74" s="42" t="s">
        <v>253</v>
      </c>
      <c r="K74" s="42" t="s">
        <v>253</v>
      </c>
      <c r="L74" s="38">
        <v>1</v>
      </c>
      <c r="M74" s="38">
        <v>1</v>
      </c>
      <c r="N74" s="38">
        <v>0</v>
      </c>
      <c r="O74" s="38">
        <v>0</v>
      </c>
      <c r="P74" s="42"/>
      <c r="Q74" s="38" t="b">
        <v>0</v>
      </c>
      <c r="R74" s="38" t="s">
        <v>254</v>
      </c>
      <c r="S74" s="38" t="b">
        <v>0</v>
      </c>
      <c r="T74" s="42" t="s">
        <v>427</v>
      </c>
    </row>
    <row r="75" spans="2:38" x14ac:dyDescent="0.45">
      <c r="B75" s="40">
        <v>54</v>
      </c>
      <c r="C75" s="41">
        <v>53</v>
      </c>
      <c r="D75" s="39" t="s">
        <v>353</v>
      </c>
      <c r="E75" s="38" t="b">
        <v>1</v>
      </c>
      <c r="F75" s="42" t="s">
        <v>253</v>
      </c>
      <c r="G75" s="42"/>
      <c r="H75" s="42"/>
      <c r="I75" s="43" t="b">
        <v>0</v>
      </c>
      <c r="J75" s="42" t="s">
        <v>253</v>
      </c>
      <c r="K75" s="42" t="s">
        <v>253</v>
      </c>
      <c r="L75" s="38">
        <v>1</v>
      </c>
      <c r="M75" s="38">
        <v>1</v>
      </c>
      <c r="N75" s="38">
        <v>0</v>
      </c>
      <c r="O75" s="38">
        <v>0</v>
      </c>
      <c r="P75" s="42"/>
      <c r="Q75" s="38" t="b">
        <v>0</v>
      </c>
      <c r="R75" s="38" t="s">
        <v>254</v>
      </c>
      <c r="S75" s="38" t="b">
        <v>0</v>
      </c>
      <c r="T75" s="42" t="s">
        <v>428</v>
      </c>
    </row>
    <row r="76" spans="2:38" x14ac:dyDescent="0.45">
      <c r="B76" s="40">
        <v>55</v>
      </c>
      <c r="C76" s="41">
        <v>57</v>
      </c>
      <c r="D76" s="39" t="s">
        <v>354</v>
      </c>
      <c r="E76" s="38" t="b">
        <v>1</v>
      </c>
      <c r="F76" s="42" t="s">
        <v>253</v>
      </c>
      <c r="G76" s="42"/>
      <c r="H76" s="42"/>
      <c r="I76" s="43" t="b">
        <v>0</v>
      </c>
      <c r="J76" s="42" t="s">
        <v>253</v>
      </c>
      <c r="K76" s="42" t="s">
        <v>253</v>
      </c>
      <c r="L76" s="38">
        <v>1</v>
      </c>
      <c r="M76" s="38">
        <v>1</v>
      </c>
      <c r="N76" s="38">
        <v>0</v>
      </c>
      <c r="O76" s="38">
        <v>0</v>
      </c>
      <c r="P76" s="42"/>
      <c r="Q76" s="38" t="b">
        <v>0</v>
      </c>
      <c r="R76" s="38" t="s">
        <v>254</v>
      </c>
      <c r="S76" s="38" t="b">
        <v>1</v>
      </c>
      <c r="T76" s="40"/>
    </row>
    <row r="77" spans="2:38" x14ac:dyDescent="0.45">
      <c r="B77" s="40">
        <v>56</v>
      </c>
      <c r="C77" s="41">
        <v>58</v>
      </c>
      <c r="D77" s="39" t="s">
        <v>355</v>
      </c>
      <c r="E77" s="38" t="b">
        <v>1</v>
      </c>
      <c r="F77" s="42" t="s">
        <v>253</v>
      </c>
      <c r="G77" s="42"/>
      <c r="H77" s="42"/>
      <c r="I77" s="43" t="b">
        <v>0</v>
      </c>
      <c r="J77" s="42" t="s">
        <v>253</v>
      </c>
      <c r="K77" s="42" t="s">
        <v>253</v>
      </c>
      <c r="L77" s="38">
        <v>1</v>
      </c>
      <c r="M77" s="38">
        <v>1</v>
      </c>
      <c r="N77" s="38">
        <v>0</v>
      </c>
      <c r="O77" s="38">
        <v>0</v>
      </c>
      <c r="P77" s="42"/>
      <c r="Q77" s="38" t="b">
        <v>0</v>
      </c>
      <c r="R77" s="38" t="s">
        <v>254</v>
      </c>
      <c r="S77" s="38" t="b">
        <v>1</v>
      </c>
      <c r="T77" s="40" t="s">
        <v>269</v>
      </c>
    </row>
    <row r="78" spans="2:38" x14ac:dyDescent="0.45">
      <c r="B78" s="40">
        <v>57</v>
      </c>
      <c r="C78" s="41">
        <v>59</v>
      </c>
      <c r="D78" s="39" t="s">
        <v>356</v>
      </c>
      <c r="E78" s="38" t="b">
        <v>1</v>
      </c>
      <c r="F78" s="42" t="s">
        <v>253</v>
      </c>
      <c r="G78" s="42" t="s">
        <v>256</v>
      </c>
      <c r="H78" s="42"/>
      <c r="I78" s="43" t="b">
        <v>0</v>
      </c>
      <c r="J78" s="42" t="s">
        <v>253</v>
      </c>
      <c r="K78" s="42" t="s">
        <v>253</v>
      </c>
      <c r="L78" s="38">
        <v>1</v>
      </c>
      <c r="M78" s="38">
        <v>1</v>
      </c>
      <c r="N78" s="38">
        <v>0</v>
      </c>
      <c r="O78" s="38">
        <v>0</v>
      </c>
      <c r="P78" s="42"/>
      <c r="Q78" s="38" t="b">
        <v>0</v>
      </c>
      <c r="R78" s="38" t="s">
        <v>257</v>
      </c>
      <c r="S78" s="38" t="b">
        <v>1</v>
      </c>
      <c r="T78" s="40" t="s">
        <v>270</v>
      </c>
    </row>
    <row r="79" spans="2:38" x14ac:dyDescent="0.45">
      <c r="B79" s="40">
        <v>58</v>
      </c>
      <c r="C79" s="41">
        <v>59</v>
      </c>
      <c r="D79" s="39" t="s">
        <v>357</v>
      </c>
      <c r="E79" s="38" t="b">
        <v>1</v>
      </c>
      <c r="F79" s="42" t="s">
        <v>253</v>
      </c>
      <c r="G79" s="42"/>
      <c r="H79" s="42"/>
      <c r="I79" s="43" t="b">
        <v>0</v>
      </c>
      <c r="J79" s="42" t="s">
        <v>253</v>
      </c>
      <c r="K79" s="42" t="s">
        <v>253</v>
      </c>
      <c r="L79" s="38">
        <v>1</v>
      </c>
      <c r="M79" s="38">
        <v>1</v>
      </c>
      <c r="N79" s="38">
        <v>0</v>
      </c>
      <c r="O79" s="38">
        <v>0</v>
      </c>
      <c r="P79" s="42"/>
      <c r="Q79" s="38" t="b">
        <v>0</v>
      </c>
      <c r="R79" s="38" t="s">
        <v>254</v>
      </c>
      <c r="S79" s="38" t="b">
        <v>0</v>
      </c>
      <c r="T79" s="40" t="s">
        <v>271</v>
      </c>
      <c r="V79" t="s">
        <v>255</v>
      </c>
      <c r="X79" t="s">
        <v>28</v>
      </c>
    </row>
    <row r="80" spans="2:38" x14ac:dyDescent="0.45">
      <c r="B80" s="40">
        <v>59</v>
      </c>
      <c r="C80" s="41">
        <v>61</v>
      </c>
      <c r="D80" s="39" t="s">
        <v>358</v>
      </c>
      <c r="E80" s="38" t="b">
        <v>1</v>
      </c>
      <c r="F80" s="42" t="s">
        <v>253</v>
      </c>
      <c r="G80" s="42" t="str">
        <f ca="1">CHAR(9)</f>
        <v xml:space="preserve">	</v>
      </c>
      <c r="H80" s="42"/>
      <c r="I80" s="43" t="b">
        <v>0</v>
      </c>
      <c r="J80" s="42" t="s">
        <v>253</v>
      </c>
      <c r="K80" s="42" t="s">
        <v>253</v>
      </c>
      <c r="L80" s="38">
        <v>1</v>
      </c>
      <c r="M80" s="38">
        <v>1</v>
      </c>
      <c r="N80" s="38">
        <v>0</v>
      </c>
      <c r="O80" s="38">
        <v>0</v>
      </c>
      <c r="P80" s="42"/>
      <c r="Q80" s="38" t="b">
        <v>0</v>
      </c>
      <c r="R80" s="38" t="s">
        <v>254</v>
      </c>
      <c r="S80" s="38" t="b">
        <v>1</v>
      </c>
      <c r="T80" s="40" t="s">
        <v>272</v>
      </c>
      <c r="V80" s="13" t="str" cm="1">
        <f t="array" aca="1" ref="V80:V96" ca="1">CSVRead(FileName,FALSE,FALSE)</f>
        <v># this line is commented out,,,</v>
      </c>
      <c r="X80" s="13" t="str" cm="1">
        <f t="array" aca="1" ref="X80:AA83" ca="1">CSVRead(FileName,ConvertTypes,Delimiter,IgnoreRepeated,DateFormat,Comment,SkipToRow,SkipToCol,NumRows,NumCols,IF(OR(ShowMissingsAs="",ShowMissingsAs=0),"I'm missing",ShowMissingsAs),Unicode,DecimalSeparator)</f>
        <v>8,8</v>
      </c>
      <c r="Y80" s="13" t="str">
        <f ca="1"/>
        <v>8,9</v>
      </c>
      <c r="Z80" s="13" t="str">
        <f ca="1"/>
        <v>8,10</v>
      </c>
      <c r="AA80" s="13" t="str">
        <f ca="1"/>
        <v>I'm missing</v>
      </c>
      <c r="AB80" s="13"/>
      <c r="AC80" s="56"/>
      <c r="AD80" s="13"/>
      <c r="AE80" s="13"/>
      <c r="AF80" s="13"/>
      <c r="AG80" s="13"/>
      <c r="AH80" s="13"/>
      <c r="AI80" s="13"/>
      <c r="AJ80" s="13"/>
      <c r="AK80" s="13"/>
      <c r="AL80" s="13"/>
    </row>
    <row r="81" spans="2:38" x14ac:dyDescent="0.45">
      <c r="B81" s="40">
        <v>60</v>
      </c>
      <c r="C81" s="41">
        <v>62</v>
      </c>
      <c r="D81" s="39" t="s">
        <v>359</v>
      </c>
      <c r="E81" s="38" t="b">
        <v>1</v>
      </c>
      <c r="F81" s="42" t="s">
        <v>253</v>
      </c>
      <c r="G81" s="42"/>
      <c r="H81" s="42"/>
      <c r="I81" s="43" t="b">
        <v>0</v>
      </c>
      <c r="J81" s="42" t="s">
        <v>253</v>
      </c>
      <c r="K81" s="42" t="s">
        <v>253</v>
      </c>
      <c r="L81" s="38">
        <v>1</v>
      </c>
      <c r="M81" s="38">
        <v>1</v>
      </c>
      <c r="N81" s="38">
        <v>0</v>
      </c>
      <c r="O81" s="38">
        <v>0</v>
      </c>
      <c r="P81" s="42"/>
      <c r="Q81" s="38" t="b">
        <v>0</v>
      </c>
      <c r="R81" s="38" t="s">
        <v>254</v>
      </c>
      <c r="S81" s="38" t="b">
        <v>1</v>
      </c>
      <c r="T81" s="40" t="s">
        <v>273</v>
      </c>
      <c r="V81" s="13" t="str">
        <f ca="1"/>
        <v># this line is commented out,,,</v>
      </c>
      <c r="X81" s="13" t="str">
        <f ca="1"/>
        <v>9,8</v>
      </c>
      <c r="Y81" s="53" t="str">
        <f ca="1"/>
        <v>9,9</v>
      </c>
      <c r="Z81" s="13" t="str">
        <f ca="1"/>
        <v>9,10</v>
      </c>
      <c r="AA81" s="13" t="str">
        <f ca="1"/>
        <v>I'm missing</v>
      </c>
      <c r="AB81" s="13"/>
      <c r="AC81" s="56"/>
      <c r="AD81" s="13"/>
      <c r="AE81" s="13"/>
      <c r="AF81" s="13"/>
      <c r="AG81" s="13"/>
      <c r="AH81" s="13"/>
      <c r="AI81" s="13"/>
      <c r="AJ81" s="13"/>
      <c r="AK81" s="13"/>
      <c r="AL81" s="13"/>
    </row>
    <row r="82" spans="2:38" x14ac:dyDescent="0.45">
      <c r="B82" s="40">
        <v>61</v>
      </c>
      <c r="C82" s="41">
        <v>64</v>
      </c>
      <c r="D82" s="39" t="s">
        <v>360</v>
      </c>
      <c r="E82" s="38" t="b">
        <v>1</v>
      </c>
      <c r="F82" s="42" t="s">
        <v>253</v>
      </c>
      <c r="G82" s="42"/>
      <c r="H82" s="42"/>
      <c r="I82" s="43" t="b">
        <v>0</v>
      </c>
      <c r="J82" s="42" t="s">
        <v>253</v>
      </c>
      <c r="K82" s="42" t="s">
        <v>253</v>
      </c>
      <c r="L82" s="38">
        <v>1</v>
      </c>
      <c r="M82" s="38">
        <v>1</v>
      </c>
      <c r="N82" s="38">
        <v>0</v>
      </c>
      <c r="O82" s="38">
        <v>0</v>
      </c>
      <c r="P82" s="42"/>
      <c r="Q82" s="38" t="b">
        <v>0</v>
      </c>
      <c r="R82" s="38" t="s">
        <v>254</v>
      </c>
      <c r="S82" s="38" t="b">
        <v>0</v>
      </c>
      <c r="T82" s="40" t="s">
        <v>274</v>
      </c>
      <c r="V82" s="13" t="str">
        <f ca="1"/>
        <v>"1,1","1,2","1,3","1,4","1,5","1,6","1,7","1,8","1,9","1,10"</v>
      </c>
      <c r="X82" s="13" t="str">
        <f ca="1"/>
        <v>10,8</v>
      </c>
      <c r="Y82" s="13" t="str">
        <f ca="1"/>
        <v>10,9</v>
      </c>
      <c r="Z82" s="13" t="str">
        <f ca="1"/>
        <v>10,10</v>
      </c>
      <c r="AA82" s="13" t="str">
        <f ca="1"/>
        <v>I'm missing</v>
      </c>
      <c r="AB82" s="13"/>
      <c r="AC82" s="56"/>
      <c r="AD82" s="13"/>
      <c r="AE82" s="13"/>
      <c r="AF82" s="13"/>
      <c r="AG82" s="13"/>
      <c r="AH82" s="13"/>
      <c r="AI82" s="13"/>
      <c r="AJ82" s="13"/>
      <c r="AK82" s="13"/>
      <c r="AL82" s="13"/>
    </row>
    <row r="83" spans="2:38" x14ac:dyDescent="0.45">
      <c r="B83" s="40">
        <v>62</v>
      </c>
      <c r="C83" s="41">
        <v>65</v>
      </c>
      <c r="D83" s="39" t="s">
        <v>361</v>
      </c>
      <c r="E83" s="38" t="b">
        <v>0</v>
      </c>
      <c r="F83" s="42" t="s">
        <v>253</v>
      </c>
      <c r="G83" s="42"/>
      <c r="H83" s="42"/>
      <c r="I83" s="43" t="b">
        <v>0</v>
      </c>
      <c r="J83" s="42" t="s">
        <v>253</v>
      </c>
      <c r="K83" s="42" t="s">
        <v>253</v>
      </c>
      <c r="L83" s="38">
        <v>1</v>
      </c>
      <c r="M83" s="38">
        <v>1</v>
      </c>
      <c r="N83" s="38">
        <v>0</v>
      </c>
      <c r="O83" s="38">
        <v>0</v>
      </c>
      <c r="P83" s="42"/>
      <c r="Q83" s="38" t="b">
        <v>0</v>
      </c>
      <c r="R83" s="38" t="s">
        <v>254</v>
      </c>
      <c r="S83" s="38" t="b">
        <v>0</v>
      </c>
      <c r="T83" s="40" t="s">
        <v>275</v>
      </c>
      <c r="V83" s="13" t="str">
        <f ca="1"/>
        <v># this line is commented out"""</v>
      </c>
      <c r="X83" s="13" t="str">
        <f ca="1"/>
        <v>I'm missing</v>
      </c>
      <c r="Y83" s="13" t="str">
        <f ca="1"/>
        <v>I'm missing</v>
      </c>
      <c r="Z83" s="13" t="str">
        <f ca="1"/>
        <v>I'm missing</v>
      </c>
      <c r="AA83" s="13" t="str">
        <f ca="1"/>
        <v>I'm missing</v>
      </c>
      <c r="AB83" s="13"/>
      <c r="AC83" s="56"/>
      <c r="AD83" s="13"/>
      <c r="AE83" s="13"/>
      <c r="AF83" s="13"/>
      <c r="AG83" s="13"/>
      <c r="AH83" s="13"/>
      <c r="AI83" s="13"/>
      <c r="AJ83" s="13"/>
      <c r="AK83" s="13"/>
      <c r="AL83" s="13"/>
    </row>
    <row r="84" spans="2:38" x14ac:dyDescent="0.45">
      <c r="B84" s="40">
        <v>63</v>
      </c>
      <c r="C84" s="41">
        <v>65</v>
      </c>
      <c r="D84" s="39" t="s">
        <v>362</v>
      </c>
      <c r="E84" s="38" t="b">
        <v>1</v>
      </c>
      <c r="F84" s="42" t="s">
        <v>276</v>
      </c>
      <c r="G84" s="42" t="s">
        <v>276</v>
      </c>
      <c r="H84" s="42"/>
      <c r="I84" s="43" t="b">
        <v>0</v>
      </c>
      <c r="J84" s="42" t="s">
        <v>253</v>
      </c>
      <c r="K84" s="42" t="s">
        <v>253</v>
      </c>
      <c r="L84" s="38">
        <v>1</v>
      </c>
      <c r="M84" s="38">
        <v>1</v>
      </c>
      <c r="N84" s="38">
        <v>0</v>
      </c>
      <c r="O84" s="38">
        <v>0</v>
      </c>
      <c r="P84" s="42"/>
      <c r="Q84" s="38" t="b">
        <v>0</v>
      </c>
      <c r="R84" s="38" t="s">
        <v>254</v>
      </c>
      <c r="S84" s="38" t="b">
        <v>0</v>
      </c>
      <c r="T84" s="40" t="s">
        <v>429</v>
      </c>
      <c r="V84" s="13" t="str">
        <f ca="1"/>
        <v>"2,1","2,2","2,3","2,4","2,5","2,6","2,7","2,8","2,9","2,10"</v>
      </c>
      <c r="X84" s="13"/>
      <c r="Y84" s="13"/>
      <c r="Z84" s="13"/>
      <c r="AA84" s="13"/>
      <c r="AB84" s="13"/>
      <c r="AC84" s="56"/>
      <c r="AD84" s="13"/>
      <c r="AE84" s="13"/>
      <c r="AF84" s="13"/>
      <c r="AG84" s="13"/>
      <c r="AH84" s="13"/>
      <c r="AI84" s="13"/>
      <c r="AJ84" s="13"/>
      <c r="AK84" s="13"/>
      <c r="AL84" s="13"/>
    </row>
    <row r="85" spans="2:38" x14ac:dyDescent="0.45">
      <c r="B85" s="40">
        <v>64</v>
      </c>
      <c r="C85" s="41">
        <v>66</v>
      </c>
      <c r="D85" s="39" t="s">
        <v>363</v>
      </c>
      <c r="E85" s="38" t="b">
        <v>1</v>
      </c>
      <c r="F85" s="42" t="s">
        <v>253</v>
      </c>
      <c r="G85" s="42"/>
      <c r="H85" s="42"/>
      <c r="I85" s="43" t="b">
        <v>0</v>
      </c>
      <c r="J85" s="42" t="s">
        <v>253</v>
      </c>
      <c r="K85" s="42" t="s">
        <v>253</v>
      </c>
      <c r="L85" s="38">
        <v>1</v>
      </c>
      <c r="M85" s="38">
        <v>1</v>
      </c>
      <c r="N85" s="38">
        <v>0</v>
      </c>
      <c r="O85" s="38">
        <v>0</v>
      </c>
      <c r="P85" s="42"/>
      <c r="Q85" s="38" t="b">
        <v>0</v>
      </c>
      <c r="R85" s="38" t="s">
        <v>254</v>
      </c>
      <c r="S85" s="38" t="b">
        <v>1</v>
      </c>
      <c r="T85" s="40"/>
      <c r="V85" s="13" t="str">
        <f ca="1"/>
        <v># this line is commented out</v>
      </c>
      <c r="X85" s="13"/>
      <c r="Y85" s="53"/>
      <c r="Z85" s="13"/>
      <c r="AA85" s="13"/>
      <c r="AB85" s="13"/>
      <c r="AC85" s="56"/>
      <c r="AD85" s="13"/>
      <c r="AE85" s="13"/>
      <c r="AF85" s="13"/>
      <c r="AG85" s="13"/>
      <c r="AH85" s="13"/>
      <c r="AI85" s="13"/>
      <c r="AJ85" s="13"/>
      <c r="AK85" s="13"/>
      <c r="AL85" s="13"/>
    </row>
    <row r="86" spans="2:38" x14ac:dyDescent="0.45">
      <c r="B86" s="40">
        <v>65</v>
      </c>
      <c r="C86" s="41">
        <v>67</v>
      </c>
      <c r="D86" s="39" t="s">
        <v>364</v>
      </c>
      <c r="E86" s="38" t="b">
        <v>1</v>
      </c>
      <c r="F86" s="42" t="s">
        <v>253</v>
      </c>
      <c r="G86" s="42"/>
      <c r="H86" s="42"/>
      <c r="I86" s="43" t="b">
        <v>0</v>
      </c>
      <c r="J86" s="42" t="s">
        <v>253</v>
      </c>
      <c r="K86" s="42" t="s">
        <v>253</v>
      </c>
      <c r="L86" s="38">
        <v>1</v>
      </c>
      <c r="M86" s="38">
        <v>1</v>
      </c>
      <c r="N86" s="38">
        <v>0</v>
      </c>
      <c r="O86" s="38">
        <v>0</v>
      </c>
      <c r="P86" s="42"/>
      <c r="Q86" s="38" t="b">
        <v>0</v>
      </c>
      <c r="R86" s="38" t="s">
        <v>254</v>
      </c>
      <c r="S86" s="38" t="b">
        <v>1</v>
      </c>
      <c r="T86" s="40"/>
      <c r="V86" s="13" t="str">
        <f ca="1"/>
        <v>"3,1","3,2","3,3","3,4","3,5","3,6","3,7","3,8","3,9","3,10"</v>
      </c>
      <c r="X86" s="13"/>
      <c r="Y86" s="13"/>
      <c r="Z86" s="13"/>
      <c r="AA86" s="13"/>
      <c r="AB86" s="13"/>
      <c r="AC86" s="56"/>
      <c r="AD86" s="13"/>
      <c r="AE86" s="13"/>
      <c r="AF86" s="13"/>
      <c r="AG86" s="13"/>
      <c r="AH86" s="13"/>
      <c r="AI86" s="13"/>
      <c r="AJ86" s="13"/>
      <c r="AK86" s="13"/>
      <c r="AL86" s="13"/>
    </row>
    <row r="87" spans="2:38" x14ac:dyDescent="0.45">
      <c r="B87" s="40">
        <v>66</v>
      </c>
      <c r="C87" s="41">
        <v>67</v>
      </c>
      <c r="D87" s="39" t="s">
        <v>365</v>
      </c>
      <c r="E87" s="38" t="b">
        <v>1</v>
      </c>
      <c r="F87" s="42" t="s">
        <v>253</v>
      </c>
      <c r="G87" s="42"/>
      <c r="H87" s="42"/>
      <c r="I87" s="43" t="b">
        <v>0</v>
      </c>
      <c r="J87" s="42" t="s">
        <v>253</v>
      </c>
      <c r="K87" s="42" t="s">
        <v>253</v>
      </c>
      <c r="L87" s="38">
        <v>1</v>
      </c>
      <c r="M87" s="38">
        <v>1</v>
      </c>
      <c r="N87" s="38">
        <v>0</v>
      </c>
      <c r="O87" s="38">
        <v>0</v>
      </c>
      <c r="P87" s="42"/>
      <c r="Q87" s="38" t="b">
        <v>0</v>
      </c>
      <c r="R87" s="38" t="s">
        <v>254</v>
      </c>
      <c r="S87" s="38" t="b">
        <v>0</v>
      </c>
      <c r="T87" s="40" t="s">
        <v>277</v>
      </c>
      <c r="V87" s="13" t="str">
        <f ca="1"/>
        <v>"4,1","4,2","4,3","4,4","4,5","4,6","4,7","4,8","4,9","4,10"</v>
      </c>
      <c r="X87" s="13"/>
      <c r="Y87" s="13"/>
      <c r="Z87" s="13"/>
      <c r="AA87" s="13"/>
      <c r="AB87" s="13"/>
      <c r="AC87" s="56"/>
      <c r="AD87" s="13"/>
      <c r="AE87" s="13"/>
      <c r="AF87" s="13"/>
      <c r="AG87" s="13"/>
      <c r="AH87" s="13"/>
      <c r="AI87" s="13"/>
      <c r="AJ87" s="13"/>
      <c r="AK87" s="13"/>
      <c r="AL87" s="13"/>
    </row>
    <row r="88" spans="2:38" x14ac:dyDescent="0.45">
      <c r="B88" s="40">
        <v>67</v>
      </c>
      <c r="C88" s="41">
        <v>68</v>
      </c>
      <c r="D88" s="39" t="s">
        <v>366</v>
      </c>
      <c r="E88" s="38" t="b">
        <v>0</v>
      </c>
      <c r="F88" s="42" t="s">
        <v>253</v>
      </c>
      <c r="G88" s="42"/>
      <c r="H88" s="42"/>
      <c r="I88" s="43" t="b">
        <v>0</v>
      </c>
      <c r="J88" s="42" t="s">
        <v>253</v>
      </c>
      <c r="K88" s="42" t="s">
        <v>253</v>
      </c>
      <c r="L88" s="38">
        <v>1</v>
      </c>
      <c r="M88" s="38">
        <v>1</v>
      </c>
      <c r="N88" s="38">
        <v>0</v>
      </c>
      <c r="O88" s="38">
        <v>0</v>
      </c>
      <c r="P88" s="42"/>
      <c r="Q88" s="38" t="b">
        <v>0</v>
      </c>
      <c r="R88" s="38" t="s">
        <v>254</v>
      </c>
      <c r="S88" s="38" t="b">
        <v>0</v>
      </c>
      <c r="T88" s="40" t="s">
        <v>278</v>
      </c>
      <c r="V88" s="13" t="str">
        <f ca="1"/>
        <v># this line is commented out</v>
      </c>
      <c r="X88" s="13"/>
      <c r="Y88" s="13"/>
      <c r="Z88" s="13"/>
      <c r="AA88" s="13"/>
      <c r="AB88" s="13"/>
      <c r="AC88" s="56"/>
      <c r="AD88" s="13"/>
      <c r="AE88" s="13"/>
      <c r="AF88" s="13"/>
      <c r="AG88" s="13"/>
      <c r="AH88" s="13"/>
      <c r="AI88" s="13"/>
      <c r="AJ88" s="13"/>
      <c r="AK88" s="13"/>
      <c r="AL88" s="13"/>
    </row>
    <row r="89" spans="2:38" x14ac:dyDescent="0.45">
      <c r="B89" s="40">
        <v>68</v>
      </c>
      <c r="C89" s="41">
        <v>84</v>
      </c>
      <c r="D89" s="39" t="s">
        <v>367</v>
      </c>
      <c r="E89" s="38" t="b">
        <v>1</v>
      </c>
      <c r="F89" s="42" t="s">
        <v>253</v>
      </c>
      <c r="G89" s="42" t="s">
        <v>257</v>
      </c>
      <c r="H89" s="42"/>
      <c r="I89" s="43" t="b">
        <v>0</v>
      </c>
      <c r="J89" s="42" t="s">
        <v>253</v>
      </c>
      <c r="K89" s="42" t="s">
        <v>466</v>
      </c>
      <c r="L89" s="38">
        <v>1</v>
      </c>
      <c r="M89" s="38">
        <v>1</v>
      </c>
      <c r="N89" s="38">
        <v>0</v>
      </c>
      <c r="O89" s="38">
        <v>0</v>
      </c>
      <c r="P89" s="42"/>
      <c r="Q89" s="38" t="b">
        <v>0</v>
      </c>
      <c r="R89" s="38" t="s">
        <v>254</v>
      </c>
      <c r="S89" s="38" t="b">
        <v>1</v>
      </c>
      <c r="T89" s="40"/>
      <c r="V89" s="13" t="str">
        <f ca="1"/>
        <v>"5,1","5,2","5,3","5,4","5,5","5,6","5,7","5,8","5,9","5,10"</v>
      </c>
      <c r="X89" s="13"/>
      <c r="Y89" s="13"/>
      <c r="Z89" s="13"/>
      <c r="AA89" s="13"/>
      <c r="AB89" s="13"/>
      <c r="AC89" s="56"/>
      <c r="AD89" s="13"/>
      <c r="AE89" s="13"/>
      <c r="AF89" s="13"/>
      <c r="AG89" s="13"/>
      <c r="AH89" s="13"/>
      <c r="AI89" s="13"/>
      <c r="AJ89" s="13"/>
      <c r="AK89" s="13"/>
      <c r="AL89" s="13"/>
    </row>
    <row r="90" spans="2:38" x14ac:dyDescent="0.45">
      <c r="B90" s="40">
        <v>69</v>
      </c>
      <c r="C90" s="41">
        <v>91</v>
      </c>
      <c r="D90" s="39" t="s">
        <v>368</v>
      </c>
      <c r="E90" s="38" t="b">
        <v>1</v>
      </c>
      <c r="F90" s="42" t="s">
        <v>253</v>
      </c>
      <c r="G90" s="42" t="s">
        <v>257</v>
      </c>
      <c r="H90" s="42"/>
      <c r="I90" s="43" t="b">
        <v>0</v>
      </c>
      <c r="J90" s="42" t="s">
        <v>253</v>
      </c>
      <c r="K90" s="42" t="s">
        <v>253</v>
      </c>
      <c r="L90" s="38">
        <v>1</v>
      </c>
      <c r="M90" s="38">
        <v>1</v>
      </c>
      <c r="N90" s="38">
        <v>0</v>
      </c>
      <c r="O90" s="38">
        <v>0</v>
      </c>
      <c r="P90" s="42"/>
      <c r="Q90" s="38" t="b">
        <v>0</v>
      </c>
      <c r="R90" s="38" t="s">
        <v>254</v>
      </c>
      <c r="S90" s="38" t="b">
        <v>0</v>
      </c>
      <c r="T90" s="40"/>
      <c r="V90" s="13" t="str">
        <f ca="1"/>
        <v>"6,1","6,2","6,3","6,4","6,5","6,6","6,7","6,8","6,9","6,10"</v>
      </c>
      <c r="X90" s="13"/>
      <c r="Y90" s="13"/>
      <c r="Z90" s="13"/>
      <c r="AA90" s="13"/>
      <c r="AB90" s="13"/>
      <c r="AC90" s="56"/>
      <c r="AD90" s="13"/>
      <c r="AE90" s="13"/>
      <c r="AF90" s="13"/>
      <c r="AG90" s="13"/>
      <c r="AH90" s="13"/>
      <c r="AI90" s="13"/>
      <c r="AJ90" s="13"/>
      <c r="AK90" s="13"/>
      <c r="AL90" s="13"/>
    </row>
    <row r="91" spans="2:38" x14ac:dyDescent="0.45">
      <c r="B91" s="40">
        <v>70</v>
      </c>
      <c r="C91" s="41">
        <v>96</v>
      </c>
      <c r="D91" s="39" t="s">
        <v>369</v>
      </c>
      <c r="E91" s="38" t="b">
        <v>1</v>
      </c>
      <c r="F91" s="42" t="s">
        <v>253</v>
      </c>
      <c r="G91" s="42" t="s">
        <v>257</v>
      </c>
      <c r="H91" s="42"/>
      <c r="I91" s="43" t="b">
        <v>0</v>
      </c>
      <c r="J91" s="42" t="s">
        <v>253</v>
      </c>
      <c r="K91" s="42" t="s">
        <v>466</v>
      </c>
      <c r="L91" s="38">
        <v>1</v>
      </c>
      <c r="M91" s="38">
        <v>1</v>
      </c>
      <c r="N91" s="38">
        <v>0</v>
      </c>
      <c r="O91" s="38">
        <v>0</v>
      </c>
      <c r="P91" s="42"/>
      <c r="Q91" s="38" t="b">
        <v>0</v>
      </c>
      <c r="R91" s="38" t="s">
        <v>254</v>
      </c>
      <c r="S91" s="38" t="b">
        <v>0</v>
      </c>
      <c r="T91" s="42" t="s">
        <v>468</v>
      </c>
      <c r="V91" s="13" t="str">
        <f ca="1"/>
        <v># this line is commented out</v>
      </c>
      <c r="X91" s="13"/>
      <c r="Y91" s="13"/>
      <c r="Z91" s="13"/>
      <c r="AA91" s="13"/>
      <c r="AB91" s="13"/>
      <c r="AC91" s="56"/>
      <c r="AD91" s="13"/>
      <c r="AE91" s="13"/>
      <c r="AF91" s="13"/>
      <c r="AG91" s="13"/>
      <c r="AH91" s="13"/>
      <c r="AI91" s="13"/>
      <c r="AJ91" s="13"/>
      <c r="AK91" s="13"/>
      <c r="AL91" s="13"/>
    </row>
    <row r="92" spans="2:38" x14ac:dyDescent="0.45">
      <c r="B92" s="40">
        <v>71</v>
      </c>
      <c r="C92" s="41">
        <v>100</v>
      </c>
      <c r="D92" s="39" t="s">
        <v>370</v>
      </c>
      <c r="E92" s="38" t="b">
        <v>1</v>
      </c>
      <c r="F92" s="42" t="s">
        <v>253</v>
      </c>
      <c r="G92" s="42" t="s">
        <v>257</v>
      </c>
      <c r="H92" s="42"/>
      <c r="I92" s="43" t="b">
        <v>0</v>
      </c>
      <c r="J92" s="42" t="s">
        <v>253</v>
      </c>
      <c r="K92" s="42" t="s">
        <v>253</v>
      </c>
      <c r="L92" s="38">
        <v>1</v>
      </c>
      <c r="M92" s="38">
        <v>1</v>
      </c>
      <c r="N92" s="38">
        <v>0</v>
      </c>
      <c r="O92" s="38">
        <v>0</v>
      </c>
      <c r="P92" s="42"/>
      <c r="Q92" s="44" t="b">
        <v>1</v>
      </c>
      <c r="R92" s="38" t="s">
        <v>254</v>
      </c>
      <c r="S92" s="38" t="b">
        <v>0</v>
      </c>
      <c r="T92" s="42" t="s">
        <v>279</v>
      </c>
      <c r="V92" s="13" t="str">
        <f ca="1"/>
        <v>"7,1","7,2","7,3","7,4","7,5","7,6","7,7","7,8","7,9","7,10"</v>
      </c>
      <c r="X92" s="13"/>
      <c r="Y92" s="13"/>
      <c r="Z92" s="13"/>
      <c r="AA92" s="13"/>
      <c r="AB92" s="13"/>
      <c r="AC92" s="56"/>
      <c r="AD92" s="13"/>
      <c r="AE92" s="13"/>
      <c r="AF92" s="13"/>
      <c r="AG92" s="13"/>
      <c r="AH92" s="13"/>
      <c r="AI92" s="13"/>
      <c r="AJ92" s="13"/>
      <c r="AK92" s="13"/>
      <c r="AL92" s="13"/>
    </row>
    <row r="93" spans="2:38" x14ac:dyDescent="0.45">
      <c r="B93" s="40">
        <v>72</v>
      </c>
      <c r="C93" s="41">
        <v>100</v>
      </c>
      <c r="D93" s="39" t="s">
        <v>371</v>
      </c>
      <c r="E93" s="38" t="b">
        <v>1</v>
      </c>
      <c r="F93" s="42" t="s">
        <v>253</v>
      </c>
      <c r="G93" s="42" t="s">
        <v>257</v>
      </c>
      <c r="H93" s="42"/>
      <c r="I93" s="43" t="b">
        <v>0</v>
      </c>
      <c r="J93" s="42" t="s">
        <v>253</v>
      </c>
      <c r="K93" s="42" t="s">
        <v>253</v>
      </c>
      <c r="L93" s="38">
        <v>1</v>
      </c>
      <c r="M93" s="38">
        <v>1</v>
      </c>
      <c r="N93" s="38">
        <v>0</v>
      </c>
      <c r="O93" s="38">
        <v>0</v>
      </c>
      <c r="P93" s="42"/>
      <c r="Q93" s="44" t="b">
        <v>1</v>
      </c>
      <c r="R93" s="38" t="s">
        <v>254</v>
      </c>
      <c r="S93" s="38" t="b">
        <v>0</v>
      </c>
      <c r="T93" s="42" t="s">
        <v>280</v>
      </c>
      <c r="V93" s="13" t="str">
        <f ca="1"/>
        <v># this line is commented out</v>
      </c>
      <c r="X93" s="13"/>
      <c r="Y93" s="13"/>
      <c r="Z93" s="13"/>
      <c r="AA93" s="13"/>
      <c r="AB93" s="13"/>
      <c r="AC93" s="56"/>
      <c r="AD93" s="13"/>
      <c r="AE93" s="13"/>
      <c r="AF93" s="13"/>
      <c r="AG93" s="13"/>
      <c r="AH93" s="13"/>
      <c r="AI93" s="13"/>
      <c r="AJ93" s="13"/>
      <c r="AK93" s="13"/>
      <c r="AL93" s="13"/>
    </row>
    <row r="94" spans="2:38" x14ac:dyDescent="0.45">
      <c r="B94" s="40">
        <v>73</v>
      </c>
      <c r="C94" s="41">
        <v>100</v>
      </c>
      <c r="D94" s="39" t="s">
        <v>372</v>
      </c>
      <c r="E94" s="38" t="b">
        <v>1</v>
      </c>
      <c r="F94" s="42" t="s">
        <v>253</v>
      </c>
      <c r="G94" s="42" t="s">
        <v>257</v>
      </c>
      <c r="H94" s="42"/>
      <c r="I94" s="43" t="b">
        <v>0</v>
      </c>
      <c r="J94" s="42" t="s">
        <v>253</v>
      </c>
      <c r="K94" s="42" t="s">
        <v>253</v>
      </c>
      <c r="L94" s="38">
        <v>1</v>
      </c>
      <c r="M94" s="38">
        <v>1</v>
      </c>
      <c r="N94" s="38">
        <v>0</v>
      </c>
      <c r="O94" s="38">
        <v>0</v>
      </c>
      <c r="P94" s="42"/>
      <c r="Q94" s="44" t="b">
        <v>1</v>
      </c>
      <c r="R94" s="38" t="s">
        <v>254</v>
      </c>
      <c r="S94" s="38" t="b">
        <v>0</v>
      </c>
      <c r="T94" s="42" t="s">
        <v>279</v>
      </c>
      <c r="V94" s="13" t="str">
        <f ca="1"/>
        <v>"8,1","8,2","8,3","8,4","8,5","8,6","8,7","8,8","8,9","8,10"</v>
      </c>
      <c r="X94" s="13"/>
      <c r="Y94" s="13"/>
      <c r="Z94" s="13"/>
      <c r="AA94" s="13"/>
      <c r="AB94" s="13"/>
      <c r="AC94" s="56"/>
      <c r="AD94" s="13"/>
      <c r="AE94" s="13"/>
      <c r="AF94" s="13"/>
      <c r="AG94" s="13"/>
      <c r="AH94" s="13"/>
      <c r="AI94" s="13"/>
      <c r="AJ94" s="13"/>
      <c r="AK94" s="13"/>
      <c r="AL94" s="13"/>
    </row>
    <row r="95" spans="2:38" x14ac:dyDescent="0.45">
      <c r="B95" s="40">
        <v>74</v>
      </c>
      <c r="C95" s="41">
        <v>106</v>
      </c>
      <c r="D95" s="39" t="s">
        <v>373</v>
      </c>
      <c r="E95" s="38" t="b">
        <v>1</v>
      </c>
      <c r="F95" s="42" t="s">
        <v>253</v>
      </c>
      <c r="G95" s="42" t="s">
        <v>257</v>
      </c>
      <c r="H95" s="42"/>
      <c r="I95" s="43" t="b">
        <v>0</v>
      </c>
      <c r="J95" s="42" t="s">
        <v>253</v>
      </c>
      <c r="K95" s="42" t="s">
        <v>253</v>
      </c>
      <c r="L95" s="38">
        <v>1</v>
      </c>
      <c r="M95" s="38">
        <v>1</v>
      </c>
      <c r="N95" s="38">
        <v>0</v>
      </c>
      <c r="O95" s="38">
        <v>0</v>
      </c>
      <c r="P95" s="42"/>
      <c r="Q95" s="38" t="b">
        <v>0</v>
      </c>
      <c r="R95" s="38" t="s">
        <v>254</v>
      </c>
      <c r="S95" s="38" t="b">
        <v>1</v>
      </c>
      <c r="T95" s="40" t="s">
        <v>278</v>
      </c>
      <c r="V95" s="13" t="str">
        <f ca="1"/>
        <v>"9,1","9,2","9,3","9,4","9,5","9,6","9,7","9,8","9,9","9,10"</v>
      </c>
      <c r="X95" s="13"/>
      <c r="Y95" s="13"/>
      <c r="Z95" s="13"/>
      <c r="AA95" s="13"/>
      <c r="AB95" s="13"/>
      <c r="AC95" s="56"/>
      <c r="AD95" s="13"/>
      <c r="AE95" s="13"/>
      <c r="AF95" s="13"/>
      <c r="AG95" s="13"/>
      <c r="AH95" s="13"/>
      <c r="AI95" s="13"/>
      <c r="AJ95" s="13"/>
      <c r="AK95" s="13"/>
      <c r="AL95" s="13"/>
    </row>
    <row r="96" spans="2:38" x14ac:dyDescent="0.45">
      <c r="B96" s="40">
        <v>75</v>
      </c>
      <c r="C96" s="41">
        <v>110</v>
      </c>
      <c r="D96" s="39" t="s">
        <v>374</v>
      </c>
      <c r="E96" s="38" t="b">
        <v>1</v>
      </c>
      <c r="F96" s="42" t="s">
        <v>253</v>
      </c>
      <c r="G96" s="42" t="s">
        <v>257</v>
      </c>
      <c r="H96" s="42"/>
      <c r="I96" s="43" t="b">
        <v>0</v>
      </c>
      <c r="J96" s="42" t="s">
        <v>253</v>
      </c>
      <c r="K96" s="42" t="s">
        <v>253</v>
      </c>
      <c r="L96" s="38">
        <v>1</v>
      </c>
      <c r="M96" s="38">
        <v>1</v>
      </c>
      <c r="N96" s="38">
        <v>0</v>
      </c>
      <c r="O96" s="38">
        <v>0</v>
      </c>
      <c r="P96" s="42"/>
      <c r="Q96" s="38" t="b">
        <v>0</v>
      </c>
      <c r="R96" s="38" t="s">
        <v>254</v>
      </c>
      <c r="S96" s="38" t="b">
        <v>1</v>
      </c>
      <c r="T96" s="40"/>
      <c r="V96" s="13" t="str">
        <f ca="1"/>
        <v>"10,1","10,2","10,3","10,4","10,5","10,6","10,7","10,8","10,9","10,10"</v>
      </c>
      <c r="X96" s="13"/>
      <c r="Y96" s="13"/>
      <c r="Z96" s="13"/>
      <c r="AA96" s="13"/>
      <c r="AB96" s="13"/>
      <c r="AC96" s="56"/>
      <c r="AD96" s="13"/>
      <c r="AE96" s="13"/>
      <c r="AF96" s="13"/>
      <c r="AG96" s="13"/>
      <c r="AH96" s="13"/>
      <c r="AI96" s="13"/>
      <c r="AJ96" s="13"/>
      <c r="AK96" s="13"/>
      <c r="AL96" s="13"/>
    </row>
    <row r="97" spans="2:38" x14ac:dyDescent="0.45">
      <c r="B97" s="40">
        <v>76</v>
      </c>
      <c r="C97" s="41">
        <v>115</v>
      </c>
      <c r="D97" s="39" t="s">
        <v>375</v>
      </c>
      <c r="E97" s="38" t="b">
        <v>1</v>
      </c>
      <c r="F97" s="42" t="s">
        <v>253</v>
      </c>
      <c r="G97" s="42" t="s">
        <v>257</v>
      </c>
      <c r="H97" s="42"/>
      <c r="I97" s="43" t="b">
        <v>0</v>
      </c>
      <c r="J97" s="42" t="s">
        <v>253</v>
      </c>
      <c r="K97" s="42" t="s">
        <v>466</v>
      </c>
      <c r="L97" s="38">
        <v>1</v>
      </c>
      <c r="M97" s="38">
        <v>1</v>
      </c>
      <c r="N97" s="38">
        <v>0</v>
      </c>
      <c r="O97" s="38">
        <v>0</v>
      </c>
      <c r="P97" s="42"/>
      <c r="Q97" s="38" t="b">
        <v>0</v>
      </c>
      <c r="R97" s="38" t="s">
        <v>254</v>
      </c>
      <c r="S97" s="38" t="b">
        <v>1</v>
      </c>
      <c r="T97" s="40"/>
      <c r="V97" s="13"/>
      <c r="X97" s="13"/>
      <c r="Y97" s="13"/>
      <c r="Z97" s="13"/>
      <c r="AA97" s="13"/>
      <c r="AB97" s="13"/>
      <c r="AC97" s="56"/>
      <c r="AD97" s="13"/>
      <c r="AE97" s="13"/>
      <c r="AF97" s="13"/>
      <c r="AG97" s="13"/>
      <c r="AH97" s="13"/>
      <c r="AI97" s="13"/>
      <c r="AJ97" s="13"/>
      <c r="AK97" s="13"/>
      <c r="AL97" s="13"/>
    </row>
    <row r="98" spans="2:38" x14ac:dyDescent="0.45">
      <c r="B98" s="40">
        <v>77</v>
      </c>
      <c r="C98" s="41">
        <v>196</v>
      </c>
      <c r="D98" s="39" t="s">
        <v>376</v>
      </c>
      <c r="E98" s="38" t="b">
        <v>1</v>
      </c>
      <c r="F98" s="42" t="str">
        <f ca="1">CHAR(9)</f>
        <v xml:space="preserve">	</v>
      </c>
      <c r="G98" s="42" t="s">
        <v>257</v>
      </c>
      <c r="H98" s="42"/>
      <c r="I98" s="43" t="b">
        <v>0</v>
      </c>
      <c r="J98" s="42" t="s">
        <v>253</v>
      </c>
      <c r="K98" s="42" t="s">
        <v>253</v>
      </c>
      <c r="L98" s="38">
        <v>1</v>
      </c>
      <c r="M98" s="38">
        <v>1</v>
      </c>
      <c r="N98" s="38">
        <v>0</v>
      </c>
      <c r="O98" s="38">
        <v>0</v>
      </c>
      <c r="P98" s="42"/>
      <c r="Q98" s="44" t="b">
        <v>1</v>
      </c>
      <c r="R98" s="38" t="s">
        <v>254</v>
      </c>
      <c r="S98" s="38" t="b">
        <v>1</v>
      </c>
      <c r="T98" s="42" t="s">
        <v>281</v>
      </c>
      <c r="V98" s="13"/>
      <c r="X98" s="13"/>
      <c r="Y98" s="13"/>
      <c r="Z98" s="13"/>
      <c r="AA98" s="13"/>
      <c r="AB98" s="13"/>
      <c r="AC98" s="56"/>
      <c r="AD98" s="13"/>
      <c r="AE98" s="13"/>
      <c r="AF98" s="13"/>
      <c r="AG98" s="13"/>
      <c r="AH98" s="13"/>
      <c r="AI98" s="13"/>
      <c r="AJ98" s="13"/>
      <c r="AK98" s="13"/>
      <c r="AL98" s="13"/>
    </row>
    <row r="99" spans="2:38" x14ac:dyDescent="0.45">
      <c r="B99" s="40">
        <v>78</v>
      </c>
      <c r="C99" s="41">
        <v>382</v>
      </c>
      <c r="D99" s="39" t="s">
        <v>377</v>
      </c>
      <c r="E99" s="38" t="b">
        <v>1</v>
      </c>
      <c r="F99" s="42" t="s">
        <v>253</v>
      </c>
      <c r="G99" s="42" t="s">
        <v>256</v>
      </c>
      <c r="H99" s="42"/>
      <c r="I99" s="43" t="b">
        <v>0</v>
      </c>
      <c r="J99" s="42" t="s">
        <v>253</v>
      </c>
      <c r="K99" s="42" t="s">
        <v>253</v>
      </c>
      <c r="L99" s="38">
        <v>1</v>
      </c>
      <c r="M99" s="38">
        <v>1</v>
      </c>
      <c r="N99" s="38">
        <v>0</v>
      </c>
      <c r="O99" s="38">
        <v>0</v>
      </c>
      <c r="P99" s="42"/>
      <c r="Q99" s="38" t="b">
        <v>0</v>
      </c>
      <c r="R99" s="38" t="s">
        <v>257</v>
      </c>
      <c r="S99" s="38" t="b">
        <v>0</v>
      </c>
      <c r="T99" s="42" t="s">
        <v>461</v>
      </c>
      <c r="V99" s="13"/>
      <c r="X99" s="13"/>
      <c r="Y99" s="13"/>
      <c r="Z99" s="13"/>
      <c r="AA99" s="13"/>
      <c r="AB99" s="13"/>
      <c r="AC99" s="56"/>
      <c r="AD99" s="13"/>
      <c r="AE99" s="13"/>
      <c r="AF99" s="13"/>
      <c r="AG99" s="13"/>
      <c r="AH99" s="13"/>
      <c r="AI99" s="13"/>
      <c r="AJ99" s="13"/>
      <c r="AK99" s="13"/>
      <c r="AL99" s="13"/>
    </row>
    <row r="100" spans="2:38" x14ac:dyDescent="0.45">
      <c r="B100" s="40">
        <v>79</v>
      </c>
      <c r="C100" s="41">
        <v>400</v>
      </c>
      <c r="D100" s="39" t="s">
        <v>378</v>
      </c>
      <c r="E100" s="38" t="s">
        <v>418</v>
      </c>
      <c r="F100" s="42" t="s">
        <v>253</v>
      </c>
      <c r="G100" s="42"/>
      <c r="H100" s="42"/>
      <c r="I100" s="43" t="b">
        <v>0</v>
      </c>
      <c r="J100" s="42" t="s">
        <v>253</v>
      </c>
      <c r="K100" s="42" t="s">
        <v>466</v>
      </c>
      <c r="L100" s="38">
        <v>1</v>
      </c>
      <c r="M100" s="38">
        <v>1</v>
      </c>
      <c r="N100" s="38">
        <v>0</v>
      </c>
      <c r="O100" s="38">
        <v>0</v>
      </c>
      <c r="P100" s="42"/>
      <c r="Q100" s="38" t="b">
        <v>0</v>
      </c>
      <c r="R100" s="38" t="s">
        <v>254</v>
      </c>
      <c r="S100" s="38"/>
      <c r="T100" s="40" t="s">
        <v>469</v>
      </c>
      <c r="V100" s="13"/>
      <c r="X100" s="13"/>
      <c r="Y100" s="13"/>
      <c r="Z100" s="13"/>
      <c r="AA100" s="13"/>
      <c r="AB100" s="13"/>
      <c r="AC100" s="56"/>
      <c r="AD100" s="13"/>
      <c r="AE100" s="13"/>
      <c r="AF100" s="13"/>
      <c r="AG100" s="13"/>
      <c r="AH100" s="13"/>
      <c r="AI100" s="13"/>
      <c r="AJ100" s="13"/>
      <c r="AK100" s="13"/>
      <c r="AL100" s="13"/>
    </row>
    <row r="101" spans="2:38" x14ac:dyDescent="0.45">
      <c r="B101" s="40">
        <v>80</v>
      </c>
      <c r="C101" s="41">
        <v>446</v>
      </c>
      <c r="D101" s="39" t="s">
        <v>379</v>
      </c>
      <c r="E101" s="38" t="b">
        <v>1</v>
      </c>
      <c r="F101" s="42" t="s">
        <v>258</v>
      </c>
      <c r="G101" s="42"/>
      <c r="H101" s="42"/>
      <c r="I101" s="43" t="b">
        <v>1</v>
      </c>
      <c r="J101" s="42" t="s">
        <v>253</v>
      </c>
      <c r="K101" s="42" t="s">
        <v>253</v>
      </c>
      <c r="L101" s="38">
        <v>1</v>
      </c>
      <c r="M101" s="38">
        <v>1</v>
      </c>
      <c r="N101" s="38">
        <v>0</v>
      </c>
      <c r="O101" s="38">
        <v>0</v>
      </c>
      <c r="P101" s="42"/>
      <c r="Q101" s="38" t="b">
        <v>0</v>
      </c>
      <c r="R101" s="38" t="s">
        <v>254</v>
      </c>
      <c r="S101" s="38" t="b">
        <v>0</v>
      </c>
      <c r="T101" s="42" t="s">
        <v>264</v>
      </c>
      <c r="V101" s="13"/>
      <c r="X101" s="13"/>
      <c r="Y101" s="13"/>
      <c r="Z101" s="13"/>
      <c r="AA101" s="13"/>
      <c r="AB101" s="13"/>
      <c r="AC101" s="56"/>
      <c r="AD101" s="13"/>
      <c r="AE101" s="13"/>
      <c r="AF101" s="13"/>
      <c r="AG101" s="13"/>
      <c r="AH101" s="13"/>
      <c r="AI101" s="13"/>
      <c r="AJ101" s="13"/>
      <c r="AK101" s="13"/>
      <c r="AL101" s="13"/>
    </row>
    <row r="102" spans="2:38" x14ac:dyDescent="0.45">
      <c r="B102" s="40">
        <v>81</v>
      </c>
      <c r="C102" s="41">
        <v>506</v>
      </c>
      <c r="D102" s="39" t="s">
        <v>380</v>
      </c>
      <c r="E102" s="38" t="b">
        <v>0</v>
      </c>
      <c r="F102" s="42" t="s">
        <v>253</v>
      </c>
      <c r="G102" s="42"/>
      <c r="H102" s="42"/>
      <c r="I102" s="43" t="b">
        <v>0</v>
      </c>
      <c r="J102" s="42" t="s">
        <v>253</v>
      </c>
      <c r="K102" s="42" t="s">
        <v>253</v>
      </c>
      <c r="L102" s="38">
        <v>1</v>
      </c>
      <c r="M102" s="38">
        <v>1</v>
      </c>
      <c r="N102" s="38">
        <v>0</v>
      </c>
      <c r="O102" s="38">
        <v>0</v>
      </c>
      <c r="P102" s="42"/>
      <c r="Q102" s="38" t="b">
        <v>0</v>
      </c>
      <c r="R102" s="38" t="s">
        <v>254</v>
      </c>
      <c r="S102" s="38" t="b">
        <v>0</v>
      </c>
      <c r="T102" s="40" t="s">
        <v>278</v>
      </c>
      <c r="V102" s="13"/>
      <c r="X102" s="13"/>
      <c r="Y102" s="13"/>
      <c r="Z102" s="13"/>
      <c r="AA102" s="13"/>
      <c r="AB102" s="13"/>
      <c r="AC102" s="56"/>
      <c r="AD102" s="13"/>
      <c r="AE102" s="13"/>
      <c r="AF102" s="13"/>
      <c r="AG102" s="13"/>
      <c r="AH102" s="13"/>
      <c r="AI102" s="13"/>
      <c r="AJ102" s="13"/>
      <c r="AK102" s="13"/>
      <c r="AL102" s="13"/>
    </row>
    <row r="103" spans="2:38" x14ac:dyDescent="0.45">
      <c r="B103" s="40">
        <v>82</v>
      </c>
      <c r="C103" s="41">
        <v>585</v>
      </c>
      <c r="D103" s="39" t="s">
        <v>381</v>
      </c>
      <c r="E103" s="38" t="b">
        <v>1</v>
      </c>
      <c r="F103" s="42" t="s">
        <v>253</v>
      </c>
      <c r="G103" s="42"/>
      <c r="H103" s="42"/>
      <c r="I103" s="43" t="b">
        <v>0</v>
      </c>
      <c r="J103" s="42" t="s">
        <v>253</v>
      </c>
      <c r="K103" s="42" t="s">
        <v>253</v>
      </c>
      <c r="L103" s="38">
        <v>1</v>
      </c>
      <c r="M103" s="38">
        <v>1</v>
      </c>
      <c r="N103" s="38">
        <v>0</v>
      </c>
      <c r="O103" s="38">
        <v>0</v>
      </c>
      <c r="P103" s="42"/>
      <c r="Q103" s="38" t="b">
        <v>0</v>
      </c>
      <c r="R103" s="38" t="s">
        <v>254</v>
      </c>
      <c r="S103" s="38" t="b">
        <v>0</v>
      </c>
      <c r="T103" s="42" t="s">
        <v>282</v>
      </c>
      <c r="V103" s="13"/>
      <c r="X103" s="13"/>
      <c r="Y103" s="13"/>
      <c r="Z103" s="13"/>
      <c r="AA103" s="13"/>
      <c r="AB103" s="13"/>
      <c r="AC103" s="56"/>
      <c r="AD103" s="13"/>
      <c r="AE103" s="13"/>
      <c r="AF103" s="13"/>
      <c r="AG103" s="13"/>
      <c r="AH103" s="13"/>
      <c r="AI103" s="13"/>
      <c r="AJ103" s="13"/>
      <c r="AK103" s="13"/>
      <c r="AL103" s="13"/>
    </row>
    <row r="104" spans="2:38" x14ac:dyDescent="0.45">
      <c r="B104" s="40">
        <v>83</v>
      </c>
      <c r="C104" s="41">
        <v>664</v>
      </c>
      <c r="D104" s="39" t="s">
        <v>382</v>
      </c>
      <c r="E104" s="38" t="b">
        <v>0</v>
      </c>
      <c r="F104" s="42" t="s">
        <v>253</v>
      </c>
      <c r="G104" s="42"/>
      <c r="H104" s="42"/>
      <c r="I104" s="43" t="b">
        <v>0</v>
      </c>
      <c r="J104" s="42" t="s">
        <v>253</v>
      </c>
      <c r="K104" s="42" t="s">
        <v>253</v>
      </c>
      <c r="L104" s="38">
        <v>1</v>
      </c>
      <c r="M104" s="38">
        <v>1</v>
      </c>
      <c r="N104" s="38">
        <v>0</v>
      </c>
      <c r="O104" s="38">
        <v>0</v>
      </c>
      <c r="P104" s="42"/>
      <c r="Q104" s="38" t="b">
        <v>0</v>
      </c>
      <c r="R104" s="38" t="s">
        <v>254</v>
      </c>
      <c r="S104" s="38" t="b">
        <v>1</v>
      </c>
      <c r="T104" s="40" t="s">
        <v>264</v>
      </c>
      <c r="V104" s="13"/>
      <c r="X104" s="13"/>
      <c r="Y104" s="13"/>
      <c r="Z104" s="13"/>
      <c r="AA104" s="13"/>
      <c r="AB104" s="13"/>
      <c r="AC104" s="56"/>
      <c r="AD104" s="13"/>
      <c r="AE104" s="13"/>
      <c r="AF104" s="13"/>
      <c r="AG104" s="13"/>
      <c r="AH104" s="13"/>
      <c r="AI104" s="13"/>
      <c r="AJ104" s="13"/>
      <c r="AK104" s="13"/>
      <c r="AL104" s="13"/>
    </row>
    <row r="105" spans="2:38" x14ac:dyDescent="0.45">
      <c r="B105" s="40">
        <v>84</v>
      </c>
      <c r="C105" s="41">
        <v>716</v>
      </c>
      <c r="D105" s="39" t="s">
        <v>383</v>
      </c>
      <c r="E105" s="38" t="b">
        <v>1</v>
      </c>
      <c r="F105" s="42" t="s">
        <v>258</v>
      </c>
      <c r="G105" s="42"/>
      <c r="H105" s="42"/>
      <c r="I105" s="43" t="b">
        <v>1</v>
      </c>
      <c r="J105" s="42" t="s">
        <v>253</v>
      </c>
      <c r="K105" s="42" t="s">
        <v>253</v>
      </c>
      <c r="L105" s="38">
        <v>1</v>
      </c>
      <c r="M105" s="38">
        <v>1</v>
      </c>
      <c r="N105" s="38">
        <v>0</v>
      </c>
      <c r="O105" s="38">
        <v>0</v>
      </c>
      <c r="P105" s="42"/>
      <c r="Q105" s="38" t="b">
        <v>0</v>
      </c>
      <c r="R105" s="38" t="s">
        <v>254</v>
      </c>
      <c r="S105" s="38" t="b">
        <v>0</v>
      </c>
      <c r="T105" s="40" t="s">
        <v>297</v>
      </c>
      <c r="V105" s="13"/>
      <c r="X105" s="13"/>
      <c r="Y105" s="13"/>
      <c r="Z105" s="13"/>
      <c r="AA105" s="13"/>
      <c r="AB105" s="13"/>
      <c r="AC105" s="56"/>
      <c r="AD105" s="13"/>
      <c r="AE105" s="13"/>
      <c r="AF105" s="13"/>
      <c r="AG105" s="13"/>
      <c r="AH105" s="13"/>
      <c r="AI105" s="13"/>
      <c r="AJ105" s="13"/>
      <c r="AK105" s="13"/>
      <c r="AL105" s="13"/>
    </row>
    <row r="106" spans="2:38" x14ac:dyDescent="0.45">
      <c r="B106" s="40">
        <v>85</v>
      </c>
      <c r="C106" s="41">
        <v>764</v>
      </c>
      <c r="D106" s="39" t="s">
        <v>384</v>
      </c>
      <c r="E106" s="38" t="b">
        <v>1</v>
      </c>
      <c r="F106" s="42" t="s">
        <v>253</v>
      </c>
      <c r="G106" s="42"/>
      <c r="H106" s="42"/>
      <c r="I106" s="43" t="b">
        <v>0</v>
      </c>
      <c r="J106" s="42" t="s">
        <v>253</v>
      </c>
      <c r="K106" s="42" t="s">
        <v>253</v>
      </c>
      <c r="L106" s="38">
        <v>1</v>
      </c>
      <c r="M106" s="38">
        <v>1</v>
      </c>
      <c r="N106" s="38">
        <v>0</v>
      </c>
      <c r="O106" s="38">
        <v>0</v>
      </c>
      <c r="P106" s="42"/>
      <c r="Q106" s="38" t="b">
        <v>0</v>
      </c>
      <c r="R106" s="38" t="s">
        <v>254</v>
      </c>
      <c r="S106" s="38" t="b">
        <v>0</v>
      </c>
      <c r="T106" s="42" t="s">
        <v>298</v>
      </c>
      <c r="V106" s="13"/>
      <c r="X106" s="13"/>
      <c r="Y106" s="13"/>
      <c r="Z106" s="13"/>
      <c r="AA106" s="13"/>
      <c r="AB106" s="13"/>
      <c r="AC106" s="56"/>
      <c r="AD106" s="13"/>
      <c r="AE106" s="13"/>
      <c r="AF106" s="13"/>
      <c r="AG106" s="13"/>
      <c r="AH106" s="13"/>
      <c r="AI106" s="13"/>
      <c r="AJ106" s="13"/>
      <c r="AK106" s="13"/>
      <c r="AL106" s="13"/>
    </row>
    <row r="107" spans="2:38" x14ac:dyDescent="0.45">
      <c r="B107" s="40">
        <v>86</v>
      </c>
      <c r="C107" s="41">
        <v>793</v>
      </c>
      <c r="D107" s="39" t="s">
        <v>385</v>
      </c>
      <c r="E107" s="38" t="b">
        <v>1</v>
      </c>
      <c r="F107" s="42" t="str">
        <f ca="1">CHAR(9)</f>
        <v xml:space="preserve">	</v>
      </c>
      <c r="G107" s="42"/>
      <c r="H107" s="42"/>
      <c r="I107" s="43" t="b">
        <v>0</v>
      </c>
      <c r="J107" s="42" t="s">
        <v>253</v>
      </c>
      <c r="K107" s="42" t="s">
        <v>253</v>
      </c>
      <c r="L107" s="38">
        <v>1</v>
      </c>
      <c r="M107" s="38">
        <v>1</v>
      </c>
      <c r="N107" s="38">
        <v>0</v>
      </c>
      <c r="O107" s="38">
        <v>0</v>
      </c>
      <c r="P107" s="42"/>
      <c r="Q107" s="38" t="b">
        <v>0</v>
      </c>
      <c r="R107" s="38" t="s">
        <v>254</v>
      </c>
      <c r="S107" s="38" t="b">
        <v>0</v>
      </c>
      <c r="T107" s="40" t="s">
        <v>283</v>
      </c>
      <c r="V107" s="13"/>
      <c r="X107" s="13"/>
      <c r="Y107" s="13"/>
      <c r="Z107" s="13"/>
      <c r="AA107" s="13"/>
      <c r="AB107" s="13"/>
      <c r="AC107" s="56"/>
      <c r="AD107" s="13"/>
      <c r="AE107" s="13"/>
      <c r="AF107" s="13"/>
      <c r="AG107" s="13"/>
      <c r="AH107" s="13"/>
      <c r="AI107" s="13"/>
      <c r="AJ107" s="13"/>
      <c r="AK107" s="13"/>
      <c r="AL107" s="13"/>
    </row>
    <row r="108" spans="2:38" x14ac:dyDescent="0.45">
      <c r="B108" s="40">
        <v>87</v>
      </c>
      <c r="C108" s="41">
        <v>1770</v>
      </c>
      <c r="D108" s="39" t="s">
        <v>386</v>
      </c>
      <c r="E108" s="38" t="b">
        <v>1</v>
      </c>
      <c r="F108" s="42" t="s">
        <v>253</v>
      </c>
      <c r="G108" s="42"/>
      <c r="H108" s="42"/>
      <c r="I108" s="43" t="b">
        <v>0</v>
      </c>
      <c r="J108" s="42" t="s">
        <v>253</v>
      </c>
      <c r="K108" s="42" t="s">
        <v>253</v>
      </c>
      <c r="L108" s="38">
        <v>1</v>
      </c>
      <c r="M108" s="38">
        <v>1</v>
      </c>
      <c r="N108" s="38">
        <v>0</v>
      </c>
      <c r="O108" s="38">
        <v>0</v>
      </c>
      <c r="P108" s="42"/>
      <c r="Q108" s="38" t="b">
        <v>0</v>
      </c>
      <c r="R108" s="38" t="s">
        <v>254</v>
      </c>
      <c r="S108" s="38" t="b">
        <v>0</v>
      </c>
      <c r="T108" s="40" t="s">
        <v>264</v>
      </c>
      <c r="V108" s="13"/>
      <c r="X108" s="13"/>
      <c r="Y108" s="13"/>
      <c r="Z108" s="13"/>
      <c r="AA108" s="13"/>
      <c r="AB108" s="13"/>
      <c r="AC108" s="56"/>
      <c r="AD108" s="13"/>
      <c r="AE108" s="13"/>
      <c r="AF108" s="13"/>
      <c r="AG108" s="13"/>
      <c r="AH108" s="13"/>
      <c r="AI108" s="13"/>
      <c r="AJ108" s="13"/>
      <c r="AK108" s="13"/>
      <c r="AL108" s="13"/>
    </row>
    <row r="109" spans="2:38" x14ac:dyDescent="0.45">
      <c r="B109" s="40">
        <v>88</v>
      </c>
      <c r="C109" s="41">
        <v>2092</v>
      </c>
      <c r="D109" s="39" t="s">
        <v>387</v>
      </c>
      <c r="E109" s="38" t="s">
        <v>418</v>
      </c>
      <c r="F109" s="42" t="s">
        <v>253</v>
      </c>
      <c r="G109" s="42"/>
      <c r="H109" s="42"/>
      <c r="I109" s="43" t="b">
        <v>0</v>
      </c>
      <c r="J109" s="42" t="s">
        <v>253</v>
      </c>
      <c r="K109" s="42" t="s">
        <v>253</v>
      </c>
      <c r="L109" s="38">
        <v>1</v>
      </c>
      <c r="M109" s="38">
        <v>1</v>
      </c>
      <c r="N109" s="38">
        <v>0</v>
      </c>
      <c r="O109" s="38">
        <v>0</v>
      </c>
      <c r="P109" s="42"/>
      <c r="Q109" s="38" t="b">
        <v>0</v>
      </c>
      <c r="R109" s="38" t="s">
        <v>254</v>
      </c>
      <c r="S109" s="38" t="b">
        <v>1</v>
      </c>
      <c r="T109" s="40" t="s">
        <v>264</v>
      </c>
      <c r="V109" s="13"/>
      <c r="X109" s="13"/>
      <c r="Y109" s="13"/>
      <c r="Z109" s="13"/>
      <c r="AA109" s="13"/>
      <c r="AB109" s="13"/>
      <c r="AC109" s="56"/>
      <c r="AD109" s="13"/>
      <c r="AE109" s="13"/>
      <c r="AF109" s="13"/>
      <c r="AG109" s="13"/>
      <c r="AH109" s="13"/>
      <c r="AI109" s="13"/>
      <c r="AJ109" s="13"/>
      <c r="AK109" s="13"/>
      <c r="AL109" s="13"/>
    </row>
    <row r="110" spans="2:38" x14ac:dyDescent="0.45">
      <c r="B110" s="40">
        <v>89</v>
      </c>
      <c r="C110" s="41">
        <v>4340</v>
      </c>
      <c r="D110" s="39" t="s">
        <v>388</v>
      </c>
      <c r="E110" s="38" t="b">
        <v>0</v>
      </c>
      <c r="F110" s="42" t="s">
        <v>253</v>
      </c>
      <c r="G110" s="42"/>
      <c r="H110" s="42"/>
      <c r="I110" s="43" t="b">
        <v>0</v>
      </c>
      <c r="J110" s="42" t="s">
        <v>253</v>
      </c>
      <c r="K110" s="42" t="s">
        <v>253</v>
      </c>
      <c r="L110" s="38">
        <v>1</v>
      </c>
      <c r="M110" s="38">
        <v>1</v>
      </c>
      <c r="N110" s="38">
        <v>0</v>
      </c>
      <c r="O110" s="38">
        <v>0</v>
      </c>
      <c r="P110" s="42"/>
      <c r="Q110" s="38" t="b">
        <v>0</v>
      </c>
      <c r="R110" s="38" t="s">
        <v>254</v>
      </c>
      <c r="S110" s="38" t="b">
        <v>0</v>
      </c>
      <c r="T110" s="40" t="s">
        <v>284</v>
      </c>
      <c r="V110" s="13"/>
      <c r="X110" s="13"/>
      <c r="Y110" s="13"/>
      <c r="Z110" s="13"/>
      <c r="AA110" s="13"/>
      <c r="AB110" s="13"/>
      <c r="AC110" s="56"/>
      <c r="AD110" s="13"/>
      <c r="AE110" s="13"/>
      <c r="AF110" s="13"/>
      <c r="AG110" s="13"/>
      <c r="AH110" s="13"/>
      <c r="AI110" s="13"/>
      <c r="AJ110" s="13"/>
      <c r="AK110" s="13"/>
      <c r="AL110" s="13"/>
    </row>
    <row r="111" spans="2:38" x14ac:dyDescent="0.45">
      <c r="B111" s="40">
        <v>90</v>
      </c>
      <c r="C111" s="41">
        <v>6223</v>
      </c>
      <c r="D111" s="39" t="s">
        <v>389</v>
      </c>
      <c r="E111" s="38" t="b">
        <v>1</v>
      </c>
      <c r="F111" s="42" t="s">
        <v>253</v>
      </c>
      <c r="G111" s="42"/>
      <c r="H111" s="42"/>
      <c r="I111" s="43" t="b">
        <v>0</v>
      </c>
      <c r="J111" s="42" t="s">
        <v>253</v>
      </c>
      <c r="K111" s="42" t="s">
        <v>253</v>
      </c>
      <c r="L111" s="38">
        <v>1</v>
      </c>
      <c r="M111" s="38">
        <v>1</v>
      </c>
      <c r="N111" s="38">
        <v>0</v>
      </c>
      <c r="O111" s="38">
        <v>0</v>
      </c>
      <c r="P111" s="42"/>
      <c r="Q111" s="38" t="b">
        <v>0</v>
      </c>
      <c r="R111" s="38" t="s">
        <v>254</v>
      </c>
      <c r="S111" s="38" t="b">
        <v>0</v>
      </c>
      <c r="T111" s="42" t="s">
        <v>285</v>
      </c>
      <c r="V111" s="13"/>
      <c r="X111" s="13"/>
      <c r="Y111" s="13"/>
      <c r="Z111" s="13"/>
      <c r="AA111" s="13"/>
      <c r="AB111" s="13"/>
      <c r="AC111" s="56"/>
      <c r="AD111" s="13"/>
      <c r="AE111" s="13"/>
      <c r="AF111" s="13"/>
      <c r="AG111" s="13"/>
      <c r="AH111" s="13"/>
      <c r="AI111" s="13"/>
      <c r="AJ111" s="13"/>
      <c r="AK111" s="13"/>
      <c r="AL111" s="13"/>
    </row>
    <row r="112" spans="2:38" x14ac:dyDescent="0.45">
      <c r="B112" s="40">
        <v>91</v>
      </c>
      <c r="C112" s="41">
        <v>20520</v>
      </c>
      <c r="D112" s="39" t="s">
        <v>390</v>
      </c>
      <c r="E112" s="38" t="b">
        <v>1</v>
      </c>
      <c r="F112" s="42" t="s">
        <v>253</v>
      </c>
      <c r="G112" s="42"/>
      <c r="H112" s="42"/>
      <c r="I112" s="43" t="b">
        <v>0</v>
      </c>
      <c r="J112" s="42" t="s">
        <v>253</v>
      </c>
      <c r="K112" s="42" t="s">
        <v>253</v>
      </c>
      <c r="L112" s="38">
        <v>1</v>
      </c>
      <c r="M112" s="38">
        <v>1</v>
      </c>
      <c r="N112" s="38">
        <v>0</v>
      </c>
      <c r="O112" s="38">
        <v>0</v>
      </c>
      <c r="P112" s="42"/>
      <c r="Q112" s="38" t="b">
        <v>0</v>
      </c>
      <c r="R112" s="38" t="s">
        <v>254</v>
      </c>
      <c r="S112" s="38"/>
      <c r="T112" s="40" t="s">
        <v>286</v>
      </c>
      <c r="V112" s="13"/>
      <c r="X112" s="13"/>
      <c r="Y112" s="13"/>
      <c r="Z112" s="13"/>
      <c r="AA112" s="13"/>
      <c r="AB112" s="13"/>
      <c r="AC112" s="56"/>
      <c r="AD112" s="13"/>
      <c r="AE112" s="13"/>
      <c r="AF112" s="13"/>
      <c r="AG112" s="13"/>
      <c r="AH112" s="13"/>
      <c r="AI112" s="13"/>
      <c r="AJ112" s="13"/>
      <c r="AK112" s="13"/>
      <c r="AL112" s="13"/>
    </row>
    <row r="113" spans="2:38" x14ac:dyDescent="0.45">
      <c r="B113" s="40">
        <v>92</v>
      </c>
      <c r="C113" s="41">
        <v>42987</v>
      </c>
      <c r="D113" s="39" t="s">
        <v>391</v>
      </c>
      <c r="E113" s="38" t="b">
        <v>0</v>
      </c>
      <c r="F113" s="42" t="s">
        <v>253</v>
      </c>
      <c r="G113" s="42"/>
      <c r="H113" s="42"/>
      <c r="I113" s="43" t="b">
        <v>0</v>
      </c>
      <c r="J113" s="42" t="s">
        <v>253</v>
      </c>
      <c r="K113" s="42" t="s">
        <v>253</v>
      </c>
      <c r="L113" s="38">
        <v>1</v>
      </c>
      <c r="M113" s="38">
        <v>1</v>
      </c>
      <c r="N113" s="38">
        <v>0</v>
      </c>
      <c r="O113" s="38">
        <v>0</v>
      </c>
      <c r="P113" s="42"/>
      <c r="Q113" s="38" t="b">
        <v>0</v>
      </c>
      <c r="R113" s="38" t="s">
        <v>254</v>
      </c>
      <c r="S113" s="38"/>
      <c r="T113" s="40" t="s">
        <v>287</v>
      </c>
      <c r="V113" s="13"/>
      <c r="X113" s="13"/>
      <c r="Y113" s="13"/>
      <c r="Z113" s="13"/>
      <c r="AA113" s="13"/>
      <c r="AB113" s="13"/>
      <c r="AC113" s="56"/>
      <c r="AD113" s="13"/>
      <c r="AE113" s="13"/>
      <c r="AF113" s="13"/>
      <c r="AG113" s="13"/>
      <c r="AH113" s="13"/>
      <c r="AI113" s="13"/>
      <c r="AJ113" s="13"/>
      <c r="AK113" s="13"/>
      <c r="AL113" s="13"/>
    </row>
    <row r="114" spans="2:38" x14ac:dyDescent="0.45">
      <c r="B114" s="40">
        <v>93</v>
      </c>
      <c r="C114" s="41">
        <v>93536</v>
      </c>
      <c r="D114" s="39" t="s">
        <v>392</v>
      </c>
      <c r="E114" s="38" t="s">
        <v>288</v>
      </c>
      <c r="F114" s="42" t="s">
        <v>253</v>
      </c>
      <c r="G114" s="42"/>
      <c r="H114" s="42"/>
      <c r="I114" s="43" t="b">
        <v>0</v>
      </c>
      <c r="J114" s="42" t="s">
        <v>253</v>
      </c>
      <c r="K114" s="42" t="s">
        <v>253</v>
      </c>
      <c r="L114" s="38">
        <v>1</v>
      </c>
      <c r="M114" s="38">
        <v>1</v>
      </c>
      <c r="N114" s="38">
        <v>0</v>
      </c>
      <c r="O114" s="38">
        <v>0</v>
      </c>
      <c r="P114" s="42"/>
      <c r="Q114" s="38" t="b">
        <v>0</v>
      </c>
      <c r="R114" s="38" t="s">
        <v>254</v>
      </c>
      <c r="S114" s="38"/>
      <c r="T114" s="40" t="s">
        <v>289</v>
      </c>
      <c r="V114" s="13"/>
      <c r="X114" s="13"/>
      <c r="Y114" s="13"/>
      <c r="Z114" s="13"/>
      <c r="AA114" s="13"/>
      <c r="AB114" s="13"/>
      <c r="AC114" s="56"/>
      <c r="AD114" s="13"/>
      <c r="AE114" s="13"/>
      <c r="AF114" s="13"/>
      <c r="AG114" s="13"/>
      <c r="AH114" s="13"/>
      <c r="AI114" s="13"/>
      <c r="AJ114" s="13"/>
      <c r="AK114" s="13"/>
      <c r="AL114" s="13"/>
    </row>
    <row r="115" spans="2:38" x14ac:dyDescent="0.45">
      <c r="B115" s="40">
        <v>94</v>
      </c>
      <c r="C115" s="41">
        <v>97842</v>
      </c>
      <c r="D115" s="39" t="s">
        <v>393</v>
      </c>
      <c r="E115" s="38" t="b">
        <v>0</v>
      </c>
      <c r="F115" s="42" t="s">
        <v>253</v>
      </c>
      <c r="G115" s="42"/>
      <c r="H115" s="42"/>
      <c r="I115" s="43" t="b">
        <v>0</v>
      </c>
      <c r="J115" s="42" t="s">
        <v>253</v>
      </c>
      <c r="K115" s="42" t="s">
        <v>253</v>
      </c>
      <c r="L115" s="38">
        <v>1</v>
      </c>
      <c r="M115" s="38">
        <v>1</v>
      </c>
      <c r="N115" s="38">
        <v>0</v>
      </c>
      <c r="O115" s="38">
        <v>0</v>
      </c>
      <c r="P115" s="42"/>
      <c r="Q115" s="38" t="b">
        <v>0</v>
      </c>
      <c r="R115" s="38" t="s">
        <v>254</v>
      </c>
      <c r="S115" s="38"/>
      <c r="T115" s="40" t="s">
        <v>290</v>
      </c>
      <c r="V115" s="13"/>
      <c r="X115" s="13"/>
      <c r="Y115" s="13"/>
      <c r="Z115" s="13"/>
      <c r="AA115" s="13"/>
      <c r="AB115" s="13"/>
      <c r="AC115" s="56"/>
      <c r="AD115" s="13"/>
      <c r="AE115" s="13"/>
      <c r="AF115" s="13"/>
      <c r="AG115" s="13"/>
      <c r="AH115" s="13"/>
      <c r="AI115" s="13"/>
      <c r="AJ115" s="13"/>
      <c r="AK115" s="13"/>
      <c r="AL115" s="13"/>
    </row>
    <row r="116" spans="2:38" x14ac:dyDescent="0.45">
      <c r="B116" s="40">
        <v>95</v>
      </c>
      <c r="C116" s="41">
        <v>113183</v>
      </c>
      <c r="D116" s="39" t="s">
        <v>394</v>
      </c>
      <c r="E116" s="38" t="b">
        <v>1</v>
      </c>
      <c r="F116" s="42" t="s">
        <v>253</v>
      </c>
      <c r="G116" s="42"/>
      <c r="H116" s="42"/>
      <c r="I116" s="43" t="b">
        <v>0</v>
      </c>
      <c r="J116" s="42" t="s">
        <v>253</v>
      </c>
      <c r="K116" s="42" t="s">
        <v>253</v>
      </c>
      <c r="L116" s="38">
        <v>1</v>
      </c>
      <c r="M116" s="38">
        <v>1</v>
      </c>
      <c r="N116" s="38">
        <v>0</v>
      </c>
      <c r="O116" s="38">
        <v>0</v>
      </c>
      <c r="P116" s="42"/>
      <c r="Q116" s="38" t="b">
        <v>0</v>
      </c>
      <c r="R116" s="38" t="s">
        <v>254</v>
      </c>
      <c r="S116" s="38"/>
      <c r="T116" s="40" t="s">
        <v>291</v>
      </c>
    </row>
    <row r="117" spans="2:38" x14ac:dyDescent="0.45">
      <c r="B117" s="40">
        <v>96</v>
      </c>
      <c r="C117" s="41">
        <v>123637</v>
      </c>
      <c r="D117" s="39" t="s">
        <v>395</v>
      </c>
      <c r="E117" s="38" t="b">
        <v>1</v>
      </c>
      <c r="F117" s="42" t="s">
        <v>253</v>
      </c>
      <c r="G117" s="42"/>
      <c r="H117" s="42"/>
      <c r="I117" s="43" t="b">
        <v>0</v>
      </c>
      <c r="J117" s="42" t="s">
        <v>253</v>
      </c>
      <c r="K117" s="42" t="s">
        <v>253</v>
      </c>
      <c r="L117" s="38">
        <v>1</v>
      </c>
      <c r="M117" s="38">
        <v>1</v>
      </c>
      <c r="N117" s="38">
        <v>0</v>
      </c>
      <c r="O117" s="38">
        <v>0</v>
      </c>
      <c r="P117" s="42"/>
      <c r="Q117" s="38" t="b">
        <v>0</v>
      </c>
      <c r="R117" s="38" t="s">
        <v>254</v>
      </c>
      <c r="S117" s="38"/>
      <c r="T117" s="40" t="s">
        <v>291</v>
      </c>
    </row>
    <row r="118" spans="2:38" x14ac:dyDescent="0.45">
      <c r="B118" s="40">
        <v>97</v>
      </c>
      <c r="C118" s="41">
        <v>164899</v>
      </c>
      <c r="D118" s="39" t="s">
        <v>396</v>
      </c>
      <c r="E118" s="38" t="b">
        <v>0</v>
      </c>
      <c r="F118" s="42" t="s">
        <v>253</v>
      </c>
      <c r="G118" s="42"/>
      <c r="H118" s="42"/>
      <c r="I118" s="43" t="b">
        <v>0</v>
      </c>
      <c r="J118" s="42" t="s">
        <v>253</v>
      </c>
      <c r="K118" s="42" t="s">
        <v>253</v>
      </c>
      <c r="L118" s="38">
        <v>1</v>
      </c>
      <c r="M118" s="38">
        <v>1</v>
      </c>
      <c r="N118" s="38">
        <v>0</v>
      </c>
      <c r="O118" s="38">
        <v>0</v>
      </c>
      <c r="P118" s="42"/>
      <c r="Q118" s="38" t="b">
        <v>0</v>
      </c>
      <c r="R118" s="38" t="s">
        <v>254</v>
      </c>
      <c r="S118" s="38"/>
      <c r="T118" s="42" t="s">
        <v>292</v>
      </c>
    </row>
    <row r="119" spans="2:38" x14ac:dyDescent="0.45">
      <c r="B119" s="40">
        <v>98</v>
      </c>
      <c r="C119" s="41">
        <v>196770</v>
      </c>
      <c r="D119" s="39" t="s">
        <v>397</v>
      </c>
      <c r="E119" s="38" t="b">
        <v>1</v>
      </c>
      <c r="F119" s="42" t="s">
        <v>253</v>
      </c>
      <c r="G119" s="42"/>
      <c r="H119" s="42"/>
      <c r="I119" s="43" t="b">
        <v>0</v>
      </c>
      <c r="J119" s="42" t="s">
        <v>253</v>
      </c>
      <c r="K119" s="42" t="s">
        <v>253</v>
      </c>
      <c r="L119" s="38">
        <v>1</v>
      </c>
      <c r="M119" s="38">
        <v>1</v>
      </c>
      <c r="N119" s="38">
        <v>0</v>
      </c>
      <c r="O119" s="38">
        <v>0</v>
      </c>
      <c r="P119" s="42"/>
      <c r="Q119" s="38" t="b">
        <v>0</v>
      </c>
      <c r="R119" s="38" t="s">
        <v>254</v>
      </c>
      <c r="S119" s="38"/>
      <c r="T119" s="40" t="s">
        <v>259</v>
      </c>
    </row>
    <row r="120" spans="2:38" x14ac:dyDescent="0.45">
      <c r="B120" s="40">
        <v>99</v>
      </c>
      <c r="C120" s="41">
        <v>201701</v>
      </c>
      <c r="D120" s="39" t="s">
        <v>398</v>
      </c>
      <c r="E120" s="38" t="b">
        <v>1</v>
      </c>
      <c r="F120" s="42" t="s">
        <v>253</v>
      </c>
      <c r="G120" s="42"/>
      <c r="H120" s="42"/>
      <c r="I120" s="43" t="b">
        <v>0</v>
      </c>
      <c r="J120" s="42" t="s">
        <v>253</v>
      </c>
      <c r="K120" s="42" t="s">
        <v>253</v>
      </c>
      <c r="L120" s="38">
        <v>1</v>
      </c>
      <c r="M120" s="38">
        <v>1</v>
      </c>
      <c r="N120" s="38">
        <v>0</v>
      </c>
      <c r="O120" s="38">
        <v>0</v>
      </c>
      <c r="P120" s="42"/>
      <c r="Q120" s="38" t="b">
        <v>0</v>
      </c>
      <c r="R120" s="38" t="s">
        <v>254</v>
      </c>
      <c r="S120" s="38"/>
      <c r="T120" s="40" t="s">
        <v>293</v>
      </c>
    </row>
    <row r="121" spans="2:38" x14ac:dyDescent="0.45">
      <c r="B121" s="40">
        <v>100</v>
      </c>
      <c r="C121" s="41">
        <v>210026</v>
      </c>
      <c r="D121" s="39" t="s">
        <v>399</v>
      </c>
      <c r="E121" s="38" t="b">
        <v>1</v>
      </c>
      <c r="F121" s="42" t="s">
        <v>253</v>
      </c>
      <c r="G121" s="42"/>
      <c r="H121" s="42"/>
      <c r="I121" s="43" t="b">
        <v>0</v>
      </c>
      <c r="J121" s="42" t="s">
        <v>253</v>
      </c>
      <c r="K121" s="42" t="s">
        <v>253</v>
      </c>
      <c r="L121" s="38">
        <v>1</v>
      </c>
      <c r="M121" s="38">
        <v>1</v>
      </c>
      <c r="N121" s="38">
        <v>0</v>
      </c>
      <c r="O121" s="38">
        <v>0</v>
      </c>
      <c r="P121" s="42"/>
      <c r="Q121" s="38" t="b">
        <v>0</v>
      </c>
      <c r="R121" s="38" t="s">
        <v>254</v>
      </c>
      <c r="S121" s="38"/>
      <c r="T121" s="40" t="s">
        <v>294</v>
      </c>
      <c r="V121" t="str">
        <f ca="1">"Case "&amp;IndexToTest</f>
        <v>Case 134</v>
      </c>
    </row>
    <row r="122" spans="2:38" x14ac:dyDescent="0.45">
      <c r="B122" s="40">
        <v>101</v>
      </c>
      <c r="C122" s="41">
        <v>253983</v>
      </c>
      <c r="D122" s="39" t="s">
        <v>400</v>
      </c>
      <c r="E122" s="38" t="b">
        <v>1</v>
      </c>
      <c r="F122" s="42" t="s">
        <v>253</v>
      </c>
      <c r="G122" s="42"/>
      <c r="H122" s="42"/>
      <c r="I122" s="43" t="b">
        <v>0</v>
      </c>
      <c r="J122" s="42" t="s">
        <v>253</v>
      </c>
      <c r="K122" s="42" t="s">
        <v>253</v>
      </c>
      <c r="L122" s="38">
        <v>1</v>
      </c>
      <c r="M122" s="38">
        <v>1</v>
      </c>
      <c r="N122" s="38">
        <v>0</v>
      </c>
      <c r="O122" s="38">
        <v>0</v>
      </c>
      <c r="P122" s="42"/>
      <c r="Q122" s="38" t="b">
        <v>0</v>
      </c>
      <c r="R122" s="38" t="s">
        <v>254</v>
      </c>
      <c r="S122" s="38"/>
      <c r="T122" s="42" t="s">
        <v>411</v>
      </c>
      <c r="V122" t="str">
        <f ca="1">"TestDescription = """&amp;SUBSTITUTE(SUBSTITUTE(T3,"_"," "),".csv","")&amp;""""</f>
        <v>TestDescription = "test skip args with comments"</v>
      </c>
    </row>
    <row r="123" spans="2:38" x14ac:dyDescent="0.45">
      <c r="B123" s="40">
        <v>102</v>
      </c>
      <c r="C123" s="41">
        <v>270111</v>
      </c>
      <c r="D123" s="39" t="s">
        <v>401</v>
      </c>
      <c r="E123" s="38" t="b">
        <v>1</v>
      </c>
      <c r="F123" s="42" t="s">
        <v>253</v>
      </c>
      <c r="G123" s="42"/>
      <c r="H123" s="42"/>
      <c r="I123" s="43" t="b">
        <v>0</v>
      </c>
      <c r="J123" s="42" t="s">
        <v>253</v>
      </c>
      <c r="K123" s="42" t="s">
        <v>253</v>
      </c>
      <c r="L123" s="38">
        <v>1</v>
      </c>
      <c r="M123" s="38">
        <v>1</v>
      </c>
      <c r="N123" s="38">
        <v>0</v>
      </c>
      <c r="O123" s="38">
        <v>0</v>
      </c>
      <c r="P123" s="42"/>
      <c r="Q123" s="38" t="b">
        <v>0</v>
      </c>
      <c r="R123" s="38" t="s">
        <v>254</v>
      </c>
      <c r="S123" s="38"/>
      <c r="T123" s="42" t="s">
        <v>414</v>
      </c>
      <c r="V123" t="str">
        <f ca="1">"FileName = """&amp;T3&amp;""""</f>
        <v>FileName = "test_skip_args_with_comments.csv"</v>
      </c>
    </row>
    <row r="124" spans="2:38" x14ac:dyDescent="0.45">
      <c r="B124" s="40">
        <v>103</v>
      </c>
      <c r="C124" s="41">
        <v>295054</v>
      </c>
      <c r="D124" s="39" t="s">
        <v>402</v>
      </c>
      <c r="E124" s="38" t="b">
        <v>1</v>
      </c>
      <c r="F124" s="42" t="s">
        <v>253</v>
      </c>
      <c r="G124" s="42"/>
      <c r="H124" s="42"/>
      <c r="I124" s="43" t="b">
        <v>0</v>
      </c>
      <c r="J124" s="42" t="s">
        <v>253</v>
      </c>
      <c r="K124" s="42" t="s">
        <v>253</v>
      </c>
      <c r="L124" s="38">
        <v>1</v>
      </c>
      <c r="M124" s="38">
        <v>1</v>
      </c>
      <c r="N124" s="38">
        <v>0</v>
      </c>
      <c r="O124" s="38">
        <v>0</v>
      </c>
      <c r="P124" s="42"/>
      <c r="Q124" s="38" t="b">
        <v>0</v>
      </c>
      <c r="R124" s="38" t="s">
        <v>254</v>
      </c>
      <c r="S124" s="38"/>
      <c r="T124" s="40" t="s">
        <v>412</v>
      </c>
      <c r="V124" t="str" cm="1">
        <f t="array" aca="1" ref="V124:V129" ca="1">[1]!sarraystack(ArrayToVBALitteral(_xlfn.ANCHORARRAY(X80)),GenerateTestCode(ConvertTypes,Delimiter,IgnoreRepeated,DateFormat,Comment,SkipToRow,SkipToCol,NumRows,NumCols,"I'm missing",Unicode,DecimalSeparator))</f>
        <v>Expected = HStack( _</v>
      </c>
    </row>
    <row r="125" spans="2:38" x14ac:dyDescent="0.45">
      <c r="B125" s="40">
        <v>104</v>
      </c>
      <c r="C125" s="41">
        <v>457411</v>
      </c>
      <c r="D125" s="39" t="s">
        <v>403</v>
      </c>
      <c r="E125" s="38" t="b">
        <v>1</v>
      </c>
      <c r="F125" s="42" t="s">
        <v>253</v>
      </c>
      <c r="G125" s="42"/>
      <c r="H125" s="42"/>
      <c r="I125" s="43" t="b">
        <v>1</v>
      </c>
      <c r="J125" s="42" t="s">
        <v>253</v>
      </c>
      <c r="K125" s="42" t="s">
        <v>253</v>
      </c>
      <c r="L125" s="38">
        <v>1</v>
      </c>
      <c r="M125" s="38">
        <v>1</v>
      </c>
      <c r="N125" s="38">
        <v>0</v>
      </c>
      <c r="O125" s="38">
        <v>0</v>
      </c>
      <c r="P125" s="42"/>
      <c r="Q125" s="38" t="b">
        <v>0</v>
      </c>
      <c r="R125" s="38" t="s">
        <v>254</v>
      </c>
      <c r="S125" s="38"/>
      <c r="T125" s="40" t="s">
        <v>259</v>
      </c>
      <c r="V125" t="str">
        <f ca="1"/>
        <v>Array("8,8","9,8","10,8",Empty), _</v>
      </c>
    </row>
    <row r="126" spans="2:38" x14ac:dyDescent="0.45">
      <c r="B126" s="40">
        <v>105</v>
      </c>
      <c r="C126" s="41">
        <v>728165</v>
      </c>
      <c r="D126" s="39" t="s">
        <v>404</v>
      </c>
      <c r="E126" s="38" t="b">
        <v>1</v>
      </c>
      <c r="F126" s="42" t="s">
        <v>253</v>
      </c>
      <c r="G126" s="42"/>
      <c r="H126" s="42"/>
      <c r="I126" s="43" t="b">
        <v>0</v>
      </c>
      <c r="J126" s="42" t="s">
        <v>253</v>
      </c>
      <c r="K126" s="42" t="s">
        <v>253</v>
      </c>
      <c r="L126" s="38">
        <v>1</v>
      </c>
      <c r="M126" s="38">
        <v>1</v>
      </c>
      <c r="N126" s="38">
        <v>0</v>
      </c>
      <c r="O126" s="38">
        <v>0</v>
      </c>
      <c r="P126" s="42"/>
      <c r="Q126" s="38" t="b">
        <v>0</v>
      </c>
      <c r="R126" s="38" t="s">
        <v>257</v>
      </c>
      <c r="S126" s="38"/>
      <c r="T126" s="42" t="s">
        <v>415</v>
      </c>
      <c r="V126" t="str">
        <f ca="1"/>
        <v>Array("8,9","9,9","10,9",Empty), _</v>
      </c>
    </row>
    <row r="127" spans="2:38" x14ac:dyDescent="0.45">
      <c r="B127" s="40">
        <v>106</v>
      </c>
      <c r="C127" s="41">
        <v>745568</v>
      </c>
      <c r="D127" s="39" t="s">
        <v>405</v>
      </c>
      <c r="E127" s="38" t="b">
        <v>1</v>
      </c>
      <c r="F127" s="42" t="s">
        <v>253</v>
      </c>
      <c r="G127" s="42"/>
      <c r="H127" s="42"/>
      <c r="I127" s="43" t="b">
        <v>0</v>
      </c>
      <c r="J127" s="42" t="s">
        <v>253</v>
      </c>
      <c r="K127" s="42" t="s">
        <v>253</v>
      </c>
      <c r="L127" s="38">
        <v>1</v>
      </c>
      <c r="M127" s="38">
        <v>1</v>
      </c>
      <c r="N127" s="38">
        <v>0</v>
      </c>
      <c r="O127" s="38">
        <v>0</v>
      </c>
      <c r="P127" s="42"/>
      <c r="Q127" s="38" t="b">
        <v>0</v>
      </c>
      <c r="R127" s="38" t="s">
        <v>254</v>
      </c>
      <c r="S127" s="38"/>
      <c r="T127" s="40" t="s">
        <v>259</v>
      </c>
      <c r="V127" t="str">
        <f ca="1"/>
        <v>Array("8,10","9,10","10,10",Empty), _</v>
      </c>
    </row>
    <row r="128" spans="2:38" x14ac:dyDescent="0.45">
      <c r="B128" s="40">
        <v>107</v>
      </c>
      <c r="C128" s="41">
        <v>793574</v>
      </c>
      <c r="D128" s="39" t="s">
        <v>406</v>
      </c>
      <c r="E128" s="38" t="b">
        <v>1</v>
      </c>
      <c r="F128" s="42" t="s">
        <v>253</v>
      </c>
      <c r="G128" s="42"/>
      <c r="H128" s="42"/>
      <c r="I128" s="43" t="b">
        <v>0</v>
      </c>
      <c r="J128" s="42" t="s">
        <v>253</v>
      </c>
      <c r="K128" s="42" t="s">
        <v>253</v>
      </c>
      <c r="L128" s="38">
        <v>1</v>
      </c>
      <c r="M128" s="38">
        <v>1</v>
      </c>
      <c r="N128" s="38">
        <v>0</v>
      </c>
      <c r="O128" s="38">
        <v>0</v>
      </c>
      <c r="P128" s="42"/>
      <c r="Q128" s="38" t="b">
        <v>0</v>
      </c>
      <c r="R128" s="38" t="s">
        <v>254</v>
      </c>
      <c r="S128" s="38"/>
      <c r="T128" s="40" t="s">
        <v>416</v>
      </c>
      <c r="V128" t="str">
        <f ca="1"/>
        <v>Array(Empty,Empty,Empty,Empty))</v>
      </c>
    </row>
    <row r="129" spans="1:22" x14ac:dyDescent="0.45">
      <c r="B129" s="40">
        <v>108</v>
      </c>
      <c r="C129" s="41">
        <v>1647418</v>
      </c>
      <c r="D129" s="39" t="s">
        <v>407</v>
      </c>
      <c r="E129" s="38" t="s">
        <v>418</v>
      </c>
      <c r="F129" s="42" t="s">
        <v>253</v>
      </c>
      <c r="G129" s="42"/>
      <c r="H129" s="42"/>
      <c r="I129" s="43" t="b">
        <v>0</v>
      </c>
      <c r="J129" s="42" t="s">
        <v>253</v>
      </c>
      <c r="K129" s="42" t="s">
        <v>253</v>
      </c>
      <c r="L129" s="38">
        <v>1</v>
      </c>
      <c r="M129" s="38">
        <v>1</v>
      </c>
      <c r="N129" s="38">
        <v>0</v>
      </c>
      <c r="O129" s="38">
        <v>0</v>
      </c>
      <c r="P129" s="42"/>
      <c r="Q129" s="38" t="b">
        <v>0</v>
      </c>
      <c r="R129" s="38" t="s">
        <v>254</v>
      </c>
      <c r="S129" s="38"/>
      <c r="T129" s="40" t="s">
        <v>417</v>
      </c>
      <c r="V129" t="str">
        <f ca="1"/>
        <v>TestRes = TestCSVRead(TestDescription, Expected, Folder + FileName, Comment := "#", SkipToRow := 8, SkipToCol := 8, NumRows := 4, NumCols := 4, ShowMissingsAs := Empty)</v>
      </c>
    </row>
    <row r="130" spans="1:22" x14ac:dyDescent="0.45">
      <c r="B130" s="40">
        <v>109</v>
      </c>
      <c r="C130" s="41">
        <v>4160286</v>
      </c>
      <c r="D130" s="39" t="s">
        <v>408</v>
      </c>
      <c r="E130" s="38" t="s">
        <v>418</v>
      </c>
      <c r="F130" s="42" t="s">
        <v>253</v>
      </c>
      <c r="G130" s="42"/>
      <c r="H130" s="42"/>
      <c r="I130" s="43" t="b">
        <v>0</v>
      </c>
      <c r="J130" s="42" t="s">
        <v>253</v>
      </c>
      <c r="K130" s="42" t="s">
        <v>253</v>
      </c>
      <c r="L130" s="38">
        <v>1</v>
      </c>
      <c r="M130" s="38">
        <v>1</v>
      </c>
      <c r="N130" s="38">
        <v>0</v>
      </c>
      <c r="O130" s="38">
        <v>0</v>
      </c>
      <c r="P130" s="42"/>
      <c r="Q130" s="38" t="b">
        <v>0</v>
      </c>
      <c r="R130" s="38" t="s">
        <v>254</v>
      </c>
      <c r="S130" s="38"/>
      <c r="T130" s="40" t="s">
        <v>259</v>
      </c>
    </row>
    <row r="131" spans="1:22" x14ac:dyDescent="0.45">
      <c r="B131" s="40">
        <v>110</v>
      </c>
      <c r="C131" s="41">
        <v>8215444</v>
      </c>
      <c r="D131" s="39" t="s">
        <v>409</v>
      </c>
      <c r="E131" s="38" t="s">
        <v>418</v>
      </c>
      <c r="F131" s="42" t="s">
        <v>253</v>
      </c>
      <c r="G131" s="42"/>
      <c r="H131" s="42"/>
      <c r="I131" s="43" t="b">
        <v>0</v>
      </c>
      <c r="J131" s="42" t="s">
        <v>253</v>
      </c>
      <c r="K131" s="42" t="s">
        <v>253</v>
      </c>
      <c r="L131" s="38">
        <v>1</v>
      </c>
      <c r="M131" s="38">
        <v>1</v>
      </c>
      <c r="N131" s="38">
        <v>0</v>
      </c>
      <c r="O131" s="38">
        <v>0</v>
      </c>
      <c r="P131" s="42"/>
      <c r="Q131" s="38" t="b">
        <v>0</v>
      </c>
      <c r="R131" s="38" t="s">
        <v>254</v>
      </c>
      <c r="S131" s="38"/>
      <c r="T131" s="40" t="s">
        <v>259</v>
      </c>
    </row>
    <row r="132" spans="1:22" x14ac:dyDescent="0.45">
      <c r="B132" s="40">
        <v>111</v>
      </c>
      <c r="C132" s="41">
        <v>10000140</v>
      </c>
      <c r="D132" s="39" t="s">
        <v>410</v>
      </c>
      <c r="E132" s="38" t="s">
        <v>418</v>
      </c>
      <c r="F132" s="42" t="s">
        <v>253</v>
      </c>
      <c r="G132" s="42"/>
      <c r="H132" s="42"/>
      <c r="I132" s="43" t="b">
        <v>0</v>
      </c>
      <c r="J132" s="42" t="s">
        <v>253</v>
      </c>
      <c r="K132" s="42" t="s">
        <v>253</v>
      </c>
      <c r="L132" s="38">
        <v>1</v>
      </c>
      <c r="M132" s="38">
        <v>1</v>
      </c>
      <c r="N132" s="38">
        <v>0</v>
      </c>
      <c r="O132" s="38">
        <v>0</v>
      </c>
      <c r="P132" s="42"/>
      <c r="Q132" s="38" t="b">
        <v>0</v>
      </c>
      <c r="R132" s="38" t="s">
        <v>254</v>
      </c>
      <c r="S132" s="38"/>
      <c r="T132" s="40" t="s">
        <v>420</v>
      </c>
    </row>
    <row r="133" spans="1:22" x14ac:dyDescent="0.45">
      <c r="A133" t="s">
        <v>477</v>
      </c>
      <c r="B133" s="40">
        <f ca="1">B132+1</f>
        <v>112</v>
      </c>
      <c r="C133" s="41"/>
      <c r="D133" s="39" t="s">
        <v>473</v>
      </c>
      <c r="E133" s="38" t="b" cm="1">
        <v>1</v>
      </c>
      <c r="F133" s="42" t="s">
        <v>253</v>
      </c>
      <c r="G133" s="42" t="s">
        <v>253</v>
      </c>
      <c r="H133" s="42"/>
      <c r="I133" s="43" t="b">
        <v>0</v>
      </c>
      <c r="J133" s="42" t="s">
        <v>253</v>
      </c>
      <c r="K133" s="42" t="s">
        <v>253</v>
      </c>
      <c r="L133" s="38">
        <v>1</v>
      </c>
      <c r="M133" s="38">
        <v>1</v>
      </c>
      <c r="N133" s="38">
        <v>0</v>
      </c>
      <c r="O133" s="38">
        <v>0</v>
      </c>
      <c r="P133" s="42"/>
      <c r="Q133" s="38" t="b">
        <v>0</v>
      </c>
      <c r="R133" s="38" t="s">
        <v>254</v>
      </c>
      <c r="S133" s="38"/>
      <c r="T133" s="40"/>
    </row>
    <row r="134" spans="1:22" x14ac:dyDescent="0.45">
      <c r="B134" s="40">
        <f t="shared" ref="B134:B149" ca="1" si="0">B133+1</f>
        <v>113</v>
      </c>
      <c r="C134" s="41"/>
      <c r="D134" s="39" t="s">
        <v>473</v>
      </c>
      <c r="E134" s="38" t="b">
        <v>0</v>
      </c>
      <c r="F134" s="42" t="s">
        <v>253</v>
      </c>
      <c r="G134" s="42" t="s">
        <v>253</v>
      </c>
      <c r="H134" s="42"/>
      <c r="I134" s="43" t="b">
        <v>0</v>
      </c>
      <c r="J134" s="42" t="s">
        <v>253</v>
      </c>
      <c r="K134" s="42" t="s">
        <v>253</v>
      </c>
      <c r="L134" s="38">
        <v>1</v>
      </c>
      <c r="M134" s="38">
        <v>1</v>
      </c>
      <c r="N134" s="38">
        <v>0</v>
      </c>
      <c r="O134" s="38">
        <v>0</v>
      </c>
      <c r="P134" s="42"/>
      <c r="Q134" s="38" t="b">
        <v>0</v>
      </c>
      <c r="R134" s="38" t="s">
        <v>254</v>
      </c>
      <c r="S134" s="38"/>
      <c r="T134" s="40"/>
    </row>
    <row r="135" spans="1:22" x14ac:dyDescent="0.45">
      <c r="B135" s="40">
        <f t="shared" ca="1" si="0"/>
        <v>114</v>
      </c>
      <c r="C135" s="41"/>
      <c r="D135" s="39" t="s">
        <v>473</v>
      </c>
      <c r="E135" s="38" t="s">
        <v>418</v>
      </c>
      <c r="F135" s="42" t="s">
        <v>253</v>
      </c>
      <c r="G135" s="42" t="s">
        <v>253</v>
      </c>
      <c r="H135" s="42"/>
      <c r="I135" s="43" t="b">
        <v>0</v>
      </c>
      <c r="J135" s="42" t="s">
        <v>253</v>
      </c>
      <c r="K135" s="42" t="s">
        <v>253</v>
      </c>
      <c r="L135" s="38">
        <v>1</v>
      </c>
      <c r="M135" s="38">
        <v>1</v>
      </c>
      <c r="N135" s="38">
        <v>0</v>
      </c>
      <c r="O135" s="38">
        <v>0</v>
      </c>
      <c r="P135" s="42"/>
      <c r="Q135" s="38" t="b">
        <v>0</v>
      </c>
      <c r="R135" s="38" t="s">
        <v>254</v>
      </c>
      <c r="S135" s="38"/>
      <c r="T135" s="40"/>
    </row>
    <row r="136" spans="1:22" x14ac:dyDescent="0.45">
      <c r="B136" s="40">
        <f t="shared" ca="1" si="0"/>
        <v>115</v>
      </c>
      <c r="C136" s="41"/>
      <c r="D136" s="39" t="s">
        <v>473</v>
      </c>
      <c r="E136" s="38" t="s">
        <v>439</v>
      </c>
      <c r="F136" s="42" t="s">
        <v>253</v>
      </c>
      <c r="G136" s="42" t="s">
        <v>253</v>
      </c>
      <c r="H136" s="42"/>
      <c r="I136" s="43" t="b">
        <v>0</v>
      </c>
      <c r="J136" s="42" t="s">
        <v>253</v>
      </c>
      <c r="K136" s="42" t="s">
        <v>253</v>
      </c>
      <c r="L136" s="38">
        <v>1</v>
      </c>
      <c r="M136" s="38">
        <v>1</v>
      </c>
      <c r="N136" s="38">
        <v>0</v>
      </c>
      <c r="O136" s="38">
        <v>0</v>
      </c>
      <c r="P136" s="42"/>
      <c r="Q136" s="38" t="b">
        <v>0</v>
      </c>
      <c r="R136" s="38" t="s">
        <v>254</v>
      </c>
      <c r="S136" s="38"/>
      <c r="T136" s="40"/>
    </row>
    <row r="137" spans="1:22" x14ac:dyDescent="0.45">
      <c r="B137" s="40">
        <f t="shared" ca="1" si="0"/>
        <v>116</v>
      </c>
      <c r="C137" s="41"/>
      <c r="D137" s="39" t="s">
        <v>473</v>
      </c>
      <c r="E137" s="38" t="s">
        <v>440</v>
      </c>
      <c r="F137" s="42" t="s">
        <v>253</v>
      </c>
      <c r="G137" s="42" t="s">
        <v>253</v>
      </c>
      <c r="H137" s="42"/>
      <c r="I137" s="43" t="b">
        <v>0</v>
      </c>
      <c r="J137" s="42" t="s">
        <v>253</v>
      </c>
      <c r="K137" s="42" t="s">
        <v>253</v>
      </c>
      <c r="L137" s="38">
        <v>1</v>
      </c>
      <c r="M137" s="38">
        <v>1</v>
      </c>
      <c r="N137" s="38">
        <v>0</v>
      </c>
      <c r="O137" s="38">
        <v>0</v>
      </c>
      <c r="P137" s="42"/>
      <c r="Q137" s="38" t="b">
        <v>0</v>
      </c>
      <c r="R137" s="38" t="s">
        <v>254</v>
      </c>
      <c r="S137" s="38"/>
      <c r="T137" s="40"/>
    </row>
    <row r="138" spans="1:22" x14ac:dyDescent="0.45">
      <c r="B138" s="57">
        <f t="shared" ca="1" si="0"/>
        <v>117</v>
      </c>
      <c r="C138" s="58"/>
      <c r="D138" s="59" t="s">
        <v>473</v>
      </c>
      <c r="E138" s="60" t="s">
        <v>441</v>
      </c>
      <c r="F138" s="61" t="s">
        <v>253</v>
      </c>
      <c r="G138" s="61" t="s">
        <v>253</v>
      </c>
      <c r="H138" s="61"/>
      <c r="I138" s="62" t="b">
        <v>0</v>
      </c>
      <c r="J138" s="61" t="s">
        <v>253</v>
      </c>
      <c r="K138" s="61" t="s">
        <v>253</v>
      </c>
      <c r="L138" s="60">
        <v>1</v>
      </c>
      <c r="M138" s="60">
        <v>1</v>
      </c>
      <c r="N138" s="60">
        <v>0</v>
      </c>
      <c r="O138" s="60">
        <v>0</v>
      </c>
      <c r="P138" s="61"/>
      <c r="Q138" s="60" t="b">
        <v>0</v>
      </c>
      <c r="R138" s="60" t="s">
        <v>254</v>
      </c>
      <c r="S138" s="60"/>
      <c r="T138" s="57"/>
    </row>
    <row r="139" spans="1:22" x14ac:dyDescent="0.45">
      <c r="B139" s="40">
        <f t="shared" ca="1" si="0"/>
        <v>118</v>
      </c>
      <c r="C139" s="41"/>
      <c r="D139" s="39" t="s">
        <v>473</v>
      </c>
      <c r="E139" s="38" t="s">
        <v>442</v>
      </c>
      <c r="F139" s="42" t="s">
        <v>253</v>
      </c>
      <c r="G139" s="42" t="s">
        <v>253</v>
      </c>
      <c r="H139" s="42"/>
      <c r="I139" s="43" t="b">
        <v>0</v>
      </c>
      <c r="J139" s="42" t="s">
        <v>253</v>
      </c>
      <c r="K139" s="42" t="s">
        <v>253</v>
      </c>
      <c r="L139" s="38">
        <v>1</v>
      </c>
      <c r="M139" s="38">
        <v>1</v>
      </c>
      <c r="N139" s="38">
        <v>0</v>
      </c>
      <c r="O139" s="38">
        <v>0</v>
      </c>
      <c r="P139" s="42"/>
      <c r="Q139" s="38" t="b">
        <v>0</v>
      </c>
      <c r="R139" s="38" t="s">
        <v>254</v>
      </c>
      <c r="S139" s="38"/>
      <c r="T139" s="40"/>
    </row>
    <row r="140" spans="1:22" x14ac:dyDescent="0.45">
      <c r="B140" s="40">
        <f t="shared" ca="1" si="0"/>
        <v>119</v>
      </c>
      <c r="C140" s="41"/>
      <c r="D140" s="39" t="s">
        <v>473</v>
      </c>
      <c r="E140" s="38" t="s">
        <v>443</v>
      </c>
      <c r="F140" s="42" t="s">
        <v>253</v>
      </c>
      <c r="G140" s="42" t="s">
        <v>253</v>
      </c>
      <c r="H140" s="42"/>
      <c r="I140" s="43" t="b">
        <v>0</v>
      </c>
      <c r="J140" s="42" t="s">
        <v>253</v>
      </c>
      <c r="K140" s="42" t="s">
        <v>253</v>
      </c>
      <c r="L140" s="38">
        <v>1</v>
      </c>
      <c r="M140" s="38">
        <v>1</v>
      </c>
      <c r="N140" s="38">
        <v>0</v>
      </c>
      <c r="O140" s="38">
        <v>0</v>
      </c>
      <c r="P140" s="42"/>
      <c r="Q140" s="38" t="b">
        <v>0</v>
      </c>
      <c r="R140" s="38" t="s">
        <v>254</v>
      </c>
      <c r="S140" s="38"/>
      <c r="T140" s="40"/>
    </row>
    <row r="141" spans="1:22" x14ac:dyDescent="0.45">
      <c r="B141" s="40">
        <f t="shared" ca="1" si="0"/>
        <v>120</v>
      </c>
      <c r="C141" s="41"/>
      <c r="D141" s="39" t="s">
        <v>473</v>
      </c>
      <c r="E141" s="38" t="s">
        <v>444</v>
      </c>
      <c r="F141" s="42" t="s">
        <v>253</v>
      </c>
      <c r="G141" s="42" t="s">
        <v>253</v>
      </c>
      <c r="H141" s="42"/>
      <c r="I141" s="43" t="b">
        <v>0</v>
      </c>
      <c r="J141" s="42" t="s">
        <v>253</v>
      </c>
      <c r="K141" s="42" t="s">
        <v>253</v>
      </c>
      <c r="L141" s="38">
        <v>1</v>
      </c>
      <c r="M141" s="38">
        <v>1</v>
      </c>
      <c r="N141" s="38">
        <v>0</v>
      </c>
      <c r="O141" s="38">
        <v>0</v>
      </c>
      <c r="P141" s="42"/>
      <c r="Q141" s="38" t="b">
        <v>0</v>
      </c>
      <c r="R141" s="38" t="s">
        <v>254</v>
      </c>
      <c r="S141" s="38"/>
      <c r="T141" s="40"/>
    </row>
    <row r="142" spans="1:22" x14ac:dyDescent="0.45">
      <c r="B142" s="40">
        <f t="shared" ca="1" si="0"/>
        <v>121</v>
      </c>
      <c r="C142" s="41"/>
      <c r="D142" s="39" t="s">
        <v>473</v>
      </c>
      <c r="E142" s="38" t="s">
        <v>445</v>
      </c>
      <c r="F142" s="42" t="s">
        <v>253</v>
      </c>
      <c r="G142" s="42" t="s">
        <v>253</v>
      </c>
      <c r="H142" s="42"/>
      <c r="I142" s="43" t="b">
        <v>0</v>
      </c>
      <c r="J142" s="42" t="s">
        <v>253</v>
      </c>
      <c r="K142" s="42" t="s">
        <v>253</v>
      </c>
      <c r="L142" s="38">
        <v>1</v>
      </c>
      <c r="M142" s="38">
        <v>1</v>
      </c>
      <c r="N142" s="38">
        <v>0</v>
      </c>
      <c r="O142" s="38">
        <v>0</v>
      </c>
      <c r="P142" s="42"/>
      <c r="Q142" s="38" t="b">
        <v>0</v>
      </c>
      <c r="R142" s="38" t="s">
        <v>254</v>
      </c>
      <c r="S142" s="38"/>
      <c r="T142" s="40"/>
    </row>
    <row r="143" spans="1:22" x14ac:dyDescent="0.45">
      <c r="B143" s="40">
        <f t="shared" ca="1" si="0"/>
        <v>122</v>
      </c>
      <c r="C143" s="41"/>
      <c r="D143" s="39" t="s">
        <v>473</v>
      </c>
      <c r="E143" s="38" t="s">
        <v>446</v>
      </c>
      <c r="F143" s="42" t="s">
        <v>253</v>
      </c>
      <c r="G143" s="42" t="s">
        <v>253</v>
      </c>
      <c r="H143" s="42"/>
      <c r="I143" s="43" t="b">
        <v>0</v>
      </c>
      <c r="J143" s="42" t="s">
        <v>253</v>
      </c>
      <c r="K143" s="42" t="s">
        <v>253</v>
      </c>
      <c r="L143" s="38">
        <v>1</v>
      </c>
      <c r="M143" s="38">
        <v>1</v>
      </c>
      <c r="N143" s="38">
        <v>0</v>
      </c>
      <c r="O143" s="38">
        <v>0</v>
      </c>
      <c r="P143" s="42"/>
      <c r="Q143" s="38" t="b">
        <v>0</v>
      </c>
      <c r="R143" s="38" t="s">
        <v>254</v>
      </c>
      <c r="S143" s="38"/>
      <c r="T143" s="40"/>
    </row>
    <row r="144" spans="1:22" x14ac:dyDescent="0.45">
      <c r="B144" s="40">
        <f t="shared" ca="1" si="0"/>
        <v>123</v>
      </c>
      <c r="C144" s="41"/>
      <c r="D144" s="39" t="s">
        <v>473</v>
      </c>
      <c r="E144" s="38" t="s">
        <v>447</v>
      </c>
      <c r="F144" s="42" t="s">
        <v>253</v>
      </c>
      <c r="G144" s="42" t="s">
        <v>253</v>
      </c>
      <c r="H144" s="42"/>
      <c r="I144" s="43" t="b">
        <v>0</v>
      </c>
      <c r="J144" s="42" t="s">
        <v>253</v>
      </c>
      <c r="K144" s="42" t="s">
        <v>253</v>
      </c>
      <c r="L144" s="38">
        <v>1</v>
      </c>
      <c r="M144" s="38">
        <v>1</v>
      </c>
      <c r="N144" s="38">
        <v>0</v>
      </c>
      <c r="O144" s="38">
        <v>0</v>
      </c>
      <c r="P144" s="42"/>
      <c r="Q144" s="38" t="b">
        <v>0</v>
      </c>
      <c r="R144" s="38" t="s">
        <v>254</v>
      </c>
      <c r="S144" s="38"/>
      <c r="T144" s="40"/>
    </row>
    <row r="145" spans="2:20" x14ac:dyDescent="0.45">
      <c r="B145" s="40">
        <f t="shared" ca="1" si="0"/>
        <v>124</v>
      </c>
      <c r="C145" s="41"/>
      <c r="D145" s="39" t="s">
        <v>473</v>
      </c>
      <c r="E145" s="38" t="s">
        <v>448</v>
      </c>
      <c r="F145" s="42" t="s">
        <v>253</v>
      </c>
      <c r="G145" s="42" t="s">
        <v>253</v>
      </c>
      <c r="H145" s="42"/>
      <c r="I145" s="43" t="b">
        <v>0</v>
      </c>
      <c r="J145" s="42" t="s">
        <v>253</v>
      </c>
      <c r="K145" s="42" t="s">
        <v>253</v>
      </c>
      <c r="L145" s="38">
        <v>1</v>
      </c>
      <c r="M145" s="38">
        <v>1</v>
      </c>
      <c r="N145" s="38">
        <v>0</v>
      </c>
      <c r="O145" s="38">
        <v>0</v>
      </c>
      <c r="P145" s="42"/>
      <c r="Q145" s="38" t="b">
        <v>0</v>
      </c>
      <c r="R145" s="38" t="s">
        <v>254</v>
      </c>
      <c r="S145" s="38"/>
      <c r="T145" s="40"/>
    </row>
    <row r="146" spans="2:20" x14ac:dyDescent="0.45">
      <c r="B146" s="40">
        <f t="shared" ca="1" si="0"/>
        <v>125</v>
      </c>
      <c r="C146" s="41"/>
      <c r="D146" s="39" t="s">
        <v>473</v>
      </c>
      <c r="E146" s="38" t="s">
        <v>449</v>
      </c>
      <c r="F146" s="42" t="s">
        <v>253</v>
      </c>
      <c r="G146" s="42" t="s">
        <v>253</v>
      </c>
      <c r="H146" s="42"/>
      <c r="I146" s="43" t="b">
        <v>0</v>
      </c>
      <c r="J146" s="42" t="s">
        <v>253</v>
      </c>
      <c r="K146" s="42" t="s">
        <v>253</v>
      </c>
      <c r="L146" s="38">
        <v>1</v>
      </c>
      <c r="M146" s="38">
        <v>1</v>
      </c>
      <c r="N146" s="38">
        <v>0</v>
      </c>
      <c r="O146" s="38">
        <v>0</v>
      </c>
      <c r="P146" s="42"/>
      <c r="Q146" s="38" t="b">
        <v>0</v>
      </c>
      <c r="R146" s="38" t="s">
        <v>254</v>
      </c>
      <c r="S146" s="38"/>
      <c r="T146" s="40"/>
    </row>
    <row r="147" spans="2:20" x14ac:dyDescent="0.45">
      <c r="B147" s="40">
        <f t="shared" ca="1" si="0"/>
        <v>126</v>
      </c>
      <c r="C147" s="41"/>
      <c r="D147" s="39" t="s">
        <v>473</v>
      </c>
      <c r="E147" s="38" t="s">
        <v>450</v>
      </c>
      <c r="F147" s="42" t="s">
        <v>253</v>
      </c>
      <c r="G147" s="42" t="s">
        <v>253</v>
      </c>
      <c r="H147" s="42"/>
      <c r="I147" s="43" t="b">
        <v>0</v>
      </c>
      <c r="J147" s="42" t="s">
        <v>253</v>
      </c>
      <c r="K147" s="42" t="s">
        <v>253</v>
      </c>
      <c r="L147" s="38">
        <v>1</v>
      </c>
      <c r="M147" s="38">
        <v>1</v>
      </c>
      <c r="N147" s="38">
        <v>0</v>
      </c>
      <c r="O147" s="38">
        <v>0</v>
      </c>
      <c r="P147" s="42"/>
      <c r="Q147" s="38" t="b">
        <v>0</v>
      </c>
      <c r="R147" s="38" t="s">
        <v>254</v>
      </c>
      <c r="S147" s="38"/>
      <c r="T147" s="40"/>
    </row>
    <row r="148" spans="2:20" x14ac:dyDescent="0.45">
      <c r="B148" s="40">
        <f t="shared" ca="1" si="0"/>
        <v>127</v>
      </c>
      <c r="C148" s="41"/>
      <c r="D148" s="39" t="s">
        <v>473</v>
      </c>
      <c r="E148" s="38" t="s">
        <v>436</v>
      </c>
      <c r="F148" s="42" t="s">
        <v>253</v>
      </c>
      <c r="G148" s="42" t="s">
        <v>253</v>
      </c>
      <c r="H148" s="42"/>
      <c r="I148" s="43" t="b">
        <v>0</v>
      </c>
      <c r="J148" s="42" t="s">
        <v>253</v>
      </c>
      <c r="K148" s="42" t="s">
        <v>253</v>
      </c>
      <c r="L148" s="38">
        <v>1</v>
      </c>
      <c r="M148" s="38">
        <v>1</v>
      </c>
      <c r="N148" s="38">
        <v>0</v>
      </c>
      <c r="O148" s="38">
        <v>0</v>
      </c>
      <c r="P148" s="42"/>
      <c r="Q148" s="38" t="b">
        <v>0</v>
      </c>
      <c r="R148" s="38" t="s">
        <v>254</v>
      </c>
      <c r="S148" s="38"/>
      <c r="T148" s="40"/>
    </row>
    <row r="149" spans="2:20" x14ac:dyDescent="0.45">
      <c r="B149" s="40">
        <f t="shared" ca="1" si="0"/>
        <v>128</v>
      </c>
      <c r="C149" s="41"/>
      <c r="D149" s="39" t="s">
        <v>473</v>
      </c>
      <c r="E149" s="38" t="s">
        <v>437</v>
      </c>
      <c r="F149" s="42" t="s">
        <v>253</v>
      </c>
      <c r="G149" s="42" t="s">
        <v>253</v>
      </c>
      <c r="H149" s="42"/>
      <c r="I149" s="43" t="b">
        <v>0</v>
      </c>
      <c r="J149" s="42" t="s">
        <v>253</v>
      </c>
      <c r="K149" s="42" t="s">
        <v>253</v>
      </c>
      <c r="L149" s="38">
        <v>1</v>
      </c>
      <c r="M149" s="38">
        <v>1</v>
      </c>
      <c r="N149" s="38">
        <v>0</v>
      </c>
      <c r="O149" s="38">
        <v>0</v>
      </c>
      <c r="P149" s="42"/>
      <c r="Q149" s="38" t="b">
        <v>0</v>
      </c>
      <c r="R149" s="38" t="s">
        <v>254</v>
      </c>
      <c r="S149" s="38"/>
      <c r="T149" s="40"/>
    </row>
    <row r="150" spans="2:20" x14ac:dyDescent="0.45">
      <c r="B150" s="40">
        <f t="shared" ref="B150:B180" ca="1" si="1">B149+1</f>
        <v>129</v>
      </c>
      <c r="C150" s="41"/>
      <c r="D150" s="11" t="s">
        <v>475</v>
      </c>
      <c r="E150" s="38" t="b">
        <v>0</v>
      </c>
      <c r="F150" s="42" t="s">
        <v>253</v>
      </c>
      <c r="G150" s="42" t="s">
        <v>253</v>
      </c>
      <c r="H150" s="42"/>
      <c r="I150" s="43" t="b">
        <v>0</v>
      </c>
      <c r="J150" s="42" t="s">
        <v>253</v>
      </c>
      <c r="K150" s="42" t="s">
        <v>253</v>
      </c>
      <c r="L150" s="38">
        <v>3</v>
      </c>
      <c r="M150" s="38">
        <v>3</v>
      </c>
      <c r="N150" s="38">
        <v>10</v>
      </c>
      <c r="O150" s="38">
        <v>1</v>
      </c>
      <c r="P150" s="42"/>
      <c r="Q150" s="38" t="b">
        <v>0</v>
      </c>
      <c r="R150" s="38" t="s">
        <v>254</v>
      </c>
      <c r="S150" s="38"/>
      <c r="T150" s="40"/>
    </row>
    <row r="151" spans="2:20" x14ac:dyDescent="0.45">
      <c r="B151" s="40">
        <f t="shared" ca="1" si="1"/>
        <v>130</v>
      </c>
      <c r="C151" s="41"/>
      <c r="D151" s="11" t="s">
        <v>475</v>
      </c>
      <c r="E151" s="38" t="b">
        <v>0</v>
      </c>
      <c r="F151" s="42" t="s">
        <v>253</v>
      </c>
      <c r="G151" s="42" t="s">
        <v>253</v>
      </c>
      <c r="H151" s="42"/>
      <c r="I151" s="43" t="b">
        <v>0</v>
      </c>
      <c r="J151" s="42" t="s">
        <v>253</v>
      </c>
      <c r="K151" s="42" t="s">
        <v>253</v>
      </c>
      <c r="L151" s="38">
        <v>6</v>
      </c>
      <c r="M151" s="38">
        <v>5</v>
      </c>
      <c r="N151" s="38">
        <v>1</v>
      </c>
      <c r="O151" s="38">
        <v>8</v>
      </c>
      <c r="P151" s="42"/>
      <c r="Q151" s="38" t="b">
        <v>0</v>
      </c>
      <c r="R151" s="38" t="s">
        <v>254</v>
      </c>
      <c r="S151" s="38"/>
      <c r="T151" s="40"/>
    </row>
    <row r="152" spans="2:20" x14ac:dyDescent="0.45">
      <c r="B152" s="40">
        <f t="shared" ca="1" si="1"/>
        <v>131</v>
      </c>
      <c r="C152" s="41"/>
      <c r="D152" s="11" t="s">
        <v>475</v>
      </c>
      <c r="E152" s="38" t="b">
        <v>0</v>
      </c>
      <c r="F152" s="42" t="s">
        <v>253</v>
      </c>
      <c r="G152" s="42" t="s">
        <v>253</v>
      </c>
      <c r="H152" s="42"/>
      <c r="I152" s="43" t="b">
        <v>0</v>
      </c>
      <c r="J152" s="42" t="s">
        <v>253</v>
      </c>
      <c r="K152" s="42" t="s">
        <v>253</v>
      </c>
      <c r="L152" s="38">
        <v>8</v>
      </c>
      <c r="M152" s="38">
        <v>8</v>
      </c>
      <c r="N152" s="38">
        <v>4</v>
      </c>
      <c r="O152" s="38">
        <v>4</v>
      </c>
      <c r="P152" s="42"/>
      <c r="Q152" s="38" t="b">
        <v>0</v>
      </c>
      <c r="R152" s="38" t="s">
        <v>254</v>
      </c>
      <c r="S152" s="38"/>
      <c r="T152" s="40"/>
    </row>
    <row r="153" spans="2:20" x14ac:dyDescent="0.45">
      <c r="B153" s="40">
        <f t="shared" ca="1" si="1"/>
        <v>132</v>
      </c>
      <c r="C153" s="41"/>
      <c r="D153" s="66" t="s">
        <v>476</v>
      </c>
      <c r="E153" s="38" t="b">
        <v>0</v>
      </c>
      <c r="F153" s="42" t="s">
        <v>253</v>
      </c>
      <c r="G153" s="42" t="s">
        <v>253</v>
      </c>
      <c r="H153" s="42"/>
      <c r="I153" s="43" t="b">
        <v>0</v>
      </c>
      <c r="J153" s="42" t="s">
        <v>253</v>
      </c>
      <c r="K153" s="42" t="s">
        <v>466</v>
      </c>
      <c r="L153" s="38">
        <v>3</v>
      </c>
      <c r="M153" s="38">
        <v>3</v>
      </c>
      <c r="N153" s="38">
        <v>10</v>
      </c>
      <c r="O153" s="38">
        <v>1</v>
      </c>
      <c r="P153" s="42"/>
      <c r="Q153" s="38" t="b">
        <v>0</v>
      </c>
      <c r="R153" s="38" t="s">
        <v>254</v>
      </c>
      <c r="S153" s="38"/>
      <c r="T153" s="40"/>
    </row>
    <row r="154" spans="2:20" x14ac:dyDescent="0.45">
      <c r="B154" s="40">
        <f t="shared" ca="1" si="1"/>
        <v>133</v>
      </c>
      <c r="C154" s="41"/>
      <c r="D154" s="66" t="s">
        <v>476</v>
      </c>
      <c r="E154" s="38" t="b">
        <v>0</v>
      </c>
      <c r="F154" s="42" t="s">
        <v>253</v>
      </c>
      <c r="G154" s="42" t="s">
        <v>253</v>
      </c>
      <c r="H154" s="42"/>
      <c r="I154" s="43" t="b">
        <v>0</v>
      </c>
      <c r="J154" s="42" t="s">
        <v>253</v>
      </c>
      <c r="K154" s="42" t="s">
        <v>466</v>
      </c>
      <c r="L154" s="38">
        <v>6</v>
      </c>
      <c r="M154" s="38">
        <v>5</v>
      </c>
      <c r="N154" s="38">
        <v>1</v>
      </c>
      <c r="O154" s="38">
        <v>8</v>
      </c>
      <c r="P154" s="42"/>
      <c r="Q154" s="38" t="b">
        <v>0</v>
      </c>
      <c r="R154" s="38" t="s">
        <v>254</v>
      </c>
      <c r="S154" s="38"/>
      <c r="T154" s="40"/>
    </row>
    <row r="155" spans="2:20" x14ac:dyDescent="0.45">
      <c r="B155" s="40">
        <f t="shared" ca="1" si="1"/>
        <v>134</v>
      </c>
      <c r="C155" s="41"/>
      <c r="D155" s="66" t="s">
        <v>476</v>
      </c>
      <c r="E155" s="38" t="b">
        <v>0</v>
      </c>
      <c r="F155" s="42" t="s">
        <v>253</v>
      </c>
      <c r="G155" s="42" t="s">
        <v>253</v>
      </c>
      <c r="H155" s="42"/>
      <c r="I155" s="43" t="b">
        <v>0</v>
      </c>
      <c r="J155" s="42" t="s">
        <v>253</v>
      </c>
      <c r="K155" s="42" t="s">
        <v>466</v>
      </c>
      <c r="L155" s="38">
        <v>8</v>
      </c>
      <c r="M155" s="38">
        <v>8</v>
      </c>
      <c r="N155" s="38">
        <v>4</v>
      </c>
      <c r="O155" s="38">
        <v>4</v>
      </c>
      <c r="P155" s="42"/>
      <c r="Q155" s="38" t="b">
        <v>0</v>
      </c>
      <c r="R155" s="38" t="s">
        <v>254</v>
      </c>
      <c r="S155" s="38"/>
      <c r="T155" s="40"/>
    </row>
    <row r="156" spans="2:20" x14ac:dyDescent="0.45">
      <c r="B156" s="40">
        <f t="shared" ca="1" si="1"/>
        <v>135</v>
      </c>
      <c r="C156" s="41"/>
      <c r="D156" s="39"/>
      <c r="E156" s="38"/>
      <c r="F156" s="42" t="s">
        <v>253</v>
      </c>
      <c r="G156" s="42" t="s">
        <v>253</v>
      </c>
      <c r="H156" s="42"/>
      <c r="I156" s="43" t="b">
        <v>0</v>
      </c>
      <c r="J156" s="42" t="s">
        <v>253</v>
      </c>
      <c r="K156" s="42" t="s">
        <v>253</v>
      </c>
      <c r="L156" s="38">
        <v>1</v>
      </c>
      <c r="M156" s="38">
        <v>1</v>
      </c>
      <c r="N156" s="38">
        <v>0</v>
      </c>
      <c r="O156" s="38">
        <v>0</v>
      </c>
      <c r="P156" s="42"/>
      <c r="Q156" s="38" t="b">
        <v>0</v>
      </c>
      <c r="R156" s="38" t="s">
        <v>254</v>
      </c>
      <c r="S156" s="38"/>
      <c r="T156" s="40"/>
    </row>
    <row r="157" spans="2:20" x14ac:dyDescent="0.45">
      <c r="B157" s="40">
        <f t="shared" ca="1" si="1"/>
        <v>136</v>
      </c>
      <c r="C157" s="41"/>
      <c r="D157" s="39"/>
      <c r="E157" s="38"/>
      <c r="F157" s="42" t="s">
        <v>253</v>
      </c>
      <c r="G157" s="42" t="s">
        <v>253</v>
      </c>
      <c r="H157" s="42"/>
      <c r="I157" s="43" t="b">
        <v>0</v>
      </c>
      <c r="J157" s="42" t="s">
        <v>253</v>
      </c>
      <c r="K157" s="42" t="s">
        <v>253</v>
      </c>
      <c r="L157" s="38">
        <v>1</v>
      </c>
      <c r="M157" s="38">
        <v>1</v>
      </c>
      <c r="N157" s="38">
        <v>0</v>
      </c>
      <c r="O157" s="38">
        <v>0</v>
      </c>
      <c r="P157" s="42"/>
      <c r="Q157" s="38" t="b">
        <v>0</v>
      </c>
      <c r="R157" s="38" t="s">
        <v>254</v>
      </c>
      <c r="S157" s="38"/>
      <c r="T157" s="40"/>
    </row>
    <row r="158" spans="2:20" x14ac:dyDescent="0.45">
      <c r="B158" s="40">
        <f t="shared" ca="1" si="1"/>
        <v>137</v>
      </c>
      <c r="C158" s="41"/>
      <c r="D158" s="39"/>
      <c r="E158" s="38"/>
      <c r="F158" s="42" t="s">
        <v>253</v>
      </c>
      <c r="G158" s="42" t="s">
        <v>253</v>
      </c>
      <c r="H158" s="42"/>
      <c r="I158" s="43" t="b">
        <v>0</v>
      </c>
      <c r="J158" s="42" t="s">
        <v>253</v>
      </c>
      <c r="K158" s="42" t="s">
        <v>253</v>
      </c>
      <c r="L158" s="38">
        <v>1</v>
      </c>
      <c r="M158" s="38">
        <v>1</v>
      </c>
      <c r="N158" s="38">
        <v>0</v>
      </c>
      <c r="O158" s="38">
        <v>0</v>
      </c>
      <c r="P158" s="42"/>
      <c r="Q158" s="38" t="b">
        <v>0</v>
      </c>
      <c r="R158" s="38" t="s">
        <v>254</v>
      </c>
      <c r="S158" s="38"/>
      <c r="T158" s="40"/>
    </row>
    <row r="159" spans="2:20" x14ac:dyDescent="0.45">
      <c r="B159" s="40">
        <f t="shared" ca="1" si="1"/>
        <v>138</v>
      </c>
      <c r="C159" s="41"/>
      <c r="D159" s="39"/>
      <c r="E159" s="38"/>
      <c r="F159" s="42" t="s">
        <v>253</v>
      </c>
      <c r="G159" s="42" t="s">
        <v>253</v>
      </c>
      <c r="H159" s="42"/>
      <c r="I159" s="43" t="b">
        <v>0</v>
      </c>
      <c r="J159" s="42" t="s">
        <v>253</v>
      </c>
      <c r="K159" s="42" t="s">
        <v>253</v>
      </c>
      <c r="L159" s="38">
        <v>1</v>
      </c>
      <c r="M159" s="38">
        <v>1</v>
      </c>
      <c r="N159" s="38">
        <v>0</v>
      </c>
      <c r="O159" s="38">
        <v>0</v>
      </c>
      <c r="P159" s="42"/>
      <c r="Q159" s="38" t="b">
        <v>0</v>
      </c>
      <c r="R159" s="38" t="s">
        <v>254</v>
      </c>
      <c r="S159" s="38"/>
      <c r="T159" s="40"/>
    </row>
    <row r="160" spans="2:20" x14ac:dyDescent="0.45">
      <c r="B160" s="40">
        <f t="shared" ca="1" si="1"/>
        <v>139</v>
      </c>
      <c r="C160" s="41"/>
      <c r="D160" s="39"/>
      <c r="E160" s="38"/>
      <c r="F160" s="42" t="s">
        <v>253</v>
      </c>
      <c r="G160" s="42" t="s">
        <v>253</v>
      </c>
      <c r="H160" s="42"/>
      <c r="I160" s="43" t="b">
        <v>0</v>
      </c>
      <c r="J160" s="42" t="s">
        <v>253</v>
      </c>
      <c r="K160" s="42" t="s">
        <v>253</v>
      </c>
      <c r="L160" s="38">
        <v>1</v>
      </c>
      <c r="M160" s="38">
        <v>1</v>
      </c>
      <c r="N160" s="38">
        <v>0</v>
      </c>
      <c r="O160" s="38">
        <v>0</v>
      </c>
      <c r="P160" s="42"/>
      <c r="Q160" s="38" t="b">
        <v>0</v>
      </c>
      <c r="R160" s="38" t="s">
        <v>254</v>
      </c>
      <c r="S160" s="38"/>
      <c r="T160" s="40"/>
    </row>
    <row r="161" spans="2:20" x14ac:dyDescent="0.45">
      <c r="B161" s="40">
        <f t="shared" ca="1" si="1"/>
        <v>140</v>
      </c>
      <c r="C161" s="41"/>
      <c r="D161" s="39"/>
      <c r="E161" s="38"/>
      <c r="F161" s="42" t="s">
        <v>253</v>
      </c>
      <c r="G161" s="42" t="s">
        <v>253</v>
      </c>
      <c r="H161" s="42"/>
      <c r="I161" s="43" t="b">
        <v>0</v>
      </c>
      <c r="J161" s="42" t="s">
        <v>253</v>
      </c>
      <c r="K161" s="42" t="s">
        <v>253</v>
      </c>
      <c r="L161" s="38">
        <v>1</v>
      </c>
      <c r="M161" s="38">
        <v>1</v>
      </c>
      <c r="N161" s="38">
        <v>0</v>
      </c>
      <c r="O161" s="38">
        <v>0</v>
      </c>
      <c r="P161" s="42"/>
      <c r="Q161" s="38" t="b">
        <v>0</v>
      </c>
      <c r="R161" s="38" t="s">
        <v>254</v>
      </c>
      <c r="S161" s="38"/>
      <c r="T161" s="40"/>
    </row>
    <row r="162" spans="2:20" x14ac:dyDescent="0.45">
      <c r="B162" s="40">
        <f t="shared" ca="1" si="1"/>
        <v>141</v>
      </c>
      <c r="C162" s="41"/>
      <c r="D162" s="39"/>
      <c r="E162" s="38"/>
      <c r="F162" s="42" t="s">
        <v>253</v>
      </c>
      <c r="G162" s="42" t="s">
        <v>253</v>
      </c>
      <c r="H162" s="42"/>
      <c r="I162" s="43" t="b">
        <v>0</v>
      </c>
      <c r="J162" s="42" t="s">
        <v>253</v>
      </c>
      <c r="K162" s="42" t="s">
        <v>253</v>
      </c>
      <c r="L162" s="38">
        <v>1</v>
      </c>
      <c r="M162" s="38">
        <v>1</v>
      </c>
      <c r="N162" s="38">
        <v>0</v>
      </c>
      <c r="O162" s="38">
        <v>0</v>
      </c>
      <c r="P162" s="42"/>
      <c r="Q162" s="38" t="b">
        <v>0</v>
      </c>
      <c r="R162" s="38" t="s">
        <v>254</v>
      </c>
      <c r="S162" s="38"/>
      <c r="T162" s="40"/>
    </row>
    <row r="163" spans="2:20" x14ac:dyDescent="0.45">
      <c r="B163" s="40">
        <f t="shared" ca="1" si="1"/>
        <v>142</v>
      </c>
      <c r="C163" s="41"/>
      <c r="D163" s="39"/>
      <c r="E163" s="38"/>
      <c r="F163" s="42" t="s">
        <v>253</v>
      </c>
      <c r="G163" s="42" t="s">
        <v>253</v>
      </c>
      <c r="H163" s="42"/>
      <c r="I163" s="43" t="b">
        <v>0</v>
      </c>
      <c r="J163" s="42" t="s">
        <v>253</v>
      </c>
      <c r="K163" s="42" t="s">
        <v>253</v>
      </c>
      <c r="L163" s="38">
        <v>1</v>
      </c>
      <c r="M163" s="38">
        <v>1</v>
      </c>
      <c r="N163" s="38">
        <v>0</v>
      </c>
      <c r="O163" s="38">
        <v>0</v>
      </c>
      <c r="P163" s="42"/>
      <c r="Q163" s="38" t="b">
        <v>0</v>
      </c>
      <c r="R163" s="38" t="s">
        <v>254</v>
      </c>
      <c r="S163" s="38"/>
      <c r="T163" s="40"/>
    </row>
    <row r="164" spans="2:20" x14ac:dyDescent="0.45">
      <c r="B164" s="40">
        <f t="shared" ca="1" si="1"/>
        <v>143</v>
      </c>
      <c r="C164" s="41"/>
      <c r="D164" s="39"/>
      <c r="E164" s="38"/>
      <c r="F164" s="42" t="s">
        <v>253</v>
      </c>
      <c r="G164" s="42" t="s">
        <v>253</v>
      </c>
      <c r="H164" s="42"/>
      <c r="I164" s="43" t="b">
        <v>0</v>
      </c>
      <c r="J164" s="42" t="s">
        <v>253</v>
      </c>
      <c r="K164" s="42" t="s">
        <v>253</v>
      </c>
      <c r="L164" s="38">
        <v>1</v>
      </c>
      <c r="M164" s="38">
        <v>1</v>
      </c>
      <c r="N164" s="38">
        <v>0</v>
      </c>
      <c r="O164" s="38">
        <v>0</v>
      </c>
      <c r="P164" s="42"/>
      <c r="Q164" s="38" t="b">
        <v>0</v>
      </c>
      <c r="R164" s="38" t="s">
        <v>254</v>
      </c>
      <c r="S164" s="38"/>
      <c r="T164" s="40"/>
    </row>
    <row r="165" spans="2:20" x14ac:dyDescent="0.45">
      <c r="B165" s="40">
        <f t="shared" ca="1" si="1"/>
        <v>144</v>
      </c>
      <c r="C165" s="41"/>
      <c r="D165" s="39"/>
      <c r="E165" s="38"/>
      <c r="F165" s="42" t="s">
        <v>253</v>
      </c>
      <c r="G165" s="42" t="s">
        <v>253</v>
      </c>
      <c r="H165" s="42"/>
      <c r="I165" s="43" t="b">
        <v>0</v>
      </c>
      <c r="J165" s="42" t="s">
        <v>253</v>
      </c>
      <c r="K165" s="42" t="s">
        <v>253</v>
      </c>
      <c r="L165" s="38">
        <v>1</v>
      </c>
      <c r="M165" s="38">
        <v>1</v>
      </c>
      <c r="N165" s="38">
        <v>0</v>
      </c>
      <c r="O165" s="38">
        <v>0</v>
      </c>
      <c r="P165" s="42"/>
      <c r="Q165" s="38" t="b">
        <v>0</v>
      </c>
      <c r="R165" s="38" t="s">
        <v>254</v>
      </c>
      <c r="S165" s="38"/>
      <c r="T165" s="40"/>
    </row>
    <row r="166" spans="2:20" x14ac:dyDescent="0.45">
      <c r="B166" s="40">
        <f t="shared" ca="1" si="1"/>
        <v>145</v>
      </c>
      <c r="C166" s="41"/>
      <c r="D166" s="39"/>
      <c r="E166" s="38"/>
      <c r="F166" s="42" t="s">
        <v>253</v>
      </c>
      <c r="G166" s="42" t="s">
        <v>253</v>
      </c>
      <c r="H166" s="42"/>
      <c r="I166" s="43" t="b">
        <v>0</v>
      </c>
      <c r="J166" s="42" t="s">
        <v>253</v>
      </c>
      <c r="K166" s="42" t="s">
        <v>253</v>
      </c>
      <c r="L166" s="38">
        <v>1</v>
      </c>
      <c r="M166" s="38">
        <v>1</v>
      </c>
      <c r="N166" s="38">
        <v>0</v>
      </c>
      <c r="O166" s="38">
        <v>0</v>
      </c>
      <c r="P166" s="42"/>
      <c r="Q166" s="38" t="b">
        <v>0</v>
      </c>
      <c r="R166" s="38" t="s">
        <v>254</v>
      </c>
      <c r="S166" s="38"/>
      <c r="T166" s="40"/>
    </row>
    <row r="167" spans="2:20" x14ac:dyDescent="0.45">
      <c r="B167" s="40">
        <f t="shared" ca="1" si="1"/>
        <v>146</v>
      </c>
      <c r="C167" s="41"/>
      <c r="D167" s="39"/>
      <c r="E167" s="38"/>
      <c r="F167" s="42" t="s">
        <v>253</v>
      </c>
      <c r="G167" s="42" t="s">
        <v>253</v>
      </c>
      <c r="H167" s="42"/>
      <c r="I167" s="43" t="b">
        <v>0</v>
      </c>
      <c r="J167" s="42" t="s">
        <v>253</v>
      </c>
      <c r="K167" s="42" t="s">
        <v>253</v>
      </c>
      <c r="L167" s="38">
        <v>1</v>
      </c>
      <c r="M167" s="38">
        <v>1</v>
      </c>
      <c r="N167" s="38">
        <v>0</v>
      </c>
      <c r="O167" s="38">
        <v>0</v>
      </c>
      <c r="P167" s="42"/>
      <c r="Q167" s="38" t="b">
        <v>0</v>
      </c>
      <c r="R167" s="38" t="s">
        <v>254</v>
      </c>
      <c r="S167" s="38"/>
      <c r="T167" s="40"/>
    </row>
    <row r="168" spans="2:20" x14ac:dyDescent="0.45">
      <c r="B168" s="67">
        <f t="shared" ca="1" si="1"/>
        <v>147</v>
      </c>
      <c r="C168" s="68"/>
      <c r="D168" s="69"/>
      <c r="E168" s="65"/>
      <c r="F168" s="63" t="s">
        <v>253</v>
      </c>
      <c r="G168" s="63" t="s">
        <v>253</v>
      </c>
      <c r="H168" s="63"/>
      <c r="I168" s="64" t="b">
        <v>0</v>
      </c>
      <c r="J168" s="63" t="s">
        <v>253</v>
      </c>
      <c r="K168" s="63" t="s">
        <v>253</v>
      </c>
      <c r="L168" s="65">
        <v>1</v>
      </c>
      <c r="M168" s="65">
        <v>1</v>
      </c>
      <c r="N168" s="65">
        <v>0</v>
      </c>
      <c r="O168" s="65">
        <v>0</v>
      </c>
      <c r="P168" s="63"/>
      <c r="Q168" s="65" t="b">
        <v>0</v>
      </c>
      <c r="R168" s="65" t="s">
        <v>254</v>
      </c>
      <c r="S168" s="65"/>
      <c r="T168" s="67"/>
    </row>
    <row r="169" spans="2:20" x14ac:dyDescent="0.45">
      <c r="B169" s="40">
        <f t="shared" ca="1" si="1"/>
        <v>148</v>
      </c>
      <c r="C169" s="41"/>
      <c r="D169" s="39"/>
      <c r="E169" s="38"/>
      <c r="F169" s="42" t="s">
        <v>253</v>
      </c>
      <c r="G169" s="42" t="s">
        <v>253</v>
      </c>
      <c r="H169" s="42"/>
      <c r="I169" s="43" t="b">
        <v>0</v>
      </c>
      <c r="J169" s="42" t="s">
        <v>253</v>
      </c>
      <c r="K169" s="42" t="s">
        <v>253</v>
      </c>
      <c r="L169" s="38">
        <v>1</v>
      </c>
      <c r="M169" s="38">
        <v>1</v>
      </c>
      <c r="N169" s="38">
        <v>0</v>
      </c>
      <c r="O169" s="38">
        <v>0</v>
      </c>
      <c r="P169" s="42"/>
      <c r="Q169" s="38" t="b">
        <v>0</v>
      </c>
      <c r="R169" s="38" t="s">
        <v>254</v>
      </c>
      <c r="S169" s="38"/>
      <c r="T169" s="40"/>
    </row>
    <row r="170" spans="2:20" x14ac:dyDescent="0.45">
      <c r="B170" s="40">
        <f t="shared" ca="1" si="1"/>
        <v>149</v>
      </c>
      <c r="C170" s="41"/>
      <c r="D170" s="39"/>
      <c r="E170" s="38"/>
      <c r="F170" s="42" t="s">
        <v>253</v>
      </c>
      <c r="G170" s="42" t="s">
        <v>253</v>
      </c>
      <c r="H170" s="42"/>
      <c r="I170" s="43" t="b">
        <v>0</v>
      </c>
      <c r="J170" s="42" t="s">
        <v>253</v>
      </c>
      <c r="K170" s="42" t="s">
        <v>253</v>
      </c>
      <c r="L170" s="38">
        <v>1</v>
      </c>
      <c r="M170" s="38">
        <v>1</v>
      </c>
      <c r="N170" s="38">
        <v>0</v>
      </c>
      <c r="O170" s="38">
        <v>0</v>
      </c>
      <c r="P170" s="42"/>
      <c r="Q170" s="38" t="b">
        <v>0</v>
      </c>
      <c r="R170" s="38" t="s">
        <v>254</v>
      </c>
      <c r="S170" s="38"/>
      <c r="T170" s="40"/>
    </row>
    <row r="171" spans="2:20" x14ac:dyDescent="0.45">
      <c r="B171" s="40">
        <f t="shared" ca="1" si="1"/>
        <v>150</v>
      </c>
      <c r="C171" s="41"/>
      <c r="D171" s="39"/>
      <c r="E171" s="38"/>
      <c r="F171" s="42" t="s">
        <v>253</v>
      </c>
      <c r="G171" s="42" t="s">
        <v>253</v>
      </c>
      <c r="H171" s="42"/>
      <c r="I171" s="43" t="b">
        <v>0</v>
      </c>
      <c r="J171" s="42" t="s">
        <v>253</v>
      </c>
      <c r="K171" s="42" t="s">
        <v>253</v>
      </c>
      <c r="L171" s="38">
        <v>1</v>
      </c>
      <c r="M171" s="38">
        <v>1</v>
      </c>
      <c r="N171" s="38">
        <v>0</v>
      </c>
      <c r="O171" s="38">
        <v>0</v>
      </c>
      <c r="P171" s="42"/>
      <c r="Q171" s="38" t="b">
        <v>0</v>
      </c>
      <c r="R171" s="38" t="s">
        <v>254</v>
      </c>
      <c r="S171" s="38"/>
      <c r="T171" s="40"/>
    </row>
    <row r="172" spans="2:20" x14ac:dyDescent="0.45">
      <c r="B172" s="40">
        <f t="shared" ca="1" si="1"/>
        <v>151</v>
      </c>
      <c r="C172" s="41"/>
      <c r="D172" s="39"/>
      <c r="E172" s="38"/>
      <c r="F172" s="42" t="s">
        <v>253</v>
      </c>
      <c r="G172" s="42" t="s">
        <v>253</v>
      </c>
      <c r="H172" s="42"/>
      <c r="I172" s="43" t="b">
        <v>0</v>
      </c>
      <c r="J172" s="42" t="s">
        <v>253</v>
      </c>
      <c r="K172" s="42" t="s">
        <v>253</v>
      </c>
      <c r="L172" s="38">
        <v>1</v>
      </c>
      <c r="M172" s="38">
        <v>1</v>
      </c>
      <c r="N172" s="38">
        <v>0</v>
      </c>
      <c r="O172" s="38">
        <v>0</v>
      </c>
      <c r="P172" s="42"/>
      <c r="Q172" s="38" t="b">
        <v>0</v>
      </c>
      <c r="R172" s="38" t="s">
        <v>254</v>
      </c>
      <c r="S172" s="38"/>
      <c r="T172" s="40"/>
    </row>
    <row r="173" spans="2:20" x14ac:dyDescent="0.45">
      <c r="B173" s="40">
        <f t="shared" ca="1" si="1"/>
        <v>152</v>
      </c>
      <c r="C173" s="41"/>
      <c r="D173" s="39"/>
      <c r="E173" s="38"/>
      <c r="F173" s="42" t="s">
        <v>253</v>
      </c>
      <c r="G173" s="42" t="s">
        <v>253</v>
      </c>
      <c r="H173" s="42"/>
      <c r="I173" s="43" t="b">
        <v>0</v>
      </c>
      <c r="J173" s="42" t="s">
        <v>253</v>
      </c>
      <c r="K173" s="42" t="s">
        <v>253</v>
      </c>
      <c r="L173" s="38">
        <v>1</v>
      </c>
      <c r="M173" s="38">
        <v>1</v>
      </c>
      <c r="N173" s="38">
        <v>0</v>
      </c>
      <c r="O173" s="38">
        <v>0</v>
      </c>
      <c r="P173" s="42"/>
      <c r="Q173" s="38" t="b">
        <v>0</v>
      </c>
      <c r="R173" s="38" t="s">
        <v>254</v>
      </c>
      <c r="S173" s="38"/>
      <c r="T173" s="40"/>
    </row>
    <row r="174" spans="2:20" x14ac:dyDescent="0.45">
      <c r="B174" s="40">
        <f t="shared" ca="1" si="1"/>
        <v>153</v>
      </c>
      <c r="C174" s="41"/>
      <c r="D174" s="39"/>
      <c r="E174" s="38"/>
      <c r="F174" s="42" t="s">
        <v>253</v>
      </c>
      <c r="G174" s="42" t="s">
        <v>253</v>
      </c>
      <c r="H174" s="42"/>
      <c r="I174" s="43" t="b">
        <v>0</v>
      </c>
      <c r="J174" s="42" t="s">
        <v>253</v>
      </c>
      <c r="K174" s="42" t="s">
        <v>253</v>
      </c>
      <c r="L174" s="38">
        <v>1</v>
      </c>
      <c r="M174" s="38">
        <v>1</v>
      </c>
      <c r="N174" s="38">
        <v>0</v>
      </c>
      <c r="O174" s="38">
        <v>0</v>
      </c>
      <c r="P174" s="42"/>
      <c r="Q174" s="38" t="b">
        <v>0</v>
      </c>
      <c r="R174" s="38" t="s">
        <v>254</v>
      </c>
      <c r="S174" s="38"/>
      <c r="T174" s="40"/>
    </row>
    <row r="175" spans="2:20" x14ac:dyDescent="0.45">
      <c r="B175" s="40">
        <f t="shared" ca="1" si="1"/>
        <v>154</v>
      </c>
      <c r="C175" s="41"/>
      <c r="D175" s="39"/>
      <c r="E175" s="38"/>
      <c r="F175" s="42" t="s">
        <v>253</v>
      </c>
      <c r="G175" s="42" t="s">
        <v>253</v>
      </c>
      <c r="H175" s="42"/>
      <c r="I175" s="43" t="b">
        <v>0</v>
      </c>
      <c r="J175" s="42" t="s">
        <v>253</v>
      </c>
      <c r="K175" s="42" t="s">
        <v>253</v>
      </c>
      <c r="L175" s="38">
        <v>1</v>
      </c>
      <c r="M175" s="38">
        <v>1</v>
      </c>
      <c r="N175" s="38">
        <v>0</v>
      </c>
      <c r="O175" s="38">
        <v>0</v>
      </c>
      <c r="P175" s="42"/>
      <c r="Q175" s="38" t="b">
        <v>0</v>
      </c>
      <c r="R175" s="38" t="s">
        <v>254</v>
      </c>
      <c r="S175" s="38"/>
      <c r="T175" s="40"/>
    </row>
    <row r="176" spans="2:20" x14ac:dyDescent="0.45">
      <c r="B176" s="40">
        <f t="shared" ca="1" si="1"/>
        <v>155</v>
      </c>
      <c r="C176" s="41"/>
      <c r="D176" s="39"/>
      <c r="E176" s="38"/>
      <c r="F176" s="42" t="s">
        <v>253</v>
      </c>
      <c r="G176" s="42" t="s">
        <v>253</v>
      </c>
      <c r="H176" s="42"/>
      <c r="I176" s="43" t="b">
        <v>0</v>
      </c>
      <c r="J176" s="42" t="s">
        <v>253</v>
      </c>
      <c r="K176" s="42" t="s">
        <v>253</v>
      </c>
      <c r="L176" s="38">
        <v>1</v>
      </c>
      <c r="M176" s="38">
        <v>1</v>
      </c>
      <c r="N176" s="38">
        <v>0</v>
      </c>
      <c r="O176" s="38">
        <v>0</v>
      </c>
      <c r="P176" s="42"/>
      <c r="Q176" s="38" t="b">
        <v>0</v>
      </c>
      <c r="R176" s="38" t="s">
        <v>254</v>
      </c>
      <c r="S176" s="38"/>
      <c r="T176" s="40"/>
    </row>
    <row r="177" spans="2:20" x14ac:dyDescent="0.45">
      <c r="B177" s="40">
        <f t="shared" ca="1" si="1"/>
        <v>156</v>
      </c>
      <c r="C177" s="41"/>
      <c r="D177" s="39"/>
      <c r="E177" s="38"/>
      <c r="F177" s="42" t="s">
        <v>253</v>
      </c>
      <c r="G177" s="42" t="s">
        <v>253</v>
      </c>
      <c r="H177" s="42"/>
      <c r="I177" s="43" t="b">
        <v>0</v>
      </c>
      <c r="J177" s="42" t="s">
        <v>253</v>
      </c>
      <c r="K177" s="42" t="s">
        <v>253</v>
      </c>
      <c r="L177" s="38">
        <v>1</v>
      </c>
      <c r="M177" s="38">
        <v>1</v>
      </c>
      <c r="N177" s="38">
        <v>0</v>
      </c>
      <c r="O177" s="38">
        <v>0</v>
      </c>
      <c r="P177" s="42"/>
      <c r="Q177" s="38" t="b">
        <v>0</v>
      </c>
      <c r="R177" s="38" t="s">
        <v>254</v>
      </c>
      <c r="S177" s="38"/>
      <c r="T177" s="40"/>
    </row>
    <row r="178" spans="2:20" x14ac:dyDescent="0.45">
      <c r="B178" s="40">
        <f t="shared" ca="1" si="1"/>
        <v>157</v>
      </c>
      <c r="C178" s="41"/>
      <c r="D178" s="39"/>
      <c r="E178" s="38"/>
      <c r="F178" s="42" t="s">
        <v>253</v>
      </c>
      <c r="G178" s="42" t="s">
        <v>253</v>
      </c>
      <c r="H178" s="42"/>
      <c r="I178" s="43" t="b">
        <v>0</v>
      </c>
      <c r="J178" s="42" t="s">
        <v>253</v>
      </c>
      <c r="K178" s="42" t="s">
        <v>253</v>
      </c>
      <c r="L178" s="38">
        <v>1</v>
      </c>
      <c r="M178" s="38">
        <v>1</v>
      </c>
      <c r="N178" s="38">
        <v>0</v>
      </c>
      <c r="O178" s="38">
        <v>0</v>
      </c>
      <c r="P178" s="42"/>
      <c r="Q178" s="38" t="b">
        <v>0</v>
      </c>
      <c r="R178" s="38" t="s">
        <v>254</v>
      </c>
      <c r="S178" s="38"/>
      <c r="T178" s="40"/>
    </row>
    <row r="179" spans="2:20" x14ac:dyDescent="0.45">
      <c r="B179" s="40">
        <f t="shared" ca="1" si="1"/>
        <v>158</v>
      </c>
      <c r="C179" s="41"/>
      <c r="D179" s="39"/>
      <c r="E179" s="38"/>
      <c r="F179" s="42" t="s">
        <v>253</v>
      </c>
      <c r="G179" s="42" t="s">
        <v>253</v>
      </c>
      <c r="H179" s="42"/>
      <c r="I179" s="43" t="b">
        <v>0</v>
      </c>
      <c r="J179" s="42" t="s">
        <v>253</v>
      </c>
      <c r="K179" s="42" t="s">
        <v>253</v>
      </c>
      <c r="L179" s="38">
        <v>1</v>
      </c>
      <c r="M179" s="38">
        <v>1</v>
      </c>
      <c r="N179" s="38">
        <v>0</v>
      </c>
      <c r="O179" s="38">
        <v>0</v>
      </c>
      <c r="P179" s="42"/>
      <c r="Q179" s="38" t="b">
        <v>0</v>
      </c>
      <c r="R179" s="38" t="s">
        <v>254</v>
      </c>
      <c r="S179" s="38"/>
      <c r="T179" s="40"/>
    </row>
    <row r="180" spans="2:20" x14ac:dyDescent="0.45">
      <c r="B180" s="40">
        <f t="shared" ca="1" si="1"/>
        <v>159</v>
      </c>
      <c r="C180" s="41"/>
      <c r="D180" s="39"/>
      <c r="E180" s="38"/>
      <c r="F180" s="42" t="s">
        <v>253</v>
      </c>
      <c r="G180" s="42" t="s">
        <v>253</v>
      </c>
      <c r="H180" s="42"/>
      <c r="I180" s="43" t="b">
        <v>0</v>
      </c>
      <c r="J180" s="42" t="s">
        <v>253</v>
      </c>
      <c r="K180" s="42" t="s">
        <v>253</v>
      </c>
      <c r="L180" s="38">
        <v>1</v>
      </c>
      <c r="M180" s="38">
        <v>1</v>
      </c>
      <c r="N180" s="38">
        <v>0</v>
      </c>
      <c r="O180" s="38">
        <v>0</v>
      </c>
      <c r="P180" s="42"/>
      <c r="Q180" s="38" t="b">
        <v>0</v>
      </c>
      <c r="R180" s="38" t="s">
        <v>254</v>
      </c>
      <c r="S180" s="38"/>
      <c r="T180" s="40"/>
    </row>
  </sheetData>
  <sheetProtection sheet="1" objects="1" scenarios="1"/>
  <sortState xmlns:xlrd2="http://schemas.microsoft.com/office/spreadsheetml/2017/richdata2" ref="B22:T132">
    <sortCondition ref="C22:C132"/>
  </sortState>
  <conditionalFormatting sqref="S22:S149">
    <cfRule type="expression" dxfId="33" priority="55">
      <formula>S22=TRUE</formula>
    </cfRule>
  </conditionalFormatting>
  <conditionalFormatting sqref="T92:T94 B22:S149">
    <cfRule type="expression" dxfId="32" priority="146">
      <formula>$B22=$T$2</formula>
    </cfRule>
  </conditionalFormatting>
  <conditionalFormatting sqref="V80:V83">
    <cfRule type="expression" dxfId="31" priority="50">
      <formula>ISLOGICAL(V80)</formula>
    </cfRule>
    <cfRule type="expression" dxfId="30" priority="51">
      <formula>ISNUMBER(V80)</formula>
    </cfRule>
    <cfRule type="expression" dxfId="29" priority="52">
      <formula>ISNUMBER(SEARCH("""",V80))</formula>
    </cfRule>
    <cfRule type="expression" dxfId="28" priority="53">
      <formula>ISTEXT(V80)</formula>
    </cfRule>
    <cfRule type="expression" dxfId="27" priority="54">
      <formula>ISERROR(V80)</formula>
    </cfRule>
  </conditionalFormatting>
  <conditionalFormatting sqref="X80:AF80">
    <cfRule type="expression" dxfId="26" priority="45">
      <formula>ISLOGICAL(X80)</formula>
    </cfRule>
    <cfRule type="expression" dxfId="25" priority="46">
      <formula>ISNUMBER(X80)</formula>
    </cfRule>
    <cfRule type="expression" dxfId="24" priority="47">
      <formula>ISNUMBER(SEARCH("""",X80))</formula>
    </cfRule>
    <cfRule type="expression" dxfId="23" priority="48">
      <formula>ISTEXT(X80)</formula>
    </cfRule>
    <cfRule type="expression" dxfId="22" priority="49">
      <formula>ISERROR(X80)</formula>
    </cfRule>
  </conditionalFormatting>
  <conditionalFormatting sqref="AG80:AL80">
    <cfRule type="expression" dxfId="21" priority="40">
      <formula>ISLOGICAL(AG80)</formula>
    </cfRule>
    <cfRule type="expression" dxfId="20" priority="41">
      <formula>ISNUMBER(AG80)</formula>
    </cfRule>
    <cfRule type="expression" dxfId="19" priority="42">
      <formula>ISNUMBER(SEARCH("""",AG80))</formula>
    </cfRule>
    <cfRule type="expression" dxfId="18" priority="43">
      <formula>ISTEXT(AG80)</formula>
    </cfRule>
    <cfRule type="expression" dxfId="17" priority="44">
      <formula>ISERROR(AG80)</formula>
    </cfRule>
  </conditionalFormatting>
  <conditionalFormatting sqref="V84:V115">
    <cfRule type="expression" dxfId="16" priority="20">
      <formula>ISLOGICAL(V84)</formula>
    </cfRule>
    <cfRule type="expression" dxfId="15" priority="21">
      <formula>ISNUMBER(V84)</formula>
    </cfRule>
    <cfRule type="expression" dxfId="14" priority="22">
      <formula>ISNUMBER(SEARCH("""",V84))</formula>
    </cfRule>
    <cfRule type="expression" dxfId="13" priority="23">
      <formula>ISTEXT(V84)</formula>
    </cfRule>
    <cfRule type="expression" dxfId="12" priority="24">
      <formula>ISERROR(V84)</formula>
    </cfRule>
  </conditionalFormatting>
  <conditionalFormatting sqref="X81:AF115">
    <cfRule type="expression" dxfId="11" priority="15">
      <formula>ISLOGICAL(X81)</formula>
    </cfRule>
    <cfRule type="expression" dxfId="10" priority="16">
      <formula>ISNUMBER(X81)</formula>
    </cfRule>
    <cfRule type="expression" dxfId="9" priority="17">
      <formula>ISNUMBER(SEARCH("""",X81))</formula>
    </cfRule>
    <cfRule type="expression" dxfId="8" priority="18">
      <formula>ISTEXT(X81)</formula>
    </cfRule>
    <cfRule type="expression" dxfId="7" priority="19">
      <formula>ISERROR(X81)</formula>
    </cfRule>
  </conditionalFormatting>
  <conditionalFormatting sqref="AG81:AL115">
    <cfRule type="expression" dxfId="6" priority="10">
      <formula>ISLOGICAL(AG81)</formula>
    </cfRule>
    <cfRule type="expression" dxfId="5" priority="11">
      <formula>ISNUMBER(AG81)</formula>
    </cfRule>
    <cfRule type="expression" dxfId="4" priority="12">
      <formula>ISNUMBER(SEARCH("""",AG81))</formula>
    </cfRule>
    <cfRule type="expression" dxfId="3" priority="13">
      <formula>ISTEXT(AG81)</formula>
    </cfRule>
    <cfRule type="expression" dxfId="2" priority="14">
      <formula>ISERROR(AG81)</formula>
    </cfRule>
  </conditionalFormatting>
  <conditionalFormatting sqref="S150:S180">
    <cfRule type="expression" dxfId="1" priority="1">
      <formula>S150=TRUE</formula>
    </cfRule>
  </conditionalFormatting>
  <conditionalFormatting sqref="B150:S180">
    <cfRule type="expression" dxfId="0" priority="2">
      <formula>$B150=$T$2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1]!SAISortButtonOnAction">
                <anchor moveWithCells="1" siz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 11">
              <controlPr defaultSize="0" print="0" autoFill="0" autoPict="0" macro="[1]!SAISortButtonOnAction">
                <anchor moveWithCells="1" siz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1]!SAISortButtonOnAction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7" name="Button 13">
              <controlPr defaultSize="0" print="0" autoFill="0" autoPict="0" macro="[1]!SAISortButtonOnAction">
                <anchor moveWithCells="1" siz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8" name="Button 14">
              <controlPr defaultSize="0" print="0" autoFill="0" autoPict="0" macro="[1]!SAISortButtonOnAction">
                <anchor moveWithCells="1" siz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9" name="Button 15">
              <controlPr defaultSize="0" print="0" autoFill="0" autoPict="0" macro="[1]!SAISortButtonOnAction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0" name="Button 16">
              <controlPr defaultSize="0" print="0" autoFill="0" autoPict="0" macro="[1]!SAISortButtonOnAction">
                <anchor moveWithCells="1" siz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1" name="Button 17">
              <controlPr defaultSize="0" print="0" autoFill="0" autoPict="0" macro="[1]!SAISortButtonOnAction">
                <anchor moveWithCells="1" siz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2" name="Button 18">
              <controlPr defaultSize="0" print="0" autoFill="0" autoPict="0" macro="[1]!SAISortButtonOnAction">
                <anchor moveWithCells="1" siz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3" name="Button 19">
              <controlPr defaultSize="0" print="0" autoFill="0" autoPict="0" macro="[1]!SAISortButtonOnAction">
                <anchor moveWithCells="1" siz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4" name="Button 20">
              <controlPr defaultSize="0" print="0" autoFill="0" autoPict="0" macro="[1]!SAISortButtonOnAction">
                <anchor moveWithCells="1" siz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5" name="Button 21">
              <controlPr defaultSize="0" print="0" autoFill="0" autoPict="0" macro="[1]!SAISortButtonOnAction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6" name="Button 22">
              <controlPr defaultSize="0" print="0" autoFill="0" autoPict="0" macro="[1]!SAISortButtonOnAction">
                <anchor moveWithCells="1" siz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7" name="Button 23">
              <controlPr defaultSize="0" print="0" autoFill="0" autoPict="0" macro="[1]!SAISortButtonOnAction">
                <anchor moveWithCells="1" siz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8" name="Button 24">
              <controlPr defaultSize="0" print="0" autoFill="0" autoPict="0" macro="[1]!SAISortButtonOnAction">
                <anchor moveWithCells="1" sizeWithCells="1">
                  <from>
                    <xdr:col>15</xdr:col>
                    <xdr:colOff>0</xdr:colOff>
                    <xdr:row>19</xdr:row>
                    <xdr:rowOff>0</xdr:rowOff>
                  </from>
                  <to>
                    <xdr:col>16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9" name="Button 25">
              <controlPr defaultSize="0" print="0" autoFill="0" autoPict="0" macro="[1]!SAISortButtonOnAction">
                <anchor moveWithCells="1" siz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0" name="Button 26">
              <controlPr defaultSize="0" print="0" autoFill="0" autoPict="0" macro="[1]!SAISortButtonOnAction">
                <anchor moveWithCells="1" sizeWithCells="1">
                  <from>
                    <xdr:col>17</xdr:col>
                    <xdr:colOff>0</xdr:colOff>
                    <xdr:row>19</xdr:row>
                    <xdr:rowOff>0</xdr:rowOff>
                  </from>
                  <to>
                    <xdr:col>18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1" name="Button 27">
              <controlPr defaultSize="0" print="0" autoFill="0" autoPict="0" macro="[1]!SAISortButtonOnAction">
                <anchor moveWithCells="1" sizeWithCells="1">
                  <from>
                    <xdr:col>18</xdr:col>
                    <xdr:colOff>0</xdr:colOff>
                    <xdr:row>19</xdr:row>
                    <xdr:rowOff>0</xdr:rowOff>
                  </from>
                  <to>
                    <xdr:col>19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2" name="Button 28">
              <controlPr defaultSize="0" print="0" autoFill="0" autoPict="0" macro="[1]!SAISortButtonOnAction">
                <anchor moveWithCells="1" sizeWithCells="1">
                  <from>
                    <xdr:col>19</xdr:col>
                    <xdr:colOff>0</xdr:colOff>
                    <xdr:row>19</xdr:row>
                    <xdr:rowOff>0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84C2-DFCD-44AD-B6E4-24A1DC3534B8}">
  <sheetPr codeName="shAudit"/>
  <dimension ref="B1:U39"/>
  <sheetViews>
    <sheetView showGridLines="0" showRowColHeaders="0" workbookViewId="0"/>
  </sheetViews>
  <sheetFormatPr defaultRowHeight="14.25" x14ac:dyDescent="0.45"/>
  <cols>
    <col min="1" max="1" width="2.46484375" customWidth="1"/>
    <col min="2" max="2" width="7.73046875" customWidth="1"/>
    <col min="3" max="3" width="11.796875" customWidth="1"/>
    <col min="4" max="4" width="5.3984375" customWidth="1"/>
    <col min="5" max="5" width="14.73046875" customWidth="1"/>
    <col min="6" max="6" width="155.46484375" customWidth="1"/>
  </cols>
  <sheetData>
    <row r="1" spans="2:21" ht="28.5" x14ac:dyDescent="0.85">
      <c r="B1" s="14" t="s">
        <v>197</v>
      </c>
    </row>
    <row r="3" spans="2:21" x14ac:dyDescent="0.45">
      <c r="I3" s="22" t="s">
        <v>198</v>
      </c>
      <c r="U3" s="22" t="s">
        <v>199</v>
      </c>
    </row>
    <row r="4" spans="2:21" x14ac:dyDescent="0.45">
      <c r="I4" s="23"/>
      <c r="U4" s="24" t="s">
        <v>200</v>
      </c>
    </row>
    <row r="5" spans="2:21" x14ac:dyDescent="0.45">
      <c r="B5" s="25" t="s">
        <v>201</v>
      </c>
      <c r="C5" s="26" t="s">
        <v>202</v>
      </c>
      <c r="D5" s="71" t="s">
        <v>203</v>
      </c>
      <c r="E5" s="27" t="s">
        <v>204</v>
      </c>
      <c r="F5" s="28" t="s">
        <v>205</v>
      </c>
      <c r="I5" t="s">
        <v>206</v>
      </c>
      <c r="U5" s="24" t="s">
        <v>207</v>
      </c>
    </row>
    <row r="6" spans="2:21" x14ac:dyDescent="0.45">
      <c r="B6" s="70">
        <v>34</v>
      </c>
      <c r="C6" s="29">
        <v>44426</v>
      </c>
      <c r="D6" s="72">
        <v>0.84697916666482342</v>
      </c>
      <c r="E6" s="30" t="s">
        <v>208</v>
      </c>
      <c r="F6" s="31" t="s">
        <v>479</v>
      </c>
      <c r="I6" t="s">
        <v>210</v>
      </c>
    </row>
    <row r="7" spans="2:21" x14ac:dyDescent="0.45">
      <c r="B7" s="70">
        <v>33</v>
      </c>
      <c r="C7" s="29">
        <v>44426</v>
      </c>
      <c r="D7" s="72">
        <v>0.84443287036992842</v>
      </c>
      <c r="E7" s="30" t="s">
        <v>208</v>
      </c>
      <c r="F7" s="31" t="s">
        <v>478</v>
      </c>
      <c r="I7" t="s">
        <v>212</v>
      </c>
    </row>
    <row r="8" spans="2:21" x14ac:dyDescent="0.45">
      <c r="B8" s="50">
        <v>32</v>
      </c>
      <c r="C8" s="29">
        <v>44424</v>
      </c>
      <c r="D8" s="72">
        <v>0.93637731481430819</v>
      </c>
      <c r="E8" s="30" t="s">
        <v>208</v>
      </c>
      <c r="F8" s="32" t="s">
        <v>465</v>
      </c>
    </row>
    <row r="9" spans="2:21" x14ac:dyDescent="0.45">
      <c r="B9" s="50">
        <v>31</v>
      </c>
      <c r="C9" s="29">
        <v>44424</v>
      </c>
      <c r="D9" s="72">
        <v>0.49105324073752854</v>
      </c>
      <c r="E9" s="30" t="s">
        <v>208</v>
      </c>
      <c r="F9" s="31" t="s">
        <v>458</v>
      </c>
      <c r="I9" s="19" t="s">
        <v>459</v>
      </c>
    </row>
    <row r="10" spans="2:21" x14ac:dyDescent="0.45">
      <c r="B10" s="50">
        <v>30</v>
      </c>
      <c r="C10" s="29">
        <v>44423</v>
      </c>
      <c r="D10" s="72">
        <v>0.49593750000349246</v>
      </c>
      <c r="E10" s="30" t="s">
        <v>208</v>
      </c>
      <c r="F10" s="31" t="s">
        <v>295</v>
      </c>
      <c r="I10" s="23" t="s">
        <v>216</v>
      </c>
    </row>
    <row r="11" spans="2:21" x14ac:dyDescent="0.45">
      <c r="B11" s="50">
        <v>29</v>
      </c>
      <c r="C11" s="29">
        <v>44423</v>
      </c>
      <c r="D11" s="72">
        <v>0.437638888892252</v>
      </c>
      <c r="E11" s="30" t="s">
        <v>208</v>
      </c>
      <c r="F11" s="31" t="s">
        <v>209</v>
      </c>
      <c r="I11" s="23" t="s">
        <v>430</v>
      </c>
    </row>
    <row r="12" spans="2:21" x14ac:dyDescent="0.45">
      <c r="B12" s="50">
        <v>28</v>
      </c>
      <c r="C12" s="29">
        <v>44423</v>
      </c>
      <c r="D12" s="72">
        <v>0.33465277777577285</v>
      </c>
      <c r="E12" s="30" t="s">
        <v>208</v>
      </c>
      <c r="F12" s="31" t="s">
        <v>211</v>
      </c>
      <c r="I12" t="s">
        <v>462</v>
      </c>
    </row>
    <row r="13" spans="2:21" x14ac:dyDescent="0.45">
      <c r="B13" s="50">
        <v>27</v>
      </c>
      <c r="C13" s="29">
        <v>44421</v>
      </c>
      <c r="D13" s="72">
        <v>0.84150462962861639</v>
      </c>
      <c r="E13" s="30" t="s">
        <v>208</v>
      </c>
      <c r="F13" s="31" t="s">
        <v>213</v>
      </c>
      <c r="I13" t="s">
        <v>463</v>
      </c>
    </row>
    <row r="14" spans="2:21" x14ac:dyDescent="0.45">
      <c r="B14" s="50">
        <v>26</v>
      </c>
      <c r="C14" s="29">
        <v>44421</v>
      </c>
      <c r="D14" s="72">
        <v>0.83098379629518604</v>
      </c>
      <c r="E14" s="30" t="s">
        <v>208</v>
      </c>
      <c r="F14" s="31" t="s">
        <v>214</v>
      </c>
      <c r="I14" t="s">
        <v>464</v>
      </c>
    </row>
    <row r="15" spans="2:21" x14ac:dyDescent="0.45">
      <c r="B15" s="50">
        <v>25</v>
      </c>
      <c r="C15" s="29">
        <v>44421</v>
      </c>
      <c r="D15" s="72">
        <v>0.73097222221986158</v>
      </c>
      <c r="E15" s="30" t="s">
        <v>208</v>
      </c>
      <c r="F15" s="31" t="s">
        <v>215</v>
      </c>
    </row>
    <row r="16" spans="2:21" x14ac:dyDescent="0.45">
      <c r="B16" s="50">
        <v>24</v>
      </c>
      <c r="C16" s="29">
        <v>44421</v>
      </c>
      <c r="D16" s="72">
        <v>0.71106481481547235</v>
      </c>
      <c r="E16" s="30" t="s">
        <v>208</v>
      </c>
      <c r="F16" s="31" t="s">
        <v>217</v>
      </c>
    </row>
    <row r="17" spans="2:6" x14ac:dyDescent="0.45">
      <c r="B17" s="50">
        <v>23</v>
      </c>
      <c r="C17" s="29">
        <v>44420</v>
      </c>
      <c r="D17" s="72">
        <v>0.80428240740729962</v>
      </c>
      <c r="E17" s="30" t="s">
        <v>208</v>
      </c>
      <c r="F17" s="31" t="s">
        <v>218</v>
      </c>
    </row>
    <row r="18" spans="2:6" x14ac:dyDescent="0.45">
      <c r="B18" s="50">
        <v>22</v>
      </c>
      <c r="C18" s="29">
        <v>44420</v>
      </c>
      <c r="D18" s="72">
        <v>0.74781249999796273</v>
      </c>
      <c r="E18" s="30" t="s">
        <v>208</v>
      </c>
      <c r="F18" s="32" t="s">
        <v>219</v>
      </c>
    </row>
    <row r="19" spans="2:6" x14ac:dyDescent="0.45">
      <c r="B19" s="50">
        <v>21</v>
      </c>
      <c r="C19" s="29">
        <v>44419</v>
      </c>
      <c r="D19" s="72">
        <v>0.98854166666569654</v>
      </c>
      <c r="E19" s="30" t="s">
        <v>208</v>
      </c>
      <c r="F19" s="31" t="s">
        <v>220</v>
      </c>
    </row>
    <row r="20" spans="2:6" x14ac:dyDescent="0.45">
      <c r="B20" s="50">
        <v>20</v>
      </c>
      <c r="C20" s="29">
        <v>44419</v>
      </c>
      <c r="D20" s="72">
        <v>0.98135416666627862</v>
      </c>
      <c r="E20" s="30" t="s">
        <v>208</v>
      </c>
      <c r="F20" s="31" t="s">
        <v>221</v>
      </c>
    </row>
    <row r="21" spans="2:6" x14ac:dyDescent="0.45">
      <c r="B21" s="50">
        <v>19</v>
      </c>
      <c r="C21" s="29">
        <v>44419</v>
      </c>
      <c r="D21" s="72">
        <v>0.82271990740991896</v>
      </c>
      <c r="E21" s="30" t="s">
        <v>208</v>
      </c>
      <c r="F21" s="31" t="s">
        <v>222</v>
      </c>
    </row>
    <row r="22" spans="2:6" x14ac:dyDescent="0.45">
      <c r="B22" s="50">
        <v>18</v>
      </c>
      <c r="C22" s="29">
        <v>44419</v>
      </c>
      <c r="D22" s="72">
        <v>0.73975694444379769</v>
      </c>
      <c r="E22" s="30" t="s">
        <v>208</v>
      </c>
      <c r="F22" s="31" t="s">
        <v>223</v>
      </c>
    </row>
    <row r="23" spans="2:6" x14ac:dyDescent="0.45">
      <c r="B23" s="50">
        <v>17</v>
      </c>
      <c r="C23" s="29">
        <v>44419</v>
      </c>
      <c r="D23" s="72">
        <v>0.708356481482042</v>
      </c>
      <c r="E23" s="30" t="s">
        <v>208</v>
      </c>
      <c r="F23" s="31" t="s">
        <v>224</v>
      </c>
    </row>
    <row r="24" spans="2:6" x14ac:dyDescent="0.45">
      <c r="B24" s="50">
        <v>16</v>
      </c>
      <c r="C24" s="29">
        <v>44419</v>
      </c>
      <c r="D24" s="72">
        <v>0.51960648148087785</v>
      </c>
      <c r="E24" s="30" t="s">
        <v>208</v>
      </c>
      <c r="F24" s="31" t="s">
        <v>225</v>
      </c>
    </row>
    <row r="25" spans="2:6" x14ac:dyDescent="0.45">
      <c r="B25" s="50">
        <v>15</v>
      </c>
      <c r="C25" s="29">
        <v>44419</v>
      </c>
      <c r="D25" s="72">
        <v>0.49577546296495711</v>
      </c>
      <c r="E25" s="30" t="s">
        <v>208</v>
      </c>
      <c r="F25" s="32" t="s">
        <v>226</v>
      </c>
    </row>
    <row r="26" spans="2:6" x14ac:dyDescent="0.45">
      <c r="B26" s="50">
        <v>14</v>
      </c>
      <c r="C26" s="29">
        <v>44419</v>
      </c>
      <c r="D26" s="72">
        <v>0.49174768518423662</v>
      </c>
      <c r="E26" s="30" t="s">
        <v>208</v>
      </c>
      <c r="F26" s="31" t="s">
        <v>227</v>
      </c>
    </row>
    <row r="27" spans="2:6" x14ac:dyDescent="0.45">
      <c r="B27" s="50">
        <v>13</v>
      </c>
      <c r="C27" s="29">
        <v>44419</v>
      </c>
      <c r="D27" s="72">
        <v>0.49034722222131677</v>
      </c>
      <c r="E27" s="30" t="s">
        <v>208</v>
      </c>
      <c r="F27" s="31" t="s">
        <v>228</v>
      </c>
    </row>
    <row r="28" spans="2:6" x14ac:dyDescent="0.45">
      <c r="B28" s="50">
        <v>12</v>
      </c>
      <c r="C28" s="29">
        <v>44419</v>
      </c>
      <c r="D28" s="72">
        <v>0.48190972222073469</v>
      </c>
      <c r="E28" s="30" t="s">
        <v>208</v>
      </c>
      <c r="F28" s="31" t="s">
        <v>229</v>
      </c>
    </row>
    <row r="29" spans="2:6" x14ac:dyDescent="0.45">
      <c r="B29" s="50">
        <v>11</v>
      </c>
      <c r="C29" s="29">
        <v>44418</v>
      </c>
      <c r="D29" s="72">
        <v>0.95467592592467554</v>
      </c>
      <c r="E29" s="30" t="s">
        <v>208</v>
      </c>
      <c r="F29" s="32" t="s">
        <v>230</v>
      </c>
    </row>
    <row r="30" spans="2:6" x14ac:dyDescent="0.45">
      <c r="B30" s="50">
        <v>10</v>
      </c>
      <c r="C30" s="29">
        <v>44418</v>
      </c>
      <c r="D30" s="72">
        <v>0.73436342592322035</v>
      </c>
      <c r="E30" s="30" t="s">
        <v>208</v>
      </c>
      <c r="F30" s="32" t="s">
        <v>231</v>
      </c>
    </row>
    <row r="31" spans="2:6" x14ac:dyDescent="0.45">
      <c r="B31" s="50">
        <v>9</v>
      </c>
      <c r="C31" s="29">
        <v>44417</v>
      </c>
      <c r="D31" s="72">
        <v>0.54605324073781958</v>
      </c>
      <c r="E31" s="30" t="s">
        <v>208</v>
      </c>
      <c r="F31" s="31" t="s">
        <v>232</v>
      </c>
    </row>
    <row r="32" spans="2:6" x14ac:dyDescent="0.45">
      <c r="B32" s="50">
        <v>8</v>
      </c>
      <c r="C32" s="29">
        <v>44416</v>
      </c>
      <c r="D32" s="72">
        <v>0.54939814814861165</v>
      </c>
      <c r="E32" s="30" t="s">
        <v>208</v>
      </c>
      <c r="F32" s="31" t="s">
        <v>233</v>
      </c>
    </row>
    <row r="33" spans="2:6" x14ac:dyDescent="0.45">
      <c r="B33" s="50">
        <v>7</v>
      </c>
      <c r="C33" s="29">
        <v>44415</v>
      </c>
      <c r="D33" s="72">
        <v>0.96137731481576338</v>
      </c>
      <c r="E33" s="30" t="s">
        <v>208</v>
      </c>
      <c r="F33" s="31" t="s">
        <v>234</v>
      </c>
    </row>
    <row r="34" spans="2:6" x14ac:dyDescent="0.45">
      <c r="B34" s="50">
        <v>6</v>
      </c>
      <c r="C34" s="29">
        <v>44414</v>
      </c>
      <c r="D34" s="72">
        <v>0.66607638888672227</v>
      </c>
      <c r="E34" s="30" t="s">
        <v>208</v>
      </c>
      <c r="F34" s="32" t="s">
        <v>235</v>
      </c>
    </row>
    <row r="35" spans="2:6" x14ac:dyDescent="0.45">
      <c r="B35" s="50">
        <v>5</v>
      </c>
      <c r="C35" s="29">
        <v>44412</v>
      </c>
      <c r="D35" s="72">
        <v>0.34912037036701804</v>
      </c>
      <c r="E35" s="30" t="s">
        <v>208</v>
      </c>
      <c r="F35" s="32" t="s">
        <v>236</v>
      </c>
    </row>
    <row r="36" spans="2:6" x14ac:dyDescent="0.45">
      <c r="B36" s="50">
        <v>4</v>
      </c>
      <c r="C36" s="29">
        <v>44411</v>
      </c>
      <c r="D36" s="72">
        <v>0.37682870370190358</v>
      </c>
      <c r="E36" s="30" t="s">
        <v>208</v>
      </c>
      <c r="F36" s="31" t="s">
        <v>237</v>
      </c>
    </row>
    <row r="37" spans="2:6" x14ac:dyDescent="0.45">
      <c r="B37" s="50">
        <v>3</v>
      </c>
      <c r="C37" s="29">
        <v>44406</v>
      </c>
      <c r="D37" s="72">
        <v>0.59842592592758592</v>
      </c>
      <c r="E37" s="30" t="s">
        <v>208</v>
      </c>
      <c r="F37" s="31" t="s">
        <v>238</v>
      </c>
    </row>
    <row r="38" spans="2:6" x14ac:dyDescent="0.45">
      <c r="B38" s="50">
        <v>2</v>
      </c>
      <c r="C38" s="29">
        <v>44406</v>
      </c>
      <c r="D38" s="72">
        <v>0.57677083333692281</v>
      </c>
      <c r="E38" s="30" t="s">
        <v>208</v>
      </c>
      <c r="F38" s="32" t="s">
        <v>239</v>
      </c>
    </row>
    <row r="39" spans="2:6" x14ac:dyDescent="0.45">
      <c r="B39" s="33">
        <v>1</v>
      </c>
      <c r="C39" s="34">
        <v>44400</v>
      </c>
      <c r="D39" s="73">
        <v>0.58872685184906004</v>
      </c>
      <c r="E39" s="35" t="s">
        <v>208</v>
      </c>
      <c r="F39" s="36" t="s">
        <v>240</v>
      </c>
    </row>
  </sheetData>
  <sheetProtection sheet="1" objects="1" scenarios="1"/>
  <hyperlinks>
    <hyperlink ref="U4" r:id="rId1" xr:uid="{A2CCB4F3-5D89-421E-85F9-C8C3688A9DE0}"/>
    <hyperlink ref="U5" r:id="rId2" xr:uid="{81628BD5-452E-4AE3-812A-75764BD91489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SaveWorkbookAndExportModules">
                <anchor moveWithCells="1" sizeWithCells="1">
                  <from>
                    <xdr:col>2</xdr:col>
                    <xdr:colOff>581025</xdr:colOff>
                    <xdr:row>0</xdr:row>
                    <xdr:rowOff>171450</xdr:rowOff>
                  </from>
                  <to>
                    <xdr:col>4</xdr:col>
                    <xdr:colOff>890588</xdr:colOff>
                    <xdr:row>3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37</vt:i4>
      </vt:variant>
    </vt:vector>
  </HeadingPairs>
  <TitlesOfParts>
    <vt:vector size="42" baseType="lpstr">
      <vt:lpstr>Demo</vt:lpstr>
      <vt:lpstr>Performance</vt:lpstr>
      <vt:lpstr>ConvertTypes</vt:lpstr>
      <vt:lpstr>TestFiles</vt:lpstr>
      <vt:lpstr>Audit</vt:lpstr>
      <vt:lpstr>Comment</vt:lpstr>
      <vt:lpstr>TestFiles!ConvertTypes</vt:lpstr>
      <vt:lpstr>ConvertTypes!Data</vt:lpstr>
      <vt:lpstr>Demo!Data</vt:lpstr>
      <vt:lpstr>Demo!DateFormat</vt:lpstr>
      <vt:lpstr>TestFiles!DateFormat</vt:lpstr>
      <vt:lpstr>Demo!DateTimeFormat</vt:lpstr>
      <vt:lpstr>TestFiles!DecimalSeparator</vt:lpstr>
      <vt:lpstr>TestFiles!Delimiter</vt:lpstr>
      <vt:lpstr>DelimiterForXL</vt:lpstr>
      <vt:lpstr>Demo!EOL</vt:lpstr>
      <vt:lpstr>ConvertTypes!FileName</vt:lpstr>
      <vt:lpstr>Demo!FileName</vt:lpstr>
      <vt:lpstr>TestFiles!FileName</vt:lpstr>
      <vt:lpstr>FileName</vt:lpstr>
      <vt:lpstr>TestFiles!FileTable</vt:lpstr>
      <vt:lpstr>TestFiles!Folder</vt:lpstr>
      <vt:lpstr>FormatsForXL</vt:lpstr>
      <vt:lpstr>Audit!Headers</vt:lpstr>
      <vt:lpstr>TestFiles!IgnoreRepeated</vt:lpstr>
      <vt:lpstr>TestFiles!IndexToTest</vt:lpstr>
      <vt:lpstr>TestFiles!NumCols</vt:lpstr>
      <vt:lpstr>TestFiles!NumRows</vt:lpstr>
      <vt:lpstr>Performance!PutFormulasHere1</vt:lpstr>
      <vt:lpstr>Performance!PutFormulasHere2</vt:lpstr>
      <vt:lpstr>Performance!PutFormulasHere3</vt:lpstr>
      <vt:lpstr>Performance!PutFormulasHere4</vt:lpstr>
      <vt:lpstr>Performance!PutFormulasHere5</vt:lpstr>
      <vt:lpstr>Performance!PutFormulasHere6</vt:lpstr>
      <vt:lpstr>Performance!PutFormulasHere7</vt:lpstr>
      <vt:lpstr>Demo!QuoteAllStrings</vt:lpstr>
      <vt:lpstr>TestFiles!ShowMissingsAs</vt:lpstr>
      <vt:lpstr>TestFiles!SkipToCol</vt:lpstr>
      <vt:lpstr>TestFiles!SkipToRow</vt:lpstr>
      <vt:lpstr>Demo!Unicode</vt:lpstr>
      <vt:lpstr>TestFiles!Unicode</vt:lpstr>
      <vt:lpstr>Demo!Windows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2021-08-15T09:49:49Z</dcterms:created>
  <dcterms:modified xsi:type="dcterms:W3CDTF">2021-08-18T18:20:02Z</dcterms:modified>
</cp:coreProperties>
</file>