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1E365EE-7ECE-4F32-8C42-590BE08C7E19}" xr6:coauthVersionLast="47" xr6:coauthVersionMax="47" xr10:uidLastSave="{00000000-0000-0000-0000-000000000000}"/>
  <bookViews>
    <workbookView xWindow="-120" yWindow="-120" windowWidth="38640" windowHeight="21120"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 l="1" a="1"/>
  <c r="D9" i="1" s="1"/>
  <c r="E25" i="1"/>
  <c r="D33" i="1" a="1"/>
  <c r="D33" i="1" s="1"/>
  <c r="E41" i="1"/>
  <c r="E42" i="1"/>
  <c r="E24" i="1"/>
  <c r="E17" i="1"/>
  <c r="B109" i="1" a="1"/>
  <c r="B47" i="1" a="1"/>
  <c r="B109" i="1" l="1"/>
  <c r="B47" i="1"/>
  <c r="E13" i="1"/>
  <c r="E39" i="1"/>
  <c r="E38" i="1"/>
  <c r="E37" i="1"/>
  <c r="E36" i="1"/>
  <c r="E34" i="1"/>
  <c r="E33" i="1"/>
  <c r="D31" i="1"/>
  <c r="E23" i="1"/>
  <c r="E22" i="1"/>
  <c r="E21" i="1"/>
  <c r="E20" i="1"/>
  <c r="E19" i="1"/>
  <c r="E18" i="1"/>
  <c r="E15" i="1"/>
  <c r="E14" i="1"/>
  <c r="E12" i="1"/>
  <c r="E9" i="1"/>
  <c r="B157" i="1" a="1"/>
  <c r="B352" i="1" a="1"/>
  <c r="B315" i="1" a="1"/>
  <c r="B274" i="1" a="1"/>
  <c r="B157" i="1" l="1"/>
  <c r="B315" i="1"/>
  <c r="B352" i="1"/>
  <c r="B27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<sst xmlns="http://schemas.openxmlformats.org/spreadsheetml/2006/main" count="154" uniqueCount="117">
  <si>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</si>
  <si>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</si>
  <si>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</si>
  <si>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</si>
  <si>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</si>
  <si>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</si>
  <si>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</si>
  <si>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</si>
  <si>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</si>
  <si>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</si>
  <si>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</si>
  <si>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</si>
  <si>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</si>
  <si>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</si>
  <si>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</si>
  <si>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</si>
  <si>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</si>
  <si>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</si>
  <si>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NumRows</t>
  </si>
  <si>
    <t>The number of rows to read from the file. If omitted (or zero), all rows from SkipToRow to the end of the file are read.</t>
  </si>
  <si>
    <t>NumCols</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</si>
  <si>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</si>
  <si>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</si>
  <si>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</si>
  <si>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</si>
  <si>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</si>
  <si>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</si>
  <si>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</si>
  <si>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</si>
  <si>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</si>
  <si>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</si>
  <si>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</si>
  <si>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</si>
  <si>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</si>
  <si>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</si>
  <si>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</si>
  <si>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</si>
  <si>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</si>
  <si>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</si>
  <si>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</si>
  <si>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</si>
  <si>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</si>
  <si>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</si>
  <si>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</si>
  <si>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</si>
  <si>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</si>
  <si>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</si>
  <si>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</si>
  <si>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</si>
  <si>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</si>
  <si>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</si>
  <si>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</si>
  <si>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</si>
  <si>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</si>
  <si>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</si>
  <si>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</si>
  <si>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</si>
  <si>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</si>
  <si>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</si>
  <si>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</si>
  <si>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</si>
  <si>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</si>
  <si>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</si>
  <si>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</si>
  <si>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</si>
  <si>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</si>
  <si>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</si>
  <si>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</si>
  <si>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</si>
  <si>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</si>
  <si>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</si>
  <si>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</si>
  <si>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</si>
  <si>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</si>
  <si>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</si>
  <si>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</si>
  <si>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</si>
  <si>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</si>
  <si>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</si>
  <si>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</si>
  <si>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</si>
  <si>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</si>
  <si>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</si>
  <si>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</si>
  <si>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</si>
  <si>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</si>
  <si>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</si>
  <si>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</si>
  <si>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</si>
  <si>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</si>
  <si>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</si>
  <si>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</si>
  <si>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</si>
  <si>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</si>
  <si>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</si>
  <si>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</si>
  <si>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</si>
  <si>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</si>
  <si>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</si>
  <si>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</si>
  <si>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</si>
  <si>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</si>
  <si>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</si>
  <si>
    <t>Tweaks to help text</t>
  </si>
  <si>
    <t>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</si>
  <si>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Tweak to method CodeToRegister.</t>
  </si>
  <si>
    <t>Updated help for Delimiter argument to CSVRead.</t>
  </si>
  <si>
    <t>`Windows-1252`</t>
  </si>
  <si>
    <t>[`Windows-1252`](https://en.wikipedia.org/wiki/Windows-1252)</t>
  </si>
  <si>
    <t>Updated help for Encoding argument to CSVRead.</t>
  </si>
  <si>
    <t>Updates to Help.</t>
  </si>
  <si>
    <t>If a number, sets the number of columns to read from the file. If a string matching one of the file's headers, sets the last column to be read. If omitted (or zero), all columns from SkipToCol are read.</t>
  </si>
  <si>
    <t>The column in the file at which reading starts, as a number or a string matching one of the file's headers. Optional and defaults to 1 to read from the first column.</t>
  </si>
  <si>
    <t>Updated documentation for SkipToCol and NumCols.</t>
  </si>
  <si>
    <t>Type conversion: Boolean or string. Allowed letters NDBETQK. N = Numbers, D = Dates, B = Booleans, E = Excel errors, T = trim leading &amp; trailing spaces, Q = quoted fields also converted, K = quotes kept. TRUE = NDB, FALSE = no conversion.</t>
  </si>
  <si>
    <t>Controls whether fields in the file are converted to typed values or remain as strings, and sets the treatment of "quoted fields" and space characters.
ConvertTypes should be a string of zero or more letters from allowed characters `NDBETQK`.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Four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7) `K` quoted fields are returned with their quotes kept in place.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`NDBETQK`)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</si>
  <si>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Updated help for "K" option to ConvertTypes.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</si>
</sst>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0" fontId="7" fillId="2" borderId="14" xfId="0" quotePrefix="1"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3" Type="http://schemas.openxmlformats.org/officeDocument/2006/relationships/theme" Target="theme/theme1.xml"/><Relationship Id="rId7" Type="http://schemas.microsoft.com/office/2017/06/relationships/rdRichValue" Target="richData/rdrichvalu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alcChain" Target="calcChain.xml"/><Relationship Id="rId4" Type="http://schemas.openxmlformats.org/officeDocument/2006/relationships/styles" Target="styles.xml"/><Relationship Id="rId9"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2447925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intellisense workbook...</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116</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91"/>
  <sheetViews>
    <sheetView showGridLines="0" showRowColHeaders="0" tabSelected="1" zoomScaleNormal="100" workbookViewId="0"/>
  </sheetViews>
  <sheetFormatPr defaultRowHeight="15" x14ac:dyDescent="0.25"/>
  <cols>
    <col min="1" max="1" width="4.5703125" customWidth="1"/>
    <col min="2" max="2" width="14.85546875" bestFit="1" customWidth="1"/>
    <col min="3" max="3" width="69.5703125" bestFit="1" customWidth="1"/>
    <col min="4" max="4" width="14.5703125" bestFit="1" customWidth="1"/>
    <col min="5" max="5" width="100.5703125" customWidth="1"/>
    <col min="10" max="10" width="27.5703125" bestFit="1" customWidth="1"/>
    <col min="11" max="11" width="119.85546875" bestFit="1" customWidth="1"/>
  </cols>
  <sheetData>
    <row r="1" spans="2:11" ht="28.5" x14ac:dyDescent="0.45">
      <c r="B1" s="1" t="s">
        <v>0</v>
      </c>
    </row>
    <row r="2" spans="2:11" x14ac:dyDescent="0.25">
      <c r="B2" s="2" t="s">
        <v>1</v>
      </c>
    </row>
    <row r="3" spans="2:11" x14ac:dyDescent="0.25">
      <c r="B3" s="2"/>
    </row>
    <row r="4" spans="2:11" x14ac:dyDescent="0.25">
      <c r="B4" t="s">
        <v>2</v>
      </c>
      <c r="C4" s="3" t="s">
        <v>97</v>
      </c>
    </row>
    <row r="5" spans="2:11" x14ac:dyDescent="0.25">
      <c r="J5" s="41" t="s">
        <v>49</v>
      </c>
      <c r="K5" s="28" t="s">
        <v>50</v>
      </c>
    </row>
    <row r="6" spans="2:11" x14ac:dyDescent="0.25">
      <c r="B6" s="5" t="s">
        <v>4</v>
      </c>
      <c r="C6" s="6" t="s">
        <v>5</v>
      </c>
      <c r="D6" s="7" t="s">
        <v>6</v>
      </c>
      <c r="J6" s="4" t="s">
        <v>3</v>
      </c>
      <c r="K6" s="4" t="s">
        <v>48</v>
      </c>
    </row>
    <row r="7" spans="2:11" x14ac:dyDescent="0.25">
      <c r="B7" s="8" t="s">
        <v>7</v>
      </c>
      <c r="C7" s="9" t="s">
        <v>8</v>
      </c>
      <c r="D7" s="10">
        <v>67</v>
      </c>
      <c r="J7" t="s">
        <v>107</v>
      </c>
      <c r="K7" s="4" t="s">
        <v>108</v>
      </c>
    </row>
    <row r="8" spans="2:11" x14ac:dyDescent="0.25">
      <c r="B8" s="5" t="s">
        <v>9</v>
      </c>
      <c r="C8" s="38" t="s">
        <v>47</v>
      </c>
      <c r="D8" s="11"/>
      <c r="E8" s="28" t="s">
        <v>38</v>
      </c>
      <c r="J8" t="s">
        <v>58</v>
      </c>
      <c r="K8" s="4" t="s">
        <v>59</v>
      </c>
    </row>
    <row r="9" spans="2:11" ht="30" x14ac:dyDescent="0.25">
      <c r="B9" s="12" t="s">
        <v>10</v>
      </c>
      <c r="C9" s="15" t="s">
        <v>53</v>
      </c>
      <c r="D9" s="14" cm="1">
        <f t="array" ref="D9:D27">LEN(C9:C27)</f>
        <v>103</v>
      </c>
      <c r="E9" s="39" t="str">
        <f>C9</f>
        <v>The full name of the file, including the path, or else a URL of a file, or else a string in CSV format.</v>
      </c>
    </row>
    <row r="10" spans="2:11" ht="409.5" x14ac:dyDescent="0.25">
      <c r="B10" s="12" t="s">
        <v>11</v>
      </c>
      <c r="C10" s="15" t="s">
        <v>114</v>
      </c>
      <c r="D10" s="14">
        <v>238</v>
      </c>
      <c r="E10" s="39" t="s">
        <v>115</v>
      </c>
    </row>
    <row r="11" spans="2:11" ht="120" x14ac:dyDescent="0.25">
      <c r="B11" s="17" t="s">
        <v>12</v>
      </c>
      <c r="C11" s="15" t="s">
        <v>13</v>
      </c>
      <c r="D11" s="14">
        <v>234</v>
      </c>
      <c r="E11" s="39" t="s">
        <v>104</v>
      </c>
    </row>
    <row r="12" spans="2:11" ht="45" x14ac:dyDescent="0.25">
      <c r="B12" s="17" t="s">
        <v>14</v>
      </c>
      <c r="C12" s="15" t="s">
        <v>79</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60" x14ac:dyDescent="0.25">
      <c r="B13" s="17" t="s">
        <v>15</v>
      </c>
      <c r="C13" s="15" t="s">
        <v>86</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25">
      <c r="B14" s="17" t="s">
        <v>44</v>
      </c>
      <c r="C14" s="15" t="s">
        <v>51</v>
      </c>
      <c r="D14" s="14">
        <v>63</v>
      </c>
      <c r="E14" s="39" t="str">
        <f t="shared" ref="E14:E23" si="0">C14</f>
        <v>Rows that start with this string will be skipped while parsing.</v>
      </c>
    </row>
    <row r="15" spans="2:11" ht="30" x14ac:dyDescent="0.25">
      <c r="B15" s="40" t="s">
        <v>57</v>
      </c>
      <c r="C15" s="15" t="s">
        <v>68</v>
      </c>
      <c r="D15" s="14">
        <v>146</v>
      </c>
      <c r="E15" s="39" t="str">
        <f t="shared" si="0"/>
        <v>Whether empty rows/lines in the file should be skipped while parsing (if `FALSE`, each column will be assigned ShowMissingsAs for that empty row).</v>
      </c>
    </row>
    <row r="16" spans="2:11" ht="90" x14ac:dyDescent="0.25">
      <c r="B16" s="40" t="s">
        <v>62</v>
      </c>
      <c r="C16" s="15" t="s">
        <v>69</v>
      </c>
      <c r="D16" s="14">
        <v>175</v>
      </c>
      <c r="E16" s="15" t="s">
        <v>70</v>
      </c>
    </row>
    <row r="17" spans="2:10" ht="30" x14ac:dyDescent="0.25">
      <c r="B17" s="16" t="s">
        <v>16</v>
      </c>
      <c r="C17" s="15" t="s">
        <v>65</v>
      </c>
      <c r="D17" s="14">
        <v>109</v>
      </c>
      <c r="E17" s="39" t="str">
        <f>C17</f>
        <v>The first row in the file that's included in the return. Optional and defaults to one more than HeaderRowNum.</v>
      </c>
    </row>
    <row r="18" spans="2:10" ht="45" x14ac:dyDescent="0.25">
      <c r="B18" s="12" t="s">
        <v>17</v>
      </c>
      <c r="C18" s="15" t="s">
        <v>112</v>
      </c>
      <c r="D18" s="14">
        <v>165</v>
      </c>
      <c r="E18" s="39" t="str">
        <f t="shared" si="0"/>
        <v>The column in the file at which reading starts, as a number or a string matching one of the file's headers. Optional and defaults to 1 to read from the first column.</v>
      </c>
    </row>
    <row r="19" spans="2:10" ht="30" x14ac:dyDescent="0.25">
      <c r="B19" s="16" t="s">
        <v>18</v>
      </c>
      <c r="C19" s="15" t="s">
        <v>19</v>
      </c>
      <c r="D19" s="14">
        <v>120</v>
      </c>
      <c r="E19" s="39" t="str">
        <f t="shared" si="0"/>
        <v>The number of rows to read from the file. If omitted (or zero), all rows from SkipToRow to the end of the file are read.</v>
      </c>
    </row>
    <row r="20" spans="2:10" ht="45" x14ac:dyDescent="0.25">
      <c r="B20" s="12" t="s">
        <v>20</v>
      </c>
      <c r="C20" s="15" t="s">
        <v>111</v>
      </c>
      <c r="D20" s="14">
        <v>202</v>
      </c>
      <c r="E20" s="39" t="str">
        <f t="shared" si="0"/>
        <v>If a number, sets the number of columns to read from the file. If a string matching one of the file's headers, sets the last column to be read. If omitted (or zero), all columns from SkipToCol are read.</v>
      </c>
    </row>
    <row r="21" spans="2:10" ht="45" x14ac:dyDescent="0.25">
      <c r="B21" s="12" t="s">
        <v>54</v>
      </c>
      <c r="C21" s="15" t="s">
        <v>74</v>
      </c>
      <c r="D21" s="14">
        <v>178</v>
      </c>
      <c r="E21" s="39" t="str">
        <f t="shared" si="0"/>
        <v>Indicates how `TRUE` values are represented in the file. May be a string, an array of strings or a range containing strings; by default, `TRUE`, `True` and `true` are recognised.</v>
      </c>
      <c r="J21" s="4"/>
    </row>
    <row r="22" spans="2:10" ht="45" x14ac:dyDescent="0.25">
      <c r="B22" s="12" t="s">
        <v>55</v>
      </c>
      <c r="C22" s="15" t="s">
        <v>75</v>
      </c>
      <c r="D22" s="14">
        <v>182</v>
      </c>
      <c r="E22" s="39" t="str">
        <f t="shared" si="0"/>
        <v>Indicates how `FALSE` values are represented in the file. May be a string, an array of strings or a range containing strings; by default, `FALSE`, `False` and `false` are recognised.</v>
      </c>
    </row>
    <row r="23" spans="2:10" ht="45" x14ac:dyDescent="0.25">
      <c r="B23" s="12" t="s">
        <v>56</v>
      </c>
      <c r="C23" s="15" t="s">
        <v>76</v>
      </c>
      <c r="D23" s="14">
        <v>205</v>
      </c>
      <c r="E23" s="39" t="str">
        <f t="shared" si="0"/>
        <v>Indicates how missing values are represented in the file. May be a string, an array of strings or a range containing strings. By default, only an empty field (consecutive delimiters) is considered missing.</v>
      </c>
    </row>
    <row r="24" spans="2:10" ht="90" x14ac:dyDescent="0.25">
      <c r="B24" s="12" t="s">
        <v>21</v>
      </c>
      <c r="C24" s="15" t="s">
        <v>77</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90" x14ac:dyDescent="0.25">
      <c r="B25" s="12" t="s">
        <v>52</v>
      </c>
      <c r="C25" s="15" t="s">
        <v>83</v>
      </c>
      <c r="D25" s="14">
        <v>147</v>
      </c>
      <c r="E25" s="42" t="str">
        <f>C25&amp;" If auto-detection does not work, then it's possible that the file is encoded `UTF-8` or `UTF-16` but without a byte option mark to identify the encoding. Experiment with Encoding as each of `UTF-8` and `UTF-16`." &amp; CHAR(10) &amp; CHAR(10)&amp;"`ANSI` is taken to mean `Windows-1252` encoding."</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
`ANSI` is taken to mean `Windows-1252` encoding.</v>
      </c>
    </row>
    <row r="26" spans="2:10" ht="45" x14ac:dyDescent="0.25">
      <c r="B26" s="12" t="s">
        <v>22</v>
      </c>
      <c r="C26" s="13" t="s">
        <v>23</v>
      </c>
      <c r="D26" s="18">
        <v>113</v>
      </c>
      <c r="E26" s="43" t="s">
        <v>24</v>
      </c>
    </row>
    <row r="27" spans="2:10" ht="30" x14ac:dyDescent="0.25">
      <c r="B27" s="16" t="s">
        <v>63</v>
      </c>
      <c r="C27" s="15" t="s">
        <v>64</v>
      </c>
      <c r="D27" s="18">
        <v>22</v>
      </c>
      <c r="E27" s="39" t="s">
        <v>81</v>
      </c>
    </row>
    <row r="28" spans="2:10" ht="240" x14ac:dyDescent="0.25">
      <c r="B28" s="12" t="s">
        <v>25</v>
      </c>
      <c r="C28" s="15" t="s">
        <v>60</v>
      </c>
      <c r="D28" s="7"/>
    </row>
    <row r="29" spans="2:10" x14ac:dyDescent="0.25">
      <c r="B29" s="19"/>
      <c r="C29" s="20"/>
    </row>
    <row r="30" spans="2:10" x14ac:dyDescent="0.25">
      <c r="B30" s="5" t="s">
        <v>4</v>
      </c>
      <c r="C30" s="6" t="s">
        <v>5</v>
      </c>
      <c r="D30" s="21" t="s">
        <v>6</v>
      </c>
    </row>
    <row r="31" spans="2:10" ht="60" x14ac:dyDescent="0.25">
      <c r="B31" s="22" t="s">
        <v>26</v>
      </c>
      <c r="C31" s="15" t="s">
        <v>66</v>
      </c>
      <c r="D31" s="11">
        <f>LEN(C31)</f>
        <v>241</v>
      </c>
      <c r="E31" s="7"/>
    </row>
    <row r="32" spans="2:10" x14ac:dyDescent="0.25">
      <c r="B32" s="5" t="s">
        <v>9</v>
      </c>
      <c r="C32" s="6" t="s">
        <v>27</v>
      </c>
      <c r="D32" s="11"/>
      <c r="E32" s="7"/>
    </row>
    <row r="33" spans="2:5" ht="60" x14ac:dyDescent="0.25">
      <c r="B33" s="12" t="s">
        <v>28</v>
      </c>
      <c r="C33" s="15" t="s">
        <v>90</v>
      </c>
      <c r="D33" s="11" cm="1">
        <f t="array" ref="D33:D42">LEN(C33:C42)</f>
        <v>254</v>
      </c>
      <c r="E33" s="39" t="str">
        <f t="shared" ref="E33:E42" si="1">C33</f>
        <v>An array of data, or an Excel range. Elements may be strings, numbers, dates, Booleans, empty, Excel errors or null values. Data typically has two dimensions, but if Data has only one dimension then the output file has a single column, one field per row.</v>
      </c>
    </row>
    <row r="34" spans="2:5" ht="30" x14ac:dyDescent="0.25">
      <c r="B34" s="12" t="s">
        <v>10</v>
      </c>
      <c r="C34" s="15" t="s">
        <v>67</v>
      </c>
      <c r="D34" s="11">
        <v>149</v>
      </c>
      <c r="E34" s="39" t="str">
        <f>C34</f>
        <v>The full name of the file, including the path. Alternatively, if FileName is omitted, then the function returns Data converted CSV-style to a string.</v>
      </c>
    </row>
    <row r="35" spans="2:5" ht="60" x14ac:dyDescent="0.25">
      <c r="B35" s="12" t="s">
        <v>29</v>
      </c>
      <c r="C35" s="15" t="s">
        <v>30</v>
      </c>
      <c r="D35" s="11">
        <v>244</v>
      </c>
      <c r="E35" s="39" t="s">
        <v>71</v>
      </c>
    </row>
    <row r="36" spans="2:5" ht="30" x14ac:dyDescent="0.25">
      <c r="B36" s="12" t="s">
        <v>15</v>
      </c>
      <c r="C36" s="15" t="s">
        <v>72</v>
      </c>
      <c r="D36" s="11">
        <v>136</v>
      </c>
      <c r="E36" s="39" t="str">
        <f t="shared" si="1"/>
        <v>A format string that determines how dates, including cells formatted as dates, appear in the file. If omitted, defaults to `yyyy-mm-dd`.</v>
      </c>
    </row>
    <row r="37" spans="2:5" ht="60" x14ac:dyDescent="0.25">
      <c r="B37" s="12" t="s">
        <v>31</v>
      </c>
      <c r="C37" s="15" t="s">
        <v>73</v>
      </c>
      <c r="D37" s="1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30" x14ac:dyDescent="0.25">
      <c r="B38" s="12" t="s">
        <v>12</v>
      </c>
      <c r="C38" s="15" t="s">
        <v>32</v>
      </c>
      <c r="D38" s="11">
        <v>97</v>
      </c>
      <c r="E38" s="39" t="str">
        <f t="shared" si="1"/>
        <v>The delimiter string, if omitted defaults to a comma. Delimiter may have more than one character.</v>
      </c>
    </row>
    <row r="39" spans="2:5" ht="60" x14ac:dyDescent="0.25">
      <c r="B39" s="16" t="s">
        <v>52</v>
      </c>
      <c r="C39" s="16" t="s">
        <v>84</v>
      </c>
      <c r="D39" s="1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5" x14ac:dyDescent="0.25">
      <c r="B40" s="12" t="s">
        <v>33</v>
      </c>
      <c r="C40" s="16" t="s">
        <v>100</v>
      </c>
      <c r="D40" s="11">
        <v>220</v>
      </c>
      <c r="E40" s="39" t="s">
        <v>101</v>
      </c>
    </row>
    <row r="41" spans="2:5" ht="30" x14ac:dyDescent="0.25">
      <c r="B41" s="12" t="s">
        <v>93</v>
      </c>
      <c r="C41" s="15" t="s" cm="1">
        <v>95</v>
      </c>
      <c r="D41" s="10">
        <v>92</v>
      </c>
      <c r="E41" s="39" t="str">
        <f t="shared" si="1"/>
        <v>How the Boolean value True is to be represented in the file. Optional, defaulting to "True".</v>
      </c>
    </row>
    <row r="42" spans="2:5" ht="30" x14ac:dyDescent="0.25">
      <c r="B42" s="12" t="s">
        <v>94</v>
      </c>
      <c r="C42" s="15" t="s">
        <v>96</v>
      </c>
      <c r="D42" s="10">
        <v>94</v>
      </c>
      <c r="E42" s="39" t="str">
        <f t="shared" si="1"/>
        <v>How the Boolean value False is to be represented in the file. Optional, defaulting to "False".</v>
      </c>
    </row>
    <row r="43" spans="2:5" ht="60" x14ac:dyDescent="0.25">
      <c r="B43" s="12" t="s">
        <v>25</v>
      </c>
      <c r="C43" s="23" t="s">
        <v>61</v>
      </c>
      <c r="D43" s="24"/>
    </row>
    <row r="44" spans="2:5" x14ac:dyDescent="0.25">
      <c r="B44" s="19"/>
      <c r="C44" s="20"/>
    </row>
    <row r="45" spans="2:5" x14ac:dyDescent="0.25">
      <c r="C45" s="4"/>
    </row>
    <row r="46" spans="2:5" x14ac:dyDescent="0.25">
      <c r="B46" s="25" t="s">
        <v>34</v>
      </c>
    </row>
    <row r="47" spans="2:5" x14ac:dyDescent="0.25">
      <c r="B47" s="26" t="str" cm="1">
        <f t="array" ref="B47:B107">CodeToRegister(B7,C7,C9:C27)</f>
        <v>' -----------------------------------------------------------------------------------------------------------------------</v>
      </c>
      <c r="E47" s="26"/>
    </row>
    <row r="48" spans="2:5" x14ac:dyDescent="0.25">
      <c r="B48" s="26" t="str">
        <v>' Procedure  : RegisterCSVRead</v>
      </c>
      <c r="E48" s="26"/>
    </row>
    <row r="49" spans="2:5" x14ac:dyDescent="0.25">
      <c r="B49" s="26" t="str">
        <v>' Purpose    : Register the function CSVRead with the Excel function wizard. Suggest this function is called from a</v>
      </c>
      <c r="E49" s="26"/>
    </row>
    <row r="50" spans="2:5" x14ac:dyDescent="0.25">
      <c r="B50" s="26" t="str">
        <v>'              WorkBook_Open event.</v>
      </c>
      <c r="E50" s="26"/>
    </row>
    <row r="51" spans="2:5" x14ac:dyDescent="0.25">
      <c r="B51" s="26" t="str">
        <v>' -----------------------------------------------------------------------------------------------------------------------</v>
      </c>
      <c r="E51" s="26"/>
    </row>
    <row r="52" spans="2:5" x14ac:dyDescent="0.25">
      <c r="B52" s="26" t="str">
        <v>Public Sub RegisterCSVRead()</v>
      </c>
      <c r="E52" s="26"/>
    </row>
    <row r="53" spans="2:5" x14ac:dyDescent="0.25">
      <c r="B53" s="26" t="str">
        <v xml:space="preserve">    Const Description As String = "Returns the contents of a comma-separated file on disk as an array."</v>
      </c>
      <c r="E53" s="26"/>
    </row>
    <row r="54" spans="2:5" x14ac:dyDescent="0.25">
      <c r="B54" s="26" t="str">
        <v xml:space="preserve">    Dim ArgDescs() As String</v>
      </c>
      <c r="E54" s="26"/>
    </row>
    <row r="55" spans="2:5" x14ac:dyDescent="0.25">
      <c r="B55" s="26" t="str">
        <v/>
      </c>
      <c r="E55" s="26"/>
    </row>
    <row r="56" spans="2:5" x14ac:dyDescent="0.25">
      <c r="B56" s="26" t="str">
        <v xml:space="preserve">    On Error GoTo ErrHandler</v>
      </c>
      <c r="E56" s="26"/>
    </row>
    <row r="57" spans="2:5" x14ac:dyDescent="0.25">
      <c r="B57" s="26" t="str">
        <v/>
      </c>
      <c r="E57" s="26"/>
    </row>
    <row r="58" spans="2:5" x14ac:dyDescent="0.25">
      <c r="B58" s="26" t="str">
        <v xml:space="preserve">    ReDim ArgDescs(1 To 19)</v>
      </c>
      <c r="E58" s="26"/>
    </row>
    <row r="59" spans="2:5" x14ac:dyDescent="0.25">
      <c r="B59" s="26" t="str">
        <v xml:space="preserve">    ArgDescs(1) = "The full name of the file, including the path, or else a URL of a file, or else a string in CSV " &amp; _</v>
      </c>
      <c r="E59" s="26"/>
    </row>
    <row r="60" spans="2:5" x14ac:dyDescent="0.25">
      <c r="B60" s="26" t="str">
        <v xml:space="preserve">                  "format."</v>
      </c>
      <c r="E60" s="26"/>
    </row>
    <row r="61" spans="2:5" x14ac:dyDescent="0.25">
      <c r="B61" s="26" t="str">
        <v xml:space="preserve">    ArgDescs(2) = "Type conversion: Boolean or string. Allowed letters NDBETQK. N = Numbers, D = Dates, B = " &amp; _</v>
      </c>
      <c r="E61" s="26"/>
    </row>
    <row r="62" spans="2:5" x14ac:dyDescent="0.25">
      <c r="B62" s="26" t="str">
        <v xml:space="preserve">                  "Booleans, E = Excel errors, T = trim leading &amp; trailing spaces, Q = quoted fields also " &amp; _</v>
      </c>
      <c r="E62" s="26"/>
    </row>
    <row r="63" spans="2:5" x14ac:dyDescent="0.25">
      <c r="B63" s="26" t="str">
        <v xml:space="preserve">                  "converted, K = quotes kept. TRUE = NDB, FALSE = no conversion."</v>
      </c>
      <c r="E63" s="26"/>
    </row>
    <row r="64" spans="2:5" x14ac:dyDescent="0.25">
      <c r="B64" s="26" t="str">
        <v xml:space="preserve">    ArgDescs(3) = "Delimiter string. Defaults to the first instance of comma, tab, semi-colon, colon or pipe found " &amp; _</v>
      </c>
      <c r="E64" s="26"/>
    </row>
    <row r="65" spans="2:5" x14ac:dyDescent="0.25">
      <c r="B65" s="26" t="str">
        <v xml:space="preserve">                  "outside quoted regions within the first 10,000 characters. Enter FALSE to  see the file's " &amp; _</v>
      </c>
      <c r="E65" s="26"/>
    </row>
    <row r="66" spans="2:5" x14ac:dyDescent="0.25">
      <c r="B66" s="26" t="str">
        <v xml:space="preserve">                  "contents as would be displayed in a text editor."</v>
      </c>
      <c r="E66" s="26"/>
    </row>
    <row r="67" spans="2:5" x14ac:dyDescent="0.25">
      <c r="B67" s="26" t="str">
        <v xml:space="preserve">    ArgDescs(4) = "Whether delimiters which appear at the start of a line, the end of a line or immediately after " &amp; _</v>
      </c>
      <c r="E67" s="26"/>
    </row>
    <row r="68" spans="2:5" x14ac:dyDescent="0.25">
      <c r="B68" s="26" t="str">
        <v xml:space="preserve">                  "another delimiter should be ignored while parsing; useful for fixed-width files with delimiter " &amp; _</v>
      </c>
      <c r="E68" s="26"/>
    </row>
    <row r="69" spans="2:5" x14ac:dyDescent="0.25">
      <c r="B69" s="26" t="str">
        <v xml:space="preserve">                  "padding between fields."</v>
      </c>
      <c r="E69" s="26"/>
    </row>
    <row r="70" spans="2:5" x14ac:dyDescent="0.25">
      <c r="B70" s="26" t="str">
        <v xml:space="preserve">    ArgDescs(5) = "The format of dates in the file such as `Y-M-D` (the default), `M-D-Y` or `Y/M/D`. Also `ISO` " &amp; _</v>
      </c>
      <c r="E70" s="26"/>
    </row>
    <row r="71" spans="2:5" x14ac:dyDescent="0.25">
      <c r="B71" s="26" t="str">
        <v xml:space="preserve">                  "for ISO8601 (e.g., 2021-08-26T09:11:30) or `ISOZ` (time zone given e.g. " &amp; _</v>
      </c>
      <c r="E71" s="26"/>
    </row>
    <row r="72" spans="2:5" x14ac:dyDescent="0.25">
      <c r="B72" s="26" t="str">
        <v xml:space="preserve">                  "2021-08-26T13:11:30+05:00), in which case dates-with-time are returned in UTC time."</v>
      </c>
      <c r="E72" s="26"/>
    </row>
    <row r="73" spans="2:5" x14ac:dyDescent="0.25">
      <c r="B73" s="26" t="str">
        <v xml:space="preserve">    ArgDescs(6) = "Rows that start with this string will be skipped while parsing."</v>
      </c>
      <c r="E73" s="26"/>
    </row>
    <row r="74" spans="2:5" x14ac:dyDescent="0.25">
      <c r="B74" s="26" t="str">
        <v xml:space="preserve">    ArgDescs(7) = "Whether empty rows/lines in the file should be skipped while parsing (if `FALSE`, each column " &amp; _</v>
      </c>
      <c r="E74" s="26"/>
    </row>
    <row r="75" spans="2:5" x14ac:dyDescent="0.25">
      <c r="B75" s="26" t="str">
        <v xml:space="preserve">                  "will be assigned ShowMissingsAs for that empty row)."</v>
      </c>
      <c r="E75" s="26"/>
    </row>
    <row r="76" spans="2:5" x14ac:dyDescent="0.25">
      <c r="B76" s="26" t="str">
        <v xml:space="preserve">    ArgDescs(8) = "The row in the file containing headers. Optional and defaults to 0. Type conversion is not " &amp; _</v>
      </c>
      <c r="E76" s="26"/>
    </row>
    <row r="77" spans="2:5" x14ac:dyDescent="0.25">
      <c r="B77" s="26" t="str">
        <v xml:space="preserve">                  "applied to fields in the header row, though leading and trailing spaces are trimmed."</v>
      </c>
      <c r="E77" s="26"/>
    </row>
    <row r="78" spans="2:5" x14ac:dyDescent="0.25">
      <c r="B78" s="26" t="str">
        <v xml:space="preserve">    ArgDescs(9) = "The first row in the file that's included in the return. Optional and defaults to one more than " &amp; _</v>
      </c>
      <c r="E78" s="26"/>
    </row>
    <row r="79" spans="2:5" x14ac:dyDescent="0.25">
      <c r="B79" s="26" t="str">
        <v xml:space="preserve">                  "HeaderRowNum."</v>
      </c>
      <c r="E79" s="26"/>
    </row>
    <row r="80" spans="2:5" x14ac:dyDescent="0.25">
      <c r="B80" s="26" t="str">
        <v xml:space="preserve">    ArgDescs(10) = "The column in the file at which reading starts, as a number or a string matching one of the " &amp; _</v>
      </c>
      <c r="E80" s="26"/>
    </row>
    <row r="81" spans="2:5" x14ac:dyDescent="0.25">
      <c r="B81" s="26" t="str">
        <v xml:space="preserve">                   "file's headers. Optional and defaults to 1 to read from the first column."</v>
      </c>
      <c r="E81" s="26"/>
    </row>
    <row r="82" spans="2:5" x14ac:dyDescent="0.25">
      <c r="B82" s="26" t="str">
        <v xml:space="preserve">    ArgDescs(11) = "The number of rows to read from the file. If omitted (or zero), all rows from SkipToRow to the " &amp; _</v>
      </c>
      <c r="E82" s="26"/>
    </row>
    <row r="83" spans="2:5" x14ac:dyDescent="0.25">
      <c r="B83" s="26" t="str">
        <v xml:space="preserve">                   "end of the file are read."</v>
      </c>
      <c r="E83" s="26"/>
    </row>
    <row r="84" spans="2:5" x14ac:dyDescent="0.25">
      <c r="B84" s="26" t="str">
        <v xml:space="preserve">    ArgDescs(12) = "If a number, sets the number of columns to read from the file. If a string matching one of the " &amp; _</v>
      </c>
      <c r="E84" s="26"/>
    </row>
    <row r="85" spans="2:5" x14ac:dyDescent="0.25">
      <c r="B85" s="26" t="str">
        <v xml:space="preserve">                   "file's headers, sets the last column to be read. If omitted (or zero), all columns from " &amp; _</v>
      </c>
      <c r="E85" s="26"/>
    </row>
    <row r="86" spans="2:5" x14ac:dyDescent="0.25">
      <c r="B86" s="26" t="str">
        <v xml:space="preserve">                   "SkipToCol are read."</v>
      </c>
      <c r="E86" s="26"/>
    </row>
    <row r="87" spans="2:5" x14ac:dyDescent="0.25">
      <c r="B87" s="26" t="str">
        <v xml:space="preserve">    ArgDescs(13) = "Indicates how `TRUE` values are represented in the file. May be a string, an array of strings " &amp; _</v>
      </c>
      <c r="E87" s="26"/>
    </row>
    <row r="88" spans="2:5" x14ac:dyDescent="0.25">
      <c r="B88" s="26" t="str">
        <v xml:space="preserve">                   "or a range containing strings; by default, `TRUE`, `True` and `true` are recognised."</v>
      </c>
      <c r="E88" s="26"/>
    </row>
    <row r="89" spans="2:5" x14ac:dyDescent="0.25">
      <c r="B89" s="26" t="str">
        <v xml:space="preserve">    ArgDescs(14) = "Indicates how `FALSE` values are represented in the file. May be a string, an array of strings " &amp; _</v>
      </c>
      <c r="E89" s="26"/>
    </row>
    <row r="90" spans="2:5" x14ac:dyDescent="0.25">
      <c r="B90" s="26" t="str">
        <v xml:space="preserve">                   "or a range containing strings; by default, `FALSE`, `False` and `false` are recognised."</v>
      </c>
      <c r="E90" s="26"/>
    </row>
    <row r="91" spans="2:5" x14ac:dyDescent="0.25">
      <c r="B91" s="26" t="str">
        <v xml:space="preserve">    ArgDescs(15) = "Indicates how missing values are represented in the file. May be a string, an array of strings " &amp; _</v>
      </c>
      <c r="E91" s="26"/>
    </row>
    <row r="92" spans="2:5" x14ac:dyDescent="0.25">
      <c r="B92" s="26" t="str">
        <v xml:space="preserve">                   "or a range containing strings. By default, only an empty field (consecutive delimiters) is " &amp; _</v>
      </c>
      <c r="E92" s="26"/>
    </row>
    <row r="93" spans="2:5" x14ac:dyDescent="0.25">
      <c r="B93" s="26" t="str">
        <v xml:space="preserve">                   "considered missing."</v>
      </c>
      <c r="E93" s="26"/>
    </row>
    <row r="94" spans="2:5" x14ac:dyDescent="0.25">
      <c r="B94" s="26" t="str">
        <v xml:space="preserve">    ArgDescs(16) = "Fields which are missing in the file (consecutive delimiters) or match one of the " &amp; _</v>
      </c>
      <c r="E94" s="26"/>
    </row>
    <row r="95" spans="2:5" x14ac:dyDescent="0.25">
      <c r="B95" s="26" t="str">
        <v xml:space="preserve">                   "MissingStrings are returned in the array as ShowMissingsAs. Defaults to Empty, but the null " &amp; _</v>
      </c>
      <c r="E95" s="26"/>
    </row>
    <row r="96" spans="2:5" x14ac:dyDescent="0.25">
      <c r="B96" s="26" t="str">
        <v xml:space="preserve">                   "string or `#N/A!` error value can be good alternatives."</v>
      </c>
      <c r="E96" s="26"/>
    </row>
    <row r="97" spans="2:10" x14ac:dyDescent="0.25">
      <c r="B97" s="26" t="str">
        <v xml:space="preserve">    ArgDescs(17) = "Allowed entries are `ASCII`, `ANSI`, `UTF-8`, or `UTF-16`. For most files this argument can be " &amp; _</v>
      </c>
      <c r="E97" s="26"/>
    </row>
    <row r="98" spans="2:10" x14ac:dyDescent="0.25">
      <c r="B98" s="26" t="str">
        <v xml:space="preserve">                   "omitted and CSVRead will detect the file's encoding."</v>
      </c>
      <c r="E98" s="26"/>
    </row>
    <row r="99" spans="2:10" x14ac:dyDescent="0.25">
      <c r="B99" s="26" t="str">
        <v xml:space="preserve">    ArgDescs(18) = "The character that represents a decimal point. If omitted, then the value from Windows " &amp; _</v>
      </c>
      <c r="E99" s="26"/>
    </row>
    <row r="100" spans="2:10" x14ac:dyDescent="0.25">
      <c r="B100" s="26" t="str">
        <v xml:space="preserve">                   "regional settings is used."</v>
      </c>
      <c r="E100" s="26"/>
    </row>
    <row r="101" spans="2:10" x14ac:dyDescent="0.25">
      <c r="B101" s="26" t="str">
        <v xml:space="preserve">    ArgDescs(19) = "For use from VBA only."</v>
      </c>
      <c r="E101" s="26"/>
    </row>
    <row r="102" spans="2:10" x14ac:dyDescent="0.25">
      <c r="B102" s="26" t="str">
        <v xml:space="preserve">    Application.MacroOptions "CSVRead", Description, , , , , , , , , ArgDescs</v>
      </c>
      <c r="E102" s="26"/>
      <c r="J102" s="26"/>
    </row>
    <row r="103" spans="2:10" x14ac:dyDescent="0.25">
      <c r="B103" s="26" t="str">
        <v xml:space="preserve">    Exit Sub</v>
      </c>
      <c r="E103" s="26"/>
      <c r="J103" s="26"/>
    </row>
    <row r="104" spans="2:10" x14ac:dyDescent="0.25">
      <c r="B104" s="26" t="str">
        <v/>
      </c>
      <c r="E104" s="26"/>
      <c r="J104" s="26"/>
    </row>
    <row r="105" spans="2:10" x14ac:dyDescent="0.25">
      <c r="B105" s="26" t="str">
        <v>ErrHandler:</v>
      </c>
      <c r="E105" s="26"/>
      <c r="J105" s="26"/>
    </row>
    <row r="106" spans="2:10" x14ac:dyDescent="0.25">
      <c r="B106" s="26" t="str">
        <v xml:space="preserve">    Debug.Print "Warning: Registration of function CSVRead failed with error: " &amp; Err.Description</v>
      </c>
      <c r="E106" s="26"/>
      <c r="J106" s="26"/>
    </row>
    <row r="107" spans="2:10" x14ac:dyDescent="0.25">
      <c r="B107" s="26" t="str">
        <v>End Sub</v>
      </c>
      <c r="E107" s="26"/>
      <c r="J107" s="26"/>
    </row>
    <row r="108" spans="2:10" x14ac:dyDescent="0.25">
      <c r="B108" s="26"/>
      <c r="E108" s="26"/>
      <c r="J108" s="26"/>
    </row>
    <row r="109" spans="2:10" x14ac:dyDescent="0.25">
      <c r="B109" s="26" t="str" cm="1">
        <f t="array" ref="B109:B153">CodeToRegister(B31,C31,C33:C42)</f>
        <v>' -----------------------------------------------------------------------------------------------------------------------</v>
      </c>
      <c r="E109" s="26"/>
      <c r="J109" s="26"/>
    </row>
    <row r="110" spans="2:10" x14ac:dyDescent="0.25">
      <c r="B110" s="26" t="str">
        <v>' Procedure  : RegisterCSVWrite</v>
      </c>
      <c r="E110" s="26"/>
      <c r="J110" s="26"/>
    </row>
    <row r="111" spans="2:10" x14ac:dyDescent="0.25">
      <c r="B111" s="26" t="str">
        <v>' Purpose    : Register the function CSVWrite with the Excel function wizard. Suggest this function is called from a</v>
      </c>
      <c r="E111" s="26"/>
      <c r="J111" s="26"/>
    </row>
    <row r="112" spans="2:10" x14ac:dyDescent="0.25">
      <c r="B112" s="26" t="str">
        <v>'              WorkBook_Open event.</v>
      </c>
      <c r="E112" s="26"/>
      <c r="J112" s="26"/>
    </row>
    <row r="113" spans="2:10" x14ac:dyDescent="0.25">
      <c r="B113" s="26" t="str">
        <v>' -----------------------------------------------------------------------------------------------------------------------</v>
      </c>
      <c r="E113" s="26"/>
      <c r="J113" s="26"/>
    </row>
    <row r="114" spans="2:10" x14ac:dyDescent="0.25">
      <c r="B114" s="26" t="str">
        <v>Public Sub RegisterCSVWrite()</v>
      </c>
      <c r="E114" s="26"/>
      <c r="J114" s="26"/>
    </row>
    <row r="115" spans="2:10" x14ac:dyDescent="0.25">
      <c r="B115" s="26" t="str">
        <v xml:space="preserve">    Const Description As String = "Creates a comma-separated file on disk containing Data. Any existing file of " &amp; _</v>
      </c>
      <c r="E115" s="26"/>
      <c r="J115" s="26"/>
    </row>
    <row r="116" spans="2:10" x14ac:dyDescent="0.25">
      <c r="B116" s="26" t="str">
        <v xml:space="preserve">                                  "the same name is overwritten. If successful, the function returns FileName, " &amp; _</v>
      </c>
      <c r="E116" s="26"/>
      <c r="J116" s="26"/>
    </row>
    <row r="117" spans="2:10" x14ac:dyDescent="0.25">
      <c r="B117" s="26" t="str">
        <v xml:space="preserve">                                  "otherwise an ""error string"" (starts with `#`, ends with `!`) describing what " &amp; _</v>
      </c>
      <c r="E117" s="26"/>
      <c r="J117" s="26"/>
    </row>
    <row r="118" spans="2:10" x14ac:dyDescent="0.25">
      <c r="B118" s="26" t="str">
        <v xml:space="preserve">                                  "went wrong."</v>
      </c>
      <c r="E118" s="26"/>
      <c r="J118" s="26"/>
    </row>
    <row r="119" spans="2:10" x14ac:dyDescent="0.25">
      <c r="B119" s="26" t="str">
        <v xml:space="preserve">    Dim ArgDescs() As String</v>
      </c>
      <c r="E119" s="26"/>
      <c r="J119" s="26"/>
    </row>
    <row r="120" spans="2:10" x14ac:dyDescent="0.25">
      <c r="B120" s="26" t="str">
        <v/>
      </c>
      <c r="E120" s="26"/>
      <c r="J120" s="26"/>
    </row>
    <row r="121" spans="2:10" x14ac:dyDescent="0.25">
      <c r="B121" s="26" t="str">
        <v xml:space="preserve">    On Error GoTo ErrHandler</v>
      </c>
      <c r="E121" s="26"/>
      <c r="J121" s="26"/>
    </row>
    <row r="122" spans="2:10" x14ac:dyDescent="0.25">
      <c r="B122" s="26" t="str">
        <v/>
      </c>
      <c r="E122" s="26"/>
      <c r="J122" s="26"/>
    </row>
    <row r="123" spans="2:10" x14ac:dyDescent="0.25">
      <c r="B123" s="26" t="str">
        <v xml:space="preserve">    ReDim ArgDescs(1 To 10)</v>
      </c>
      <c r="E123" s="26"/>
      <c r="J123" s="26"/>
    </row>
    <row r="124" spans="2:10" x14ac:dyDescent="0.25">
      <c r="B124" s="26" t="str">
        <v xml:space="preserve">    ArgDescs(1) = "An array of data, or an Excel range. Elements may be strings, numbers, dates, Booleans, empty, " &amp; _</v>
      </c>
      <c r="E124" s="26"/>
      <c r="J124" s="26"/>
    </row>
    <row r="125" spans="2:10" x14ac:dyDescent="0.25">
      <c r="B125" s="26" t="str">
        <v xml:space="preserve">                  "Excel errors or null values. Data typically has two dimensions, but if Data has only one " &amp; _</v>
      </c>
      <c r="E125" s="26"/>
      <c r="J125" s="26"/>
    </row>
    <row r="126" spans="2:10" x14ac:dyDescent="0.25">
      <c r="B126" s="26" t="str">
        <v xml:space="preserve">                  "dimension then the output file has a single column, one field per row."</v>
      </c>
      <c r="E126" s="26"/>
      <c r="J126" s="26"/>
    </row>
    <row r="127" spans="2:10" x14ac:dyDescent="0.25">
      <c r="B127" s="26" t="str">
        <v xml:space="preserve">    ArgDescs(2) = "The full name of the file, including the path. Alternatively, if FileName is omitted, then the " &amp; _</v>
      </c>
      <c r="E127" s="26"/>
      <c r="J127" s="26"/>
    </row>
    <row r="128" spans="2:10" x14ac:dyDescent="0.25">
      <c r="B128" s="26" t="str">
        <v xml:space="preserve">                  "function returns Data converted CSV-style to a string."</v>
      </c>
      <c r="E128" s="26"/>
      <c r="J128" s="26"/>
    </row>
    <row r="129" spans="2:10" x14ac:dyDescent="0.25">
      <c r="B129" s="26" t="str">
        <v xml:space="preserve">    ArgDescs(3) = "If TRUE (the default) then all strings in Data are quoted before being written to file. If " &amp; _</v>
      </c>
      <c r="E129" s="26"/>
      <c r="J129" s="26"/>
    </row>
    <row r="130" spans="2:10" x14ac:dyDescent="0.25">
      <c r="B130" s="26" t="str">
        <v xml:space="preserve">                  "FALSE only strings containing Delimiter, line feed, carriage return or double quote are quoted. " &amp; _</v>
      </c>
      <c r="E130" s="26"/>
    </row>
    <row r="131" spans="2:10" x14ac:dyDescent="0.25">
      <c r="B131" s="26" t="str">
        <v xml:space="preserve">                  "Double quotes are always escaped by another double quote."</v>
      </c>
      <c r="E131" s="26"/>
    </row>
    <row r="132" spans="2:10" x14ac:dyDescent="0.25">
      <c r="B132" s="26" t="str">
        <v xml:space="preserve">    ArgDescs(4) = "A format string that determines how dates, including cells formatted as dates, appear in the " &amp; _</v>
      </c>
      <c r="E132" s="26"/>
    </row>
    <row r="133" spans="2:10" x14ac:dyDescent="0.25">
      <c r="B133" s="26" t="str">
        <v xml:space="preserve">                  "file. If omitted, defaults to `yyyy-mm-dd`."</v>
      </c>
    </row>
    <row r="134" spans="2:10" x14ac:dyDescent="0.25">
      <c r="B134" s="26" t="str">
        <v xml:space="preserve">    ArgDescs(5) = "Format for datetimes. Defaults to `ISO` which abbreviates `yyyy-mm-ddThh:mm:ss`. Use `ISOZ` for " &amp; _</v>
      </c>
    </row>
    <row r="135" spans="2:10" x14ac:dyDescent="0.25">
      <c r="B135" s="26" t="str">
        <v xml:space="preserve">                  "ISO8601 format with time zone the same as the PC's clock. Use with care, daylight saving may be " &amp; _</v>
      </c>
    </row>
    <row r="136" spans="2:10" x14ac:dyDescent="0.25">
      <c r="B136" s="26" t="str">
        <v xml:space="preserve">                  "inconsistent across the datetimes in data."</v>
      </c>
    </row>
    <row r="137" spans="2:10" x14ac:dyDescent="0.25">
      <c r="B137" s="26" t="str">
        <v xml:space="preserve">    ArgDescs(6) = "The delimiter string, if omitted defaults to a comma. Delimiter may have more than one " &amp; _</v>
      </c>
    </row>
    <row r="138" spans="2:10" x14ac:dyDescent="0.25">
      <c r="B138" s="26" t="str">
        <v xml:space="preserve">                  "character."</v>
      </c>
    </row>
    <row r="139" spans="2:10" x14ac:dyDescent="0.25">
      <c r="B139" s="26" t="str">
        <v xml:space="preserve">    ArgDescs(7) = "Allowed entries are `ANSI` (the default), `UTF-8` and `UTF-16`. An error will result if this " &amp; _</v>
      </c>
    </row>
    <row r="140" spans="2:10" x14ac:dyDescent="0.25">
      <c r="B140" s="26" t="str">
        <v xml:space="preserve">                  "argument is `ANSI` but Data contains characters that cannot be written to an ANSI file. `UTF-8` " &amp; _</v>
      </c>
    </row>
    <row r="141" spans="2:10" x14ac:dyDescent="0.25">
      <c r="B141" s="26" t="str">
        <v xml:space="preserve">                  "and `UTF-16` files are written with a byte option mark."</v>
      </c>
    </row>
    <row r="142" spans="2:10" x14ac:dyDescent="0.25">
      <c r="B142" s="26" t="str">
        <v xml:space="preserve">    ArgDescs(8) = "Sets the file's line endings. Enter `Windows`, `Unix` or `Mac`. Also supports the line-ending " &amp; _</v>
      </c>
    </row>
    <row r="143" spans="2:10" x14ac:dyDescent="0.25">
      <c r="B143" s="26" t="str">
        <v xml:space="preserve">                  "characters themselves or the strings `CRLF`, `LF` or `CR`. The default is `Windows` if FileName " &amp; _</v>
      </c>
    </row>
    <row r="144" spans="2:10" x14ac:dyDescent="0.25">
      <c r="B144" s="26" t="str">
        <v xml:space="preserve">                  "is provided, or `Unix` if not."</v>
      </c>
    </row>
    <row r="145" spans="2:2" x14ac:dyDescent="0.25">
      <c r="B145" s="26" t="str">
        <v xml:space="preserve">    ArgDescs(9) = "How the Boolean value True is to be represented in the file. Optional, defaulting to ""True""."</v>
      </c>
    </row>
    <row r="146" spans="2:2" x14ac:dyDescent="0.25">
      <c r="B146" s="26" t="str">
        <v xml:space="preserve">    ArgDescs(10) = "How the Boolean value False is to be represented in the file. Optional, defaulting to " &amp; _</v>
      </c>
    </row>
    <row r="147" spans="2:2" x14ac:dyDescent="0.25">
      <c r="B147" s="26" t="str">
        <v xml:space="preserve">                   """False""."</v>
      </c>
    </row>
    <row r="148" spans="2:2" x14ac:dyDescent="0.25">
      <c r="B148" s="26" t="str">
        <v xml:space="preserve">    Application.MacroOptions "CSVWrite", Description, , , , , , , , , ArgDescs</v>
      </c>
    </row>
    <row r="149" spans="2:2" x14ac:dyDescent="0.25">
      <c r="B149" s="26" t="str">
        <v xml:space="preserve">    Exit Sub</v>
      </c>
    </row>
    <row r="150" spans="2:2" x14ac:dyDescent="0.25">
      <c r="B150" s="26" t="str">
        <v/>
      </c>
    </row>
    <row r="151" spans="2:2" x14ac:dyDescent="0.25">
      <c r="B151" s="26" t="str">
        <v>ErrHandler:</v>
      </c>
    </row>
    <row r="152" spans="2:2" x14ac:dyDescent="0.25">
      <c r="B152" s="26" t="str">
        <v xml:space="preserve">    Debug.Print "Warning: Registration of function CSVWrite failed with error: " &amp; Err.Description</v>
      </c>
    </row>
    <row r="153" spans="2:2" x14ac:dyDescent="0.25">
      <c r="B153" s="26" t="str">
        <v>End Sub</v>
      </c>
    </row>
    <row r="154" spans="2:2" x14ac:dyDescent="0.25">
      <c r="B154" s="26"/>
    </row>
    <row r="155" spans="2:2" x14ac:dyDescent="0.25">
      <c r="B155" s="26"/>
    </row>
    <row r="156" spans="2:2" x14ac:dyDescent="0.25">
      <c r="B156" s="25" t="s">
        <v>35</v>
      </c>
    </row>
    <row r="157" spans="2:2" x14ac:dyDescent="0.25">
      <c r="B157" s="26" t="e" cm="1" vm="1">
        <f t="array" aca="1" ref="B157" ca="1">HelpForVBE(B7,C7,CSVReadArgs,E9:E27,C28)</f>
        <v>#VALUE!</v>
      </c>
    </row>
    <row r="158" spans="2:2" x14ac:dyDescent="0.25">
      <c r="B158" s="26"/>
    </row>
    <row r="159" spans="2:2" x14ac:dyDescent="0.25">
      <c r="B159" s="26"/>
    </row>
    <row r="160" spans="2:2" x14ac:dyDescent="0.25">
      <c r="B160" s="26"/>
    </row>
    <row r="161" spans="2:2" x14ac:dyDescent="0.25">
      <c r="B161" s="26"/>
    </row>
    <row r="162" spans="2:2" x14ac:dyDescent="0.25">
      <c r="B162" s="26"/>
    </row>
    <row r="163" spans="2:2" x14ac:dyDescent="0.25">
      <c r="B163" s="26"/>
    </row>
    <row r="164" spans="2:2" x14ac:dyDescent="0.25">
      <c r="B164" s="26"/>
    </row>
    <row r="165" spans="2:2" x14ac:dyDescent="0.25">
      <c r="B165" s="26"/>
    </row>
    <row r="166" spans="2:2" x14ac:dyDescent="0.25">
      <c r="B166" s="26"/>
    </row>
    <row r="167" spans="2:2" x14ac:dyDescent="0.25">
      <c r="B167" s="26"/>
    </row>
    <row r="168" spans="2:2" x14ac:dyDescent="0.25">
      <c r="B168" s="26"/>
    </row>
    <row r="169" spans="2:2" x14ac:dyDescent="0.25">
      <c r="B169" s="26"/>
    </row>
    <row r="170" spans="2:2" x14ac:dyDescent="0.25">
      <c r="B170" s="26"/>
    </row>
    <row r="171" spans="2:2" x14ac:dyDescent="0.25">
      <c r="B171" s="26"/>
    </row>
    <row r="172" spans="2:2" x14ac:dyDescent="0.25">
      <c r="B172" s="26"/>
    </row>
    <row r="173" spans="2:2" x14ac:dyDescent="0.25">
      <c r="B173" s="26"/>
    </row>
    <row r="174" spans="2:2" x14ac:dyDescent="0.25">
      <c r="B174" s="26"/>
    </row>
    <row r="175" spans="2:2" x14ac:dyDescent="0.25">
      <c r="B175" s="26"/>
    </row>
    <row r="176" spans="2:2" x14ac:dyDescent="0.25">
      <c r="B176" s="26"/>
    </row>
    <row r="177" spans="2:10" x14ac:dyDescent="0.25">
      <c r="B177" s="26"/>
    </row>
    <row r="178" spans="2:10" x14ac:dyDescent="0.25">
      <c r="B178" s="26"/>
    </row>
    <row r="179" spans="2:10" x14ac:dyDescent="0.25">
      <c r="B179" s="26"/>
    </row>
    <row r="180" spans="2:10" x14ac:dyDescent="0.25">
      <c r="B180" s="26"/>
    </row>
    <row r="181" spans="2:10" x14ac:dyDescent="0.25">
      <c r="B181" s="26"/>
    </row>
    <row r="182" spans="2:10" x14ac:dyDescent="0.25">
      <c r="B182" s="26"/>
    </row>
    <row r="183" spans="2:10" x14ac:dyDescent="0.25">
      <c r="B183" s="26"/>
    </row>
    <row r="184" spans="2:10" x14ac:dyDescent="0.25">
      <c r="B184" s="26"/>
    </row>
    <row r="185" spans="2:10" x14ac:dyDescent="0.25">
      <c r="B185" s="26"/>
    </row>
    <row r="186" spans="2:10" x14ac:dyDescent="0.25">
      <c r="B186" s="26"/>
      <c r="J186" s="26"/>
    </row>
    <row r="187" spans="2:10" x14ac:dyDescent="0.25">
      <c r="B187" s="26"/>
      <c r="J187" s="26"/>
    </row>
    <row r="188" spans="2:10" x14ac:dyDescent="0.25">
      <c r="B188" s="26"/>
      <c r="J188" s="26"/>
    </row>
    <row r="189" spans="2:10" x14ac:dyDescent="0.25">
      <c r="B189" s="26"/>
      <c r="J189" s="26"/>
    </row>
    <row r="190" spans="2:10" x14ac:dyDescent="0.25">
      <c r="B190" s="26"/>
      <c r="J190" s="26"/>
    </row>
    <row r="191" spans="2:10" x14ac:dyDescent="0.25">
      <c r="B191" s="26"/>
      <c r="J191" s="26"/>
    </row>
    <row r="192" spans="2:10" x14ac:dyDescent="0.25">
      <c r="B192" s="26"/>
      <c r="J192" s="26"/>
    </row>
    <row r="193" spans="2:10" x14ac:dyDescent="0.25">
      <c r="B193" s="26"/>
      <c r="J193" s="26"/>
    </row>
    <row r="194" spans="2:10" x14ac:dyDescent="0.25">
      <c r="B194" s="26"/>
      <c r="J194" s="26"/>
    </row>
    <row r="195" spans="2:10" x14ac:dyDescent="0.25">
      <c r="B195" s="26"/>
      <c r="J195" s="26"/>
    </row>
    <row r="196" spans="2:10" x14ac:dyDescent="0.25">
      <c r="B196" s="26"/>
      <c r="J196" s="26"/>
    </row>
    <row r="197" spans="2:10" x14ac:dyDescent="0.25">
      <c r="B197" s="26"/>
      <c r="J197" s="26"/>
    </row>
    <row r="198" spans="2:10" x14ac:dyDescent="0.25">
      <c r="B198" s="26"/>
      <c r="J198" s="26"/>
    </row>
    <row r="199" spans="2:10" x14ac:dyDescent="0.25">
      <c r="B199" s="26"/>
      <c r="J199" s="26"/>
    </row>
    <row r="200" spans="2:10" x14ac:dyDescent="0.25">
      <c r="B200" s="26"/>
      <c r="J200" s="26"/>
    </row>
    <row r="201" spans="2:10" x14ac:dyDescent="0.25">
      <c r="B201" s="26"/>
      <c r="J201" s="26"/>
    </row>
    <row r="202" spans="2:10" x14ac:dyDescent="0.25">
      <c r="B202" s="26"/>
      <c r="J202" s="26"/>
    </row>
    <row r="203" spans="2:10" x14ac:dyDescent="0.25">
      <c r="B203" s="26"/>
      <c r="J203" s="26"/>
    </row>
    <row r="204" spans="2:10" x14ac:dyDescent="0.25">
      <c r="B204" s="26"/>
      <c r="J204" s="26"/>
    </row>
    <row r="205" spans="2:10" x14ac:dyDescent="0.25">
      <c r="B205" s="26"/>
      <c r="J205" s="26"/>
    </row>
    <row r="206" spans="2:10" x14ac:dyDescent="0.25">
      <c r="B206" s="26"/>
      <c r="J206" s="26"/>
    </row>
    <row r="207" spans="2:10" x14ac:dyDescent="0.25">
      <c r="B207" s="26"/>
      <c r="J207" s="26"/>
    </row>
    <row r="208" spans="2:10" x14ac:dyDescent="0.25">
      <c r="B208" s="26"/>
      <c r="J208" s="26"/>
    </row>
    <row r="209" spans="2:10" x14ac:dyDescent="0.25">
      <c r="B209" s="26"/>
      <c r="J209" s="26"/>
    </row>
    <row r="210" spans="2:10" x14ac:dyDescent="0.25">
      <c r="B210" s="26"/>
      <c r="J210" s="26"/>
    </row>
    <row r="211" spans="2:10" x14ac:dyDescent="0.25">
      <c r="B211" s="26"/>
      <c r="J211" s="26"/>
    </row>
    <row r="212" spans="2:10" x14ac:dyDescent="0.25">
      <c r="B212" s="26"/>
      <c r="J212" s="26"/>
    </row>
    <row r="213" spans="2:10" x14ac:dyDescent="0.25">
      <c r="B213" s="26"/>
    </row>
    <row r="214" spans="2:10" x14ac:dyDescent="0.25">
      <c r="B214" s="26"/>
    </row>
    <row r="215" spans="2:10" x14ac:dyDescent="0.25">
      <c r="B215" s="26"/>
    </row>
    <row r="216" spans="2:10" x14ac:dyDescent="0.25">
      <c r="B216" s="26"/>
    </row>
    <row r="217" spans="2:10" x14ac:dyDescent="0.25">
      <c r="B217" s="26"/>
    </row>
    <row r="218" spans="2:10" x14ac:dyDescent="0.25">
      <c r="B218" s="26"/>
    </row>
    <row r="219" spans="2:10" x14ac:dyDescent="0.25">
      <c r="B219" s="26"/>
    </row>
    <row r="220" spans="2:10" x14ac:dyDescent="0.25">
      <c r="B220" s="26"/>
    </row>
    <row r="221" spans="2:10" x14ac:dyDescent="0.25">
      <c r="B221" s="26"/>
    </row>
    <row r="222" spans="2:10" x14ac:dyDescent="0.25">
      <c r="B222" s="26"/>
    </row>
    <row r="223" spans="2:10" x14ac:dyDescent="0.25">
      <c r="B223" s="26"/>
    </row>
    <row r="224" spans="2:10" x14ac:dyDescent="0.25">
      <c r="B224" s="26"/>
    </row>
    <row r="225" spans="2:2" x14ac:dyDescent="0.25">
      <c r="B225" s="26"/>
    </row>
    <row r="226" spans="2:2" x14ac:dyDescent="0.25">
      <c r="B226" s="26"/>
    </row>
    <row r="227" spans="2:2" x14ac:dyDescent="0.25">
      <c r="B227" s="26"/>
    </row>
    <row r="228" spans="2:2" x14ac:dyDescent="0.25">
      <c r="B228" s="26"/>
    </row>
    <row r="229" spans="2:2" x14ac:dyDescent="0.25">
      <c r="B229" s="26"/>
    </row>
    <row r="230" spans="2:2" x14ac:dyDescent="0.25">
      <c r="B230" s="26"/>
    </row>
    <row r="231" spans="2:2" x14ac:dyDescent="0.25">
      <c r="B231" s="26"/>
    </row>
    <row r="232" spans="2:2" x14ac:dyDescent="0.25">
      <c r="B232" s="26"/>
    </row>
    <row r="233" spans="2:2" x14ac:dyDescent="0.25">
      <c r="B233" s="26"/>
    </row>
    <row r="234" spans="2:2" x14ac:dyDescent="0.25">
      <c r="B234" s="26"/>
    </row>
    <row r="235" spans="2:2" x14ac:dyDescent="0.25">
      <c r="B235" s="26"/>
    </row>
    <row r="236" spans="2:2" x14ac:dyDescent="0.25">
      <c r="B236" s="26"/>
    </row>
    <row r="237" spans="2:2" x14ac:dyDescent="0.25">
      <c r="B237" s="26"/>
    </row>
    <row r="238" spans="2:2" x14ac:dyDescent="0.25">
      <c r="B238" s="26"/>
    </row>
    <row r="239" spans="2:2" x14ac:dyDescent="0.25">
      <c r="B239" s="26"/>
    </row>
    <row r="240" spans="2:2" x14ac:dyDescent="0.25">
      <c r="B240" s="26"/>
    </row>
    <row r="241" spans="2:2" x14ac:dyDescent="0.25">
      <c r="B241" s="26"/>
    </row>
    <row r="242" spans="2:2" x14ac:dyDescent="0.25">
      <c r="B242" s="26"/>
    </row>
    <row r="243" spans="2:2" x14ac:dyDescent="0.25">
      <c r="B243" s="26"/>
    </row>
    <row r="244" spans="2:2" x14ac:dyDescent="0.25">
      <c r="B244" s="26"/>
    </row>
    <row r="245" spans="2:2" x14ac:dyDescent="0.25">
      <c r="B245" s="26"/>
    </row>
    <row r="246" spans="2:2" x14ac:dyDescent="0.25">
      <c r="B246" s="26"/>
    </row>
    <row r="247" spans="2:2" x14ac:dyDescent="0.25">
      <c r="B247" s="26"/>
    </row>
    <row r="248" spans="2:2" x14ac:dyDescent="0.25">
      <c r="B248" s="26"/>
    </row>
    <row r="249" spans="2:2" x14ac:dyDescent="0.25">
      <c r="B249" s="26"/>
    </row>
    <row r="250" spans="2:2" x14ac:dyDescent="0.25">
      <c r="B250" s="26"/>
    </row>
    <row r="251" spans="2:2" x14ac:dyDescent="0.25">
      <c r="B251" s="26"/>
    </row>
    <row r="252" spans="2:2" x14ac:dyDescent="0.25">
      <c r="B252" s="26"/>
    </row>
    <row r="253" spans="2:2" x14ac:dyDescent="0.25">
      <c r="B253" s="26"/>
    </row>
    <row r="254" spans="2:2" x14ac:dyDescent="0.25">
      <c r="B254" s="26"/>
    </row>
    <row r="255" spans="2:2" x14ac:dyDescent="0.25">
      <c r="B255" s="26"/>
    </row>
    <row r="256" spans="2:2" x14ac:dyDescent="0.25">
      <c r="B256" s="26"/>
    </row>
    <row r="257" spans="2:2" x14ac:dyDescent="0.25">
      <c r="B257" s="26"/>
    </row>
    <row r="258" spans="2:2" x14ac:dyDescent="0.25">
      <c r="B258" s="26"/>
    </row>
    <row r="259" spans="2:2" x14ac:dyDescent="0.25">
      <c r="B259" s="26"/>
    </row>
    <row r="260" spans="2:2" x14ac:dyDescent="0.25">
      <c r="B260" s="26"/>
    </row>
    <row r="261" spans="2:2" x14ac:dyDescent="0.25">
      <c r="B261" s="26"/>
    </row>
    <row r="262" spans="2:2" x14ac:dyDescent="0.25">
      <c r="B262" s="26"/>
    </row>
    <row r="263" spans="2:2" x14ac:dyDescent="0.25">
      <c r="B263" s="26"/>
    </row>
    <row r="264" spans="2:2" x14ac:dyDescent="0.25">
      <c r="B264" s="26"/>
    </row>
    <row r="265" spans="2:2" x14ac:dyDescent="0.25">
      <c r="B265" s="26"/>
    </row>
    <row r="266" spans="2:2" x14ac:dyDescent="0.25">
      <c r="B266" s="26"/>
    </row>
    <row r="267" spans="2:2" x14ac:dyDescent="0.25">
      <c r="B267" s="26"/>
    </row>
    <row r="268" spans="2:2" x14ac:dyDescent="0.25">
      <c r="B268" s="26"/>
    </row>
    <row r="269" spans="2:2" x14ac:dyDescent="0.25">
      <c r="B269" s="26"/>
    </row>
    <row r="270" spans="2:2" x14ac:dyDescent="0.25">
      <c r="B270" s="26"/>
    </row>
    <row r="271" spans="2:2" x14ac:dyDescent="0.25">
      <c r="B271" s="26"/>
    </row>
    <row r="272" spans="2:2" x14ac:dyDescent="0.25">
      <c r="B272" s="26"/>
    </row>
    <row r="273" spans="2:2" x14ac:dyDescent="0.25">
      <c r="B273" s="25" t="s">
        <v>36</v>
      </c>
    </row>
    <row r="274" spans="2:2" x14ac:dyDescent="0.25">
      <c r="B274" s="26" t="str" cm="1">
        <f t="array" ref="B274:B312">HelpForVBE(B31,C31,CSVWriteArgs,E33:E42,C43)</f>
        <v>' -----------------------------------------------------------------------------------------------------------------------</v>
      </c>
    </row>
    <row r="275" spans="2:2" x14ac:dyDescent="0.25">
      <c r="B275" s="26" t="str">
        <v>' Procedure : CSVWrite</v>
      </c>
    </row>
    <row r="276" spans="2:2" x14ac:dyDescent="0.25">
      <c r="B276" s="26" t="str">
        <v>' Purpose   : Creates a comma-separated file on disk containing Data. Any existing file of the same</v>
      </c>
    </row>
    <row r="277" spans="2:2" x14ac:dyDescent="0.25">
      <c r="B277" s="26" t="str">
        <v>'             name is overwritten. If successful, the function returns FileName, otherwise an "error</v>
      </c>
    </row>
    <row r="278" spans="2:2" x14ac:dyDescent="0.25">
      <c r="B278" s="26" t="str">
        <v>'             string" (starts with `#`, ends with `!`) describing what went wrong.</v>
      </c>
    </row>
    <row r="279" spans="2:2" x14ac:dyDescent="0.25">
      <c r="B279" s="26" t="str">
        <v>' Arguments</v>
      </c>
    </row>
    <row r="280" spans="2:2" x14ac:dyDescent="0.25">
      <c r="B280" s="26" t="str">
        <v>' Data      : An array of data, or an Excel range. Elements may be strings, numbers, dates, Booleans, empty,</v>
      </c>
    </row>
    <row r="281" spans="2:2" x14ac:dyDescent="0.25">
      <c r="B281" s="26" t="str">
        <v>'             Excel errors or null values. Data typically has two dimensions, but if Data has only one</v>
      </c>
    </row>
    <row r="282" spans="2:2" x14ac:dyDescent="0.25">
      <c r="B282" s="26" t="str">
        <v>'             dimension then the output file has a single column, one field per row.</v>
      </c>
    </row>
    <row r="283" spans="2:2" x14ac:dyDescent="0.25">
      <c r="B283" s="26" t="str">
        <v>' FileName  : The full name of the file, including the path. Alternatively, if FileName is omitted, then the</v>
      </c>
    </row>
    <row r="284" spans="2:2" x14ac:dyDescent="0.25">
      <c r="B284" s="26" t="str">
        <v>'             function returns Data converted CSV-style to a string.</v>
      </c>
    </row>
    <row r="285" spans="2:2" x14ac:dyDescent="0.25">
      <c r="B285" s="26" t="str">
        <v>' QuoteAllStrings: If `TRUE` (the default) then elements of Data that are strings are quoted before being</v>
      </c>
    </row>
    <row r="286" spans="2:2" x14ac:dyDescent="0.25">
      <c r="B286" s="26" t="str">
        <v>'             written to file, other elements (Numbers, Booleans, Errors) are not quoted. If `FALSE` then</v>
      </c>
    </row>
    <row r="287" spans="2:2" x14ac:dyDescent="0.25">
      <c r="B287" s="26" t="str">
        <v>'             the only elements of Data that are quoted are strings containing Delimiter, line feed,</v>
      </c>
    </row>
    <row r="288" spans="2:2" x14ac:dyDescent="0.25">
      <c r="B288" s="26" t="str">
        <v>'             carriage return or double quote. In all cases, double quotes are escaped by another double</v>
      </c>
    </row>
    <row r="289" spans="2:2" x14ac:dyDescent="0.25">
      <c r="B289" s="26" t="str">
        <v>'             quote.</v>
      </c>
    </row>
    <row r="290" spans="2:2" x14ac:dyDescent="0.25">
      <c r="B290" s="26" t="str">
        <v>' DateFormat: A format string that determines how dates, including cells formatted as dates, appear in the</v>
      </c>
    </row>
    <row r="291" spans="2:2" x14ac:dyDescent="0.25">
      <c r="B291" s="26" t="str">
        <v>'             file. If omitted, defaults to `yyyy-mm-dd`.</v>
      </c>
    </row>
    <row r="292" spans="2:2" x14ac:dyDescent="0.25">
      <c r="B292" s="26" t="str">
        <v>' DateTimeFormat: Format for datetimes. Defaults to `ISO` which abbreviates `yyyy-mm-ddThh:mm:ss`. Use</v>
      </c>
    </row>
    <row r="293" spans="2:2" x14ac:dyDescent="0.25">
      <c r="B293" s="26" t="str">
        <v>'             `ISOZ` for ISO8601 format with time zone the same as the PC's clock. Use with care, daylight</v>
      </c>
    </row>
    <row r="294" spans="2:2" x14ac:dyDescent="0.25">
      <c r="B294" s="26" t="str">
        <v>'             saving may be inconsistent across the datetimes in data.</v>
      </c>
    </row>
    <row r="295" spans="2:2" x14ac:dyDescent="0.25">
      <c r="B295" s="26" t="str">
        <v>' Delimiter : The delimiter string, if omitted defaults to a comma. Delimiter may have more than one</v>
      </c>
    </row>
    <row r="296" spans="2:2" x14ac:dyDescent="0.25">
      <c r="B296" s="26" t="str">
        <v>'             character.</v>
      </c>
    </row>
    <row r="297" spans="2:2" x14ac:dyDescent="0.25">
      <c r="B297" s="26" t="str">
        <v>' Encoding  : Allowed entries are `ANSI` (the default), `UTF-8` and `UTF-16`. An error will result if this</v>
      </c>
    </row>
    <row r="298" spans="2:2" x14ac:dyDescent="0.25">
      <c r="B298" s="26" t="str">
        <v>'             argument is `ANSI` but Data contains characters that cannot be written to an ANSI file.</v>
      </c>
    </row>
    <row r="299" spans="2:2" x14ac:dyDescent="0.25">
      <c r="B299" s="26" t="str">
        <v>'             `UTF-8` and `UTF-16` files are written with a byte option mark.</v>
      </c>
    </row>
    <row r="300" spans="2:2" x14ac:dyDescent="0.25">
      <c r="B300" s="26" t="str">
        <v>' EOL       : Sets the file's line endings. Enter `Windows`, `Unix` or `Mac`. Also supports the line-ending</v>
      </c>
    </row>
    <row r="301" spans="2:2" x14ac:dyDescent="0.25">
      <c r="B301" s="26" t="str">
        <v>'             characters themselves (ascii 13 + ascii 10, ascii 10, ascii 13) or the strings `CRLF`, `LF`</v>
      </c>
    </row>
    <row r="302" spans="2:2" x14ac:dyDescent="0.25">
      <c r="B302" s="26" t="str">
        <v>'             or `CR`. The default is `Windows` if FileName is provided, or `Unix` if not. The last line of</v>
      </c>
    </row>
    <row r="303" spans="2:2" x14ac:dyDescent="0.25">
      <c r="B303" s="26" t="str">
        <v>'             the file is written with a line ending.</v>
      </c>
    </row>
    <row r="304" spans="2:2" x14ac:dyDescent="0.25">
      <c r="B304" s="26" t="str">
        <v>' TrueString: How the Boolean value True is to be represented in the file. Optional, defaulting to "True".</v>
      </c>
    </row>
    <row r="305" spans="2:2" x14ac:dyDescent="0.25">
      <c r="B305" s="26" t="str">
        <v>' FalseString: How the Boolean value False is to be represented in the file. Optional, defaulting to</v>
      </c>
    </row>
    <row r="306" spans="2:2" x14ac:dyDescent="0.25">
      <c r="B306" s="26" t="str">
        <v>'             "False".</v>
      </c>
    </row>
    <row r="307" spans="2:2" x14ac:dyDescent="0.25">
      <c r="B307" s="26" t="str">
        <v>'</v>
      </c>
    </row>
    <row r="308" spans="2:2" x14ac:dyDescent="0.25">
      <c r="B308" s="26" t="str">
        <v>' Notes     : See also companion function CSVRead.</v>
      </c>
    </row>
    <row r="309" spans="2:2" x14ac:dyDescent="0.25">
      <c r="B309" s="26" t="str">
        <v xml:space="preserve">'             </v>
      </c>
    </row>
    <row r="310" spans="2:2" x14ac:dyDescent="0.25">
      <c r="B310" s="26" t="str">
        <v>'             For discussion of the CSV format see</v>
      </c>
    </row>
    <row r="311" spans="2:2" x14ac:dyDescent="0.25">
      <c r="B311" s="26" t="str">
        <v>'             https://tools.ietf.org/html/rfc4180#section-2</v>
      </c>
    </row>
    <row r="312" spans="2:2" x14ac:dyDescent="0.25">
      <c r="B312" s="26" t="str">
        <v>' -----------------------------------------------------------------------------------------------------------------------</v>
      </c>
    </row>
    <row r="313" spans="2:2" x14ac:dyDescent="0.25">
      <c r="B313" s="26"/>
    </row>
    <row r="314" spans="2:2" x14ac:dyDescent="0.25">
      <c r="B314" s="27" t="s">
        <v>37</v>
      </c>
    </row>
    <row r="315" spans="2:2" x14ac:dyDescent="0.25">
      <c r="B315" s="26" t="str" cm="1">
        <f t="array" ref="B315">MarkdownHelp(SourceFile,B7,C7,CSVReadArgs,E9:E27,J6:K8)</f>
        <v>#MarkdownHelp (line 9): Cannot find function declaration in SourceFile!</v>
      </c>
    </row>
    <row r="316" spans="2:2" x14ac:dyDescent="0.25">
      <c r="B316" s="26"/>
    </row>
    <row r="317" spans="2:2" x14ac:dyDescent="0.25">
      <c r="B317" s="26"/>
    </row>
    <row r="318" spans="2:2" x14ac:dyDescent="0.25">
      <c r="B318" s="26"/>
    </row>
    <row r="319" spans="2:2" x14ac:dyDescent="0.25">
      <c r="B319" s="26"/>
    </row>
    <row r="320" spans="2:2" x14ac:dyDescent="0.25">
      <c r="B320" s="26"/>
    </row>
    <row r="321" spans="2:2" x14ac:dyDescent="0.25">
      <c r="B321" s="26"/>
    </row>
    <row r="322" spans="2:2" x14ac:dyDescent="0.25">
      <c r="B322" s="26"/>
    </row>
    <row r="323" spans="2:2" x14ac:dyDescent="0.25">
      <c r="B323" s="26"/>
    </row>
    <row r="324" spans="2:2" x14ac:dyDescent="0.25">
      <c r="B324" s="26"/>
    </row>
    <row r="325" spans="2:2" x14ac:dyDescent="0.25">
      <c r="B325" s="26"/>
    </row>
    <row r="326" spans="2:2" x14ac:dyDescent="0.25">
      <c r="B326" s="26"/>
    </row>
    <row r="327" spans="2:2" x14ac:dyDescent="0.25">
      <c r="B327" s="26"/>
    </row>
    <row r="328" spans="2:2" x14ac:dyDescent="0.25">
      <c r="B328" s="26"/>
    </row>
    <row r="329" spans="2:2" x14ac:dyDescent="0.25">
      <c r="B329" s="26"/>
    </row>
    <row r="330" spans="2:2" x14ac:dyDescent="0.25">
      <c r="B330" s="26"/>
    </row>
    <row r="331" spans="2:2" x14ac:dyDescent="0.25">
      <c r="B331" s="26"/>
    </row>
    <row r="332" spans="2:2" x14ac:dyDescent="0.25">
      <c r="B332" s="26"/>
    </row>
    <row r="333" spans="2:2" x14ac:dyDescent="0.25">
      <c r="B333" s="26"/>
    </row>
    <row r="334" spans="2:2" x14ac:dyDescent="0.25">
      <c r="B334" s="26"/>
    </row>
    <row r="335" spans="2:2" x14ac:dyDescent="0.25">
      <c r="B335" s="26"/>
    </row>
    <row r="336" spans="2:2" x14ac:dyDescent="0.25">
      <c r="B336" s="26"/>
    </row>
    <row r="337" spans="2:2" x14ac:dyDescent="0.25">
      <c r="B337" s="26"/>
    </row>
    <row r="338" spans="2:2" x14ac:dyDescent="0.25">
      <c r="B338" s="26"/>
    </row>
    <row r="339" spans="2:2" x14ac:dyDescent="0.25">
      <c r="B339" s="26"/>
    </row>
    <row r="340" spans="2:2" x14ac:dyDescent="0.25">
      <c r="B340" s="26"/>
    </row>
    <row r="341" spans="2:2" x14ac:dyDescent="0.25">
      <c r="B341" s="26"/>
    </row>
    <row r="342" spans="2:2" x14ac:dyDescent="0.25">
      <c r="B342" s="26"/>
    </row>
    <row r="343" spans="2:2" x14ac:dyDescent="0.25">
      <c r="B343" s="26"/>
    </row>
    <row r="344" spans="2:2" x14ac:dyDescent="0.25">
      <c r="B344" s="26"/>
    </row>
    <row r="345" spans="2:2" x14ac:dyDescent="0.25">
      <c r="B345" s="26"/>
    </row>
    <row r="346" spans="2:2" x14ac:dyDescent="0.25">
      <c r="B346" s="26"/>
    </row>
    <row r="347" spans="2:2" x14ac:dyDescent="0.25">
      <c r="B347" s="26"/>
    </row>
    <row r="348" spans="2:2" x14ac:dyDescent="0.25">
      <c r="B348" s="26"/>
    </row>
    <row r="349" spans="2:2" x14ac:dyDescent="0.25">
      <c r="B349" s="26"/>
    </row>
    <row r="350" spans="2:2" x14ac:dyDescent="0.25">
      <c r="B350" s="26"/>
    </row>
    <row r="351" spans="2:2" x14ac:dyDescent="0.25">
      <c r="B351" s="26"/>
    </row>
    <row r="352" spans="2:2" x14ac:dyDescent="0.25">
      <c r="B352" s="26" t="str" cm="1">
        <f t="array" ref="B352">MarkdownHelp(SourceFile,B31,C31,CSVWriteArgs,E33:E42)</f>
        <v>#MarkdownHelp (line 9): Cannot find function declaration in SourceFile!</v>
      </c>
    </row>
    <row r="353" spans="2:2" x14ac:dyDescent="0.25">
      <c r="B353" s="26"/>
    </row>
    <row r="354" spans="2:2" x14ac:dyDescent="0.25">
      <c r="B354" s="26"/>
    </row>
    <row r="355" spans="2:2" x14ac:dyDescent="0.25">
      <c r="B355" s="26"/>
    </row>
    <row r="356" spans="2:2" x14ac:dyDescent="0.25">
      <c r="B356" s="26"/>
    </row>
    <row r="357" spans="2:2" x14ac:dyDescent="0.25">
      <c r="B357" s="26"/>
    </row>
    <row r="358" spans="2:2" x14ac:dyDescent="0.25">
      <c r="B358" s="26"/>
    </row>
    <row r="359" spans="2:2" x14ac:dyDescent="0.25">
      <c r="B359" s="26"/>
    </row>
    <row r="360" spans="2:2" x14ac:dyDescent="0.25">
      <c r="B360" s="26"/>
    </row>
    <row r="361" spans="2:2" x14ac:dyDescent="0.25">
      <c r="B361" s="26"/>
    </row>
    <row r="362" spans="2:2" x14ac:dyDescent="0.25">
      <c r="B362" s="26"/>
    </row>
    <row r="363" spans="2:2" x14ac:dyDescent="0.25">
      <c r="B363" s="26"/>
    </row>
    <row r="364" spans="2:2" x14ac:dyDescent="0.25">
      <c r="B364" s="26"/>
    </row>
    <row r="365" spans="2:2" x14ac:dyDescent="0.25">
      <c r="B365" s="26"/>
    </row>
    <row r="366" spans="2:2" x14ac:dyDescent="0.25">
      <c r="B366" s="26"/>
    </row>
    <row r="367" spans="2:2" x14ac:dyDescent="0.25">
      <c r="B367" s="26"/>
    </row>
    <row r="368" spans="2:2" x14ac:dyDescent="0.25">
      <c r="B368" s="26"/>
    </row>
    <row r="369" spans="2:2" x14ac:dyDescent="0.25">
      <c r="B369" s="26"/>
    </row>
    <row r="370" spans="2:2" x14ac:dyDescent="0.25">
      <c r="B370" s="26"/>
    </row>
    <row r="371" spans="2:2" x14ac:dyDescent="0.25">
      <c r="B371" s="26"/>
    </row>
    <row r="372" spans="2:2" x14ac:dyDescent="0.25">
      <c r="B372" s="26"/>
    </row>
    <row r="373" spans="2:2" x14ac:dyDescent="0.25">
      <c r="B373" s="26"/>
    </row>
    <row r="374" spans="2:2" x14ac:dyDescent="0.25">
      <c r="B374" s="26"/>
    </row>
    <row r="375" spans="2:2" x14ac:dyDescent="0.25">
      <c r="B375" s="26"/>
    </row>
    <row r="376" spans="2:2" x14ac:dyDescent="0.25">
      <c r="B376" s="26"/>
    </row>
    <row r="377" spans="2:2" x14ac:dyDescent="0.25">
      <c r="B377" s="26"/>
    </row>
    <row r="378" spans="2:2" x14ac:dyDescent="0.25">
      <c r="B378" s="26"/>
    </row>
    <row r="379" spans="2:2" x14ac:dyDescent="0.25">
      <c r="B379" s="26"/>
    </row>
    <row r="380" spans="2:2" x14ac:dyDescent="0.25">
      <c r="B380" s="26"/>
    </row>
    <row r="381" spans="2:2" x14ac:dyDescent="0.25">
      <c r="B381" s="26"/>
    </row>
    <row r="382" spans="2:2" x14ac:dyDescent="0.25">
      <c r="B382" s="26"/>
    </row>
    <row r="383" spans="2:2" x14ac:dyDescent="0.25">
      <c r="B383" s="26"/>
    </row>
    <row r="384" spans="2:2" x14ac:dyDescent="0.25">
      <c r="B384" s="26"/>
    </row>
    <row r="385" spans="2:2" x14ac:dyDescent="0.25">
      <c r="B385" s="26"/>
    </row>
    <row r="386" spans="2:2" x14ac:dyDescent="0.25">
      <c r="B386" s="26"/>
    </row>
    <row r="387" spans="2:2" x14ac:dyDescent="0.25">
      <c r="B387" s="26"/>
    </row>
    <row r="388" spans="2:2" x14ac:dyDescent="0.25">
      <c r="B388" s="26"/>
    </row>
    <row r="389" spans="2:2" x14ac:dyDescent="0.25">
      <c r="B389" s="26"/>
    </row>
    <row r="390" spans="2:2" x14ac:dyDescent="0.25">
      <c r="B390" s="26"/>
    </row>
    <row r="391" spans="2:2" x14ac:dyDescent="0.25">
      <c r="B391"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2447925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9"/>
  <sheetViews>
    <sheetView showGridLines="0" showRowColHeaders="0" workbookViewId="0"/>
  </sheetViews>
  <sheetFormatPr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6" ht="28.5" x14ac:dyDescent="0.45">
      <c r="B1" s="29" t="s">
        <v>39</v>
      </c>
    </row>
    <row r="5" spans="2:6" x14ac:dyDescent="0.25">
      <c r="B5" s="30" t="s">
        <v>40</v>
      </c>
      <c r="C5" s="34" t="s">
        <v>41</v>
      </c>
      <c r="D5" s="50" t="s">
        <v>42</v>
      </c>
      <c r="E5" s="31" t="s">
        <v>43</v>
      </c>
      <c r="F5" s="36" t="s">
        <v>44</v>
      </c>
    </row>
    <row r="6" spans="2:6" x14ac:dyDescent="0.25">
      <c r="B6" s="49">
        <v>24</v>
      </c>
      <c r="C6" s="44">
        <v>45224</v>
      </c>
      <c r="D6" s="51">
        <v>0.79480324074393138</v>
      </c>
      <c r="E6" s="45" t="s">
        <v>45</v>
      </c>
      <c r="F6" s="46" t="s">
        <v>116</v>
      </c>
    </row>
    <row r="7" spans="2:6" x14ac:dyDescent="0.25">
      <c r="B7" s="48">
        <v>23</v>
      </c>
      <c r="C7" s="44">
        <v>44963</v>
      </c>
      <c r="D7" s="51">
        <v>0.67082175926043419</v>
      </c>
      <c r="E7" s="45" t="s">
        <v>45</v>
      </c>
      <c r="F7" s="46" t="s">
        <v>113</v>
      </c>
    </row>
    <row r="8" spans="2:6" x14ac:dyDescent="0.25">
      <c r="B8" s="48">
        <v>22</v>
      </c>
      <c r="C8" s="44">
        <v>44874</v>
      </c>
      <c r="D8" s="51">
        <v>0.92365740740933688</v>
      </c>
      <c r="E8" s="45" t="s">
        <v>45</v>
      </c>
      <c r="F8" s="46" t="s">
        <v>110</v>
      </c>
    </row>
    <row r="9" spans="2:6" x14ac:dyDescent="0.25">
      <c r="B9" s="48">
        <v>21</v>
      </c>
      <c r="C9" s="44">
        <v>44872</v>
      </c>
      <c r="D9" s="51">
        <v>0.79090277777868323</v>
      </c>
      <c r="E9" s="45" t="s">
        <v>45</v>
      </c>
      <c r="F9" s="47" t="s">
        <v>109</v>
      </c>
    </row>
    <row r="10" spans="2:6" x14ac:dyDescent="0.25">
      <c r="B10" s="48">
        <v>20</v>
      </c>
      <c r="C10" s="44">
        <v>44868</v>
      </c>
      <c r="D10" s="51">
        <v>0.69380787036789116</v>
      </c>
      <c r="E10" s="45" t="s">
        <v>45</v>
      </c>
      <c r="F10" s="46" t="s">
        <v>106</v>
      </c>
    </row>
    <row r="11" spans="2:6" x14ac:dyDescent="0.25">
      <c r="B11" s="48">
        <v>19</v>
      </c>
      <c r="C11" s="44">
        <v>44868</v>
      </c>
      <c r="D11" s="51">
        <v>0.41638888888701331</v>
      </c>
      <c r="E11" s="45" t="s">
        <v>45</v>
      </c>
      <c r="F11" s="47" t="s">
        <v>105</v>
      </c>
    </row>
    <row r="12" spans="2:6" x14ac:dyDescent="0.25">
      <c r="B12" s="48">
        <v>18</v>
      </c>
      <c r="C12" s="44">
        <v>44868</v>
      </c>
      <c r="D12" s="51">
        <v>0.40148148148000473</v>
      </c>
      <c r="E12" s="45" t="s">
        <v>45</v>
      </c>
      <c r="F12" s="47" t="s">
        <v>103</v>
      </c>
    </row>
    <row r="13" spans="2:6" x14ac:dyDescent="0.25">
      <c r="B13" s="48">
        <v>17</v>
      </c>
      <c r="C13" s="44">
        <v>44867</v>
      </c>
      <c r="D13" s="51">
        <v>0.80651620370190358</v>
      </c>
      <c r="E13" s="45" t="s">
        <v>45</v>
      </c>
      <c r="F13" s="46" t="s">
        <v>102</v>
      </c>
    </row>
    <row r="14" spans="2:6" x14ac:dyDescent="0.25">
      <c r="B14" s="48">
        <v>16</v>
      </c>
      <c r="C14" s="44">
        <v>44865</v>
      </c>
      <c r="D14" s="51">
        <v>0.67513888888788642</v>
      </c>
      <c r="E14" s="45" t="s">
        <v>45</v>
      </c>
      <c r="F14" s="46" t="s">
        <v>99</v>
      </c>
    </row>
    <row r="15" spans="2:6" x14ac:dyDescent="0.25">
      <c r="B15" s="48">
        <v>15</v>
      </c>
      <c r="C15" s="44">
        <v>44862</v>
      </c>
      <c r="D15" s="51">
        <v>0.68582175925985212</v>
      </c>
      <c r="E15" s="45" t="s">
        <v>45</v>
      </c>
      <c r="F15" s="46" t="s">
        <v>99</v>
      </c>
    </row>
    <row r="16" spans="2:6" x14ac:dyDescent="0.25">
      <c r="B16" s="48">
        <v>14</v>
      </c>
      <c r="C16" s="44">
        <v>44855</v>
      </c>
      <c r="D16" s="51">
        <v>0.71127314814657439</v>
      </c>
      <c r="E16" s="45" t="s">
        <v>45</v>
      </c>
      <c r="F16" s="46" t="s">
        <v>98</v>
      </c>
    </row>
    <row r="17" spans="2:6" x14ac:dyDescent="0.25">
      <c r="B17" s="48">
        <v>13</v>
      </c>
      <c r="C17" s="44">
        <v>44484</v>
      </c>
      <c r="D17" s="51">
        <v>0.83906250000291038</v>
      </c>
      <c r="E17" s="45" t="s">
        <v>45</v>
      </c>
      <c r="F17" s="46" t="s">
        <v>92</v>
      </c>
    </row>
    <row r="18" spans="2:6" x14ac:dyDescent="0.25">
      <c r="B18" s="48">
        <v>12</v>
      </c>
      <c r="C18" s="44">
        <v>44482</v>
      </c>
      <c r="D18" s="51">
        <v>0.53171296296204673</v>
      </c>
      <c r="E18" s="45" t="s">
        <v>45</v>
      </c>
      <c r="F18" s="46" t="s">
        <v>91</v>
      </c>
    </row>
    <row r="19" spans="2:6" x14ac:dyDescent="0.25">
      <c r="B19" s="48">
        <v>11</v>
      </c>
      <c r="C19" s="44">
        <v>44481</v>
      </c>
      <c r="D19" s="51">
        <v>0.52262731481459923</v>
      </c>
      <c r="E19" s="45" t="s">
        <v>45</v>
      </c>
      <c r="F19" s="46" t="s">
        <v>89</v>
      </c>
    </row>
    <row r="20" spans="2:6" x14ac:dyDescent="0.25">
      <c r="B20" s="48">
        <v>10</v>
      </c>
      <c r="C20" s="44">
        <v>44469</v>
      </c>
      <c r="D20" s="51">
        <v>0.71196759259328246</v>
      </c>
      <c r="E20" s="45" t="s">
        <v>45</v>
      </c>
      <c r="F20" s="46" t="s">
        <v>88</v>
      </c>
    </row>
    <row r="21" spans="2:6" x14ac:dyDescent="0.25">
      <c r="B21" s="48">
        <v>9</v>
      </c>
      <c r="C21" s="44">
        <v>44468</v>
      </c>
      <c r="D21" s="51">
        <v>0.83050925925635966</v>
      </c>
      <c r="E21" s="45" t="s">
        <v>45</v>
      </c>
      <c r="F21" s="46" t="s">
        <v>88</v>
      </c>
    </row>
    <row r="22" spans="2:6" x14ac:dyDescent="0.25">
      <c r="B22" s="48">
        <v>8</v>
      </c>
      <c r="C22" s="44">
        <v>44466</v>
      </c>
      <c r="D22" s="51">
        <v>0.80711805555620231</v>
      </c>
      <c r="E22" s="45" t="s">
        <v>45</v>
      </c>
      <c r="F22" s="46" t="s">
        <v>87</v>
      </c>
    </row>
    <row r="23" spans="2:6" x14ac:dyDescent="0.25">
      <c r="B23" s="48">
        <v>7</v>
      </c>
      <c r="C23" s="44">
        <v>44462</v>
      </c>
      <c r="D23" s="51">
        <v>0.55222222222073469</v>
      </c>
      <c r="E23" s="45" t="s">
        <v>45</v>
      </c>
      <c r="F23" s="46" t="s">
        <v>85</v>
      </c>
    </row>
    <row r="24" spans="2:6" x14ac:dyDescent="0.25">
      <c r="B24" s="48">
        <v>6</v>
      </c>
      <c r="C24" s="44">
        <v>44459</v>
      </c>
      <c r="D24" s="51">
        <v>0.61313657407299615</v>
      </c>
      <c r="E24" s="45" t="s">
        <v>45</v>
      </c>
      <c r="F24" s="46" t="s">
        <v>82</v>
      </c>
    </row>
    <row r="25" spans="2:6" x14ac:dyDescent="0.25">
      <c r="B25" s="48">
        <v>5</v>
      </c>
      <c r="C25" s="44">
        <v>44448</v>
      </c>
      <c r="D25" s="51">
        <v>0.35343750000174623</v>
      </c>
      <c r="E25" s="45" t="s">
        <v>45</v>
      </c>
      <c r="F25" s="46" t="s">
        <v>82</v>
      </c>
    </row>
    <row r="26" spans="2:6" x14ac:dyDescent="0.25">
      <c r="B26" s="48">
        <v>4</v>
      </c>
      <c r="C26" s="44">
        <v>44447</v>
      </c>
      <c r="D26" s="51">
        <v>0.78216435185458977</v>
      </c>
      <c r="E26" s="45" t="s">
        <v>45</v>
      </c>
      <c r="F26" s="46" t="s">
        <v>82</v>
      </c>
    </row>
    <row r="27" spans="2:6" x14ac:dyDescent="0.25">
      <c r="B27" s="48">
        <v>3</v>
      </c>
      <c r="C27" s="44">
        <v>44445</v>
      </c>
      <c r="D27" s="51">
        <v>0.60179398148466134</v>
      </c>
      <c r="E27" s="45" t="s">
        <v>45</v>
      </c>
      <c r="F27" s="46" t="s">
        <v>80</v>
      </c>
    </row>
    <row r="28" spans="2:6" x14ac:dyDescent="0.25">
      <c r="B28" s="48">
        <v>2</v>
      </c>
      <c r="C28" s="44">
        <v>44444</v>
      </c>
      <c r="D28" s="51">
        <v>0.328229166669189</v>
      </c>
      <c r="E28" s="45" t="s">
        <v>45</v>
      </c>
      <c r="F28" s="46" t="s">
        <v>78</v>
      </c>
    </row>
    <row r="29" spans="2:6" x14ac:dyDescent="0.25">
      <c r="B29" s="32">
        <v>1</v>
      </c>
      <c r="C29" s="35">
        <v>44423</v>
      </c>
      <c r="D29" s="52">
        <v>0.562395833330811</v>
      </c>
      <c r="E29" s="33" t="s">
        <v>45</v>
      </c>
      <c r="F29" s="37" t="s">
        <v>46</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2023-10-25T18:09:16Z</dcterms:modified>
</cp:coreProperties>
</file>